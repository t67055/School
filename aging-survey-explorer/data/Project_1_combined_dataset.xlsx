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9.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bined" sheetId="1" state="visible" r:id="rId3"/>
    <sheet name="Tagged Responses" sheetId="2" state="visible" r:id="rId4"/>
    <sheet name="Theme Summary" sheetId="3" state="visible" r:id="rId5"/>
    <sheet name="Notes" sheetId="4" state="visible" r:id="rId6"/>
    <sheet name="Group 1" sheetId="5" state="visible" r:id="rId7"/>
    <sheet name="Group 2" sheetId="6" state="visible" r:id="rId8"/>
    <sheet name="Group 3" sheetId="7" state="visible" r:id="rId9"/>
    <sheet name="Group 4" sheetId="8" state="visible" r:id="rId10"/>
    <sheet name="Group 5" sheetId="9" state="visible" r:id="rId11"/>
    <sheet name="Group 6" sheetId="10" state="visible" r:id="rId12"/>
    <sheet name="Group 7" sheetId="11" state="visible" r:id="rId13"/>
    <sheet name="Group 8"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<sst xmlns="http://schemas.openxmlformats.org/spreadsheetml/2006/main" count="47269" uniqueCount="10207">
  <si>
    <t xml:space="preserve">Respondent ID</t>
  </si>
  <si>
    <t xml:space="preserve">Group</t>
  </si>
  <si>
    <t xml:space="preserve">Source row</t>
  </si>
  <si>
    <t xml:space="preserve">Interviewer</t>
  </si>
  <si>
    <t xml:space="preserve">Response timestamp</t>
  </si>
  <si>
    <t xml:space="preserve">Age</t>
  </si>
  <si>
    <t xml:space="preserve">Age category</t>
  </si>
  <si>
    <t xml:space="preserve">Gender</t>
  </si>
  <si>
    <t xml:space="preserve">From – State/Province</t>
  </si>
  <si>
    <t xml:space="preserve">From – Country</t>
  </si>
  <si>
    <t xml:space="preserve">From (State, Country)</t>
  </si>
  <si>
    <t xml:space="preserve">Residence – State/Province</t>
  </si>
  <si>
    <t xml:space="preserve">Residence – Country</t>
  </si>
  <si>
    <t xml:space="preserve">Residence (State, Country)</t>
  </si>
  <si>
    <t xml:space="preserve">Q5 How would you define aging?</t>
  </si>
  <si>
    <t xml:space="preserve">Q6 Est. % of US population 65+</t>
  </si>
  <si>
    <t xml:space="preserve">Q6 Estimate (range)</t>
  </si>
  <si>
    <t xml:space="preserve">Q7 Greatest challenge facing the aging population</t>
  </si>
  <si>
    <t xml:space="preserve">Q8 Challenge to solve in the short term</t>
  </si>
  <si>
    <t xml:space="preserve">Q8 Why prioritize it</t>
  </si>
  <si>
    <t xml:space="preserve">Q9 Action being taken on this challenge?</t>
  </si>
  <si>
    <t xml:space="preserve">Q10 Three things to maintain through life</t>
  </si>
  <si>
    <t xml:space="preserve">Q11 What you can do to maintain them</t>
  </si>
  <si>
    <t xml:space="preserve">Q12 Description of the three topics</t>
  </si>
  <si>
    <t xml:space="preserve">Personal rank – Reproductive health &amp; longevity</t>
  </si>
  <si>
    <t xml:space="preserve">Personal rank – Democratizing longevity</t>
  </si>
  <si>
    <t xml:space="preserve">Personal rank – AI/ML for aging &amp; health</t>
  </si>
  <si>
    <t xml:space="preserve">Societal rank – Reproductive health &amp; longevity</t>
  </si>
  <si>
    <t xml:space="preserve">Societal rank – Democratizing longevity</t>
  </si>
  <si>
    <t xml:space="preserve">Societal rank – AI/ML for aging &amp; health</t>
  </si>
  <si>
    <t xml:space="preserve">Reason for ranking</t>
  </si>
  <si>
    <t xml:space="preserve">Most exciting topic</t>
  </si>
  <si>
    <t xml:space="preserve">What excites you</t>
  </si>
  <si>
    <t xml:space="preserve">Most concerning topic</t>
  </si>
  <si>
    <t xml:space="preserve">Greatest concern</t>
  </si>
  <si>
    <t xml:space="preserve">Ethical considerations needed?</t>
  </si>
  <si>
    <t xml:space="preserve">Ethical considerations (details)</t>
  </si>
  <si>
    <t xml:space="preserve">Excited about future of aging research?</t>
  </si>
  <si>
    <t xml:space="preserve">Excitement rating (1–5)</t>
  </si>
  <si>
    <t xml:space="preserve">Excitement comment</t>
  </si>
  <si>
    <t xml:space="preserve">Bioengineers can help?</t>
  </si>
  <si>
    <t xml:space="preserve">Bioengineer role rating (1–5)</t>
  </si>
  <si>
    <t xml:space="preserve">Bioengineers comment</t>
  </si>
  <si>
    <t xml:space="preserve">Data notes</t>
  </si>
  <si>
    <t xml:space="preserve">G1-001</t>
  </si>
  <si>
    <t xml:space="preserve">Female</t>
  </si>
  <si>
    <t xml:space="preserve">Florida</t>
  </si>
  <si>
    <t xml:space="preserve">United States</t>
  </si>
  <si>
    <t xml:space="preserve">Florida, United States</t>
  </si>
  <si>
    <t xml:space="preserve">Maryland</t>
  </si>
  <si>
    <t xml:space="preserve">Maryland, United States</t>
  </si>
  <si>
    <t xml:space="preserve">Biological and physical changes as a result of time passing!</t>
  </si>
  <si>
    <t xml:space="preserve">Over 30%</t>
  </si>
  <si>
    <t xml:space="preserve">Not enough access to medical care/practitioners.</t>
  </si>
  <si>
    <t xml:space="preserve">Promote programs to get more caregivers/nursing home attendants</t>
  </si>
  <si>
    <t xml:space="preserve">Programs to sponsor people who plan to be or are caregivers (forgiven college debts), subsidies, free food delivery programs for elderly</t>
  </si>
  <si>
    <t xml:space="preserve">My mind, my friends, my ability to move easily</t>
  </si>
  <si>
    <t xml:space="preserve">Yoga, reading, going to yoga with friends lol</t>
  </si>
  <si>
    <t xml:space="preserve">As a woman, it is scary to feel pressured to have children when there is little access to good childcare for working women.</t>
  </si>
  <si>
    <t xml:space="preserve">Yes</t>
  </si>
  <si>
    <t xml:space="preserve">G1-002</t>
  </si>
  <si>
    <t xml:space="preserve">Pennsylvania</t>
  </si>
  <si>
    <t xml:space="preserve">Pennsylvania, United States</t>
  </si>
  <si>
    <t xml:space="preserve">body tissues breaking down, mind gaining experience</t>
  </si>
  <si>
    <t xml:space="preserve">social support</t>
  </si>
  <si>
    <t xml:space="preserve">healthcare resource availability</t>
  </si>
  <si>
    <t xml:space="preserve">ehh not really</t>
  </si>
  <si>
    <t xml:space="preserve">mental clarity, mental health, mobility</t>
  </si>
  <si>
    <t xml:space="preserve">eat good sleep good exercise good protect my relationships</t>
  </si>
  <si>
    <t xml:space="preserve">dementia</t>
  </si>
  <si>
    <t xml:space="preserve">G1-003</t>
  </si>
  <si>
    <t xml:space="preserve">California</t>
  </si>
  <si>
    <t xml:space="preserve">California, United States</t>
  </si>
  <si>
    <t xml:space="preserve">Scary</t>
  </si>
  <si>
    <t xml:space="preserve">15% or less</t>
  </si>
  <si>
    <t xml:space="preserve">Lack of preventative medicine so diseases and illnesses get caught too late.</t>
  </si>
  <si>
    <t xml:space="preserve">Preventative medicine can help prevent consequences that later on can be more costly and painful, if we can figure out a way to encourage more people and to get people more access to said preventative medicine in the short term it will solve a lot of our long term problems.</t>
  </si>
  <si>
    <t xml:space="preserve">No, our administration cuts budgets and doesn’t make healthcare more accessible.</t>
  </si>
  <si>
    <t xml:space="preserve">Family, physical &amp; mental health</t>
  </si>
  <si>
    <t xml:space="preserve">I can keep showing up for people to maintain my community, I can also keep going to check ups and I can pay attention to nutrition and exercise in order to keep my health up.</t>
  </si>
  <si>
    <t xml:space="preserve">I mean the concept of AI taking over our healthcare system is scary but it’s also exciting because it may be a lot more accessible to more people.</t>
  </si>
  <si>
    <t xml:space="preserve">personal ranks repeat a number (as answered); societal ranks repeat a number (as answered)</t>
  </si>
  <si>
    <t xml:space="preserve">G1-004</t>
  </si>
  <si>
    <t xml:space="preserve">Male</t>
  </si>
  <si>
    <t xml:space="preserve">telomere degradation</t>
  </si>
  <si>
    <t xml:space="preserve">Rising technological advances resulting in increased ignorance</t>
  </si>
  <si>
    <t xml:space="preserve">Lack of help - basic needs -&gt; foundations of a healthy life</t>
  </si>
  <si>
    <t xml:space="preserve">Reformation of nursing homes and communities currently, but unfortunately insufficient</t>
  </si>
  <si>
    <t xml:space="preserve">youthful personality, athleticism, and drive</t>
  </si>
  <si>
    <t xml:space="preserve">education</t>
  </si>
  <si>
    <t xml:space="preserve">AI predicting modern solutions - both excites me for the future of medicine, but also frightens me for the upcoming consequences</t>
  </si>
  <si>
    <t xml:space="preserve">G1-005</t>
  </si>
  <si>
    <t xml:space="preserve">Massachusetts</t>
  </si>
  <si>
    <t xml:space="preserve">Massachusetts, United States</t>
  </si>
  <si>
    <t xml:space="preserve">Cellular aging</t>
  </si>
  <si>
    <t xml:space="preserve">16–20%</t>
  </si>
  <si>
    <t xml:space="preserve">Aging with dignity</t>
  </si>
  <si>
    <t xml:space="preserve">Demograohic cliff cannot financially support elder cohort</t>
  </si>
  <si>
    <t xml:space="preserve">No</t>
  </si>
  <si>
    <t xml:space="preserve">Money, movement, mental acuity</t>
  </si>
  <si>
    <t xml:space="preserve">Healthy lifestyle</t>
  </si>
  <si>
    <t xml:space="preserve">Small tradeoffs now that support longefvkty</t>
  </si>
  <si>
    <t xml:space="preserve">Idk</t>
  </si>
  <si>
    <t xml:space="preserve">G1-006</t>
  </si>
  <si>
    <t xml:space="preserve">Getting older</t>
  </si>
  <si>
    <t xml:space="preserve">Dealing with all sorts of age-related diseases/complications</t>
  </si>
  <si>
    <t xml:space="preserve">Preventative health so we are proactive instead of reactive</t>
  </si>
  <si>
    <t xml:space="preserve">R&amp;D</t>
  </si>
  <si>
    <t xml:space="preserve">Vision; Lucidity; Athleticism</t>
  </si>
  <si>
    <t xml:space="preserve">Workout; Dont use too many screens; Puzzles</t>
  </si>
  <si>
    <t xml:space="preserve">Enjoying life</t>
  </si>
  <si>
    <t xml:space="preserve">I want to be healthy</t>
  </si>
  <si>
    <t xml:space="preserve">Longer healthier lives; AI taking over the world</t>
  </si>
  <si>
    <t xml:space="preserve">G1-007</t>
  </si>
  <si>
    <t xml:space="preserve">Michigan</t>
  </si>
  <si>
    <t xml:space="preserve">Michigan, United States</t>
  </si>
  <si>
    <t xml:space="preserve">Chronologically getting older, or biologically degrading telomeres</t>
  </si>
  <si>
    <t xml:space="preserve">21–30%</t>
  </si>
  <si>
    <t xml:space="preserve">More and more aging population, but less and less resources to care for them (both monetarily but also human-labor wise)</t>
  </si>
  <si>
    <t xml:space="preserve">Find people that are able to give that care at an affordable pace, because without the promise of a worthwhile retirement (age) then people grow less motivated and more focused on trying to make their prime the best it can be.</t>
  </si>
  <si>
    <t xml:space="preserve">Make day to day life easier by offering ways for families to take care of their elderly members (leave from work, stipend, etc.)</t>
  </si>
  <si>
    <t xml:space="preserve">Physical mobility, cognition (mentally active, lose consciouness and become a shell), keep up with the times (not getting stuck in a mindset)</t>
  </si>
  <si>
    <t xml:space="preserve">Keep an open mind, stay healthy be exercising, don’t get complacent about doing things.</t>
  </si>
  <si>
    <t xml:space="preserve">Applying modern tech solutions to current problems</t>
  </si>
  <si>
    <t xml:space="preserve">If you can apply broader health impacts across all walks of life, they would most impact people at the current timeframe, but also probably as they grow older they maintain healthier habits and benefits so it’s more lifelong than specific moments.</t>
  </si>
  <si>
    <t xml:space="preserve">Not really exciting, but more of a necessity of things that have to happen if we want our lives to get better. There isn’t enough of a rush or consideration for it in the grand scheme of things currently going on, so much division that there isn’t time to focus on these issues</t>
  </si>
  <si>
    <t xml:space="preserve">G1-008</t>
  </si>
  <si>
    <t xml:space="preserve">Georgia</t>
  </si>
  <si>
    <t xml:space="preserve">Georgia, United States</t>
  </si>
  <si>
    <t xml:space="preserve">Growing older</t>
  </si>
  <si>
    <t xml:space="preserve">Loneliness</t>
  </si>
  <si>
    <t xml:space="preserve">General healthiness</t>
  </si>
  <si>
    <t xml:space="preserve">Yes, more mental wellbeing being understood and addressed, people starting to be more active on social media</t>
  </si>
  <si>
    <t xml:space="preserve">Health, mental acuity, friends</t>
  </si>
  <si>
    <t xml:space="preserve">Maintain good habits, read books, good communication</t>
  </si>
  <si>
    <t xml:space="preserve">Three different angles to improving health</t>
  </si>
  <si>
    <t xml:space="preserve">Accessibility to these longevity/health solutions isn’t as important to me as it is for society since I already have access and have a lesser need for them since I am young. I would be more interested in accelerating research in longevity/health. To society, however, accessibility is the most important as everyone deserves a baseline level of access to currently existing science/solutions.</t>
  </si>
  <si>
    <t xml:space="preserve">Iii, it’s newer, and things that leverage ai just excite me personally. We also have a ton of data compiled from years of research. Something that comes to mind is the PDB. The concern though is that it’s newer so there are potential unknown risks of unknown magnitude.</t>
  </si>
  <si>
    <t xml:space="preserve">G1-009</t>
  </si>
  <si>
    <t xml:space="preserve">The process of integrating learned/life experiences throughout one's lifetime.</t>
  </si>
  <si>
    <t xml:space="preserve">Access to healthcare and socialization</t>
  </si>
  <si>
    <t xml:space="preserve">Socialization as issues with healthcare are particularly geared toward a specific group of people while most if not all elderly find it difficult to socialize.</t>
  </si>
  <si>
    <t xml:space="preserve">Yes through different social groups or spaces, such as church or even small groups/ clubs.</t>
  </si>
  <si>
    <t xml:space="preserve">My memory, cognitive ability, and physical ability.</t>
  </si>
  <si>
    <t xml:space="preserve">Maintain my mental and physical routine throughout my lifetime, even as i get older.</t>
  </si>
  <si>
    <t xml:space="preserve">(i) Taking action to increase one’s ability to participate in reproductive activities in a healthy way; (ii) Increasing access to healthcare to improve quality of life; (iii) Using AI to inform oneself and others about potential solutions to aging</t>
  </si>
  <si>
    <t xml:space="preserve">I prioritize making health more accessible to others, while I feel as if general society wants to capitalize on the advancements in AI to find an optimal approach to aging.</t>
  </si>
  <si>
    <t xml:space="preserve">ii is most exciting while iii is most concerning.</t>
  </si>
  <si>
    <t xml:space="preserve">G1-010</t>
  </si>
  <si>
    <t xml:space="preserve">Being alive for longer</t>
  </si>
  <si>
    <t xml:space="preserve">Medical care/retirement funds</t>
  </si>
  <si>
    <t xml:space="preserve">Not enough tax money to pay the retirement funds of the aging population.</t>
  </si>
  <si>
    <t xml:space="preserve">Increase retirement age or remove social security.</t>
  </si>
  <si>
    <t xml:space="preserve">Money; Health; Family</t>
  </si>
  <si>
    <t xml:space="preserve">Make sure I make enough money to keep my health and family.</t>
  </si>
  <si>
    <t xml:space="preserve">Complex solutions to health</t>
  </si>
  <si>
    <t xml:space="preserve">Health is most important for life. Money is required for health.</t>
  </si>
  <si>
    <t xml:space="preserve">Excited for boosting reproductive health and longevity lets me live longer and feel better as I live longer. I’m afraid that capitalism will commercialize health even more and make it inaccessible to lower middle income individuals.</t>
  </si>
  <si>
    <t xml:space="preserve">G1-011</t>
  </si>
  <si>
    <t xml:space="preserve">New York</t>
  </si>
  <si>
    <t xml:space="preserve">New York, United States</t>
  </si>
  <si>
    <t xml:space="preserve">I think aging is defined as the physical and metabolic/molecular changes that occur within an individual. I believe that there are genetic and environmental factors that can help or hinder a person’s aging rate. I also think that aging is unique to each person because of these factors.</t>
  </si>
  <si>
    <t xml:space="preserve">maybe disengagement theory- being ostracized from the population which can lead to feeling alienated from dominant society.</t>
  </si>
  <si>
    <t xml:space="preserve">I think that the greatest challenge facing our aging population could possibly be them feeling ostracized from the general public, which can affect their mental health and thus cause other health problems.</t>
  </si>
  <si>
    <t xml:space="preserve">Not really. I feel like it’s normal for people to do things with their own age group so that might be a reason why I personally don’t see aging populations doing activities that I like to do.</t>
  </si>
  <si>
    <t xml:space="preserve">Doing wellness activities (ex. running), reading a lot, being happy.</t>
  </si>
  <si>
    <t xml:space="preserve">join groups that are involved in running and living a healthy lifestyle. And hanging out with people who had the same mindset and ideals as me.</t>
  </si>
  <si>
    <t xml:space="preserve">do you mean a lot because they define my morals and what my parents and other have taught me to live a fulfilling life.</t>
  </si>
  <si>
    <t xml:space="preserve">I think people will look at things, face value and care about if the solutions are affordable and accessible to them.</t>
  </si>
  <si>
    <t xml:space="preserve">I hope that one day, solutions to aging become accessible to the general public and aren’t expensive and only available to the rich.</t>
  </si>
  <si>
    <t xml:space="preserve">G1-012</t>
  </si>
  <si>
    <t xml:space="preserve">Texas</t>
  </si>
  <si>
    <t xml:space="preserve">Texas, United States</t>
  </si>
  <si>
    <t xml:space="preserve">The passage of time</t>
  </si>
  <si>
    <t xml:space="preserve">Social security is inadequate for our increasingly aged country</t>
  </si>
  <si>
    <t xml:space="preserve">Aged population growth is accelerating while birth rate is declining, having the young take care of the old financially through social security is infeasible, and changes need to be addressed now before the population collapses similar to Korea.</t>
  </si>
  <si>
    <t xml:space="preserve">Increase the retirement age.</t>
  </si>
  <si>
    <t xml:space="preserve">My physical, mental, and financial health.</t>
  </si>
  <si>
    <t xml:space="preserve">Workout and invest heavily</t>
  </si>
  <si>
    <t xml:space="preserve">Invest in my future in all aspects of my life.</t>
  </si>
  <si>
    <t xml:space="preserve">I think AI will significantly accelerate aging research which will be helpful for everyone.</t>
  </si>
  <si>
    <t xml:space="preserve">Rich people will live longer and control more.</t>
  </si>
  <si>
    <t xml:space="preserve">G1-013</t>
  </si>
  <si>
    <t xml:space="preserve">Being alive longer?</t>
  </si>
  <si>
    <t xml:space="preserve">Healthcare Costs</t>
  </si>
  <si>
    <t xml:space="preserve">Healthcare, everyone gets old and more prone to hospital visits.</t>
  </si>
  <si>
    <t xml:space="preserve">Honestly no. I know this is unpopular in the largely democratic hopkins space and I am up in the air about how much I truly believe in this idea, I am also kinda ignorant in this topic specifically because I don’t really think or care about the older population very much at this point in my life.; But privatizing advanced medicine isn’t the worst thing in the world. People over 65 already spend a ton of money on healthcare, especially in the last 12 months of life. In the event we spend more money on the elderly what is the end goal? We have a bunch of people who aren’t working and live even longer for what purpose? Especially those who are sick and are living heavily impacted lives. I agree that people who have been working a long time should be rewarded with years of retirement, and that it is truly a matter of luck whether you get to experience those years, but I think it isnt the worst idea in the world for people who have amassed wealth in their life to have better resources for living longer than someone who hasn’t.; To tie a personal story into this. My mom was diagnosed with stage 4 breast cancer about 2 years ago. Shes been doing chemo to minimize and hold out for a vaccine to cure her cancer. Now I don’t actually know how much she is spending on this treatment, but she has amassed 7 figures at least in her 401k (which she can’t even access because shes not 58 or whatever age it is), and she still has money from selling her nice house and moving to Mississippi with my white ass family where cost of living is cheap. All of that is to say, she has had the luxury of fighting this cancer, despite her hating every second, because she made a solid money in her time. Its not like she had generational wealth, she grew up on a farm, and she was the first person in her family to go to graduate school. She just worked really hard to make money and provide for us, another reason why she was able to send me to JHU.; Now obviously nobody is saying that people who have a lot of money shouldnt be allowed to spend their money on their illnesses as an elderly adult. But we both know as people in medicine how expensive it is to get these clinical trials completed and develop the medicine.; I have been working heavily in medicine recently and have learned alot about the grueling process of doing research, developing a drug, and going through the steps of approval for that drug. Its expensive and labor intensive. That costs money, like a lot. So that money is either coming out of our pockets in taxes, or the elderly pockets. I do believe that we should continue spending as a society for the elderly to have care, but there is certainly risk in heavily democratizing care. Do we as a society really benefit from having a bunch of sick old people spending a bunch of money prolonging their life? Honestly, I dont think so. Everybody experiences the loss of their parents, I personally haven’t yet, but I know I will and that reality has been staring me in the face a while. I feel that spending all this money on elderly care just is not the best way forward and I dont see the benefit of spending much more on it. Now I certainly believe the system that needs the most revision is insurance, they make an exuberant amount of money, and this system should exist for people who are unlucky in their younger years and are threatened with the reality that they won’t make it to those retirement years. For people like my mom who have worked hard providing for me and my brother as a single mom and can’t access the 401k money she has saved, I would say insurance and spending exist for them. I understand I am biased and that this logic doesn’t exist for people who aren’t able to save enough money to really retire but that second point is a different story.; I am tired of typing this out I have other things to do, but I did want to provide my perspective, honestly not for you, but for me to be able to get my thoughts on a page and further develop a thought that was sneaking around in the back of my brain and I wanted to understand it.; Alright good luck with this study, and we should probably wish Landon luck because he is about to soend the day at wafflehouse. I will say though good for club basketball because unless he packed on hella weight since I last saw him, he needs it.</t>
  </si>
  <si>
    <t xml:space="preserve">Friends, my partner, money</t>
  </si>
  <si>
    <t xml:space="preserve">Put extra effort into relationships, make a ton of money</t>
  </si>
  <si>
    <t xml:space="preserve">sorry nah</t>
  </si>
  <si>
    <t xml:space="preserve">Healthcare is the most important, AI this AI that whatever, just take viagra tbh; For me I build CNNs and so I care more about AI applications but the other logic is consistent.</t>
  </si>
  <si>
    <t xml:space="preserve">I dont see healthcare changing so its worrying that I will get old and have these issues. I am excited to party with the boys in the retirement home 🎉</t>
  </si>
  <si>
    <t xml:space="preserve">G1-014</t>
  </si>
  <si>
    <t xml:space="preserve">The age increasing in number (but != lack of health)</t>
  </si>
  <si>
    <t xml:space="preserve">Access to healthcare, because everyone deserves equitable healthcare</t>
  </si>
  <si>
    <t xml:space="preserve">Medicare has specific initiatives for dementia and other conditions which is good</t>
  </si>
  <si>
    <t xml:space="preserve">Health, Energy, Community</t>
  </si>
  <si>
    <t xml:space="preserve">Exercise regularly and eat healthy</t>
  </si>
  <si>
    <t xml:space="preserve">Capital H Health (not episodic lowercase h health)</t>
  </si>
  <si>
    <t xml:space="preserve">There’s more money going into AI applications and longer reproductive health (IVF, etc) than general healthy aging</t>
  </si>
  <si>
    <t xml:space="preserve">AI/ML pervasively used in everything</t>
  </si>
  <si>
    <t xml:space="preserve">G1-015</t>
  </si>
  <si>
    <t xml:space="preserve">Levels of Aura</t>
  </si>
  <si>
    <t xml:space="preserve">Health Care</t>
  </si>
  <si>
    <t xml:space="preserve">Lack of health care</t>
  </si>
  <si>
    <t xml:space="preserve">More Awareness</t>
  </si>
  <si>
    <t xml:space="preserve">1. Gym Gains; 2. Healthy body; 3. Mobility</t>
  </si>
  <si>
    <t xml:space="preserve">Go to Gym</t>
  </si>
  <si>
    <t xml:space="preserve">Going to gym and follow routine</t>
  </si>
  <si>
    <t xml:space="preserve">I care about myself rather than training ML models</t>
  </si>
  <si>
    <t xml:space="preserve">The thing that excites me is my determination to get jacked and what scares me is aging</t>
  </si>
  <si>
    <t xml:space="preserve">G1-016</t>
  </si>
  <si>
    <t xml:space="preserve">The growth and eventually biological deterioration of the human body and the mind over the course of time</t>
  </si>
  <si>
    <t xml:space="preserve">Alzheimer’s and chronic illnesses</t>
  </si>
  <si>
    <t xml:space="preserve">Healthcare claims</t>
  </si>
  <si>
    <t xml:space="preserve">Easier access to healthcare</t>
  </si>
  <si>
    <t xml:space="preserve">memory family and health</t>
  </si>
  <si>
    <t xml:space="preserve">working out, focus on relationships and mindfulness</t>
  </si>
  <si>
    <t xml:space="preserve">Personal growth</t>
  </si>
  <si>
    <t xml:space="preserve">Society vs personal different</t>
  </si>
  <si>
    <t xml:space="preserve">Ai can work i have faith in precision medicine. Frightens is prolly ai too strong and sentient</t>
  </si>
  <si>
    <t xml:space="preserve">G1-017</t>
  </si>
  <si>
    <t xml:space="preserve">Revolutions around the sun; growth and subsequent decline of physical and mental capacity</t>
  </si>
  <si>
    <t xml:space="preserve">Disease</t>
  </si>
  <si>
    <t xml:space="preserve">Not enough medical workforce to care for aging population</t>
  </si>
  <si>
    <t xml:space="preserve">incentives for workforce/nursing</t>
  </si>
  <si>
    <t xml:space="preserve">memory, walking, hand mobility</t>
  </si>
  <si>
    <t xml:space="preserve">exercise, eat healthy</t>
  </si>
  <si>
    <t xml:space="preserve">Take care of your own health</t>
  </si>
  <si>
    <t xml:space="preserve">access is important. we have high population, reproduction might hurt.</t>
  </si>
  <si>
    <t xml:space="preserve">excite: personal medicine. frighten: increased lifespan without health</t>
  </si>
  <si>
    <t xml:space="preserve">G1-018</t>
  </si>
  <si>
    <t xml:space="preserve">Maryland / New Jersey</t>
  </si>
  <si>
    <t xml:space="preserve">Maryland / New Jersey, United States</t>
  </si>
  <si>
    <t xml:space="preserve">Simply an organism’s forward progression through time.</t>
  </si>
  <si>
    <t xml:space="preserve">A lot of things; Economically: food insecurity and housing; Biologically: disease, widespread pandemics etc; Epistemologically: AI pollution on the internet and the increasing unverifiability of information; Societally: loneliness; Ecologically: climate change; And much more</t>
  </si>
  <si>
    <t xml:space="preserve">No problem worth solving at this scale is solved quickly</t>
  </si>
  <si>
    <t xml:space="preserve">Nope.</t>
  </si>
  <si>
    <t xml:space="preserve">My mental function; As much athleticism as possible; My penis</t>
  </si>
  <si>
    <t xml:space="preserve">Lock in</t>
  </si>
  <si>
    <t xml:space="preserve">Read bruh. It’s pretty clear</t>
  </si>
  <si>
    <t xml:space="preserve">Because I think affordable healthcare and actual outcomes matter first more than new discoveries in medicine. More direct impact would easily come from actually applying what we do have currently than from throwing compute at stuff to discover more. That’s important too, but unfortunately society, specifically the tech giants, only care about the frontier and none of the ground level reality of it.</t>
  </si>
  <si>
    <t xml:space="preserve">Nothing scares me.; Everything excited me.; What can I say I’m a chill guy/gal</t>
  </si>
  <si>
    <t xml:space="preserve">G1-019</t>
  </si>
  <si>
    <t xml:space="preserve">Changes that arise from the passage of time</t>
  </si>
  <si>
    <t xml:space="preserve">Understanding modern technology and the decline of in-person socialization</t>
  </si>
  <si>
    <t xml:space="preserve">In-person socialization and engagement, use of technology. For the former, benefits to health and reducing isolation is very good individually and for society; for the latter, it is important to accommodate and provide services for people that do not freeze out those who are not as familiar, adept, or comfortable with certain technological changes in day-to-day life</t>
  </si>
  <si>
    <t xml:space="preserve">Yes. Prioritizing third spaces again, requiring certain provisions in services (physical menus, for example, not just QR codes in restaurants)</t>
  </si>
  <si>
    <t xml:space="preserve">-Active lifestyle; -Connection with community and friends; -Travel</t>
  </si>
  <si>
    <t xml:space="preserve">Yes. Build foundation and connections, maintain them, prioritize my health throughout my life</t>
  </si>
  <si>
    <t xml:space="preserve">Health is wealth</t>
  </si>
  <si>
    <t xml:space="preserve">I am not as concerned individually as society and countries are (and rightfully in many ways) with the problems of aging. I am not in favor of the "break things fast" model of AI development, and although widely used and useful in science, am not sure how important or useful it is or should be in this particular field</t>
  </si>
  <si>
    <t xml:space="preserve">The incredible advancement of science and understanding of biology excites me; the trajectory and reality of widespread AI use without proper regulations and restrictions does not.</t>
  </si>
  <si>
    <t xml:space="preserve">G1-020</t>
  </si>
  <si>
    <t xml:space="preserve">Connecticut</t>
  </si>
  <si>
    <t xml:space="preserve">Connecticut, United States</t>
  </si>
  <si>
    <t xml:space="preserve">Ohio</t>
  </si>
  <si>
    <t xml:space="preserve">Ohio, United States</t>
  </si>
  <si>
    <t xml:space="preserve">Moving through the years of your life and the experiences that comes with that</t>
  </si>
  <si>
    <t xml:space="preserve">The ability to understand technology and not be threatened by it or afraid of it</t>
  </si>
  <si>
    <t xml:space="preserve">I think offering simpler ways to go about daily tasks that ease in the use of technology would help out</t>
  </si>
  <si>
    <t xml:space="preserve">It would be difficult to give everyone access to technology in a short time frame</t>
  </si>
  <si>
    <t xml:space="preserve">1. Ability to connect with people from other generations; 2. Ability to use technology on my own; 3. The desire to still interact with others in the world aside from my immediate family</t>
  </si>
  <si>
    <t xml:space="preserve">I can get out and go meet people and build lasting relationships that are important to me</t>
  </si>
  <si>
    <t xml:space="preserve">Make an effort to develop your character when you’re young so you are not an outcast when you are old</t>
  </si>
  <si>
    <t xml:space="preserve">I think society does not put an extreme emphasis or importance on ensuring all people are given equal opportunity or the tools to succeed</t>
  </si>
  <si>
    <t xml:space="preserve">Exciting: the development of technology to enhance our day to day life; Frighten: the ability for all to access this technology</t>
  </si>
  <si>
    <t xml:space="preserve">G1-021</t>
  </si>
  <si>
    <t xml:space="preserve">The generally worsening health and performance outcomes associated with increasing age.</t>
  </si>
  <si>
    <t xml:space="preserve">Beyond the medical needs that have beset every generation as it ages, the greatest challenge may be the financial burden of providing adequate care to the larger share of Americans who will be retired.</t>
  </si>
  <si>
    <t xml:space="preserve">For retired Americans, keeping social security solvent will be important in the next few decades, along with ensuring that social welfare programs cover the medical and financial needs of aging populations more broadly, even as workforce participation may decline due to that aging population.</t>
  </si>
  <si>
    <t xml:space="preserve">Likely an increase in the retirement age, but also a larger, more efficient welfare state.</t>
  </si>
  <si>
    <t xml:space="preserve">My physical and mental abilities, my health, and my social circle.</t>
  </si>
  <si>
    <t xml:space="preserve">Exercise and diet along with preventative care for the first two. For the third, being proactive about socialization</t>
  </si>
  <si>
    <t xml:space="preserve">These three things mean my ability to have a fulfilling and active life.</t>
  </si>
  <si>
    <t xml:space="preserve">I believe my socio-economic status means that making longevity science more democratic won't be important to me as an individual, but will be very important to society. The third option reads to me as a means to the first two and so I ranked it lowest.</t>
  </si>
  <si>
    <t xml:space="preserve">I'm excited by the future prospects of longevity science, particularly in how it will let me lead a longer and more fulfilling life. I am concerned by the societal implications of an older society that has not accounted for slower turnover, greater medical costs, etc.</t>
  </si>
  <si>
    <t xml:space="preserve">G1-022</t>
  </si>
  <si>
    <t xml:space="preserve">Body and health deteriorating as you get older</t>
  </si>
  <si>
    <t xml:space="preserve">Lack of social services</t>
  </si>
  <si>
    <t xml:space="preserve">More care centers and promotion of assisted living homes, since many people lack support systems</t>
  </si>
  <si>
    <t xml:space="preserve">Opening more facilities</t>
  </si>
  <si>
    <t xml:space="preserve">Mobility, independence, energy</t>
  </si>
  <si>
    <t xml:space="preserve">Exercise and healthy lifestyle</t>
  </si>
  <si>
    <t xml:space="preserve">Be consistent with activity and prioritize longevity over short-term comfort</t>
  </si>
  <si>
    <t xml:space="preserve">I think using modern tech to address these challenges is still a bit premature since we lack the infrastructure to even support them</t>
  </si>
  <si>
    <t xml:space="preserve">Its exciting that advances are being made but frightening that they may not be developed quickly enough for our loved ones and even our own generation</t>
  </si>
  <si>
    <t xml:space="preserve">personal ranks repeat a number (as answered)</t>
  </si>
  <si>
    <t xml:space="preserve">G1-023</t>
  </si>
  <si>
    <t xml:space="preserve">New Jersey</t>
  </si>
  <si>
    <t xml:space="preserve">New Jersey, United States</t>
  </si>
  <si>
    <t xml:space="preserve">Decline of our bodily functions as time passes</t>
  </si>
  <si>
    <t xml:space="preserve">Too prone to injury</t>
  </si>
  <si>
    <t xml:space="preserve">Injuries in the shower should be prioritized because it can be fixed very easily via secure shower mats.</t>
  </si>
  <si>
    <t xml:space="preserve">Yes, provide elderly with secure shower mats</t>
  </si>
  <si>
    <t xml:space="preserve">Lifting progress, young face, knowledge</t>
  </si>
  <si>
    <t xml:space="preserve">Exercise, good sleep, continuing to learn</t>
  </si>
  <si>
    <t xml:space="preserve">They mean good healthy both physically and mentally.</t>
  </si>
  <si>
    <t xml:space="preserve">I am a big proponent for AI and think it has huge medical applications. However, I do think that healthcare is too expensive and needs to undergo economic change to become more affordable for Americans.</t>
  </si>
  <si>
    <t xml:space="preserve">Making healthcare affordable will relieve a lot of stress on families but will probably cause another sector's price to spike.</t>
  </si>
  <si>
    <t xml:space="preserve">G1-024</t>
  </si>
  <si>
    <t xml:space="preserve">Aging is a developmental part of life that can result in both negative and positive changes in a person</t>
  </si>
  <si>
    <t xml:space="preserve">Perhaps the lack of willingness to understand them and remember that they are people too, not just things to be taken care of and they once lived the same lives as every young person.</t>
  </si>
  <si>
    <t xml:space="preserve">The literacy crisis so that the risk of dementia decreases</t>
  </si>
  <si>
    <t xml:space="preserve">Yes, hopefully the government and Department of Education take charge of this matter</t>
  </si>
  <si>
    <t xml:space="preserve">My intelligence, my relationships, and my reputation</t>
  </si>
  <si>
    <t xml:space="preserve">I can make them a priority and keep making sure I talk to people to learn from them</t>
  </si>
  <si>
    <t xml:space="preserve">They shape who I am as a human being.</t>
  </si>
  <si>
    <t xml:space="preserve">I think affordability is one of the foremost issues people have and people are always finding remedies to live longer, which is why I consistently ranked those two as my top two.</t>
  </si>
  <si>
    <t xml:space="preserve">I’m afraid that the sensitive data the AI could contain might be stolen. I’m excited by the thought of AI being able to help cure diseases.</t>
  </si>
  <si>
    <t xml:space="preserve">G1-025</t>
  </si>
  <si>
    <t xml:space="preserve">getting older</t>
  </si>
  <si>
    <t xml:space="preserve">unable to keep up with technological advancements and health</t>
  </si>
  <si>
    <t xml:space="preserve">technological literacy because it is fairly straightforward</t>
  </si>
  <si>
    <t xml:space="preserve">policies or pubic awareness campaigns</t>
  </si>
  <si>
    <t xml:space="preserve">friends, family, income or job</t>
  </si>
  <si>
    <t xml:space="preserve">reminders or continuous check-ups</t>
  </si>
  <si>
    <t xml:space="preserve">they are special to me</t>
  </si>
  <si>
    <t xml:space="preserve">reproductive health is important to society</t>
  </si>
  <si>
    <t xml:space="preserve">AI has vast potential</t>
  </si>
  <si>
    <t xml:space="preserve">G1-026</t>
  </si>
  <si>
    <t xml:space="preserve">Virginia</t>
  </si>
  <si>
    <t xml:space="preserve">Virginia, United States</t>
  </si>
  <si>
    <t xml:space="preserve">decreased quality of life due to mobility and other health issues</t>
  </si>
  <si>
    <t xml:space="preserve">increased burden on healthcare systems caring for elderly</t>
  </si>
  <si>
    <t xml:space="preserve">increased incentives for primary care physicians for the elderly</t>
  </si>
  <si>
    <t xml:space="preserve">increase salary for elderly caretakers and primary care of elderly</t>
  </si>
  <si>
    <t xml:space="preserve">mobility, independence, health</t>
  </si>
  <si>
    <t xml:space="preserve">work out regularly</t>
  </si>
  <si>
    <t xml:space="preserve">wellness and health maintenance by taking care of your body</t>
  </si>
  <si>
    <t xml:space="preserve">because for society at a large, immediate interventions that provide the broadest impact are necessary while for individual level, I believe AI innovation is necessary for select individuals to progress and advance the current state of medicine/science</t>
  </si>
  <si>
    <t xml:space="preserve">potential for AI to be used for ill intent</t>
  </si>
  <si>
    <t xml:space="preserve">G1-027</t>
  </si>
  <si>
    <t xml:space="preserve">Taiwan</t>
  </si>
  <si>
    <t xml:space="preserve">it’s the cellular, physiological, psychological, and social changes that accrue over time on an individual being</t>
  </si>
  <si>
    <t xml:space="preserve">shortage of healthcare resources, including nurses, senior homes, home health aid, community spaces. second is social isolation and loneliness.</t>
  </si>
  <si>
    <t xml:space="preserve">Care provision. We don’t have a culture of caring for the previous generation like Asian or other countries do. Healthcare isn’t universal, and some older adults run out of resources before they die because now the lifespan is longer and retirement funds are lower. Also, the younger generation bares no obligation to support them, and there is a lack of geriatric care resources. This should be prioritized because the older adult population is exponentially growing, but the resources are not expanding at the same rate. And if we’re lucky, we will all get old so we should all care.</t>
  </si>
  <si>
    <t xml:space="preserve">More community and institution level programs for older adult health and longevity (fitness, tech classes, health literacy classes). Some states having policy level plans on aging, like California’s Master Plan on Aging. And some cities like Los Angeles having Departments on Aging that have social work and other services just for older adults.</t>
  </si>
  <si>
    <t xml:space="preserve">My memory, having loved ones around me, financial stability</t>
  </si>
  <si>
    <t xml:space="preserve">Eat and workout well, don’t drop out of school, and put effort into people.</t>
  </si>
  <si>
    <t xml:space="preserve">Wellbeing</t>
  </si>
  <si>
    <t xml:space="preserve">My longevity is the most important to me as an individual because I want to live a long healthy life, and the accessibility of resources contributes to that more greatly than AI does. The accessibility of resources is the most important to society because it can improve the quality of life for older adults on a direct population level.</t>
  </si>
  <si>
    <t xml:space="preserve">It frightens me the amount of states in the US who are not making progress to increase accessibility of older adult resources. It frightens me how little people care. But what excites me is the innovative and interdisciplinary things being implemented in the states that are doing it. Like many OT/PT/RD programs implementing a geriatrics rotation and block in their curriculum. And more nonprofits building social spaces for older adults.</t>
  </si>
  <si>
    <t xml:space="preserve">G1-028</t>
  </si>
  <si>
    <t xml:space="preserve">Utah</t>
  </si>
  <si>
    <t xml:space="preserve">Utah, United States</t>
  </si>
  <si>
    <t xml:space="preserve">Continual process of staying alive</t>
  </si>
  <si>
    <t xml:space="preserve">Our aging population is increasing due to increased life expectancy, but not enough caregivers.</t>
  </si>
  <si>
    <t xml:space="preserve">Promoting elderly care as a profession or family members to take care of aging members.</t>
  </si>
  <si>
    <t xml:space="preserve">Health, memory, connections</t>
  </si>
  <si>
    <t xml:space="preserve">Yes, exercise and social maintenance</t>
  </si>
  <si>
    <t xml:space="preserve">maintenance</t>
  </si>
  <si>
    <t xml:space="preserve">Making policies take longer than personal choices, so I ranked on actionable items that I can do to help myself where as I did the reverse order for society to do in order to "keep up"</t>
  </si>
  <si>
    <t xml:space="preserve">I am excited about the advances of medicine that can help me. One thing that scares me is the rapid technological innovation and wondering if AI would have any detrimenting consequences</t>
  </si>
  <si>
    <t xml:space="preserve">G1-029</t>
  </si>
  <si>
    <t xml:space="preserve">Wear and tear of the body over time</t>
  </si>
  <si>
    <t xml:space="preserve">Not enough caretakers</t>
  </si>
  <si>
    <t xml:space="preserve">Financial support like Medicare and SSDI, people need to be supported especially at their weakest. So many in poverty at an older age</t>
  </si>
  <si>
    <t xml:space="preserve">Yes, some federal programs but not nearly enough</t>
  </si>
  <si>
    <t xml:space="preserve">Bone/muscule strength, posture and flexibility, mental stability</t>
  </si>
  <si>
    <t xml:space="preserve">Yes, weightlifting</t>
  </si>
  <si>
    <t xml:space="preserve">The ability to maintain whats in your control, genetics aside</t>
  </si>
  <si>
    <t xml:space="preserve">Innovations don’t matter if they’re not accessible to those who need it</t>
  </si>
  <si>
    <t xml:space="preserve">Excited about AI creating new innovations, worried that their effects will be limited to those who can afford breakthrough treatments</t>
  </si>
  <si>
    <t xml:space="preserve">G1-030</t>
  </si>
  <si>
    <t xml:space="preserve">The process of growing older over time and changing physically as time moves forward.</t>
  </si>
  <si>
    <t xml:space="preserve">Healthcare access and cognitive decline</t>
  </si>
  <si>
    <t xml:space="preserve">Healthcare access and affordability. The aging population requires more medical care and daily support, which is expensive. It should be prioritized to make healthcare more accessible and affordable because everyone deserves to maintain a good quality of life as they age without the financial burden on themselves or their families.</t>
  </si>
  <si>
    <t xml:space="preserve">I am not certain.</t>
  </si>
  <si>
    <t xml:space="preserve">Good health, sharp mind, independence</t>
  </si>
  <si>
    <t xml:space="preserve">Prioritize my health by staying active and eating healthy.</t>
  </si>
  <si>
    <t xml:space="preserve">Being physically and mentally well to enjoy life, make my own decisions, and take care of myself as I age.</t>
  </si>
  <si>
    <t xml:space="preserve">I ranked them for myself this way because it is important for me to maintain longevity and make healthcare more accessible. For society, I think healthcare access is lower on the priority list, while predicting disease is more important. All of these statements are important and should be prioritized to help the aging population.</t>
  </si>
  <si>
    <t xml:space="preserve">It would be amazing to use AI to predict diseases, which excites me. It frightens me that this could create a larger gap in healthcare accessibility because these tools could become extremely expensive.</t>
  </si>
  <si>
    <t xml:space="preserve">G1-031</t>
  </si>
  <si>
    <t xml:space="preserve">The process of getting older and quality of life decreasing as a result.</t>
  </si>
  <si>
    <t xml:space="preserve">The number of people above the age of 65 is increasing, so access to proper healthcare is a major challenge.</t>
  </si>
  <si>
    <t xml:space="preserve">Ensuring that there are proper resources in place to care for the aging population. This should be prioritized because without proper care, QOL will decrease.</t>
  </si>
  <si>
    <t xml:space="preserve">Money, resources, geographic limitations.</t>
  </si>
  <si>
    <t xml:space="preserve">My physical health, my mental health, and connections to family/friends.</t>
  </si>
  <si>
    <t xml:space="preserve">Stay in physical and mental shape, communicate with others, continue to learn and grow.</t>
  </si>
  <si>
    <t xml:space="preserve">Foundational principles of a healthy life.</t>
  </si>
  <si>
    <t xml:space="preserve">Longevity is important, but I do not think that is necessarily a goal of everyone unless it is in parallel with QOL increased. Democratizing science should always be a goal so that access to health solutions is not narrowed to the upper class. Applying AI will help and is already happening.</t>
  </si>
  <si>
    <t xml:space="preserve">Excites: Access to new healthcare modalities; Frightens: Access to new healthcare modalities only for those who can afford it</t>
  </si>
  <si>
    <t xml:space="preserve">G1-032</t>
  </si>
  <si>
    <t xml:space="preserve">When the lifespan of your body’s tissues and organs starts coming to an end.</t>
  </si>
  <si>
    <t xml:space="preserve">cancer</t>
  </si>
  <si>
    <t xml:space="preserve">fitness and overall health</t>
  </si>
  <si>
    <t xml:space="preserve">more fitness regimes, less processed foods</t>
  </si>
  <si>
    <t xml:space="preserve">basketball, health, memory</t>
  </si>
  <si>
    <t xml:space="preserve">consistent habits</t>
  </si>
  <si>
    <t xml:space="preserve">Everything</t>
  </si>
  <si>
    <t xml:space="preserve">i think the three are all related in some way so the order is varying</t>
  </si>
  <si>
    <t xml:space="preserve">AI excites, AI frightens</t>
  </si>
  <si>
    <t xml:space="preserve">G1-033</t>
  </si>
  <si>
    <t xml:space="preserve">Growing older + the accompanying bio. / phys. changes</t>
  </si>
  <si>
    <t xml:space="preserve">Aging safely both biologically + socially</t>
  </si>
  <si>
    <t xml:space="preserve">Dangerous home design for old people</t>
  </si>
  <si>
    <t xml:space="preserve">Not huge movements</t>
  </si>
  <si>
    <t xml:space="preserve">Physical activity, good diet, good social connections</t>
  </si>
  <si>
    <t xml:space="preserve">Keeping up to date with housing keeping/health stuff</t>
  </si>
  <si>
    <t xml:space="preserve">I care more about repod. health, but i think society overall cares (not too much) about all 3 the same</t>
  </si>
  <si>
    <t xml:space="preserve">Privacy for AI</t>
  </si>
  <si>
    <t xml:space="preserve">G1-034</t>
  </si>
  <si>
    <t xml:space="preserve">Getting older / biological age increasing</t>
  </si>
  <si>
    <t xml:space="preserve">alzheimer's / cognitive diseases</t>
  </si>
  <si>
    <t xml:space="preserve">Prioritizing disability awareness and having more accessiblity in public buildings</t>
  </si>
  <si>
    <t xml:space="preserve">Rarely</t>
  </si>
  <si>
    <t xml:space="preserve">good relationships, good health, purpose</t>
  </si>
  <si>
    <t xml:space="preserve">Yes, there are lots of intentional actions I can take for each thing.</t>
  </si>
  <si>
    <t xml:space="preserve">The important things for me in life is maintaining close relationships with friends and family, keeping my body health, and having a career/hobbies that fulfills me.</t>
  </si>
  <si>
    <t xml:space="preserve">I think AI can be a double edged sword that leads to more harm than good.</t>
  </si>
  <si>
    <t xml:space="preserve">It's exciting we will get advances in health care that further longevity but the thought of AI corrupting current systems is scary.</t>
  </si>
  <si>
    <t xml:space="preserve">G1-035</t>
  </si>
  <si>
    <t xml:space="preserve">Natural process that happens through time as you reach the end of your physical life. I think lifestyle things can effect the aging process, like stress, diet, mental/emotional/physical health, and the environment you're in</t>
  </si>
  <si>
    <t xml:space="preserve">Ability to maintain a good standard of living as they get older (lifestyle and community)</t>
  </si>
  <si>
    <t xml:space="preserve">I think overall as people age they become less active and it becomes increasingly difficult for them to get to place like doctors appts, physical therapy, the gym to workout, and staying connected with people as life becomes more isolated. I think short term, getting the aging population to be more active before they become too old can be a immediate short term solution, and more of a preventative measure for the future</t>
  </si>
  <si>
    <t xml:space="preserve">I think it has to start before it's too late - it is challenging for middle ages adults to stay healthy and active due to the "hustle culture" and long work hours and commuting, so unhealthy habits (intentially or unintentially) begin before it matters. But emphasizing the importance of health and then also creating systems to help older people have access to appointments and help recover after injuries and help build a community for them</t>
  </si>
  <si>
    <t xml:space="preserve">Physical health (ability to walk/lift things), mental health, and spiritual health</t>
  </si>
  <si>
    <t xml:space="preserve">Consistency from being young through life until I'm older</t>
  </si>
  <si>
    <t xml:space="preserve">Through prioritizing physical, mental, and spiritual health, one can maintain a healthy outlook on life to allow themselves to age smoothly and to be there for the next generations after them.</t>
  </si>
  <si>
    <t xml:space="preserve">For me, I think having things accessible, affordable, and generalizable to all is really important and the only way to help the population as a whole with aging and health. To me if feels like a more root cause approach and helps fix the systems that are on going. For society, I see them as prioritizing the application of machine learning to solve problems with the world with AI and data centers expanding, and there are benefits within that, but I don't think it should be the first importance and takes the human-ness out of aging, disease, adn the individual experience.</t>
  </si>
  <si>
    <t xml:space="preserve">I think it's exciting that there are a lot of advancements contributing to the well-being of individuals and help with longevity and improvement for the heath of individuals and that there is important research to help those that need it. What frightens me is stretching to far away form human nature and relying too much on technology and AI</t>
  </si>
  <si>
    <t xml:space="preserve">G1-036</t>
  </si>
  <si>
    <t xml:space="preserve">Rhode Island</t>
  </si>
  <si>
    <t xml:space="preserve">Rhode Island, United States</t>
  </si>
  <si>
    <t xml:space="preserve">The components of the body, either individually or collectively, working less well resulting in progressive degeneration of the organism.</t>
  </si>
  <si>
    <t xml:space="preserve">Lack of primary care doctors and a need for increase in federal funding for specialty residency spots. Lack of knowledge/keeping up with the rapid progression in technology/AI. Self-centered, isolationist culture in America leading to separation of elders from their families and communities.</t>
  </si>
  <si>
    <t xml:space="preserve">Increasing primary care providers.</t>
  </si>
  <si>
    <t xml:space="preserve">Incentivizing med students to choose primary care specialties by subsidizing med school tuition if they commit to it.</t>
  </si>
  <si>
    <t xml:space="preserve">Good sleeping habits, exercising regularly, eating nutritious foods.</t>
  </si>
  <si>
    <t xml:space="preserve">Stay disciplined - never stop doing it so it doesn't start seeming like a challenge.</t>
  </si>
  <si>
    <t xml:space="preserve">Helping preserve my health proactively.</t>
  </si>
  <si>
    <t xml:space="preserve">1 encompasses the second and third options, democratizing and AI will go hand in hand.</t>
  </si>
  <si>
    <t xml:space="preserve">N/A</t>
  </si>
  <si>
    <t xml:space="preserve">G1-037</t>
  </si>
  <si>
    <t xml:space="preserve">Shanghai</t>
  </si>
  <si>
    <t xml:space="preserve">China</t>
  </si>
  <si>
    <t xml:space="preserve">Shanghai, China</t>
  </si>
  <si>
    <t xml:space="preserve">the number of years since you born</t>
  </si>
  <si>
    <t xml:space="preserve">loss of physical function and independence, which can lead to a greater need for medical care and financial support</t>
  </si>
  <si>
    <t xml:space="preserve">Financial support should be prioritized by creating more programs to help older adults with their financial needs</t>
  </si>
  <si>
    <t xml:space="preserve">yes</t>
  </si>
  <si>
    <t xml:space="preserve">A clear mind, a healthy body, financial stability</t>
  </si>
  <si>
    <t xml:space="preserve">exercise everyday, work hard</t>
  </si>
  <si>
    <t xml:space="preserve">I'm not quite sure what this question is asking</t>
  </si>
  <si>
    <t xml:space="preserve">For me, boosting longevity is the most important goal, while the other twos are more important from a societal perspective because they provide practical solutions.</t>
  </si>
  <si>
    <t xml:space="preserve">Boosting longevity is the most exciting to me, but applying machine learning models to this area is a little frightens.</t>
  </si>
  <si>
    <t xml:space="preserve">societal ranks repeat a number (as answered)</t>
  </si>
  <si>
    <t xml:space="preserve">G1-038</t>
  </si>
  <si>
    <t xml:space="preserve">Beijing</t>
  </si>
  <si>
    <t xml:space="preserve">Beijing, China</t>
  </si>
  <si>
    <t xml:space="preserve">Ontario</t>
  </si>
  <si>
    <t xml:space="preserve">Canada</t>
  </si>
  <si>
    <t xml:space="preserve">Ontario, Canada</t>
  </si>
  <si>
    <t xml:space="preserve">The long term decrease in health, growing older in age, as well as the</t>
  </si>
  <si>
    <t xml:space="preserve">Social barrier such as Ageism, discrimination and preconceived notion of those who are older.</t>
  </si>
  <si>
    <t xml:space="preserve">Raising awareness regarding aging, it should be prioritized as it is a simple first step to eliminate Ageism.</t>
  </si>
  <si>
    <t xml:space="preserve">Incorporating these knowledge through educational institutions.</t>
  </si>
  <si>
    <t xml:space="preserve">Health, wealth, social connections</t>
  </si>
  <si>
    <t xml:space="preserve">Regular exercise, investments, regular contact</t>
  </si>
  <si>
    <t xml:space="preserve">The above are things that shows cumulative effect, they will not be wasted.</t>
  </si>
  <si>
    <t xml:space="preserve">Ranked democratizing the knowledge as most important because it kind of relates to what I mentioned above. Health solutions are vital for maintaining longevity. AI is emerging and it would be great to utilize it to benefit the aging population. Reproductive health not so important, there are other technologies like IVF advancing now.</t>
  </si>
  <si>
    <t xml:space="preserve">Frightens about population longevity stretched to too long and resource on earth becomes more scarce. Also looking forward to see how normal population are able to use AI to better their health.</t>
  </si>
  <si>
    <t xml:space="preserve">G1-039</t>
  </si>
  <si>
    <t xml:space="preserve">The natural process of body function getting old</t>
  </si>
  <si>
    <t xml:space="preserve">Lack of services taking care of old people</t>
  </si>
  <si>
    <t xml:space="preserve">Maybe the caring system, as the aging population is in a high demand of being cared for.</t>
  </si>
  <si>
    <t xml:space="preserve">There might be some new programs for aging group to get care.</t>
  </si>
  <si>
    <t xml:space="preserve">1. Independent living 2. Talking 3. Thinking</t>
  </si>
  <si>
    <t xml:space="preserve">More exercise, enough sleep, and more beneficial programs.</t>
  </si>
  <si>
    <t xml:space="preserve">Stay healthy and expecting more aging care programs.</t>
  </si>
  <si>
    <t xml:space="preserve">I used to study bioengineering, so I think as AI actively develops, we may use it as an active tool for human health, it is effective and accurate in data, so could be good for producing health models etc. Then democratize it to the public like a chain. I don’t know much about the first choice.</t>
  </si>
  <si>
    <t xml:space="preserve">Excite: apply AI as a prediction tool in human health Frighten: the ethic problem related to AI use</t>
  </si>
  <si>
    <t xml:space="preserve">G1-040</t>
  </si>
  <si>
    <t xml:space="preserve">Wisconsin</t>
  </si>
  <si>
    <t xml:space="preserve">Wisconsin, United States</t>
  </si>
  <si>
    <t xml:space="preserve">In humans, it is a biological process that occurs within our cells and organs that results in physical and cognitive changes, eventually leading to death.</t>
  </si>
  <si>
    <t xml:space="preserve">Accessibility and isolation issues. As people age they are not able to take care of themselves as easily due to not being as mobile and some may not have money to hire caretakers or to live in residential homes, leading to limited ability to leave their homes and do things even at home that they may have been able to do before.</t>
  </si>
  <si>
    <t xml:space="preserve">I think that given our falling birth rate, we will soon have a population where the number of retired people far outweigh the number of working ago people. Due to this, we will soon have issues with being able to have enough caretakers for the elderly and there will be a massive overload on the health industry. This should be prioritized because there are steps we can take now to preserve the health and longevity of our aging populations and prepare our health systems for what is to come so that there are no system failures when the day actually comes.</t>
  </si>
  <si>
    <t xml:space="preserve">^^ I don't think there is a perfect solution, but I think there are steps we can take now to lessen future burden.</t>
  </si>
  <si>
    <t xml:space="preserve">Cognition, Mobility, Independence</t>
  </si>
  <si>
    <t xml:space="preserve">Exercise and staying social</t>
  </si>
  <si>
    <t xml:space="preserve">The key to a happy and healthy life?</t>
  </si>
  <si>
    <t xml:space="preserve">I think that</t>
  </si>
  <si>
    <t xml:space="preserve">I think that with AI and healthcare we need to be especially careful about which datasets and populations we are using because they could carry bias that we cannot see.</t>
  </si>
  <si>
    <t xml:space="preserve">G1-041</t>
  </si>
  <si>
    <t xml:space="preserve">I would define aging as biological changes that denote decline from optimum systems performance.</t>
  </si>
  <si>
    <t xml:space="preserve">Poor or unavailability of adequate resources such as affordable housing, means of transportation, recreational facilities, etc</t>
  </si>
  <si>
    <t xml:space="preserve">Reduce retirement age</t>
  </si>
  <si>
    <t xml:space="preserve">Health, wealth, family</t>
  </si>
  <si>
    <t xml:space="preserve">Consistent action is key as well as investing in one’s self early</t>
  </si>
  <si>
    <t xml:space="preserve">I see the first two options as synonymous so I ranked them closer together. I think AI can be a supplementary tool to achieving options 1 and 2 which are the main goal.</t>
  </si>
  <si>
    <t xml:space="preserve">One thing that excites me about this is widespread availability to all, getting to live with your aging parents for longer or people who desperately want a child being able to have that.; One thing that frightens me is seeing all this research only serving a certain demographic of people while others do not see any benefit from it.</t>
  </si>
  <si>
    <t xml:space="preserve">G1-042</t>
  </si>
  <si>
    <t xml:space="preserve">How long since you have born</t>
  </si>
  <si>
    <t xml:space="preserve">Disease that related with aging</t>
  </si>
  <si>
    <t xml:space="preserve">Loss of mobility can be addressed with assistive devices and should be prioritized because it directly affects independence and quality of life.</t>
  </si>
  <si>
    <t xml:space="preserve">Mobility, independence, medical resources</t>
  </si>
  <si>
    <t xml:space="preserve">No, no one can predict what happens in the future</t>
  </si>
  <si>
    <t xml:space="preserve">Mobility: The ability to move freely. Independence: The ability to live by myself. Medical Resources: Access to necessary healthcare.</t>
  </si>
  <si>
    <t xml:space="preserve">I think boosting reproductive health and longevity is the most important. We should make these benefits accessible to everyone. Applying AI is useful, but I don’t think it should be the main priority.</t>
  </si>
  <si>
    <t xml:space="preserve">Boosting longevity is exciting and but using ai seem a like frightens consider how fast the technology have been developed</t>
  </si>
  <si>
    <t xml:space="preserve">G1-043</t>
  </si>
  <si>
    <t xml:space="preserve">The natural age increase as time goes by</t>
  </si>
  <si>
    <t xml:space="preserve">There are fewer people that can work and produce goods, so the price will goes up and the economy will be bad</t>
  </si>
  <si>
    <t xml:space="preserve">The new born rate is decreasing these days, so aging issue will become worse later on, we need to increase the new born rate.</t>
  </si>
  <si>
    <t xml:space="preserve">A young mindset so that I won’t be afraid to try new things, the open mindset to always learn new knowledge and accept new technology, and also a passionate heart to take the initiative in trying out stuffs.</t>
  </si>
  <si>
    <t xml:space="preserve">I need to start living my life this way from now on so it becomes a habit later on</t>
  </si>
  <si>
    <t xml:space="preserve">To start today</t>
  </si>
  <si>
    <t xml:space="preserve">Feels like the society cares about the outcome rather than the approach taken to get to that outcome, AI might be considered as one of the probable approach to that but not the only one. For me personally I want to have access to the tools and care less about the general living situation of other people.</t>
  </si>
  <si>
    <t xml:space="preserve">If I can have access to affordable healthcare, I can see myself living a longer and healthier life, during which I can try out a lot of new things. I am frightened about what it would take us to get to that point, will there be a lot of human experiences involved.</t>
  </si>
  <si>
    <t xml:space="preserve">G1-044</t>
  </si>
  <si>
    <t xml:space="preserve">the biological process of getting older as time past by</t>
  </si>
  <si>
    <t xml:space="preserve">Health condition as people get older</t>
  </si>
  <si>
    <t xml:space="preserve">Health insurance or more healthcare resources. Because the aging population may not have enough opportunities to help with their declining health status.</t>
  </si>
  <si>
    <t xml:space="preserve">By passing legislative bills.</t>
  </si>
  <si>
    <t xml:space="preserve">Keep exercising, try to eat healthy, and get enough rest.</t>
  </si>
  <si>
    <t xml:space="preserve">Meal prep and plan ahead of time</t>
  </si>
  <si>
    <t xml:space="preserve">Just good habits to stay healthy</t>
  </si>
  <si>
    <t xml:space="preserve">As a society I think it is more important to provide healthcare resources for the people. But as a individual I think it is more important to take care of your body.</t>
  </si>
  <si>
    <t xml:space="preserve">The potential of how AI can help solve these problems is exciting. What frightens me is how hard to it is to get more healthcare resources or make solutions more accessible and affordable.</t>
  </si>
  <si>
    <t xml:space="preserve">G1-045</t>
  </si>
  <si>
    <t xml:space="preserve"># of years lived</t>
  </si>
  <si>
    <t xml:space="preserve">Chronic disease</t>
  </si>
  <si>
    <t xml:space="preserve">Healthcare system</t>
  </si>
  <si>
    <t xml:space="preserve">Family, health, money</t>
  </si>
  <si>
    <t xml:space="preserve">There is no guaranteed way</t>
  </si>
  <si>
    <t xml:space="preserve">I mean life is unpredictable, and it’s not a lot you can do</t>
  </si>
  <si>
    <t xml:space="preserve">Personally I think the first and second is most relevant to me</t>
  </si>
  <si>
    <t xml:space="preserve">I think they all sounds exciting</t>
  </si>
  <si>
    <t xml:space="preserve">G1-046</t>
  </si>
  <si>
    <t xml:space="preserve">Oregon</t>
  </si>
  <si>
    <t xml:space="preserve">Oregon, United States</t>
  </si>
  <si>
    <t xml:space="preserve">the inevitable march of time</t>
  </si>
  <si>
    <t xml:space="preserve">erectile dysfunction</t>
  </si>
  <si>
    <t xml:space="preserve">getting the channel to work should be prioritized so they can watch TV</t>
  </si>
  <si>
    <t xml:space="preserve">calling their grandson seems to be the goto</t>
  </si>
  <si>
    <t xml:space="preserve">health, beauty, and age</t>
  </si>
  <si>
    <t xml:space="preserve">I've been eating broccoli</t>
  </si>
  <si>
    <t xml:space="preserve">Do what your mom told you to do as a kid</t>
  </si>
  <si>
    <t xml:space="preserve">most people care about democratization, and the first encapsulates the third</t>
  </si>
  <si>
    <t xml:space="preserve">insurance companies using AI to be annoying</t>
  </si>
  <si>
    <t xml:space="preserve">G1-047</t>
  </si>
  <si>
    <t xml:space="preserve">Arizona</t>
  </si>
  <si>
    <t xml:space="preserve">Arizona, United States</t>
  </si>
  <si>
    <t xml:space="preserve">The body not responding to being lived in, the way it used to.</t>
  </si>
  <si>
    <t xml:space="preserve">Healthcare</t>
  </si>
  <si>
    <t xml:space="preserve">Healthcare, because eventually it affects everyone, and our system is garbage.</t>
  </si>
  <si>
    <t xml:space="preserve">A lot of talk, less action - and the current administration is making it worse, while claiming they are making it better.</t>
  </si>
  <si>
    <t xml:space="preserve">My rights, my sense of humor, my humanity.</t>
  </si>
  <si>
    <t xml:space="preserve">Yes, I continue standing up for what's right.</t>
  </si>
  <si>
    <t xml:space="preserve">Let's stop treating each other like shit.</t>
  </si>
  <si>
    <t xml:space="preserve">Because society often prioritizes Life of any kind above the quality of that life, and I do not.</t>
  </si>
  <si>
    <t xml:space="preserve">Nothing excites me about these topics right now - it's all frightening. Women are being stripped of their rights to reproductive freedom, and hordes of people are actually dismissing the science behind healthcare. I am disgusted and ashamed of my country right now.</t>
  </si>
  <si>
    <t xml:space="preserve">G1-048</t>
  </si>
  <si>
    <t xml:space="preserve">The process of maturing physically, cognitively, and emotionally.</t>
  </si>
  <si>
    <t xml:space="preserve">Rising prices that make it harder to make it off a fixed income.</t>
  </si>
  <si>
    <t xml:space="preserve">Financial literacy should be prioritized so individuals can adequately prepare for retirement without having to work in the later stages of life.</t>
  </si>
  <si>
    <t xml:space="preserve">Yes; people have a difficult time understanding that the future will come faster than expected, making it harder for people to want to put money aside in the present to benefit them in the future. Also, no amount of financial literacy will impact inflation.</t>
  </si>
  <si>
    <t xml:space="preserve">Physical health, memory, and familial relationships</t>
  </si>
  <si>
    <t xml:space="preserve">I can exercise regularly, watch my diet closely, and keep updated with research about health trends and newly discovered risk factors. I can also priorice family connection by staying in contact with family even if we move away from each other.</t>
  </si>
  <si>
    <t xml:space="preserve">Essential</t>
  </si>
  <si>
    <t xml:space="preserve">If we are going to help with longevity for all individuals, education and accessibility are key. If we are going to use AI, we should utilize it to make more accurate generalizations that can inform health initiatives and benefit individuals from all communities. While reproductive health it’s important, we have enough individuals as it is. We should prioritize the individuals already here who are not receiving adequate care than bringing more individuals into an increasingly under resourced world.</t>
  </si>
  <si>
    <t xml:space="preserve">It excites me that we can utilize technology to improve our health and wellness. I am afraid, however, that like in the past, greed and the pursuit of wealth may prevent certain communities from benefiting from the technology.</t>
  </si>
  <si>
    <t xml:space="preserve">G1-049</t>
  </si>
  <si>
    <t xml:space="preserve">Aging is the act of getting older.</t>
  </si>
  <si>
    <t xml:space="preserve">That they won't be able to retire</t>
  </si>
  <si>
    <t xml:space="preserve">We need to create stable jobs that people can do for 50 years. Because people keep leaving tehir jobs causing companies to not want to hire people</t>
  </si>
  <si>
    <t xml:space="preserve">reate economic policies that allow us to keep hiring and grow. Put laws in place against ai taking jobs. Help small business grow into medium businesses.</t>
  </si>
  <si>
    <t xml:space="preserve">My memory, my ability to be active, my energy</t>
  </si>
  <si>
    <t xml:space="preserve">Yes.</t>
  </si>
  <si>
    <t xml:space="preserve">There are ways to keep yourself those things starting at a young age</t>
  </si>
  <si>
    <t xml:space="preserve">Reproductive health means that people can have more kids. More kids means more schools that keep economic opportunities. More people means more hospitals.</t>
  </si>
  <si>
    <t xml:space="preserve">Right now, old people live suck. People are living longer and having success staying more healthy and happy.</t>
  </si>
  <si>
    <t xml:space="preserve">G1-050</t>
  </si>
  <si>
    <t xml:space="preserve">The depreciation of human abilities as time passes</t>
  </si>
  <si>
    <t xml:space="preserve">Not exercising</t>
  </si>
  <si>
    <t xml:space="preserve">People falling in the shower and breaking their bones, it's an easy fix</t>
  </si>
  <si>
    <t xml:space="preserve">Yes, issue free rubber shower mats for good grip</t>
  </si>
  <si>
    <t xml:space="preserve">Knowledge, muscle, hair</t>
  </si>
  <si>
    <t xml:space="preserve">Study, exercise, eat well</t>
  </si>
  <si>
    <t xml:space="preserve">Self-care</t>
  </si>
  <si>
    <t xml:space="preserve">AI is an arms race</t>
  </si>
  <si>
    <t xml:space="preserve">AI being able to recursively train itself (double-edged sword)</t>
  </si>
  <si>
    <t xml:space="preserve">G1-051</t>
  </si>
  <si>
    <t xml:space="preserve">Being over the age of 21</t>
  </si>
  <si>
    <t xml:space="preserve">They do not have people to take care of them or support.</t>
  </si>
  <si>
    <t xml:space="preserve">Putting more emphasis on supporting elderly.</t>
  </si>
  <si>
    <t xml:space="preserve">Time, money, family dynamics.</t>
  </si>
  <si>
    <t xml:space="preserve">Health; Money; Time</t>
  </si>
  <si>
    <t xml:space="preserve">Putting in the investment early for my health and maintaining it.</t>
  </si>
  <si>
    <t xml:space="preserve">I ranked them in terms of how important they are to me individually.</t>
  </si>
  <si>
    <t xml:space="preserve">AI is coming to take our jobs and autonomy.</t>
  </si>
  <si>
    <t xml:space="preserve">G1-052</t>
  </si>
  <si>
    <t xml:space="preserve">getting older in age, having a decline in physical or cellular functions due to age</t>
  </si>
  <si>
    <t xml:space="preserve">not being able to catch up with the growing technology in this world (e.g., learning how to use an iphone, which may lead to barriers in accessing care and can lead to social isolation especially with how everything relies on technology nowadays)</t>
  </si>
  <si>
    <t xml:space="preserve">having the younger population work with the older population on how to use technology, helping to eliminate red tape with certain programs so its easier for the elderly population to access</t>
  </si>
  <si>
    <t xml:space="preserve">yes! though i don't feel as if it's a huge priority in our world</t>
  </si>
  <si>
    <t xml:space="preserve">self-efficacy, good physical health, friends</t>
  </si>
  <si>
    <t xml:space="preserve">exercise/making sure my body is in good shape through healthy habits</t>
  </si>
  <si>
    <t xml:space="preserve">not exactly sure what this question means?</t>
  </si>
  <si>
    <t xml:space="preserve">ai is getting really big, i feel like society definitely is prioritizing that right now. i think accessibility is the most important in my opinion.</t>
  </si>
  <si>
    <t xml:space="preserve">one thing that frightens me is the idea of the permanent underclass and how there will be an even bigger wealth inequality (who will get to access these resources like being able to predict the trajectory of a disease? probably the rich). on the other hand, im sure that being able to find solutions for aging/health can alleviate a lot of suffering from families and especially for aging adults dealing with health issues but are still in there 50s and 60s and still have a lot of life yet</t>
  </si>
  <si>
    <t xml:space="preserve">G1-053</t>
  </si>
  <si>
    <t xml:space="preserve">The process of growing older</t>
  </si>
  <si>
    <t xml:space="preserve">Too much isolation amongst older people</t>
  </si>
  <si>
    <t xml:space="preserve">Cultural- aging population has less and less relationships with their children and families; resulting in social isolation. By emphasizing the notion of family, people will feel less isolated and less likely to develop diseases like AD and dementia</t>
  </si>
  <si>
    <t xml:space="preserve">Eliminate nursing homes/cultural changes in the US</t>
  </si>
  <si>
    <t xml:space="preserve">happiness, socialness, good health</t>
  </si>
  <si>
    <t xml:space="preserve">Stay connected with friends, live in the present, eat healthy and exercise regularlty</t>
  </si>
  <si>
    <t xml:space="preserve">I would describe it as maintaining an active and healthy lifestyle and following the basic measures.</t>
  </si>
  <si>
    <t xml:space="preserve">I think that our priority is too boost health longevity, the AI is just a tool, at the end of the day, people have been followign basic measures to live fulfilling lives. Rather than focusing on AI, we should focus efforts the major causes of these disease in the first place (where &gt;90% of problems originate, ex unhealthy foods, rising obesity, not enough exercise, etc)</t>
  </si>
  <si>
    <t xml:space="preserve">I am excited to help people longer, I am frightened that we will be too hyperfocused on AI and will lose thoughts on the bigger picture.</t>
  </si>
  <si>
    <t xml:space="preserve">G1-054</t>
  </si>
  <si>
    <t xml:space="preserve">chronological increase in time and how the body moves along with it.</t>
  </si>
  <si>
    <t xml:space="preserve">rising chronic condition prevalence</t>
  </si>
  <si>
    <t xml:space="preserve">cancer and cardiovascular disease- leading causes of death</t>
  </si>
  <si>
    <t xml:space="preserve">emphasis on preventative med</t>
  </si>
  <si>
    <t xml:space="preserve">exercise, eat healthy, maintian relationships</t>
  </si>
  <si>
    <t xml:space="preserve">be watchful of my intake and stay close to friends and family</t>
  </si>
  <si>
    <t xml:space="preserve">I want to stay happy and healthy</t>
  </si>
  <si>
    <t xml:space="preserve">I think that our focus should be on longevity, once we figure this out, then we should focus on the tools and ways to ensure it is equitable.</t>
  </si>
  <si>
    <t xml:space="preserve">excited to learn about AI application in science, fear inequity in outcomes</t>
  </si>
  <si>
    <t xml:space="preserve">G1-055</t>
  </si>
  <si>
    <t xml:space="preserve">growing older and your body moving along with time</t>
  </si>
  <si>
    <t xml:space="preserve">little social cohesion, too much isolation among elders</t>
  </si>
  <si>
    <t xml:space="preserve">prioritize good cvd health</t>
  </si>
  <si>
    <t xml:space="preserve">watchful of diet, stress and excersie</t>
  </si>
  <si>
    <t xml:space="preserve">curiosity, health, positivity</t>
  </si>
  <si>
    <t xml:space="preserve">Stay curious about the world around me, have a good diet, and always look at good in people.</t>
  </si>
  <si>
    <t xml:space="preserve">This means being kind to those around you and being kind to yourself</t>
  </si>
  <si>
    <t xml:space="preserve">Its important for us to have equitable ways of informing public before we try to improve longevity. The tools (AI) in which we do this are secondary.</t>
  </si>
  <si>
    <t xml:space="preserve">Excited to make people live longer; worried about dangers of AI (security etc)</t>
  </si>
  <si>
    <t xml:space="preserve">G1-056</t>
  </si>
  <si>
    <t xml:space="preserve">The process of growing older and seeing physical changes in our body that reflects</t>
  </si>
  <si>
    <t xml:space="preserve">High rates of cardiovascular disease and cancer</t>
  </si>
  <si>
    <t xml:space="preserve">High rates of cardiovascular disease and cancer- Generally these are the number 1 and 2 causes of death worldwide</t>
  </si>
  <si>
    <t xml:space="preserve">We should focus more on preventative health.</t>
  </si>
  <si>
    <t xml:space="preserve">happiness, discipline and good health</t>
  </si>
  <si>
    <t xml:space="preserve">Get involved with the things I love, while being watchful of my diet, exercise, etc.</t>
  </si>
  <si>
    <t xml:space="preserve">It means being actively involved in the things I enjoy while also paying attention to my overall health and well-being, including my diet and exercise.</t>
  </si>
  <si>
    <t xml:space="preserve">I think our focus should be on increasing health longevity, and then ensuring equity while optimizing the tools to help us reach these goals.</t>
  </si>
  <si>
    <t xml:space="preserve">I am excited about increasing the age ceiling, but I am worried that we will be hyperfocused on AI without thinking of the bigger problems in society.</t>
  </si>
  <si>
    <t xml:space="preserve">G1-057</t>
  </si>
  <si>
    <t xml:space="preserve">Growing older and physiologically changing along with it.</t>
  </si>
  <si>
    <t xml:space="preserve">Not enough resources to take care of older individuals</t>
  </si>
  <si>
    <t xml:space="preserve">Caregiving since there is a shortage of family members who are in touch as well as caregivers in the system in general. This should be prioritized as these people can help the elderly stay healthy</t>
  </si>
  <si>
    <t xml:space="preserve">Maintaining family relationships from early on staying in touch as we get older.</t>
  </si>
  <si>
    <t xml:space="preserve">good health, happiness, positivity.</t>
  </si>
  <si>
    <t xml:space="preserve">Having a good outlook on life and taking care of myself</t>
  </si>
  <si>
    <t xml:space="preserve">Having a good outlook on life and taking care of yourself means staying hopeful about the future while actively protecting your physical, mental, and emotional health.</t>
  </si>
  <si>
    <t xml:space="preserve">I think once we figure out the substance to maximizing longevity, then we can ensure that it is equitable and use further tools to optimize it.</t>
  </si>
  <si>
    <t xml:space="preserve">Excited to help my grandparents live longer, worried about secuirty concerns with AI</t>
  </si>
  <si>
    <t xml:space="preserve">G1-058</t>
  </si>
  <si>
    <t xml:space="preserve">The gradual accumulation of physical and biological changes as we get older.</t>
  </si>
  <si>
    <t xml:space="preserve">Chronic diseases and declining physical function.</t>
  </si>
  <si>
    <t xml:space="preserve">Keeping older adults independent should be prioritized because losing independence can greatly affect both quality of life and families.</t>
  </si>
  <si>
    <t xml:space="preserve">Yes, through preventative medicine, rehabilitation, and technologies that help people live independently.</t>
  </si>
  <si>
    <t xml:space="preserve">Mobility, mental sharpness, and close friendships.</t>
  </si>
  <si>
    <t xml:space="preserve">Stay physically active, challenge myself mentally, and make time for other people.</t>
  </si>
  <si>
    <t xml:space="preserve">They would allow me to continue doing the things I enjoy without being limited by age.</t>
  </si>
  <si>
    <t xml:space="preserve">AI has a lot of potential to improve how we predict and treat disease, but those advances are most meaningful if people can actually access them.</t>
  </si>
  <si>
    <t xml:space="preserve">I’m excited by the possibility of detecting diseases before symptoms appear, but I worry about AI being used without enough oversight.</t>
  </si>
  <si>
    <t xml:space="preserve">G1-059</t>
  </si>
  <si>
    <t xml:space="preserve">Aging is the process of adapting to changes in your body and abilities as time passes.</t>
  </si>
  <si>
    <t xml:space="preserve">Maintaining physical function and preventing injuries that can limit independence.</t>
  </si>
  <si>
    <t xml:space="preserve">Finding better ways to preserve muscle, strength, and mobility should be prioritized because physical decline can greatly affect a person's independence and quality of life.</t>
  </si>
  <si>
    <t xml:space="preserve">Yes, through strength training, injury prevention, and better monitoring of physical health.</t>
  </si>
  <si>
    <t xml:space="preserve">Strength, mental sharpness, and the ability to stay engaged with family</t>
  </si>
  <si>
    <t xml:space="preserve">stay active in sports and remain curious</t>
  </si>
  <si>
    <t xml:space="preserve">I think this means trying to seek outdoors activities when I can and learning new things about the world</t>
  </si>
  <si>
    <t xml:space="preserve">As an athlete, I’m interested in technologies that can improve injury prevention for elders. For society, I think those benefits should be accessible to everyone.</t>
  </si>
  <si>
    <t xml:space="preserve">I am excited for AI to help us live longer, but I don't want us to become overly dependent on it.</t>
  </si>
  <si>
    <t xml:space="preserve">G1-060</t>
  </si>
  <si>
    <t xml:space="preserve">Aging is the gradual decline in physiological reserve that increases vulnerability to disease.</t>
  </si>
  <si>
    <t xml:space="preserve">The increasing burden of chronic disease and disability.</t>
  </si>
  <si>
    <t xml:space="preserve">Preventing loss of functional independence, because preserving quality of life should be as important as extending lifespan.</t>
  </si>
  <si>
    <t xml:space="preserve">Earlier detection of disease, preventive medicine, exercise, and better management of chronic conditions.</t>
  </si>
  <si>
    <t xml:space="preserve">Cognition, mobility, and independence.</t>
  </si>
  <si>
    <t xml:space="preserve">Regular exercise, a healthy diet, preventive screening, cognitive engagement, and maintaining social connections.</t>
  </si>
  <si>
    <t xml:space="preserve">They allow a person to remain healthy, functional, and engaged in life rather than simply living longer.</t>
  </si>
  <si>
    <t xml:space="preserve">Scientific advances have limited impact if they are inaccessible. I would prioritize making effective interventions broadly available, with AI serving as a tool to improve prevention and personalized care.</t>
  </si>
  <si>
    <t xml:space="preserve">I am excited by the potential of AI to identify disease earlier and personalize prevention. I am concerned that unequal access to these technologies could worsen existing health disparities.</t>
  </si>
  <si>
    <t xml:space="preserve">G1-061</t>
  </si>
  <si>
    <t xml:space="preserve">A lifelong process influenced by both our biology and the communities we live in</t>
  </si>
  <si>
    <t xml:space="preserve">Social isolation and unequal access to healthcare and community resources.</t>
  </si>
  <si>
    <t xml:space="preserve">Keeping older adults connected to their communities, because isolation can affect both physical and mental well-being.</t>
  </si>
  <si>
    <t xml:space="preserve">Yes, via community programs, transportation services, senior centers, and more accessible preventive healthcare.</t>
  </si>
  <si>
    <t xml:space="preserve">Mobility, social connections, and independence.</t>
  </si>
  <si>
    <t xml:space="preserve">Stay active, build strong relationships, and remain involved in my community.</t>
  </si>
  <si>
    <t xml:space="preserve">They allow people to remain healthy, connected, and involved in the communities they care about.</t>
  </si>
  <si>
    <t xml:space="preserve">I think the biggest benefit comes from making health advances available across different communities, especially those that have historically had fewer resources.</t>
  </si>
  <si>
    <t xml:space="preserve">I am excited about using AI to identify health risks earlier. I worry that communities with fewer resources could be left behind as new technologies develop.</t>
  </si>
  <si>
    <t xml:space="preserve">G1-062</t>
  </si>
  <si>
    <t xml:space="preserve">Aging is a normal part of life that is strongly influenced by the conditions in which people live.</t>
  </si>
  <si>
    <t xml:space="preserve">Helping people age safely and independently, especially in underserved communities.</t>
  </si>
  <si>
    <t xml:space="preserve">Improving access to preventive and primary care, because many problems can be managed more effectively when caught early.</t>
  </si>
  <si>
    <t xml:space="preserve">Expanding neighborhood health programs, community outreach, transportation options, and health education.</t>
  </si>
  <si>
    <t xml:space="preserve">My health, relationships, and ability to be active.</t>
  </si>
  <si>
    <t xml:space="preserve">Stay physically active, make time for family and friends, and regularly monitor my health.</t>
  </si>
  <si>
    <t xml:space="preserve">They are the foundation for being able to participate fully in everyday life.</t>
  </si>
  <si>
    <t xml:space="preserve">I would prioritize solutions that can improve health across entire populations rather than only helping people who have access to specialized care.</t>
  </si>
  <si>
    <t xml:space="preserve">I am excited by the possibility of technology helping communities prevent disease earlier. I am concerned that new advances may not reach rural or underserved populations equally.</t>
  </si>
  <si>
    <t xml:space="preserve">G1-063</t>
  </si>
  <si>
    <t xml:space="preserve">Hungary</t>
  </si>
  <si>
    <t xml:space="preserve">Telomeres shortening</t>
  </si>
  <si>
    <t xml:space="preserve">Universal Healthcare, GMOs, and Cancer</t>
  </si>
  <si>
    <t xml:space="preserve">I believe the greatest challenge facing our aging population is access to affordable, comprehensive healthcare. Many diseases and conditions can be treated or managed, but financial barriers can prevent older adults from receiving timely care. Prioritizing universal healthcare would help them access treatment, maintain their independence, and improve their quality of life.</t>
  </si>
  <si>
    <t xml:space="preserve">I would support expanding affordable healthcare coverage, lowering out-of-pocket costs, and making preventive care more accessible to older adults.</t>
  </si>
  <si>
    <t xml:space="preserve">I would like to maintain my physical and mental health, my independence, and meaningful relationships with the people I care about.</t>
  </si>
  <si>
    <t xml:space="preserve">I can work toward these goals by staying active, caring for my mental well-being, attending regular checkups, and making time for relationships. Continuing to learn and planning financially could also help me preserve my independence.</t>
  </si>
  <si>
    <t xml:space="preserve">Together, these mean being able to live on my own terms, enjoy life, and stay connected to the people I love as I age.</t>
  </si>
  <si>
    <t xml:space="preserve">I ranked reproductive health and longevity first personally because I value maintaining my health and having choices about my future as I age. For society, I placed accessible and affordable health solutions first because everyone should have the opportunity to benefit from scientific advances. I ranked AI third because I see it as a tool to support these goals, with its value depending on how effectively and fairly it is used.</t>
  </si>
  <si>
    <t xml:space="preserve">I’m excited by AI’s potential to identify disease risks earlier and help personalize care. What frightens me is the possibility that biased data or unequal access could cause these tools to reinforce existing healthcare inequalities.</t>
  </si>
  <si>
    <t xml:space="preserve">G1-064</t>
  </si>
  <si>
    <t xml:space="preserve">Progressive loss of function over time</t>
  </si>
  <si>
    <t xml:space="preserve">A lack of young people</t>
  </si>
  <si>
    <t xml:space="preserve">we do not have infrastructure to support them</t>
  </si>
  <si>
    <t xml:space="preserve">better governmental policy</t>
  </si>
  <si>
    <t xml:space="preserve">memory, mobility, health</t>
  </si>
  <si>
    <t xml:space="preserve">excercising daily, maintaining a good diet, using my brain every day</t>
  </si>
  <si>
    <t xml:space="preserve">What they mean</t>
  </si>
  <si>
    <t xml:space="preserve">I think that makes the most sense to me</t>
  </si>
  <si>
    <t xml:space="preserve">Excites: we can live longer and heathier; Frightens: we might have to work longer as the government will increase the retirement age</t>
  </si>
  <si>
    <t xml:space="preserve">G1-065</t>
  </si>
  <si>
    <t xml:space="preserve">A natural process where the body gradually changes and becomes more susceptible to disease.</t>
  </si>
  <si>
    <t xml:space="preserve">Managing chronic disease while maintaining quality of life.</t>
  </si>
  <si>
    <t xml:space="preserve">Earlier detection of age-related diseases, because identifying problems sooner can lead to better outcomes.</t>
  </si>
  <si>
    <t xml:space="preserve">Yes via better screening, preventative care, and predictive health technologies.</t>
  </si>
  <si>
    <t xml:space="preserve">Physical health, cognitive ability, and independence.</t>
  </si>
  <si>
    <t xml:space="preserve">Exercise, stay mentally active, eat well, and keep up with regular healthcare.</t>
  </si>
  <si>
    <t xml:space="preserve">They allow me to remain capable of making decisions and doing the things I enjoy.</t>
  </si>
  <si>
    <t xml:space="preserve">AI could help us detect and manage disease earlier, but those advances are most meaningful if they can eventually benefit a broad population.</t>
  </si>
  <si>
    <t xml:space="preserve">I am excited by AI's potential to predict health risks before symptoms appear. I worry about inaccurate models, biased data, and patient privacy.</t>
  </si>
  <si>
    <t xml:space="preserve">G1-066</t>
  </si>
  <si>
    <t xml:space="preserve">A complex biological process that changes how the body responds to stress, disease, and its environment.</t>
  </si>
  <si>
    <t xml:space="preserve">Understanding why people age so differently and predicting who is most at risk for disease or disability.</t>
  </si>
  <si>
    <t xml:space="preserve">Using existing health data more effectively to identify preventable risks before they become major problems.</t>
  </si>
  <si>
    <t xml:space="preserve">Yes, by integrating clinical records, wearable data, imaging, and other health information to build better risk models.</t>
  </si>
  <si>
    <t xml:space="preserve">cognitive function, physical mobility, and independence.</t>
  </si>
  <si>
    <t xml:space="preserve">Exercise, stay intellectually engaged, maintain good habits, and monitor changes in my health.</t>
  </si>
  <si>
    <t xml:space="preserve">They are the abilities that let someone remain active and make their own choices as they get older.</t>
  </si>
  <si>
    <t xml:space="preserve">AI has the potential to find patterns that are difficult for humans to identify, but the resulting tools need to be affordable and useful across different populations.</t>
  </si>
  <si>
    <t xml:space="preserve">I am excited by the possibility of building personalized models of health and aging. I am concerned about models making confident predictions from incomplete or biased data.</t>
  </si>
  <si>
    <t xml:space="preserve">G1-067</t>
  </si>
  <si>
    <t xml:space="preserve">A natural part of life that brings physical, cognitive, and social changes over time.</t>
  </si>
  <si>
    <t xml:space="preserve">Preventing chronic disease while helping people maintain their independence.</t>
  </si>
  <si>
    <t xml:space="preserve">Improving preventive care, because catching health problems early can help people stay healthier for longer.</t>
  </si>
  <si>
    <t xml:space="preserve">More accessible screenings, community health programs, and better patient education.</t>
  </si>
  <si>
    <t xml:space="preserve">My health, independence, and relationships.</t>
  </si>
  <si>
    <t xml:space="preserve">Exercise, eat well, stay socially connected, and keep up with preventive care.</t>
  </si>
  <si>
    <t xml:space="preserve">They allow me to stay active, connected, and able to make my own choices.</t>
  </si>
  <si>
    <t xml:space="preserve">As someone interested in medicine, I think advances are most meaningful when they improve outcomes and are accessible to patients from different backgrounds.</t>
  </si>
  <si>
    <t xml:space="preserve">I am excited by the possibility of helping people live healthier for longer. I worry that advances in longevity could become inaccessible to many patients.</t>
  </si>
  <si>
    <t xml:space="preserve">G1-068</t>
  </si>
  <si>
    <t xml:space="preserve">A lifelong process that affects the body, mind, and ability to interact with the world around us.</t>
  </si>
  <si>
    <t xml:space="preserve">Maintaining quality of life as people experience more health conditions and physical limitations.</t>
  </si>
  <si>
    <t xml:space="preserve">Better support for managing chronic conditions, because many older adults live with multiple conditions at once.</t>
  </si>
  <si>
    <t xml:space="preserve">Improving primary care, coordinating between healthcare providers, and helping patients better understand their treatment plans.</t>
  </si>
  <si>
    <t xml:space="preserve">My physical abilities, mental well-being, and close relationships.</t>
  </si>
  <si>
    <t xml:space="preserve">Stay active, prioritize my mental health, maintain friendships, and get regular medical checkups.</t>
  </si>
  <si>
    <t xml:space="preserve">They help me remain independent while continuing to enjoy meaningful experiences with the</t>
  </si>
  <si>
    <t xml:space="preserve">I think healthcare advances should ultimately focus on helping people live healthier lives and making those benefits available to as many patients as possible.</t>
  </si>
  <si>
    <t xml:space="preserve">I am excited about finding better ways to prevent age-related disease. I am concerned that focusing too much on lifespan could distract from quality of life.</t>
  </si>
  <si>
    <t xml:space="preserve">G1-069</t>
  </si>
  <si>
    <t xml:space="preserve">A gradual decline in physiologic reserve that affects how well the body responds to illness and stress.</t>
  </si>
  <si>
    <t xml:space="preserve">Managing multiple chronic conditions while preserving function and independence.</t>
  </si>
  <si>
    <t xml:space="preserve">Improving preventive and primary care for older adults, because early intervention can prevent complications and preserve function.</t>
  </si>
  <si>
    <t xml:space="preserve">Better coordination between providers, routine screening, medication review, and stronger preventive care.</t>
  </si>
  <si>
    <t xml:space="preserve">Mobility, cognition, and independence.</t>
  </si>
  <si>
    <t xml:space="preserve">Regular physical activity, good nutrition, preventive care, and staying socially and intellectually engaged.</t>
  </si>
  <si>
    <t xml:space="preserve">They are the foundation for maintaining function and having control over how I live my life.</t>
  </si>
  <si>
    <t xml:space="preserve">From a clinical perspective, extending lifespan is most valuable when it also preserves function and quality of life. Advances should therefore be both effective and broadly accessible.</t>
  </si>
  <si>
    <t xml:space="preserve">I am excited about shifting medicine toward earlier prevention of age-related disease. I am concerned about interventions that extend lifespan without meaningfully improving healthspan.</t>
  </si>
  <si>
    <t xml:space="preserve">G1-070</t>
  </si>
  <si>
    <t xml:space="preserve">A gradual change in physical and cognitive function over time.</t>
  </si>
  <si>
    <t xml:space="preserve">Maintaining independence.</t>
  </si>
  <si>
    <t xml:space="preserve">Preventing avoidable disability and keeping people functional.</t>
  </si>
  <si>
    <t xml:space="preserve">Stronger preventive care and early intervention.</t>
  </si>
  <si>
    <t xml:space="preserve">Mobility, cognition, and relationships.</t>
  </si>
  <si>
    <t xml:space="preserve">Exercise, stay engaged, and get regular checkups.</t>
  </si>
  <si>
    <t xml:space="preserve">Being able to live independently and meaningfully.</t>
  </si>
  <si>
    <t xml:space="preserve">Longevity advances matter most when patients can actually access them.</t>
  </si>
  <si>
    <t xml:space="preserve">Excited by better prevention; concerned about unequal access.</t>
  </si>
  <si>
    <t xml:space="preserve">G1-071</t>
  </si>
  <si>
    <t xml:space="preserve">Accumulated biological change.</t>
  </si>
  <si>
    <t xml:space="preserve">Frailty and chronic illness.</t>
  </si>
  <si>
    <t xml:space="preserve">Fall prevention and mobility.</t>
  </si>
  <si>
    <t xml:space="preserve">Exercise programs and home safety.</t>
  </si>
  <si>
    <t xml:space="preserve">Strength, memory, independence.</t>
  </si>
  <si>
    <t xml:space="preserve">Stay active and get preventive care.</t>
  </si>
  <si>
    <t xml:space="preserve">Living well without unnecessary limitations.</t>
  </si>
  <si>
    <t xml:space="preserve">Access and impact matter most.</t>
  </si>
  <si>
    <t xml:space="preserve">Better prediction; data privacy.</t>
  </si>
  <si>
    <t xml:space="preserve">G1-072</t>
  </si>
  <si>
    <t xml:space="preserve">A lifelong change in health and resilience.</t>
  </si>
  <si>
    <t xml:space="preserve">Social isolation.</t>
  </si>
  <si>
    <t xml:space="preserve">Address loneliness early.</t>
  </si>
  <si>
    <t xml:space="preserve">Community programs and screening.</t>
  </si>
  <si>
    <t xml:space="preserve">Relationships, mobility, purpose.</t>
  </si>
  <si>
    <t xml:space="preserve">Stay active connected etc</t>
  </si>
  <si>
    <t xml:space="preserve">Having reasons to stay engaged in life.</t>
  </si>
  <si>
    <t xml:space="preserve">Health should be accessible and holistic</t>
  </si>
  <si>
    <t xml:space="preserve">Personalized care; overreliance on technology.</t>
  </si>
  <si>
    <t xml:space="preserve">G1-073</t>
  </si>
  <si>
    <t xml:space="preserve">Getting older over time</t>
  </si>
  <si>
    <t xml:space="preserve">Preventing disability.</t>
  </si>
  <si>
    <t xml:space="preserve">Improving preventive care, since small interventions can make a major difference later in life.</t>
  </si>
  <si>
    <t xml:space="preserve">Earlier screening and better chronic disease management.</t>
  </si>
  <si>
    <t xml:space="preserve">Exercise regularly, eat well, stay mentally active, and keep up with routine care.</t>
  </si>
  <si>
    <t xml:space="preserve">They allow people to remain active and make their own choices as they age.</t>
  </si>
  <si>
    <t xml:space="preserve">The greatest advances are those that improve health without creating another divide between people who can afford care and those who cannot.</t>
  </si>
  <si>
    <t xml:space="preserve">Excited by better disease prevention; concerned about overtreatment and unnecessary medicalization of aging.</t>
  </si>
  <si>
    <t xml:space="preserve">G1-074</t>
  </si>
  <si>
    <t xml:space="preserve">Getting older while adapting to changes in your body and life.</t>
  </si>
  <si>
    <t xml:space="preserve">losing independece</t>
  </si>
  <si>
    <t xml:space="preserve">Helping people stay active and connected for as long as possible.</t>
  </si>
  <si>
    <t xml:space="preserve">More support for exercise, nutrition, and social connection.</t>
  </si>
  <si>
    <t xml:space="preserve">My health, family, and independence.</t>
  </si>
  <si>
    <t xml:space="preserve">Take care of myself and make time for the people I love.</t>
  </si>
  <si>
    <t xml:space="preserve">Being healthy enough to enjoy life with the people who matter to me.</t>
  </si>
  <si>
    <t xml:space="preserve">Living longer only matters if people can actually enjoy those extra years.</t>
  </si>
  <si>
    <t xml:space="preserve">Excited about healthier aging; worried about losing the human side of medicine.</t>
  </si>
  <si>
    <t xml:space="preserve">G1-075</t>
  </si>
  <si>
    <t xml:space="preserve">Illinois</t>
  </si>
  <si>
    <t xml:space="preserve">Illinois, United States</t>
  </si>
  <si>
    <t xml:space="preserve">Being in 60s</t>
  </si>
  <si>
    <t xml:space="preserve">Probably healthcare</t>
  </si>
  <si>
    <t xml:space="preserve">Definitely affordable healthcare</t>
  </si>
  <si>
    <t xml:space="preserve">lower prescription drug costs and making long term care more affordable and accessible</t>
  </si>
  <si>
    <t xml:space="preserve">My health, my wealth, my support system</t>
  </si>
  <si>
    <t xml:space="preserve">Preventative care, investment, and being involved with my community.</t>
  </si>
  <si>
    <t xml:space="preserve">Preparing for a future with integral resources</t>
  </si>
  <si>
    <t xml:space="preserve">I do think that accessibility of healthcare is the primary hindrance for healthcare in this country. I do think research is also equally important. AI can definitely help, but if it doesn't reach people to the extent required it won't be effective on a bigger scale</t>
  </si>
  <si>
    <t xml:space="preserve">I'm excited that people will be able to live longer and healthier lives but I constantly worry if the future is going to be hospitable in terms of wealth, the environment and healthcare options we are preparing for.</t>
  </si>
  <si>
    <t xml:space="preserve">G2-001</t>
  </si>
  <si>
    <t xml:space="preserve">Tennessee</t>
  </si>
  <si>
    <t xml:space="preserve">Tennessee, United States</t>
  </si>
  <si>
    <t xml:space="preserve">The process where the body slowly deteriorates due to ware in cells and genome</t>
  </si>
  <si>
    <t xml:space="preserve">Issues with connecting to a rapidly changing social and professional environmen.</t>
  </si>
  <si>
    <t xml:space="preserve">I believe the insurance commuting elder fraud should be fixed as it is damaging and leaves elders very vulnerable.</t>
  </si>
  <si>
    <t xml:space="preserve">Memory, connections, athleticism</t>
  </si>
  <si>
    <t xml:space="preserve">I excersizes to stay healthy and fit.</t>
  </si>
  <si>
    <t xml:space="preserve">1-ensuring the human body functions properly with proper health. 2-fixing the current system to promote long-time health and success. 3-facilitating a streamlined process in aging research</t>
  </si>
  <si>
    <t xml:space="preserve">I believe health is most important personally, but society values productiveness over personal health.</t>
  </si>
  <si>
    <t xml:space="preserve">AI/ML for aging &amp; health</t>
  </si>
  <si>
    <t xml:space="preserve">Democratizing longevity (access)</t>
  </si>
  <si>
    <t xml:space="preserve">Ensuring safe research when using human subjects</t>
  </si>
  <si>
    <t xml:space="preserve">G2-002</t>
  </si>
  <si>
    <t xml:space="preserve">Arkansas</t>
  </si>
  <si>
    <t xml:space="preserve">Arkansas, United States</t>
  </si>
  <si>
    <t xml:space="preserve">Your cells dying faster than they can be replaced</t>
  </si>
  <si>
    <t xml:space="preserve">Changing opinions</t>
  </si>
  <si>
    <t xml:space="preserve">Replacing the workforce, as an aging population's most immediate effects would be in the jobs they leave and the economic downturn.</t>
  </si>
  <si>
    <t xml:space="preserve">No, if anything they are actively exacurbating up the issue</t>
  </si>
  <si>
    <t xml:space="preserve">Mental flexibility, ability to have fun, an able body</t>
  </si>
  <si>
    <t xml:space="preserve">Not currently</t>
  </si>
  <si>
    <t xml:space="preserve">Trying to help the next generation</t>
  </si>
  <si>
    <t xml:space="preserve">The third option wouldn't have as much of an impact without the other two already being accomplished, and the second option can indirectly induce the first option</t>
  </si>
  <si>
    <t xml:space="preserve">Reproductive health &amp; longevity</t>
  </si>
  <si>
    <t xml:space="preserve">AI usage, immigration policy, reproductive rights, abortion</t>
  </si>
  <si>
    <t xml:space="preserve">G2-003</t>
  </si>
  <si>
    <t xml:space="preserve">The progressive deterioration of bodily function with time and wear/tear - physically, mentally, and socially.</t>
  </si>
  <si>
    <t xml:space="preserve">Lack of social and financial infrastructure to support aging individuals - the retirement age keeps rising and I think it puts more stress on the elderly.</t>
  </si>
  <si>
    <t xml:space="preserve">Access to healthy food and accessible exercise sources. Key because preventative/lifestyle medicine is the healthiest and most moderate intervention.</t>
  </si>
  <si>
    <t xml:space="preserve">Autonomy, Agility, Flexibility</t>
  </si>
  <si>
    <t xml:space="preserve">Weightlifting, yoga, reading</t>
  </si>
  <si>
    <t xml:space="preserve">i. Lengthening the window of fertility for women, and improving overall fertility; ii. Making therapeutics more accessible to people of all socioeconomic backgrounds; iii. Accelerating the development of therapies and risk prediction, making earlier intervention more possible.</t>
  </si>
  <si>
    <t xml:space="preserve">Because I believe that accessibility when developing medical innovation is very important. I also think ML and AI can help make precision care medicine more affordable for patients in the future.</t>
  </si>
  <si>
    <t xml:space="preserve">Patient anonymity when using ML solutions - especially to prevent insurance rates hiking (illegal).</t>
  </si>
  <si>
    <t xml:space="preserve">G2-004</t>
  </si>
  <si>
    <t xml:space="preserve">The natural course of growing old.</t>
  </si>
  <si>
    <t xml:space="preserve">limited resources and lack of care</t>
  </si>
  <si>
    <t xml:space="preserve">As the aging population is increasing rapidly over the years, there is not enough people nor resources to support them through the rapidly changing world, creating a gap between this population and the younger population. This should be prioritized to create a more cohesive society.</t>
  </si>
  <si>
    <t xml:space="preserve">Telehealth or AI assistants, community engagement activities</t>
  </si>
  <si>
    <t xml:space="preserve">Health, friends, at least one hobby</t>
  </si>
  <si>
    <t xml:space="preserve">Exercise and healthy-ish diet, maintaining social connections, finding a hobby that I practice very often</t>
  </si>
  <si>
    <t xml:space="preserve">i. How to achieve longer and healthier lives through improving infrastructure and technology around reproductive health and longevity.; ii. Making technologies around longevity available to as many communities as possible, not just people with certain race, socioeconomic status, etc.; iii. Using AI to find patterns in data to help target diseases or provide specific resources for certain populations, or to predict risks in different populations, or to help with drug or therapy development.</t>
  </si>
  <si>
    <t xml:space="preserve">I ranked ii first because no developed technology or solutions can help society without making it affordable and accessible for all.</t>
  </si>
  <si>
    <t xml:space="preserve">Again as I mentioned, if technology is only available to some groups and not the others, this raises ethical concerns of separating groups based on their eligibility or whether they can afford to live longer.</t>
  </si>
  <si>
    <t xml:space="preserve">G2-005</t>
  </si>
  <si>
    <t xml:space="preserve">Aging is</t>
  </si>
  <si>
    <t xml:space="preserve">Housing</t>
  </si>
  <si>
    <t xml:space="preserve">Nursing homes are becoming more and more expensive, and thus out of reach for many retirees who need the help. Also, due to the general housing prices, home ownership is not easily obtainable for many adults, who end up renting and often do not have the space to take in their parents.</t>
  </si>
  <si>
    <t xml:space="preserve">Not really</t>
  </si>
  <si>
    <t xml:space="preserve">General mental acuity, hair, good skin</t>
  </si>
  <si>
    <t xml:space="preserve">Skincare (sunscreen, lotions, no products with harsh chemical formulations, etc)</t>
  </si>
  <si>
    <t xml:space="preserve">i) This involves driving structural support through policy, funding, and institutional frameworks to accelerate research and expand access to care that extends reproductive health and functional lifespan; ii) This involves enhancing monetary and physical access to longevity care and health solutions in a way that takes all stakeholder concerns into account from both a policy and research/development perspective; iii) This involves integrating AI tools into existing workflows in order to utilize available data and improve patient outcomes while maintaining physician input and oversight</t>
  </si>
  <si>
    <t xml:space="preserve">From a societal standpoint, democratizing the process allows for more accessible solutions and thus contributes more to general stability. Simply boosting reproductive health and longevity only benefits those with the existing ability to pay and participate in the healthcare system, and a significant portion of individuals would not benefit. It is important to not overlook the significance of expanding care, especially when it is listed (at least in the US) as one of the top voter concerns for the past 10 years.</t>
  </si>
  <si>
    <t xml:space="preserve">When developing solutions for longevity, reproductive health, and AI-driven healthcare, significant ethical considerations emerge around stakeholder power dynamics and equitable access. Because financial backing and institutional authority often skew decision-making toward clinicians, policymakers, and corporations while sidelining patients, it is important to guard against these sorts of injustice by making sure all stakeholders have a voice in the process and ensuring that patient-centric realities are not overridden by administrative efficiency. Additionally, combining machine learning with democratization efforts introduces critical challenges regarding healthspan inequality, especially in terms of algorithmic bias, data privacy and data autonomy, which require careful safeguards to ensure fairness and protect individual privacy across diverse and vulnerable populations.</t>
  </si>
  <si>
    <t xml:space="preserve">G2-006</t>
  </si>
  <si>
    <t xml:space="preserve">endurance through the progression of time</t>
  </si>
  <si>
    <t xml:space="preserve">loneliness</t>
  </si>
  <si>
    <t xml:space="preserve">better standard of living for ALL and not just those who can afford it. should be a priority because of wealth disparity issues</t>
  </si>
  <si>
    <t xml:space="preserve">no</t>
  </si>
  <si>
    <t xml:space="preserve">relationships, physical well-being, contentness</t>
  </si>
  <si>
    <t xml:space="preserve">investing in my retirement account and taking good care of myself</t>
  </si>
  <si>
    <t xml:space="preserve">i) i do not know ii) making developments available to everyone iii) using ai tools to help the aging population directly or using them to make solutions</t>
  </si>
  <si>
    <t xml:space="preserve">because i think we first need to do the most good for the most people, doesn’t matter if that is with or without ai</t>
  </si>
  <si>
    <t xml:space="preserve">so many ethical and legal concerns with the use of ai, especially as it pertains to our social relationships. risk of extreme dependence, model alignment, unethical training and deployment, etc</t>
  </si>
  <si>
    <t xml:space="preserve">G2-007</t>
  </si>
  <si>
    <t xml:space="preserve">Oklahoma</t>
  </si>
  <si>
    <t xml:space="preserve">Oklahoma, United States</t>
  </si>
  <si>
    <t xml:space="preserve">To me, aging is the biological process of human maturation.</t>
  </si>
  <si>
    <t xml:space="preserve">Too large of a dependent population, not enough of an adult population to provide for elders. Also social isolation.</t>
  </si>
  <si>
    <t xml:space="preserve">Social Isolation is the most preventable and should be prioritized.</t>
  </si>
  <si>
    <t xml:space="preserve">In theory there are volunteer programs.</t>
  </si>
  <si>
    <t xml:space="preserve">Health, social life, passion.</t>
  </si>
  <si>
    <t xml:space="preserve">Keeping 10k steps a day and eating healthy(ish), maintaining social connections.</t>
  </si>
  <si>
    <t xml:space="preserve">1. Checking hormonal levels and following the advice of specialized doctors; 2. Enabling public access by removing financial and geographical barriers; 3. Creating algorithms for efficiency in biomedical applications</t>
  </si>
  <si>
    <t xml:space="preserve">I think people are obsessed with all the ways AI can be applied to healthcare, and I think there’s been a rise in concern for reproductive health/vitality. I don’t think democratizing healthcare solutions will ever be a priority within private healthcare (Despite the good it would do).</t>
  </si>
  <si>
    <t xml:space="preserve">Privacy, AI hallucinations and discrimination, financial barriers, etc.</t>
  </si>
  <si>
    <t xml:space="preserve">G2-008</t>
  </si>
  <si>
    <t xml:space="preserve">Greece</t>
  </si>
  <si>
    <t xml:space="preserve">lower endurance, less flexibility, slower responsiveness</t>
  </si>
  <si>
    <t xml:space="preserve">Better health</t>
  </si>
  <si>
    <t xml:space="preserve">Solving the larger fraction of cancers, or at least offering a good life for the patients</t>
  </si>
  <si>
    <t xml:space="preserve">Yes, I hear and read that research is advancing in this</t>
  </si>
  <si>
    <t xml:space="preserve">Hearing, flexibility, sexual arousal</t>
  </si>
  <si>
    <t xml:space="preserve">Leading an active life, exercising, keeping my mind alert</t>
  </si>
  <si>
    <t xml:space="preserve">(i) This is about not only living more but living better. (ii) Offering better health to more and more people. (iii) Make technology really work for improving our lives as we age.</t>
  </si>
  <si>
    <t xml:space="preserve">Because public health is the utmost objective for society while well being is my personal aim</t>
  </si>
  <si>
    <t xml:space="preserve">The obvious ethical questions on AI using our personal health data.</t>
  </si>
  <si>
    <t xml:space="preserve">G2-009</t>
  </si>
  <si>
    <t xml:space="preserve">Slower recevery from injuries</t>
  </si>
  <si>
    <t xml:space="preserve">mobility</t>
  </si>
  <si>
    <t xml:space="preserve">brain power, moving ability</t>
  </si>
  <si>
    <t xml:space="preserve">weights</t>
  </si>
  <si>
    <t xml:space="preserve">global sustainable aging</t>
  </si>
  <si>
    <t xml:space="preserve">Personal view</t>
  </si>
  <si>
    <t xml:space="preserve">equal access</t>
  </si>
  <si>
    <t xml:space="preserve">G2-010</t>
  </si>
  <si>
    <t xml:space="preserve">Attica</t>
  </si>
  <si>
    <t xml:space="preserve">Attica, Greece</t>
  </si>
  <si>
    <t xml:space="preserve">Searching for the energy to do things as opposed to have energy in abundance while young..</t>
  </si>
  <si>
    <t xml:space="preserve">To manage to maintain their quality of life..</t>
  </si>
  <si>
    <t xml:space="preserve">The sense of community and friendship which can erode on various fronts surprisingly fast as we get older in the ‘old’ sense of the term…</t>
  </si>
  <si>
    <t xml:space="preserve">On the contrary, people get increasingly isolated…</t>
  </si>
  <si>
    <t xml:space="preserve">Health, kinship and participation</t>
  </si>
  <si>
    <t xml:space="preserve">Trying to maintain all three..</t>
  </si>
  <si>
    <t xml:space="preserve">i: Living longer without giving up intimacy; ii: Our solutions to be accessible to all; iii: Adopting the newest technologies towards the noted goals…</t>
  </si>
  <si>
    <t xml:space="preserve">My ‘feel’ for them..</t>
  </si>
  <si>
    <t xml:space="preserve">Those who are ‘left behind’..</t>
  </si>
  <si>
    <t xml:space="preserve">G2-011</t>
  </si>
  <si>
    <t xml:space="preserve">It is wonderful aging. You are getting more wise.</t>
  </si>
  <si>
    <t xml:space="preserve">Keep them happy and healthy</t>
  </si>
  <si>
    <t xml:space="preserve">Avoiding loneliness</t>
  </si>
  <si>
    <t xml:space="preserve">It works in smaller communities also through family unity</t>
  </si>
  <si>
    <t xml:space="preserve">Physical health clear mind and communication</t>
  </si>
  <si>
    <t xml:space="preserve">Working although in retirement</t>
  </si>
  <si>
    <t xml:space="preserve">Machine learning and AI to be under control Leaving in an open community.</t>
  </si>
  <si>
    <t xml:space="preserve">Because it's more sentimental approach</t>
  </si>
  <si>
    <t xml:space="preserve">mankind thinking over machine</t>
  </si>
  <si>
    <t xml:space="preserve">I don't think there is much left to discover.</t>
  </si>
  <si>
    <t xml:space="preserve">G2-012</t>
  </si>
  <si>
    <t xml:space="preserve">Aging is the process of becoming an older member of society, which also includes retirement from the job market and, increased health risks.</t>
  </si>
  <si>
    <t xml:space="preserve">Loneliness, finding purpose in life, limited social security benefits</t>
  </si>
  <si>
    <t xml:space="preserve">Loneliness and limited social security must be addressed for the aging population as these are key determinants of health outcomes.</t>
  </si>
  <si>
    <t xml:space="preserve">Not much action</t>
  </si>
  <si>
    <t xml:space="preserve">Empathy, humor, compassion</t>
  </si>
  <si>
    <t xml:space="preserve">Continually doing community service and sharing the importance of it with younger generations</t>
  </si>
  <si>
    <t xml:space="preserve">I. Having increased education for people who can reproduce and how to take care of their bodies after giving birth while also promoting healthy longevity practices for the entire population; II. Making longevity and health solutions public knowledge and allowing it to be accessible by all; Iii. Utilizing AI and machine learning to come up wigr modern solutions and analyze present-day patterns in the aging population</t>
  </si>
  <si>
    <t xml:space="preserve">Longevity and health solutions must be made available to everyone first before we can apply machine learning and AI in my opinion, however, society would likely tend to let AI solve the issues faster without regard to those who may not be able to benefit from AI/ tech based solutions.</t>
  </si>
  <si>
    <t xml:space="preserve">How to test if these interventions are actually viable in a group of aging individuals</t>
  </si>
  <si>
    <t xml:space="preserve">G2-013</t>
  </si>
  <si>
    <t xml:space="preserve">As you get older, your body and mind changes.</t>
  </si>
  <si>
    <t xml:space="preserve">Unaccessible healthcare system</t>
  </si>
  <si>
    <t xml:space="preserve">I think in short term it’s important to build community both within the elderly population but also connecting them to younger people.</t>
  </si>
  <si>
    <t xml:space="preserve">Mental capability, ability to move independently, and my senses</t>
  </si>
  <si>
    <t xml:space="preserve">Continue learning, take care of my body, trying not to remain stagnant, maintain healthy relationships</t>
  </si>
  <si>
    <t xml:space="preserve">Improving reproductive health through research and funding and awareness. Improving accessibility to health solutions that can help the aging population to ensure equal ability to utilize the resources. Use AI to improve robustness for research on health solutions for the elderly</t>
  </si>
  <si>
    <t xml:space="preserve">Specifically female reproductive health is incredibly important and underdeveloped. Next I think it’s incredible important for medical solutions to be equally accessible. I don’t care if AI is used for health solutions as long as they’re being made accurately with human oversight.</t>
  </si>
  <si>
    <t xml:space="preserve">When making medical development it should be certain they will not be used unequally to only improve certain people’s lives in society who have more money or some other privilege, and it’s important it is certain the development is thoroughly tested for everyone.</t>
  </si>
  <si>
    <t xml:space="preserve">G2-014</t>
  </si>
  <si>
    <t xml:space="preserve">I would define aging as a biological process of growing older. Typically, we see physical changes such as wrinkles and grey hair as well as biological changes such as being prone to more diseases.</t>
  </si>
  <si>
    <t xml:space="preserve">That they are more prone to get diseases compared to the younger populations (14-35).</t>
  </si>
  <si>
    <t xml:space="preserve">I would say if there was a way to stabilize or reduce aging, then that would be a potential solution. It should be prioritized because you are getting to the root of the issue rather than tackling other challenges that may just be temporary.</t>
  </si>
  <si>
    <t xml:space="preserve">I think research may be going on, but not sure.</t>
  </si>
  <si>
    <t xml:space="preserve">Being physical (active), good mental health, being social</t>
  </si>
  <si>
    <t xml:space="preserve">Trying to make sure that I do these things while I am young, so that as I age, I should maintain the same habits</t>
  </si>
  <si>
    <t xml:space="preserve">i) Making sure everyone is aware of reproductive health and how it can be maintained; ii) Solving issues using research and technology and making sure that everyone can access and afford it; iii) Using AI to help with tracking changes as humans age as well as potentially coming up with solutions for aging</t>
  </si>
  <si>
    <t xml:space="preserve">I think (ii) is very important because I think that everyone should be able to afford the new solutions that we come up with to help with aging. (iii) is important, but not as important as the other two because I feel like AI is just starting to grow, and I feel as though we should be able to solve problems and track the problems as we used to before AI.</t>
  </si>
  <si>
    <t xml:space="preserve">One ethical consideration is should we consider aging as a disease, or just a natural part of life that we just need to accept?</t>
  </si>
  <si>
    <t xml:space="preserve">G2-015</t>
  </si>
  <si>
    <t xml:space="preserve">Someone’s body and mind slowly growing to a peak point then degrading.</t>
  </si>
  <si>
    <t xml:space="preserve">Healthcare and convenience of things.</t>
  </si>
  <si>
    <t xml:space="preserve">The healthcare should be solved, because a lot of the treatments can prioritize middle-aged people and younger, while the elderly don’t get all the same treatment.</t>
  </si>
  <si>
    <t xml:space="preserve">Not at the moment, but I do not follow healthcare news at all.</t>
  </si>
  <si>
    <t xml:space="preserve">Memories, skills I’ve learned (like playing guitar) and musical knowledge</t>
  </si>
  <si>
    <t xml:space="preserve">Keeping practicing and keeping my mind and body fit</t>
  </si>
  <si>
    <t xml:space="preserve">I. Bringing up the age where it is healthy to reproduce without health problems.; II. Making healthcare affordable and attainable for everyone; III. Using AI and machine learning to help with speeding up medical discoveries</t>
  </si>
  <si>
    <t xml:space="preserve">People would focus most on AI stuff and getting healthcare than reproductive things in my opinion.</t>
  </si>
  <si>
    <t xml:space="preserve">They are humans, so we need to keep that in mind due to everyone being different.</t>
  </si>
  <si>
    <t xml:space="preserve">G2-016</t>
  </si>
  <si>
    <t xml:space="preserve">aging is the act of becoming older. we all are aging by the very second - theres no escaping our evident fate.</t>
  </si>
  <si>
    <t xml:space="preserve">They don't have the needs to find resources to help them medically.</t>
  </si>
  <si>
    <t xml:space="preserve">One challenge is the money for getting medical resources to help them to continue living. It should be prioritized because these are people who love and care about us, and we should care to allow them to continue living for generations more.</t>
  </si>
  <si>
    <t xml:space="preserve">Not that I know of</t>
  </si>
  <si>
    <t xml:space="preserve">Health, wealth, and kindness</t>
  </si>
  <si>
    <t xml:space="preserve">Not at the moment, but I plan to.</t>
  </si>
  <si>
    <t xml:space="preserve">i) Lengthening the time you can have children/reproduce; ii) Have medical resources to live longer be more affordable; iii) Having AI collaborate with medicine to make better machines</t>
  </si>
  <si>
    <t xml:space="preserve">Society's needs versus my needs are different.</t>
  </si>
  <si>
    <t xml:space="preserve">Don't hurt animals, and don't waste the water resources - be sustainable, etc.</t>
  </si>
  <si>
    <t xml:space="preserve">G2-017</t>
  </si>
  <si>
    <t xml:space="preserve">Aging just means getting older and changing over time.</t>
  </si>
  <si>
    <t xml:space="preserve">Healthcare access. Independent living. Socioeconomic status.</t>
  </si>
  <si>
    <t xml:space="preserve">Ensuring financial and economic security.</t>
  </si>
  <si>
    <t xml:space="preserve">No, not at all.</t>
  </si>
  <si>
    <t xml:space="preserve">Physical mobility. Social interaction.</t>
  </si>
  <si>
    <t xml:space="preserve">Yes, I make sure to take care of my health my maintaining a proper diet and exercise regularly. Additionally, I make sure to stay in touch and maintain my relationships with people I’m close with.</t>
  </si>
  <si>
    <t xml:space="preserve">Boosting reproductive health and longevity focuses on improving reproductive health while promoting longer and healthier lives, democratizing longevity science and solutions focuses on making longevity and health solutions more accessible, affordable, and applicable to a wider population, and applying machine learning and AI to aging and health focuses on using AI and machine learning to better understand and predict health outcomes, such as disease risk and progression.</t>
  </si>
  <si>
    <t xml:space="preserve">Based on political and societal beliefs that are present today.</t>
  </si>
  <si>
    <t xml:space="preserve">I think there are ethical considerations we should keep in mind, including protecting patient privacy, making sure the data used to train AI are accurate and representative, and avoiding bias that could lead to differences in health outcomes.</t>
  </si>
  <si>
    <t xml:space="preserve">G2-018</t>
  </si>
  <si>
    <t xml:space="preserve">The process of getting progressively older both mentally and physically.</t>
  </si>
  <si>
    <t xml:space="preserve">Support, Access to care.</t>
  </si>
  <si>
    <t xml:space="preserve">Having better in home health care.</t>
  </si>
  <si>
    <t xml:space="preserve">I think people are talking more about aging populations but there is a lot of talk and not a lot of action.</t>
  </si>
  <si>
    <t xml:space="preserve">Independence, memory, energy</t>
  </si>
  <si>
    <t xml:space="preserve">I am trying to be as healthy as I can be both physically and mentally.</t>
  </si>
  <si>
    <t xml:space="preserve">i Increasing access and knowledge of reproductive health and by addressing factors that influence fertility, pregnancy outcomes, reproductive aging, and long-term health. ii making care more accessible and easy to get for all populations. iii using AI to develop more productive forms of care and ease.</t>
  </si>
  <si>
    <t xml:space="preserve">I think first and foremost access to care is important. Nobody should be struggling to be heard and seen. I think reproductive health is something that women that a lot of people struggle with so its an important concept to consider and promote. AI although it can have a lot of benefits has a lot of potential ethical concerns and things that could go wrong and be detrimental to society.</t>
  </si>
  <si>
    <t xml:space="preserve">Who has access to this, who the AI is trained out, what are the checks to make sure it is giving correct information.</t>
  </si>
  <si>
    <t xml:space="preserve">G2-019</t>
  </si>
  <si>
    <t xml:space="preserve">India</t>
  </si>
  <si>
    <t xml:space="preserve">Aging is growing wisdom, graying of hair and accumulating lots of friends and memories</t>
  </si>
  <si>
    <t xml:space="preserve">Loneliness, lack of caregivers at home and lots of medical bills</t>
  </si>
  <si>
    <t xml:space="preserve">Lack of home-based trusted caregivers; having someone taking care at home who can be fully trusted helps the aging person feel secure and can improve mental well-being</t>
  </si>
  <si>
    <t xml:space="preserve">Home health aide agencies are slowly growing in numbers</t>
  </si>
  <si>
    <t xml:space="preserve">Physical fitness, mental well-being and social support (friends)</t>
  </si>
  <si>
    <t xml:space="preserve">Regular exercise, meditation and social engagement</t>
  </si>
  <si>
    <t xml:space="preserve">(i) - identification of various ways to improve fertility; (ii) - having accessible and affordable healthcare and fitness options to all income groups; (iii) - identification of health anomalies using fitness tracking devices and wellness check-ups data can help with building proactive measures to prevent big health incidents</t>
  </si>
  <si>
    <t xml:space="preserve">I value longevity &amp; health solutions as well as understand the value of data-backed solutions</t>
  </si>
  <si>
    <t xml:space="preserve">Human consent in solutions should be of highest value; privacy intrusion should be avoided</t>
  </si>
  <si>
    <t xml:space="preserve">G2-020</t>
  </si>
  <si>
    <t xml:space="preserve">I think aging is defined as growing up mentally and taking on more responsibilities without the help of an adult.</t>
  </si>
  <si>
    <t xml:space="preserve">Interacting with the younger population.</t>
  </si>
  <si>
    <t xml:space="preserve">Extending life expectancy</t>
  </si>
  <si>
    <t xml:space="preserve">Yes, I feel like many innovations are out there at making quality of life and extending life.</t>
  </si>
  <si>
    <t xml:space="preserve">Quality of life, ability to drive, ability to communicate</t>
  </si>
  <si>
    <t xml:space="preserve">Exercise and eating well</t>
  </si>
  <si>
    <t xml:space="preserve">Bioengineering</t>
  </si>
  <si>
    <t xml:space="preserve">AI is becoming more prevalent and important</t>
  </si>
  <si>
    <t xml:space="preserve">How much should AI know and learn from</t>
  </si>
  <si>
    <t xml:space="preserve">G2-021</t>
  </si>
  <si>
    <t xml:space="preserve">Experiencing the passing of time.</t>
  </si>
  <si>
    <t xml:space="preserve">General health</t>
  </si>
  <si>
    <t xml:space="preserve">I think diet should be solved in the near future. It should be a priority because of how fundamental it is, and low cost.</t>
  </si>
  <si>
    <t xml:space="preserve">Mobility, Energy, Cognition</t>
  </si>
  <si>
    <t xml:space="preserve">Regular exercise, moderate diet.</t>
  </si>
  <si>
    <t xml:space="preserve">i) Increasing the window that people can have healthy kids in.; ii) Lowering the barrier to knowledge and healthcare resources.; iii) Using large datasets to understand our own health trajectories, and customize solutions.</t>
  </si>
  <si>
    <t xml:space="preserve">I am concerned about population aging/decline. And I think access is generally a consequence of other inequalities, so see it as an inefficient focus.</t>
  </si>
  <si>
    <t xml:space="preserve">Embryonic research, gene modification</t>
  </si>
  <si>
    <t xml:space="preserve">G2-022</t>
  </si>
  <si>
    <t xml:space="preserve">The process of getting older</t>
  </si>
  <si>
    <t xml:space="preserve">Lack of support</t>
  </si>
  <si>
    <t xml:space="preserve">Health care for all needs to be prioritized because everyone deserves health.</t>
  </si>
  <si>
    <t xml:space="preserve">Not in current political climate unfortunately</t>
  </si>
  <si>
    <t xml:space="preserve">Health, happiness, independence</t>
  </si>
  <si>
    <t xml:space="preserve">Exercise, nutrition, sleep, limit alcohol intake, go to the doctor, rest</t>
  </si>
  <si>
    <t xml:space="preserve">(I) protecting access to reproductive health care and improving education surrounding reproductive health; (II) health care access to all, including preventative; (III) using artificial intelligence to make predictions and solutions for health and longevity</t>
  </si>
  <si>
    <t xml:space="preserve">I think reproductive health care is incredibly important in the present moment as well as the future and it is currently under threat. I similarly believe equal health care access is incredibly important. I am more skeptical of AI usage due to possible data breaches and lack of addressing systemic issues.</t>
  </si>
  <si>
    <t xml:space="preserve">AI usage, privacy, data, emphasis on choice</t>
  </si>
  <si>
    <t xml:space="preserve">G2-023</t>
  </si>
  <si>
    <t xml:space="preserve">Getting older and growing.</t>
  </si>
  <si>
    <t xml:space="preserve">chemicals in food and air</t>
  </si>
  <si>
    <t xml:space="preserve">same as above</t>
  </si>
  <si>
    <t xml:space="preserve">my athletic health, good joints, strong muscles</t>
  </si>
  <si>
    <t xml:space="preserve">yes, eat healthy and exercise</t>
  </si>
  <si>
    <t xml:space="preserve">Making more babies, making healthier people, using AI</t>
  </si>
  <si>
    <t xml:space="preserve">seemed appropriate</t>
  </si>
  <si>
    <t xml:space="preserve">the AI part, and genetically modifying a baby</t>
  </si>
  <si>
    <t xml:space="preserve">G2-024</t>
  </si>
  <si>
    <t xml:space="preserve">Aging is when you physically begin to undergo changes over time.</t>
  </si>
  <si>
    <t xml:space="preserve">Healthcare loneliness depression</t>
  </si>
  <si>
    <t xml:space="preserve">Loneliness is an issue that would help our aging population. We need community based activities to help them socially, emotionally and mentally.</t>
  </si>
  <si>
    <t xml:space="preserve">Not that I know of beyond private elder care centers which are very costly and prohibitive.</t>
  </si>
  <si>
    <t xml:space="preserve">Mental and physical health community,</t>
  </si>
  <si>
    <t xml:space="preserve">Exercising spending time with family and friends book club</t>
  </si>
  <si>
    <t xml:space="preserve">Increasing longevity by supporting reproductive health. Healthcare access without barriers to increase longevity. Using AI to increase longevity.</t>
  </si>
  <si>
    <t xml:space="preserve">I am somewhat skeptical of AI taking over too much.</t>
  </si>
  <si>
    <t xml:space="preserve">I think we have to always consider the moral and ethical ramifications of all decisions. We need to put ethics above profit.</t>
  </si>
  <si>
    <t xml:space="preserve">G2-025</t>
  </si>
  <si>
    <t xml:space="preserve">Bolivia</t>
  </si>
  <si>
    <t xml:space="preserve">The advancement and degradation of one’s mind and body over time.</t>
  </si>
  <si>
    <t xml:space="preserve">Support systems, familial care, poor structures</t>
  </si>
  <si>
    <t xml:space="preserve">Improving familial access to support systems. De privatizing geriatric housing and support systems.</t>
  </si>
  <si>
    <t xml:space="preserve">Not really.</t>
  </si>
  <si>
    <t xml:space="preserve">Autonomy, happiness, family</t>
  </si>
  <si>
    <t xml:space="preserve">Investment in late life funds and being close with my family.</t>
  </si>
  <si>
    <t xml:space="preserve">Improving our ability to make families and sustain those systems to sustain us. Making the systems of support we require amendable through our voice and needs. Allowing modern systems to address modern problems in geriatric healthcare.</t>
  </si>
  <si>
    <t xml:space="preserve">Our structural systems of support at difficult times in our lives are paramount to keeping and sustaining ourselves and society. Reproductive health and longevity are also increasingly important to facilities structural systems are not over strained in the first place. And machine learning is useful but only secondarily to the foundational structures that are the other two answers.</t>
  </si>
  <si>
    <t xml:space="preserve">Making sure that democratizing accounts for more than just opinion and actually has some merit via representatives or other similar function.</t>
  </si>
  <si>
    <t xml:space="preserve">G2-026</t>
  </si>
  <si>
    <t xml:space="preserve">The slow or rapid deterioration of something over time.</t>
  </si>
  <si>
    <t xml:space="preserve">Accessibility, mobility, memory/brain health</t>
  </si>
  <si>
    <t xml:space="preserve">I think dementia should be solved in the near future as it's a heartbreaking and very challenging subject for many people.</t>
  </si>
  <si>
    <t xml:space="preserve">Not too much progress but it's defiently a problem I hear about a lot</t>
  </si>
  <si>
    <t xml:space="preserve">Mental health, family/friends, physical health/agility</t>
  </si>
  <si>
    <t xml:space="preserve">Stretch and stay fit, try to learn new things actively.</t>
  </si>
  <si>
    <t xml:space="preserve">(i) Taking care of your body and habits.; (ii) Making healthcare and options for longetivy health more accessible and affordable; (iii) Making use of modern technology to benefit society as a whole in terms of healthcare.</t>
  </si>
  <si>
    <t xml:space="preserve">I ranked them this way because I believe that democratizing longevity for all is most important, as is boosting reproductive health and longevity. I think AI can be leveraged and already is in healthcare but I think as that's a newer topic it is of less importance at current.</t>
  </si>
  <si>
    <t xml:space="preserve">That machine learning and AI being used for the good of all people not just those who can afford it. (if possible)</t>
  </si>
  <si>
    <t xml:space="preserve">G2-027</t>
  </si>
  <si>
    <t xml:space="preserve">Growing older but not up!</t>
  </si>
  <si>
    <t xml:space="preserve">Access to affordable healthcare</t>
  </si>
  <si>
    <t xml:space="preserve">Sadly we seem to be going in the opposite direction</t>
  </si>
  <si>
    <t xml:space="preserve">Mobility, health, independence</t>
  </si>
  <si>
    <t xml:space="preserve">Daily exercise</t>
  </si>
  <si>
    <t xml:space="preserve">1. Boosting repressive; 2. Boosting access; 3. Boosting quality diagnostics</t>
  </si>
  <si>
    <t xml:space="preserve">We don’t need more people just healthier happier ones</t>
  </si>
  <si>
    <t xml:space="preserve">Equitable access</t>
  </si>
  <si>
    <t xml:space="preserve">G2-028</t>
  </si>
  <si>
    <t xml:space="preserve">Repairing of cells/DNA slows compared to their damage / death and thisa lowly leads to aging effect across years.</t>
  </si>
  <si>
    <t xml:space="preserve">Loneliness, healthcare</t>
  </si>
  <si>
    <t xml:space="preserve">Affordability for long term care is a major problem, combination of health costs + loneliness drives depression in aging population who have given a lot to their country and community</t>
  </si>
  <si>
    <t xml:space="preserve">Not really, if anything healthcare is getting rolled back</t>
  </si>
  <si>
    <t xml:space="preserve">Fitness, values, connection with friends and family</t>
  </si>
  <si>
    <t xml:space="preserve">Athlete; for the other two I am always trying to stay in touch with family and friends and check in regularly</t>
  </si>
  <si>
    <t xml:space="preserve">1. Creating longer time period where reproduction is possible without complications 2. Creating a system that allows for individuals to live longer healthier lives without paying thousands or millions of dollars to private companies 3. Training models to better understand human biology</t>
  </si>
  <si>
    <t xml:space="preserve">Extending human life and preventing or completely curing disease would be extremely beneficial to humanity</t>
  </si>
  <si>
    <t xml:space="preserve">What human data are these models being trained on? How is it collection being regulated? How are models being regulated?</t>
  </si>
  <si>
    <t xml:space="preserve">G2-029</t>
  </si>
  <si>
    <t xml:space="preserve">Biological aging is the accumulation of systemic damage as an organism lives.</t>
  </si>
  <si>
    <t xml:space="preserve">independence</t>
  </si>
  <si>
    <t xml:space="preserve">Mobility degradation as well asthe lack of opportunities for community building.</t>
  </si>
  <si>
    <t xml:space="preserve">Memory, Autonomy, Relationships.</t>
  </si>
  <si>
    <t xml:space="preserve">Exercise, brain stimulation (like reading and stuff), and maintaining relationships in the present.</t>
  </si>
  <si>
    <t xml:space="preserve">Improving longevity for the maximal majority of society in both diagnostic and repventative capacities.</t>
  </si>
  <si>
    <t xml:space="preserve">Because I felt like generalizability and preventative capacity is more important than longevity (increased lifespan but not necesarilly healthspan).</t>
  </si>
  <si>
    <t xml:space="preserve">There should be equitable distribution of these agin solutions without excessive cost/ sacrifice from any particular group.</t>
  </si>
  <si>
    <t xml:space="preserve">G2-030</t>
  </si>
  <si>
    <t xml:space="preserve">Gradual degradation of the biological processes that keep use alive</t>
  </si>
  <si>
    <t xml:space="preserve">Social security insolvency</t>
  </si>
  <si>
    <t xml:space="preserve">Social security is running out of money, and seniors often have no other means of buying food, fuel, and housing. Americans often don’t have pensions and increasingly can’t afford to save for retirement.</t>
  </si>
  <si>
    <t xml:space="preserve">The ability to pick something off of a high shelf, jump, and stand up off the ground without assistance</t>
  </si>
  <si>
    <t xml:space="preserve">Regular exercise</t>
  </si>
  <si>
    <t xml:space="preserve">1) Making it possible for people to start families later in life; 2) Making geriatric care available through Medicare; 3) Using algorithms to predict health outcomes on an individual level</t>
  </si>
  <si>
    <t xml:space="preserve">Keeping aging populations self sufficient reduces the load on social programs, allowing families to wait longer to start a family improves the economic outlook for that family, we’re already decent at predicting disease outcomes</t>
  </si>
  <si>
    <t xml:space="preserve">Providing ai systems with personal health information will give insurance companies the ability to quantify an individuals risk of developing expensive conditions, and even predict when an individual is likely to experience symptoms. This could enable surge pricing for healthcare if Aetna’s AI predicts a person is desperate.</t>
  </si>
  <si>
    <t xml:space="preserve">G2-031</t>
  </si>
  <si>
    <t xml:space="preserve">the process of time related changes to the body and mind that result in a decline in health</t>
  </si>
  <si>
    <t xml:space="preserve">mental health struggles specifically due to grief of losing partners/friends/family and the effects of isolation combined with the stress of ones health declining</t>
  </si>
  <si>
    <t xml:space="preserve">same issue as above - mental health care and grief/isolation support. elderly adults have the highest rates of suicide and its crucial its addressed.</t>
  </si>
  <si>
    <t xml:space="preserve">i am not too familiar with specific actions being taken to address this problem</t>
  </si>
  <si>
    <t xml:space="preserve">mobility, positive outlook on life, strong relationships with people around me</t>
  </si>
  <si>
    <t xml:space="preserve">trying to stay active and eat a diet that helps with bone health/density, trying to find different things to look forward to as i get to different ages/stages of my life, keeping in touch with the people around me</t>
  </si>
  <si>
    <t xml:space="preserve">1 - improving ones ability to reproduce and trying to extend lifespans 2 - making resources and treatments to life a healthier life more easily attainable to the general public 3 - using AI to gather and analyze health data to predict future health outcomes and give more tailored health resolutions</t>
  </si>
  <si>
    <t xml:space="preserve">i think 2 is the most widely applicable and beneficial to people, 1 can heavily vary in importance especially as less people are having children and therefore aren't as concerned with their reproductive health, 3 can also heavily vary as there are many concerns with AI and a lot of differing opinions on its benefit/lack of benefit to society</t>
  </si>
  <si>
    <t xml:space="preserve">privacy concerns for individuals health data and biased research/leaving out and lacking research on certain groups of people. this is already an issue with many genetic/ancestry testing services as they seriously under represent certain demographics and have a disproportionate amount of data on those of european descent</t>
  </si>
  <si>
    <t xml:space="preserve">G2-032</t>
  </si>
  <si>
    <t xml:space="preserve">The process of passing through time and the associated decaying of the body</t>
  </si>
  <si>
    <t xml:space="preserve">The impending demographic cliff. Not enough young workers to pay for their pensions</t>
  </si>
  <si>
    <t xml:space="preserve">Have more babies?</t>
  </si>
  <si>
    <t xml:space="preserve">Memory, mobility, general cognitive function</t>
  </si>
  <si>
    <t xml:space="preserve">Exercising, reading</t>
  </si>
  <si>
    <t xml:space="preserve">1. Increasing the functionality and useful life of one’s sexual organs; 2. Subsidizing and/or streamlining the healthcare system; 3. Innovating in healthcare</t>
  </si>
  <si>
    <t xml:space="preserve">Based on the rate of technological growth, I think the medical tech we have in 20-50 years compared to what we have today will seem like science fiction. For that reason, it is much more in societies interest to rapidly innovate before anything else, in other words, new medical technology will be cheaper and more effective. Secondly, making healthcare more available to the public is important now more than ever because of how unaffordable it is to the everyday person. Things like providence healthcare shutting down are concerning. Finally, reproductive longevity is important, but I think that historically speaking the idea of having kids as late as 45-50 is unheard of. I think the issue of sexual longevity has largely been solved.</t>
  </si>
  <si>
    <t xml:space="preserve">I think healthcare needs to be made more affordable and accessible, but in doing so we need to tread carefully as to not create a bloated social state.</t>
  </si>
  <si>
    <t xml:space="preserve">What is a bioengineer?!</t>
  </si>
  <si>
    <t xml:space="preserve">G2-033</t>
  </si>
  <si>
    <t xml:space="preserve">Biological and/or functional changes developing over time due to age</t>
  </si>
  <si>
    <t xml:space="preserve">Shortage in Healthcare</t>
  </si>
  <si>
    <t xml:space="preserve">Decline in clinical support such as caregivers and Healthcare workers</t>
  </si>
  <si>
    <t xml:space="preserve">Maybe but havent heard much</t>
  </si>
  <si>
    <t xml:space="preserve">Eye Sight; Mobility; Strength/Balance</t>
  </si>
  <si>
    <t xml:space="preserve">Exercise, healthy diet, and management in digital screens/devices</t>
  </si>
  <si>
    <t xml:space="preserve">Boosting fertility, balancing hormones, and protecting reproductive organs to maintain vitality and delay age-related decline.; Ensuring advanced life-extension treatments and preventative healthcare are affordable and fairly distributed to everyone worldwide.; Applying advanced computing and AI to analyze biological data, predict personal disease risks, track aging, and provide personalized medical solutions.</t>
  </si>
  <si>
    <t xml:space="preserve">Nowadays AI seems like a modern way and focus people are approaching to solve and diagnose as a society. Whereas as an individual, I would approach the long, but effective way to result in affordablility and effectiveness</t>
  </si>
  <si>
    <t xml:space="preserve">Specifically, AI needs to be monitored and fact checked due to ensuring that results, tests, and observations are taken accurately and effectively. Not just take the approach because of its moderization</t>
  </si>
  <si>
    <t xml:space="preserve">G2-034</t>
  </si>
  <si>
    <t xml:space="preserve">Indiana</t>
  </si>
  <si>
    <t xml:space="preserve">Indiana, United States</t>
  </si>
  <si>
    <t xml:space="preserve">Getting older as time progresses</t>
  </si>
  <si>
    <t xml:space="preserve">High dependency ratio, social security,</t>
  </si>
  <si>
    <t xml:space="preserve">High healthcare costs and preventative healthcare; boosting health span, not just heart span</t>
  </si>
  <si>
    <t xml:space="preserve">Not really? I’m around teenagers most of the time.</t>
  </si>
  <si>
    <t xml:space="preserve">Physical flexibility, heart health, open mind</t>
  </si>
  <si>
    <t xml:space="preserve">Talking with different people about different issues (where it’s safe, obviously) and dancing and stretching</t>
  </si>
  <si>
    <t xml:space="preserve">I. Making sure people live long healthy lives; Ii. Making healthcare solutions accessible for all, not having a monopoly on resources; Iii. Working towards more efficient, automated systems in healthcare</t>
  </si>
  <si>
    <t xml:space="preserve">Access to healthcare is important; efficiency and accuracy is important too; the US at least has a relatively good lifespan already (unless you are talking about the whole world)</t>
  </si>
  <si>
    <t xml:space="preserve">Making sure to keep data secure, technology increasingly advanced and safe, and maintaining autonomy</t>
  </si>
  <si>
    <t xml:space="preserve">G2-035</t>
  </si>
  <si>
    <t xml:space="preserve">Aging is a physiological process. There is a slow progression of muscle loss, bone loss and feeling low on energy with also a noticeable memory deficit.</t>
  </si>
  <si>
    <t xml:space="preserve">Taking proper care of ourselves due to busy schedules</t>
  </si>
  <si>
    <t xml:space="preserve">Not having enough time to relax and rejuvenate. The world needs to slow down and reduce the competition. This is needed for overall physical and mental wellbeing.</t>
  </si>
  <si>
    <t xml:space="preserve">Good health, mental peace and financial stability</t>
  </si>
  <si>
    <t xml:space="preserve">Taking breaks, spending time with friends and family. Spiritually</t>
  </si>
  <si>
    <t xml:space="preserve">No answer</t>
  </si>
  <si>
    <t xml:space="preserve">I feel so</t>
  </si>
  <si>
    <t xml:space="preserve">Overall implications on the wellbeing of the planet and the ecosystem should be studied</t>
  </si>
  <si>
    <t xml:space="preserve">G2-036</t>
  </si>
  <si>
    <t xml:space="preserve">Aging is the process of the biological changes that occur in the body over time, leading to changes in physical function. These changes can reduce the body’s ability to repair itself, maintain homeostasis, and respond to stress.</t>
  </si>
  <si>
    <t xml:space="preserve">Social isolation and loneliness, Chronic illness and disability, Access to affordable and quality healthcare</t>
  </si>
  <si>
    <t xml:space="preserve">I think access to affordable and quality healthcare should be prioritized, because aging often comes with more complex healthcare needs. Improving access could help older adults maintain their independence and quality of life while reducing the burden on families and caregivers.</t>
  </si>
  <si>
    <t xml:space="preserve">Yes. Telehealth, home-based healthcare, and programs that expand access to preventive and primary care are being developed to make healthcare more accessible for older adults. However, gaps in affordability, technology access, and availability of care still remain.</t>
  </si>
  <si>
    <t xml:space="preserve">Physical and mental health, Independence, Strong relationships and connections</t>
  </si>
  <si>
    <t xml:space="preserve">I’m staying active, prioritizing my health, and maintaining strong relationships with family and friends. I also want to build healthy habits now that will help me stay independent and engaged as I age.</t>
  </si>
  <si>
    <t xml:space="preserve">(i) Improving reproductive health and developing approaches that support healthy reproductive function and well-being across the lifespan.; (ii) Making advances in longevity and healthy aging accessible, affordable, and applicable to people across different populations and backgrounds, having policies that support affordability.; (iii) Using AI and ML to predict health risks, understand disease progression, and enable more personalized approaches to healthy aging.</t>
  </si>
  <si>
    <t xml:space="preserve">public health policy, accessibility and affordability is what makes an impact on the aging population, followed by research and medical care and then optimizing that using AI.</t>
  </si>
  <si>
    <t xml:space="preserve">Equitable access and affordability, Bias and fairness in AI and medical research</t>
  </si>
  <si>
    <t xml:space="preserve">G2-037</t>
  </si>
  <si>
    <t xml:space="preserve">Natural biological processes that happen while growing.</t>
  </si>
  <si>
    <t xml:space="preserve">Medical care</t>
  </si>
  <si>
    <t xml:space="preserve">More funding into research for medical conditions that affect the aging population. Especially neurological diseases (dementia).</t>
  </si>
  <si>
    <t xml:space="preserve">Not seeing much. The most recent study I remember is the accumulation of microplastics’ effect on the brain.</t>
  </si>
  <si>
    <t xml:space="preserve">Health, happiness, wealth.</t>
  </si>
  <si>
    <t xml:space="preserve">Nothing I am currently doing.</t>
  </si>
  <si>
    <t xml:space="preserve">(i) Helping people to safely have children later in life; (ii) Putting in place good lasting healthcare systems; (iii) Utilizing new technologies to progress the medical field</t>
  </si>
  <si>
    <t xml:space="preserve">Reproductive and women’s health is important to me. Long standing health care changes are good for society as a whole. And I put AI last because there needs to be a lot of regulations set in place before it can be fully trusted in the medical field.</t>
  </si>
  <si>
    <t xml:space="preserve">AI regulations to ensure confidentiality in healthcare is preserved (HIPAA)</t>
  </si>
  <si>
    <t xml:space="preserve">G2-038</t>
  </si>
  <si>
    <t xml:space="preserve">Aging is the gradual evolution of a person over time, gaining maturity and experience on the mental and behavioural side, while physical capabilities may eventually lose some of their vigour and strength, with mobility and perception slowly declining</t>
  </si>
  <si>
    <t xml:space="preserve">Staying motivated and socially engaged; maintaining independence at home; coping with progressive cognitive impairment; access to adequate care and assistance.</t>
  </si>
  <si>
    <t xml:space="preserve">Supporting care at home should be a priority, because it allows older adults to keep their independence and quality of life, and it eases the pressure on families and care services. Assistive technologies, such as robotic aids and smart home systems, could play an important role in addressing this in the near future.</t>
  </si>
  <si>
    <t xml:space="preserve">There is a growing number of research initiatives in assistive technologies and home care, some of them with promising results. However, the broader system, including insurance policies, public funding and state priorities, is not yet supportive enough to progressively bring such solutions into everyday use; so the translational gap remains immense.</t>
  </si>
  <si>
    <t xml:space="preserve">1) Cognitive skills; 2) Physical health, with only gradual degradation of physical condition; 3) Most importantly, health and love within my family.</t>
  </si>
  <si>
    <t xml:space="preserve">Offering a lot of time to my family and kids, priority one in my daily schedule, career comes next, with sacrifices. Trying to apply good health practices (not always possible, trying my best). Staying intellectually active through academic work and research.</t>
  </si>
  <si>
    <t xml:space="preserve">(i) Supporting people in a healthy way of life, helping them in their effort to create a family and find meaning in their lives.; (ii) Making health solutions available to everyone.; (iii) Using advanced technologies for the public good, to provide better health care.</t>
  </si>
  <si>
    <t xml:space="preserve">Family and a healthy, meaningful life come first; health solutions must then be available to everyone; advanced technologies are the means to get there. What is good for individual prosperity, health and happiness is good for the society.</t>
  </si>
  <si>
    <t xml:space="preserve">Safety (critical systems); user acceptance; privacy and data protection; transparency; human control over all levels of decision and action of the systems.</t>
  </si>
  <si>
    <t xml:space="preserve">G2-039</t>
  </si>
  <si>
    <t xml:space="preserve">I would define aging as the process that occurs when someone gets older. As a result of this, their organs start to deteriorate and so does their memory of things happening.</t>
  </si>
  <si>
    <t xml:space="preserve">Disease, Income, Support system</t>
  </si>
  <si>
    <t xml:space="preserve">I think that a challenge that should be solved is the lack of responses in underprivileged community. In the modern day and age that we live in, the problem of not having distributed resources should not be something that people have to seek out and is a reason they cannot have proper care.</t>
  </si>
  <si>
    <t xml:space="preserve">I think that the government needs to take action and promote more resources.</t>
  </si>
  <si>
    <t xml:space="preserve">Friends, family, happiness</t>
  </si>
  <si>
    <t xml:space="preserve">I try to not get hung up on the little things that make my day bad so that it’s more enjoyable overall.</t>
  </si>
  <si>
    <t xml:space="preserve">i) Boosting reproductive health is educating the community about actions they can take to stay healthy and feel comfortable in their own bodies.; ii) Promoting health resources in the community that will help to support the lifespans of humans.; iii) Developing more modern day solutions and technology for individuals in underserved areas for example to maintain healthy practices.</t>
  </si>
  <si>
    <t xml:space="preserve">I ranked this way because I feel that today people are more focused on developing the latest and high tech tool instead of making sure underprivileged communities get that same access as others.</t>
  </si>
  <si>
    <t xml:space="preserve">With AI, privacy is definitely a big ethical concern.</t>
  </si>
  <si>
    <t xml:space="preserve">G2-040</t>
  </si>
  <si>
    <t xml:space="preserve">Aging is a natural process in which our bodies and minds gradually change over time. I think healthy aging means being able to maintain independence and a good quality of life as we get older</t>
  </si>
  <si>
    <t xml:space="preserve">Chronic illness, loss of independence, healthcare costs</t>
  </si>
  <si>
    <t xml:space="preserve">Preventing and better managing chronic diseases should be prioritized because conditions like diabetes can affect many aspects of health as people age. Earlier prevention and better long-term management can help people stay healthier and independent for longer.</t>
  </si>
  <si>
    <t xml:space="preserve">Yes. I see more emphasis on preventive care, wellness programs, home-based care, and technologies that allow people to monitor their health.</t>
  </si>
  <si>
    <t xml:space="preserve">Physical health, independence, cognitive function</t>
  </si>
  <si>
    <t xml:space="preserve">I try to stay active, make healthier food choices, monitor my health, keep up with regular medical care, and manage my diabetes so I can reduce the risk of complications as I get older.</t>
  </si>
  <si>
    <t xml:space="preserve">(i) Boosting reproductive health and longevity means helping people maintain healthy reproductive function for longer and improving options for age-related fertility challenges.; (ii) Democratizing longevity science means making healthy-aging discoveries and treatments affordable and accessible to everyone, not just people who can afford expensive care.; (iii) Applying AI to aging means using technology and health information to detect disease earlier, predict health risks, and provide more personalized care.</t>
  </si>
  <si>
    <t xml:space="preserve">I am especially interested in technologies that can help identify health risks earlier and improve the management of chronic conditions. At the same time, I think these advances need to be affordable and accessible so that everyone can benefit from them</t>
  </si>
  <si>
    <t xml:space="preserve">Privacy of medical information, affordability, and making sure people understand how their health information is being used.</t>
  </si>
  <si>
    <t xml:space="preserve">G2-041</t>
  </si>
  <si>
    <t xml:space="preserve">I see aging as the gradual decline in the body's ability to recover, repair itself, and function as efficiently as it did when younger. The goal should be to slow that decline and remain healthy for as long as possible.</t>
  </si>
  <si>
    <t xml:space="preserve">Cognitive decline, healthcare burden, reduced mobility</t>
  </si>
  <si>
    <t xml:space="preserve">I think preventing chronic diseases should be one of our highest priorities. Conditions such as cardiovascular disease, diabetes, and dementia can greatly affect both lifespan and quality of life, so identifying risks earlier could have a major impact.</t>
  </si>
  <si>
    <t xml:space="preserve">Yes. AI-based diagnostic tools, and personalized medicine are increasingly being used to identify risks and intervene earlier.</t>
  </si>
  <si>
    <t xml:space="preserve">Physical strength, cognitive ability, independence</t>
  </si>
  <si>
    <t xml:space="preserve">I plan to stay physically active, maintain a healthy weight and diet, monitor important health indicators, get regular checkups, and continue challenging myself mentally.</t>
  </si>
  <si>
    <t xml:space="preserve">(i) Boosting reproductive health and longevity means using advances in medicine and biology to preserve reproductive health and fertility for a longer portion of a person's life.; (ii) Democratizing longevity science means ensuring that advances that help people live healthier and longer lives are scalable, affordable, and available across different populations.; (iii) Applying AI to aging means analyzing health and biological data to predict disease, identify patterns humans may miss, and develop more individualized prevention and treatment strategies.</t>
  </si>
  <si>
    <t xml:space="preserve">For me, AI is especially interesting because earlier prediction and personalized prevention could change how we manage health as we age. For society, I put accessibility first because even the best technology has limited value if large parts of the population cannot benefit from it.</t>
  </si>
  <si>
    <t xml:space="preserve">Data privacy and security, accuracy of AI predictions, potential bias, informed consent, and making sure technology supports rather than replaces appropriate human medical judgment.</t>
  </si>
  <si>
    <t xml:space="preserve">G2-042</t>
  </si>
  <si>
    <t xml:space="preserve">Aging is the deterioration of cells over time due to the shorting of telomeres every time a cell duplicates thus leading to aging</t>
  </si>
  <si>
    <t xml:space="preserve">Dementia, lack of care, STIs</t>
  </si>
  <si>
    <t xml:space="preserve">Proper care for the elderly, as many nursing homes do not treat some with respect and dignity just because they are nearing the end of their life.</t>
  </si>
  <si>
    <t xml:space="preserve">Not really but I also haven’t been looking</t>
  </si>
  <si>
    <t xml:space="preserve">My memories, my physical capabilities, my ability to enjoy food</t>
  </si>
  <si>
    <t xml:space="preserve">I) promoting better lifestyle to have healthy reproductive cells as well as safe sex; II)ability for all of society to have access healthcare by implementing public health policies; III)training ai in order to detect diseases that pop up during aging</t>
  </si>
  <si>
    <t xml:space="preserve">I ranked them this way because I believe that the most beneficial thing for everyone is affordable healthcare as everyone has the right to live a healthy life and not choose between death or debt. I think application of ai would be good for society as sooner recognition of diseases that become deadly later on would save a lot of lives.</t>
  </si>
  <si>
    <t xml:space="preserve">G2-043</t>
  </si>
  <si>
    <t xml:space="preserve">Switzerland</t>
  </si>
  <si>
    <t xml:space="preserve">just the process of getting older!</t>
  </si>
  <si>
    <t xml:space="preserve">financial risk related to longevity risk</t>
  </si>
  <si>
    <t xml:space="preserve">healthcare!</t>
  </si>
  <si>
    <t xml:space="preserve">good health (physical, mental, financial)</t>
  </si>
  <si>
    <t xml:space="preserve">working on it everyday</t>
  </si>
  <si>
    <t xml:space="preserve">Boosting reproductive health and longevity; Advancing scientific, medical, and lifestyle strategies that improve reproductive health while extending healthy lifespan and overall well-being across the life course.; Democratizing longevity science and solutions; Ensuring that evidence-based longevity innovations, technologies, and healthcare interventions are accessible, affordable, and effective for diverse populations worldwide.; Applying machine learning and artificial intelligence to aging and health; Leveraging AI and machine learning to analyze complex health data, predict disease risk and progression, and enable personalized, preventive, and precision approaches to healthy aging.</t>
  </si>
  <si>
    <t xml:space="preserve">best ranking</t>
  </si>
  <si>
    <t xml:space="preserve">cost of healthcare</t>
  </si>
  <si>
    <t xml:space="preserve">G2-044</t>
  </si>
  <si>
    <t xml:space="preserve">North Carolina</t>
  </si>
  <si>
    <t xml:space="preserve">North Carolina, United States</t>
  </si>
  <si>
    <t xml:space="preserve">losing capacities- right now physical- I have 3 chronic conditions: rheumatoid arthritis, bronchiectasis and kidney disease</t>
  </si>
  <si>
    <t xml:space="preserve">lack of family caregivers</t>
  </si>
  <si>
    <t xml:space="preserve">insufficient pool of health service workers for in home care</t>
  </si>
  <si>
    <t xml:space="preserve">mobility, independence, mental acuity</t>
  </si>
  <si>
    <t xml:space="preserve">considering enrolling in Envisage, an independent living program providing support with guaranteed entrance to retirement home if needed.. enrolling in JCC &amp; municipal exercise &amp; physical training programs</t>
  </si>
  <si>
    <t xml:space="preserve">reproductive health &amp; longevity: low fertility may be an adaptive response to an emerging world in which AI makes human labor of decreasing value. longevity: If our circumstances aren't too dire, most of us would rather live longer providing quality of life doesn't degrade too far. AI: AI is a problem for younger people and likely to lead to dystopia under capitalism, for us elderly it will probably be beneficial.</t>
  </si>
  <si>
    <t xml:space="preserve">The crucial issue for society lies in democratizing the benefits of AI &amp; tech so that meaning and sustenance are preserved as labor loses most of its value. Having more of us living longer in meager degrading conditions is of little benefit.</t>
  </si>
  <si>
    <t xml:space="preserve">See earlier answers- Our society is in the process of bi-furcating into .1% ownership of capital where the value of labor is tending toward zero. I don't find this acceptable and solving this social/economic problem is our most crucial challenge. Sure it would be great to live longer with less pain &amp; disability but the primary challenge lies in adapting our society into something that supports meaningful lives under changing circumstances.</t>
  </si>
  <si>
    <t xml:space="preserve">G2-045</t>
  </si>
  <si>
    <t xml:space="preserve">Aging is defined as the process of becoming older and our bodies adapting accordingly in response with changes in efficiency and physiology.</t>
  </si>
  <si>
    <t xml:space="preserve">One prominent challenge our aging population faces is lack of resources in healthcare and retirement, which prevents many individuals from seeking care.</t>
  </si>
  <si>
    <t xml:space="preserve">There are many plans like Medicaid and senior healthcare benefits, but it’s not advocated fully and properly, and people still feel skeptical.</t>
  </si>
  <si>
    <t xml:space="preserve">Faith, connections, health</t>
  </si>
  <si>
    <t xml:space="preserve">Trying to practice them everyday or frequently</t>
  </si>
  <si>
    <t xml:space="preserve">1) this topic encompasses the implications that are possible after the process reproduction and how the healing journey and the maintenance is important to staying healthy/long down the road.; 2) this portrays how healthcare should be affordable and accessible especially to senior citizens who are most likely not employed or lack retirement funds.; 3) the topic involves AI technology to assist with discovering science related prototypes that can help identify certain medical functions.</t>
  </si>
  <si>
    <t xml:space="preserve">I ranked them in this order because it is vital to focus on reproductive health in individuals because that can begin as young as birth. It is a key component in bringing in the next generation to this world.</t>
  </si>
  <si>
    <t xml:space="preserve">With the topic on AI, it is important to only have it as a base line and not fully rely on artificial intelligence to discover and explore.</t>
  </si>
  <si>
    <t xml:space="preserve">G2-046</t>
  </si>
  <si>
    <t xml:space="preserve">The shortening of telomeres causing more of our cells to go into senescence</t>
  </si>
  <si>
    <t xml:space="preserve">Rather than the medical side, we need to focus on policy: affordable care homes that won't take everything someone has</t>
  </si>
  <si>
    <t xml:space="preserve">It has been addressed</t>
  </si>
  <si>
    <t xml:space="preserve">Mentally facilities, movement, friendsho</t>
  </si>
  <si>
    <t xml:space="preserve">Staying healthy, social, and sleeping well</t>
  </si>
  <si>
    <t xml:space="preserve">Reproductive health: exploration into disorders and complications affected pregnancy and beyond; A policy approach, that prioritizes transparency and public funding; The clinical area: using clinical data to create models that can predict medical events, survival analysis, etc; an extension of stats</t>
  </si>
  <si>
    <t xml:space="preserve">I believe there is not enough of a focus for society to truly focus on reproductive health, but I find it hard to see how II can be prioritized without I.</t>
  </si>
  <si>
    <t xml:space="preserve">Data security, and insurance using the information to raise rates</t>
  </si>
  <si>
    <t xml:space="preserve">G2-047</t>
  </si>
  <si>
    <t xml:space="preserve">Your body changing over time and your cells slowly breaking down</t>
  </si>
  <si>
    <t xml:space="preserve">Ensuring we have good quality of life in addition to long life</t>
  </si>
  <si>
    <t xml:space="preserve">How to extend quality of life . Because everyone wants to be able to see and run with their grand kids</t>
  </si>
  <si>
    <t xml:space="preserve">Not as of now. But I'm sure with medical advancements theres some to come</t>
  </si>
  <si>
    <t xml:space="preserve">Strength, memory and autonomy</t>
  </si>
  <si>
    <t xml:space="preserve">I am working out, eating a healthy diet and trying to read more</t>
  </si>
  <si>
    <t xml:space="preserve">Extending life and ensuring the people born have longer qualities of life; Making the extended life solutions affordable tor people of every financial class.; Using artificial intelligence to create solutions to combat getting older and answering the question on how to beat death</t>
  </si>
  <si>
    <t xml:space="preserve">I believe society has this order with there importance</t>
  </si>
  <si>
    <t xml:space="preserve">Not using humans in unethical experiments</t>
  </si>
  <si>
    <t xml:space="preserve">G2-048</t>
  </si>
  <si>
    <t xml:space="preserve">I would define aging as the process by which you get older</t>
  </si>
  <si>
    <t xml:space="preserve">Resources in the form of health care</t>
  </si>
  <si>
    <t xml:space="preserve">i think we are getting better at actually identifying diseases and doing preventative tasks for them</t>
  </si>
  <si>
    <t xml:space="preserve">there is alot of medical research in the pharma space in this</t>
  </si>
  <si>
    <t xml:space="preserve">muscle, flexibility being injury free</t>
  </si>
  <si>
    <t xml:space="preserve">i am getting into weight lifting, and cardio and intermittently fasting</t>
  </si>
  <si>
    <t xml:space="preserve">1. deaths/ sustained challenges during birth and the like are reduced; 2. making sure that access to long life is not sole in the hands of the wealthy; 3. using AI to identify, predict and solve disease challenges</t>
  </si>
  <si>
    <t xml:space="preserve">i think there is a huge push in AI right now so it is the most. i also dont think there is a heavy emphasis on universal access to healthcare</t>
  </si>
  <si>
    <t xml:space="preserve">in order to understand diseases AI would need to have access to the theory of creating them. this raised the question " how will this information be governed"</t>
  </si>
  <si>
    <t xml:space="preserve">G2-049</t>
  </si>
  <si>
    <t xml:space="preserve">Physically and mentally growing to a peak then a progressive decline. All the while creating an unique story of joys, pains, and experiences.</t>
  </si>
  <si>
    <t xml:space="preserve">elderly care</t>
  </si>
  <si>
    <t xml:space="preserve">NA</t>
  </si>
  <si>
    <t xml:space="preserve">My mental acuity, my mobility and health</t>
  </si>
  <si>
    <t xml:space="preserve">Changing my diet and getting movement everyday</t>
  </si>
  <si>
    <t xml:space="preserve">AI is a hot topic right now and people go where the money is. Better approach are a preventative approach improving the quality of life</t>
  </si>
  <si>
    <t xml:space="preserve">Let's keep our humanity. The world has lost care for one another</t>
  </si>
  <si>
    <t xml:space="preserve">G3-001</t>
  </si>
  <si>
    <t xml:space="preserve">Changes of the physical, mental, and emotional person over time.</t>
  </si>
  <si>
    <t xml:space="preserve">Access to adequate physical and mental healthcare.</t>
  </si>
  <si>
    <t xml:space="preserve">Full funding of Medicare and Medicaid</t>
  </si>
  <si>
    <t xml:space="preserve">No. In fact, the Congress is going the wrong way.</t>
  </si>
  <si>
    <t xml:space="preserve">Mobility, mental fitness, close family</t>
  </si>
  <si>
    <t xml:space="preserve">Exercise, eat right, stay engaged</t>
  </si>
  <si>
    <t xml:space="preserve">Human health research (including AI tools) has the ability to improve health outcomes and to ensure equitable access.</t>
  </si>
  <si>
    <t xml:space="preserve">Equitable outcomes are most important to me, because this is the only way we all benefit. Boosting health and longevity are very important, but simple longevity is not as important as the quality of life. How we get there - AI or otherwise - is not as important.</t>
  </si>
  <si>
    <t xml:space="preserve">For all time, health research has focused on population subsets that are not representative of the overall population. Reversing this practice would improve outcomes for all.</t>
  </si>
  <si>
    <t xml:space="preserve">The elimination or reshaping of important research due to alleged DEI issues.</t>
  </si>
  <si>
    <t xml:space="preserve">Yes. Promoting equity is an ethical concern as much as a practical one.</t>
  </si>
  <si>
    <t xml:space="preserve">G3-002</t>
  </si>
  <si>
    <t xml:space="preserve">The body's response to the progression of time</t>
  </si>
  <si>
    <t xml:space="preserve">Health degradation over time (mental &amp; physical)</t>
  </si>
  <si>
    <t xml:space="preserve">Loss of mental capacity; it can be considered the most frightening and debilitating form of functional loss, particularly as we don't know fully how to combat it</t>
  </si>
  <si>
    <t xml:space="preserve">Studies to optimize diet and activity, as well as supplement design</t>
  </si>
  <si>
    <t xml:space="preserve">1) Mental capacity
2) Ability to work
3) Physical exercise capacity (e.g. walking)</t>
  </si>
  <si>
    <t xml:space="preserve">Exercise, challenge my brain, eat well</t>
  </si>
  <si>
    <t xml:space="preserve">(i) Helping more people be able to have children for longer periods of their lives (delaying menopause)
(ii) Helping more people take advantage of developing technologies for aging
(iii) Using modern technology to make improvements in geroscience using larger amounts of data</t>
  </si>
  <si>
    <t xml:space="preserve">I am lucky to have access to good healthcare, so accessibility is least relevant for me. I also care more about staying healthy than having children right now, but that may change later.</t>
  </si>
  <si>
    <t xml:space="preserve">(i) Mitigating the dependency ratio (strain on working class due to old and young people)</t>
  </si>
  <si>
    <t xml:space="preserve">(i) Overpopulation</t>
  </si>
  <si>
    <t xml:space="preserve">Preventing them from only reaching some people, considering overpopulation and excessive strain on natural resources</t>
  </si>
  <si>
    <t xml:space="preserve">G3-003</t>
  </si>
  <si>
    <t xml:space="preserve">Support and healthcare availability</t>
  </si>
  <si>
    <t xml:space="preserve">social isolation</t>
  </si>
  <si>
    <t xml:space="preserve">not right now</t>
  </si>
  <si>
    <t xml:space="preserve">physical health, mental health, social connections</t>
  </si>
  <si>
    <t xml:space="preserve">being active, doing puzzles, maintaining relationships with my friends/family</t>
  </si>
  <si>
    <t xml:space="preserve">increasing reproductive health and wellbeing, making longevity science more equitable, using ai to help find solutions with aging</t>
  </si>
  <si>
    <t xml:space="preserve">democratizing health would allow more people to access healthcare</t>
  </si>
  <si>
    <t xml:space="preserve">AI/ML can be implemented the quickest</t>
  </si>
  <si>
    <t xml:space="preserve">AI being used inappropriately</t>
  </si>
  <si>
    <t xml:space="preserve">yes, privacy concerns</t>
  </si>
  <si>
    <t xml:space="preserve">G3-004</t>
  </si>
  <si>
    <t xml:space="preserve">Nebraska</t>
  </si>
  <si>
    <t xml:space="preserve">Nebraska, United States</t>
  </si>
  <si>
    <t xml:space="preserve">Each year being on Earth longer and noticing that your body is breaking down faster with not being as energetic or developing what I consider age related weaknesses such as arthritis, possible brittle bones, organs not working as well as they used to.</t>
  </si>
  <si>
    <t xml:space="preserve">Dementia</t>
  </si>
  <si>
    <t xml:space="preserve">Research to find medicines, supplements and behavior changes.</t>
  </si>
  <si>
    <t xml:space="preserve">Movement, Strength, Memory</t>
  </si>
  <si>
    <t xml:space="preserve">Exercise, healthy eating and weight and keeping active</t>
  </si>
  <si>
    <t xml:space="preserve">1. Educating the public to make people healthier decisions which will lead to positive outcomes. 2. Make healthy foods available and cheap so that all people can benefit positive health benefits and work on protecting healthy environments. 3. Hoping AI helps researchers move faster in finding solutions to diseases and preventing or predicting diseases to catch them early for a better outcome.</t>
  </si>
  <si>
    <t xml:space="preserve">Being able to speed up cures and screenings are first and this will lead to the other two topics.</t>
  </si>
  <si>
    <t xml:space="preserve">AI is here to stay - so using it to help make the human race healthier so that we can enjoy the later years of our lives gives me hope.</t>
  </si>
  <si>
    <t xml:space="preserve">For topic 2 - I worry about all people ( rich or poor) having access to longevity/science solutions.</t>
  </si>
  <si>
    <t xml:space="preserve">The solutions can’t have gatekeepers that allow the rich to be the only ones access and we can’t rely on AI to do everything unchecked. Humans need to be the driving force.</t>
  </si>
  <si>
    <t xml:space="preserve">G3-005</t>
  </si>
  <si>
    <t xml:space="preserve">As getting old.</t>
  </si>
  <si>
    <t xml:space="preserve">Living a robust, fulfilling and healthy life</t>
  </si>
  <si>
    <t xml:space="preserve">Not particularly</t>
  </si>
  <si>
    <t xml:space="preserve">Ability to move my body, live independentlyand have enough money to afford my lifestyle.</t>
  </si>
  <si>
    <t xml:space="preserve">GLP1's to get to a healthy weight and maintain, and therefore put less pressure on heart, knees, hips, etc...</t>
  </si>
  <si>
    <t xml:space="preserve">1) extending childbearing age; 2) everyone should have access to GLP1 drugs; 3) AI for self driving cars to maintain and prolong independence.</t>
  </si>
  <si>
    <t xml:space="preserve">I thibk GLP1 drugs can revolutionize everyone's health.</t>
  </si>
  <si>
    <t xml:space="preserve">Seeing people live a more active and healthy life as a result of GLP1</t>
  </si>
  <si>
    <t xml:space="preserve">Not being accessable to all.</t>
  </si>
  <si>
    <t xml:space="preserve">Yes... Price. Accessable to all.</t>
  </si>
  <si>
    <t xml:space="preserve">G3-006</t>
  </si>
  <si>
    <t xml:space="preserve">Passage of time as you stay alive.</t>
  </si>
  <si>
    <t xml:space="preserve">Lack of care, families who are spread out and not close by to help</t>
  </si>
  <si>
    <t xml:space="preserve">We need to make end of life care more affordable. No one should suffer because they can’t afford to be looked after.</t>
  </si>
  <si>
    <t xml:space="preserve">No.</t>
  </si>
  <si>
    <t xml:space="preserve">Good health, ability to move easily, a healthy mind.</t>
  </si>
  <si>
    <t xml:space="preserve">Try to keep healthy now. Stay active.</t>
  </si>
  <si>
    <t xml:space="preserve">I. Creating ob/gyn care that is equally accessible for all pregnant women and those hoping to be pregnant through whatever method they choose.
II. It’s really just universal healthcare.
III. Using new technology to predict and preventatively treat diseases related to aging.</t>
  </si>
  <si>
    <t xml:space="preserve">I think helping everyone and giving everyone access to healthcare makes the other two more readily possible.</t>
  </si>
  <si>
    <t xml:space="preserve">I am excited to see if we get governmental policy to help police AI in a way that allows safe access for doctors to use it to prevent some of the devastating effects of age related diseases.</t>
  </si>
  <si>
    <t xml:space="preserve">AI is very much an unknown and at a very scary point right now. I’m not very comfortable with it knowing specific patient information at this time.</t>
  </si>
  <si>
    <t xml:space="preserve">1000%, especially with AI.</t>
  </si>
  <si>
    <t xml:space="preserve">G3-007</t>
  </si>
  <si>
    <t xml:space="preserve">Colorado</t>
  </si>
  <si>
    <t xml:space="preserve">Colorado, United States</t>
  </si>
  <si>
    <t xml:space="preserve">Losing cognitive functions</t>
  </si>
  <si>
    <t xml:space="preserve">Health care</t>
  </si>
  <si>
    <t xml:space="preserve">This is tricky. Finding and paying healthcare workers that will stick around long-term to start.</t>
  </si>
  <si>
    <t xml:space="preserve">Yes. Financial resources.</t>
  </si>
  <si>
    <t xml:space="preserve">Keeping cognitive functions, being able to walk/run unassisted at an old age, being able to drive</t>
  </si>
  <si>
    <t xml:space="preserve">Healthy diet, finding partners that have your same goals in mind</t>
  </si>
  <si>
    <t xml:space="preserve">i - medicine helping to prolong lives. ii - having affordable healthcare iii - using AI to find solutions that previously weren’t available.</t>
  </si>
  <si>
    <t xml:space="preserve">AI seems to be able to help provide solutions in the most economical way IMO.</t>
  </si>
  <si>
    <t xml:space="preserve">Topic iii - AI is the future.</t>
  </si>
  <si>
    <t xml:space="preserve">AI is still unpredictable.</t>
  </si>
  <si>
    <t xml:space="preserve">G3-008</t>
  </si>
  <si>
    <t xml:space="preserve">Missouri</t>
  </si>
  <si>
    <t xml:space="preserve">Missouri, United States</t>
  </si>
  <si>
    <t xml:space="preserve">Gradual deterioration</t>
  </si>
  <si>
    <t xml:space="preserve">Outliving their finances. People seem to be living longer.</t>
  </si>
  <si>
    <t xml:space="preserve">Cognitive decline and Alzheimer’s</t>
  </si>
  <si>
    <t xml:space="preserve">A healthy mind, body and social network</t>
  </si>
  <si>
    <t xml:space="preserve">Eat healthy, exercise and stay in touch with friends</t>
  </si>
  <si>
    <t xml:space="preserve">That means improving people’s lives</t>
  </si>
  <si>
    <t xml:space="preserve">Because that’s what is most important to me</t>
  </si>
  <si>
    <t xml:space="preserve">Topic 2. I think making health solutions more accessible and affordable would help a lot of people.</t>
  </si>
  <si>
    <t xml:space="preserve">Topic 3. AI worries me</t>
  </si>
  <si>
    <t xml:space="preserve">G3-009</t>
  </si>
  <si>
    <t xml:space="preserve">getting past the mid point of life span</t>
  </si>
  <si>
    <t xml:space="preserve">Lack of affordable health care.</t>
  </si>
  <si>
    <t xml:space="preserve">Lack of affordable health care. Reduces financial strain on families and the entire system, better health outcomes through preventative action.</t>
  </si>
  <si>
    <t xml:space="preserve">The Affordable Care Act was a start however it is being sabotaged rather than improved</t>
  </si>
  <si>
    <t xml:space="preserve">independence, continual learning, family/friends</t>
  </si>
  <si>
    <t xml:space="preserve">stay healthy</t>
  </si>
  <si>
    <t xml:space="preserve">i. Improve infant mortality rate ii. affordable healthcare as a right iii. use AI to make earlier diagnosis, improved treatment plans.</t>
  </si>
  <si>
    <t xml:space="preserve">because it would be most important at my life stage</t>
  </si>
  <si>
    <t xml:space="preserve">current advances in medicine are improving quality of life as we age</t>
  </si>
  <si>
    <t xml:space="preserve">affordability for all</t>
  </si>
  <si>
    <t xml:space="preserve">yes, autonomy of the individual should be considered</t>
  </si>
  <si>
    <t xml:space="preserve">G3-010</t>
  </si>
  <si>
    <t xml:space="preserve">The processes whereby the human body continues to extend it’s time on earth as a functional being</t>
  </si>
  <si>
    <t xml:space="preserve">Affording the necessities to remain healthy and functioning humans</t>
  </si>
  <si>
    <t xml:space="preserve">Certifying an abundant number of geriatric health care workers to staff nursing homes, assisted living and home care.</t>
  </si>
  <si>
    <t xml:space="preserve">Memory, ability to continue to learn, mobility</t>
  </si>
  <si>
    <t xml:space="preserve">Exercise, nutrition, education</t>
  </si>
  <si>
    <t xml:space="preserve">These are laudable goals that will require highly defined guidelines, laws, and oversight, by non-partisan masterminds.</t>
  </si>
  <si>
    <t xml:space="preserve">Nothing decided is useful to me if it’s not accessible. I think AI can improve speed and accuracy of what needs to be done, and longevity may have little quality if I’m unwell or incapacitated.</t>
  </si>
  <si>
    <t xml:space="preserve">The possibility that health care, housing, and affordability would be accessible to all would prevent the chaos experienced during Covid.</t>
  </si>
  <si>
    <t xml:space="preserve">I don’t think those most involved in the potential of AI have the knowledge and ability to govern the use of it for the greater good.</t>
  </si>
  <si>
    <t xml:space="preserve">Always</t>
  </si>
  <si>
    <t xml:space="preserve">G3-011</t>
  </si>
  <si>
    <t xml:space="preserve">Non-binary / gender diverse</t>
  </si>
  <si>
    <t xml:space="preserve">Changes in biological processes as time progresses</t>
  </si>
  <si>
    <t xml:space="preserve">Access to appropriate physical and mental health resoures</t>
  </si>
  <si>
    <t xml:space="preserve">Lack of easy access to proper healthcare. This should be prioritized because people deserve to be comfortable and feel good in their later years of life.</t>
  </si>
  <si>
    <t xml:space="preserve">Cognitive health, physical health, and a social life</t>
  </si>
  <si>
    <t xml:space="preserve">Yes, exercise, pro[er nutrition, maintain mental acuity by continuing to learn new skills</t>
  </si>
  <si>
    <t xml:space="preserve">I. improving the length of time and care that people get related to reproductive health
II. making healthcare more accessible
III. using AI to improve outcomes via earlier diagnosis or more customizable care</t>
  </si>
  <si>
    <t xml:space="preserve">I think making healthcare more accessible is the most important from there the others will likely be easier to actually implement.</t>
  </si>
  <si>
    <t xml:space="preserve">A lot of people would benefit if healthcare was more accessible.</t>
  </si>
  <si>
    <t xml:space="preserve">I can go on and on about the potential dangers of AI in healthcare but the one that I will mention here is data security.</t>
  </si>
  <si>
    <t xml:space="preserve">Yes, particularly topic iii because of how many concerns there are surrounding AI and healthcare.</t>
  </si>
  <si>
    <t xml:space="preserve">G3-012</t>
  </si>
  <si>
    <t xml:space="preserve">Time acceleration</t>
  </si>
  <si>
    <t xml:space="preserve">Affordable care</t>
  </si>
  <si>
    <t xml:space="preserve">Affordable quality care. In the next 20 years, there will be even more people over 65.</t>
  </si>
  <si>
    <t xml:space="preserve">Not at this time</t>
  </si>
  <si>
    <t xml:space="preserve">Mental, physical and emotional health</t>
  </si>
  <si>
    <t xml:space="preserve">Exercise and eat right</t>
  </si>
  <si>
    <t xml:space="preserve">1. Increasing the population. 2. Making affordable solutions for healthcare. 3.Using AI to to advance medical technology.</t>
  </si>
  <si>
    <t xml:space="preserve">Everyone needs affordable healthcare.</t>
  </si>
  <si>
    <t xml:space="preserve">In dealing with aging parents now, I hope there is a better solution for health care concerns for future generations.</t>
  </si>
  <si>
    <t xml:space="preserve">While AI might predict trends and diagnoses, nothing can replace holding someone’s hand while they are transitioning.</t>
  </si>
  <si>
    <t xml:space="preserve">Yes, security and governance around AI.</t>
  </si>
  <si>
    <t xml:space="preserve">G3-013</t>
  </si>
  <si>
    <t xml:space="preserve">Can be tough if you have medical issues or cognitive issues and don’t have family close by to assist you.</t>
  </si>
  <si>
    <t xml:space="preserve">Affordable care and help</t>
  </si>
  <si>
    <t xml:space="preserve">Make assisted living more affordable and when person runs out of money make it covered by Medicaid/Medicare.</t>
  </si>
  <si>
    <t xml:space="preserve">Changing Medicare funding for elderly and Medicaid</t>
  </si>
  <si>
    <t xml:space="preserve">Independence 
Mind
Health—mobility</t>
  </si>
  <si>
    <t xml:space="preserve">Eat well
Physical exercise
Lower stress</t>
  </si>
  <si>
    <t xml:space="preserve">They all play hand in hand but the research and solutions by Ai could impact all</t>
  </si>
  <si>
    <t xml:space="preserve">Ai and future could prevent illness /cure disease
In the meantime need affordable care and options for treatments</t>
  </si>
  <si>
    <t xml:space="preserve">AI is evolving so quickly and could be great solutions for elder care—ie robots to help w house work, cooking etc. 
Also could head off future diseases/find cures.</t>
  </si>
  <si>
    <t xml:space="preserve">It evolves too quickly and there is a catastrophic result. Ie the end of the world by AI.</t>
  </si>
  <si>
    <t xml:space="preserve">Yes that AI has some sort of control or checks and balances. Must be careful of outside factors or biases.</t>
  </si>
  <si>
    <t xml:space="preserve">G3-014</t>
  </si>
  <si>
    <t xml:space="preserve">Gaining experience and intellectual wisdom while our bodies slowly break down from use.</t>
  </si>
  <si>
    <t xml:space="preserve">Affording shelter, food, transportation, health care on limited resources and/or fixed income in light of continued inflation at a higher rate than expected.</t>
  </si>
  <si>
    <t xml:space="preserve">Ability to afford basic needs. Without that, people either burden their families with need for help or they suffer.</t>
  </si>
  <si>
    <t xml:space="preserve">Better align social security to need. Stop capping social security tax to a fixed dollar amount.</t>
  </si>
  <si>
    <t xml:space="preserve">Ability to move (walk/run/exercise), cognitive function (stay sharp), and continued understanding of technology - stay current.</t>
  </si>
  <si>
    <t xml:space="preserve">Eat healthy, regular exercise, mental exercise (puzzles, etc)</t>
  </si>
  <si>
    <t xml:space="preserve">i. Helping people to live longer and for women to have a better outcomes in pregnancy. 
ii. Single payer health care for all 
iii. Using AI to help doctors and medical facilities predict issues for patients depending on their lifestyle and symptoms and proscribing health solutions.</t>
  </si>
  <si>
    <t xml:space="preserve">Healthcare for all should be a right. Having healthcare available to all should help solve number 1. Using AI to assist with medical practices might help it as well.</t>
  </si>
  <si>
    <t xml:space="preserve">Opportunities to use technology to access far greater information than any human could know is fascinating. Asking AI to then apply all it knows about you will likely help diagnose things which have been very difficult - at least over time.</t>
  </si>
  <si>
    <t xml:space="preserve">Medical professionals don’t get better at what they do, they just do data entry.</t>
  </si>
  <si>
    <t xml:space="preserve">For sure, how well is the data firewalled from others. What else is the data used for? Could someone decide to track people with a certain affliction and do something to them.</t>
  </si>
  <si>
    <t xml:space="preserve">G3-015</t>
  </si>
  <si>
    <t xml:space="preserve">wearing down of telomeres</t>
  </si>
  <si>
    <t xml:space="preserve">It is too large relative to the young population which makes it harder to sustain.</t>
  </si>
  <si>
    <t xml:space="preserve">Diseases like alzheimer's/parkinson's/etc. that mainly affect the elderly, It should be prioritized because it causes a lot of suffering.</t>
  </si>
  <si>
    <t xml:space="preserve">More funding for disease research and focus on early identification/diagnoses.</t>
  </si>
  <si>
    <t xml:space="preserve">General health, cognitive ability, savings</t>
  </si>
  <si>
    <t xml:space="preserve">Yes, healthy eating and exercise. For savings, earn more money.</t>
  </si>
  <si>
    <t xml:space="preserve">(i) Resolving fertility issues and issues with the reproductive systems, especially issues like menopause that occur later in life. Finding ways to increase peoples' lifespans.
(ii) Affordable healthcare that can be accessed in a timely manner from any location. 
(iii) Using Ai to disgnose patients remotely and advise them.</t>
  </si>
  <si>
    <t xml:space="preserve">Accesible healthcare (with a real doctor) is the most important but AI can help fill the gaps if a professional is inaccessible and to detect diseases early on. Longevity is less important if common causes of death and cognitive decline remain unadressed.</t>
  </si>
  <si>
    <t xml:space="preserve">iii) By detecting disease markers early on (such as tremors from parkinson's), patients could get professional help early on which could lead to a better outlook.</t>
  </si>
  <si>
    <t xml:space="preserve">i) Increased longevity could be pointless if issues like alzheimers or parkinsons are not fixed.</t>
  </si>
  <si>
    <t xml:space="preserve">Ai could cause a breach of privacy. There is also a lack of accountability if an AI tool misdiagnoses an individual.</t>
  </si>
  <si>
    <t xml:space="preserve">G3-016</t>
  </si>
  <si>
    <t xml:space="preserve">Growing and learning as the years go by</t>
  </si>
  <si>
    <t xml:space="preserve">Affordable options for healthy living - whether in home assistance or assisted living communities.</t>
  </si>
  <si>
    <t xml:space="preserve">From experience, the ability for the elder population to utilize the online access to their medical care is lacking. So much is online, but they are unable to access and navigate the sites on their own. This is preventing them from messaging their doctor when needed, double check their medicine list, re-read their follow up card, and keep track of appointments. If they could do this easily on their own, they would be more confident in their ability to help themselves stay healthy.</t>
  </si>
  <si>
    <t xml:space="preserve">I have seen calendar “frames” that will keep dates and appointments organized for them - as long as it’s input by someone else and there is a paid subscription. I wish there was a screen that could be accessed by family and easily used by the elderly. A button for them to touch that would open the site for their doctor’s office. Then the ability to simply navigate the site or have family remotely operate and walk them through the site.</t>
  </si>
  <si>
    <t xml:space="preserve">Health, independence, and cognitive ability.</t>
  </si>
  <si>
    <t xml:space="preserve">Exercise and annual doctor visits</t>
  </si>
  <si>
    <t xml:space="preserve">1. I tend to gloss this over as having sex and/or children that will build a “village” around you as you age.
2. Providing universal coverage and not relying on whether or not insurance will cover something.
3. Being able to test for more things before they become issues and trying to be more preventative in nature due to AI.</t>
  </si>
  <si>
    <t xml:space="preserve">The costs with health right now is out of control and needs to be reined in.</t>
  </si>
  <si>
    <t xml:space="preserve">Affordable and accessible healthcare for everyone so they don’t put things off until they are too hard to reverse.</t>
  </si>
  <si>
    <t xml:space="preserve">I worry that doctors won’t want to do procedures that would be best because they would not get the reimbursement they feel would be worth it monetarily.</t>
  </si>
  <si>
    <t xml:space="preserve">Absolutely. The money aspect needs to be out of the picture and the focus needs to be on what’s best for the individual.</t>
  </si>
  <si>
    <t xml:space="preserve">G3-017</t>
  </si>
  <si>
    <t xml:space="preserve">Germany</t>
  </si>
  <si>
    <t xml:space="preserve">The body gets older and some activities could be harder compared to younger people. But also more life experience and knowledge</t>
  </si>
  <si>
    <t xml:space="preserve">Climate Change (older people are not doing enough for the future if there children/grandchildren)
General Politics (old people are making politics for old people)
Pension (a lot old people but not enough young people to finance there pension and when the young ones are getting old there will not be enough young one to pay for there pension)
Not enough younger people to take care of older people</t>
  </si>
  <si>
    <t xml:space="preserve">Making more politics for the future and not only short Therme decisions 
The pension system needs to change (maybe more a German thing)</t>
  </si>
  <si>
    <t xml:space="preserve">There is a lot of talking and ideas in politics how to handle the pension situation, but no real actions.</t>
  </si>
  <si>
    <t xml:space="preserve">Stay fit and healthy 
Socializing 
Saving money for my one pension, because the one from the state will not be enough</t>
  </si>
  <si>
    <t xml:space="preserve">Exercising 
Eating healthy 
Enyou life
Stay connected to friends and family</t>
  </si>
  <si>
    <t xml:space="preserve">i) the age when people are getting children increases but there also live longer
ii) that i) is happening in all income classes
iii) it is easier to treat people on time or even beforehand -&gt; people are getting even older</t>
  </si>
  <si>
    <t xml:space="preserve">Widely accessible is more important than perfect health if a few people that can afford it</t>
  </si>
  <si>
    <t xml:space="preserve">Accessibility of health and precaution</t>
  </si>
  <si>
    <t xml:space="preserve">It will not easy to make everything accessible for everyone (but it should be)</t>
  </si>
  <si>
    <t xml:space="preserve">If a person does not want to live anymore, should a assisted suicide be possible?</t>
  </si>
  <si>
    <t xml:space="preserve">G3-018</t>
  </si>
  <si>
    <t xml:space="preserve">Mexico</t>
  </si>
  <si>
    <t xml:space="preserve">It is the deterioration or death of cells in our tissues and organs that causes physical and mental decline, as reflected in wrinkled skin, restricted mobility, and even mental issues</t>
  </si>
  <si>
    <t xml:space="preserve">Reduced physical mobility as well as mental health issues</t>
  </si>
  <si>
    <t xml:space="preserve">Definetly physical mobility, I believe that prostheses are currently being produced to replace missing limbs, but what about the elderly population suffering from joint deterioration who cannot move about on their own? That is where I think developing lightweight prostheses to aid their mobility would be a brilliant idea, helping to reduce the heavy reliance they have on others for assistance with daily activities</t>
  </si>
  <si>
    <t xml:space="preserve">In Mexico, only therapies to slow down cellular aging are available</t>
  </si>
  <si>
    <t xml:space="preserve">Good physical mobility, a good memory, and not having my hair fall out and going bald jajajaj</t>
  </si>
  <si>
    <t xml:space="preserve">A good diet, regular physical exercise, and regular health check-ups</t>
  </si>
  <si>
    <t xml:space="preserve">Enhance human life expectancy using current tools that lead to a more pleasant future for older adults, at a cost accessible to everyone</t>
  </si>
  <si>
    <t xml:space="preserve">Because it is the most important thing to me</t>
  </si>
  <si>
    <t xml:space="preserve">considering that health, longevity, and life expectancy can be within everyone's reach, regardless of financial status</t>
  </si>
  <si>
    <t xml:space="preserve">Democratizing longevity science/solutions' My greatest concern is that humans might be genetically engineered to be so long-lived that the problem of overpopulation worsens due to the increased consumption of finite resources</t>
  </si>
  <si>
    <t xml:space="preserve">1. Sustainability and ecological footprint
2. Scientific advancement at the cost of uncontrolled biological experiments
3. The search for meaning in life and the psychological issues that longevity may entail for individuals</t>
  </si>
  <si>
    <t xml:space="preserve">G3-019</t>
  </si>
  <si>
    <t xml:space="preserve">When you get older your mind and body do too. Example: wrinkles.</t>
  </si>
  <si>
    <t xml:space="preserve">Community engagement</t>
  </si>
  <si>
    <t xml:space="preserve">I’ve seen daycares and memory care/elderly facilities work together because kids help the elderly in more ways then we know.</t>
  </si>
  <si>
    <t xml:space="preserve">My ability to move by myself, think clearly and be independent.</t>
  </si>
  <si>
    <t xml:space="preserve">Exercise and making sure you go to the doctors so you can remain healthy</t>
  </si>
  <si>
    <t xml:space="preserve">People can have babies later in life. Having longevity and health solutions that are accessible, affordable, and generalizable. Using technology like AI to help medical professionals with aging and health.</t>
  </si>
  <si>
    <t xml:space="preserve">The last two I think are important because without the last two you might not be able to do the first one.</t>
  </si>
  <si>
    <t xml:space="preserve">How our technology is getting better and better and there possibilities of diseases that have no cure to have one soon so people can live longer.</t>
  </si>
  <si>
    <t xml:space="preserve">Security concerns with AI usage.</t>
  </si>
  <si>
    <t xml:space="preserve">AI data. How old is too old/young should a mother be to give birth.</t>
  </si>
  <si>
    <t xml:space="preserve">G3-020</t>
  </si>
  <si>
    <t xml:space="preserve">Prefer not to answer</t>
  </si>
  <si>
    <t xml:space="preserve">The process of progressive cellular and hence bodily decline associated with the degradation of cellular telomeres among other features that inhibit cellular growth.</t>
  </si>
  <si>
    <t xml:space="preserve">From a quality of life perspective, cognitive decline (one could easily argue the underlying process of bodies becoming weaker with time in the first place is a more significant challenge, but that is rather all-encompassing of all problems of aging and hence a tautological answer).</t>
  </si>
  <si>
    <t xml:space="preserve">Out of bias, I will suggest cognitive decline again. I do not know that it could be 'solved' in the short term, but at the very least, dementia in general could be focused on, for that might be able to inform how to abnormally cognitive decay can be stopped as far as to greatly prolong most people's cognitive health. Obviously in the short term I am not advising to not solve any of the milieu of life-threatening diseases that disproportionately affect the elderly.</t>
  </si>
  <si>
    <t xml:space="preserve">Yes, for starters, (at least insofar as the united states is concerned) groups could advocate for the government to not pass policies that weaken the ability for long term clinical trials and policies that harm research grants in general. This has the added benefit of advancing society to help solve numerous of the medical issues facing the elderly, regardless of what one considers to be the greatest challenge.</t>
  </si>
  <si>
    <t xml:space="preserve">1: The ability to learn new information and skills (without said learning becoming exponentially more effortful and difficult as it appears to with aging). 
2: The ability to process a situation and arrive at arguably rational decisions
3: Vision</t>
  </si>
  <si>
    <t xml:space="preserve">Unfortunately for the first two qualities, there is not much I can do, and current studies become relatively contradictory on such details. As for the third, besides routine eye care and not overusing electronic devices (the latter is impossible in many work and educational environments now) there is not much else that can be done.</t>
  </si>
  <si>
    <t xml:space="preserve">I am taking topic (i) to mean reproductive health and reproductive longevity, at which point the topic describes the prolongation of humans' capacity for successful reproduction that neither is harmful for the offspring nor for the parents (and additionally may concern the capacity to have healthy sexual intercourse at all at older ages). Topic (ii) concerns making existing technologies cheaper, subsidized and/or mass-producible to a point where people are not restricted from existing medical solutions based on income or location (e.g. being in a rural area). (iii) feels out of place as, unlike topics (i) and (ii) it is not a goal, but rather a loose suggestion to use machine learning techniques of various forms to 'enable modern solutions.'</t>
  </si>
  <si>
    <t xml:space="preserve">As an individual, topic (i) is the lowest as I could not care less about my reproductive health, especially seeing as I could adopt should I feel it necessary. Topic (iii) is the next lowest because it is not a goal, but a loosely defined notion to use a tool to perhaps achieve other ends. However, (iii) still ranks higher than (i) because ML-based research with regard to cellular behaviors (e.g. advancing understanding of the human epigenome) at least has a potential to help me as an individual. Lastly, topic (ii) is of extreme importance because it is often the case that when a new medical technology comes out that it is either initially extraordinarily expensive to produce or is under the patent of a company that would like to make a profit for its research (there appears to be insufficient financial incentive to push for such technologies to become widely accessible). Without deliberate intent to do so a large proportion of new advancements may not matter for me individually if I don't have an incomprehensible amount of money.</t>
  </si>
  <si>
    <t xml:space="preserve">I wish to point out that, while I claim that topic (iii) is the most exciting, I wish to clarify that blindly giving the current AI companies more power to control the pursuit of such advancements (or frankly even the data for making such advancements in the first place) is an utmost severe ethical concern. Now, ML in general is solid at pattern recognition, and the 'language' of bases, base modifications, transcription regulation can all be largely observed from pattern recognition of large swaths of epigenomic assays which could fundamentally help us understand cellular processes we do not currently understand in entirety (e.g. the cell's process of aging) in the long term. I should mention there are more pattern recognition problems that ML techniques are well suited for (like protein structures and functions from AA sequences, etc.).</t>
  </si>
  <si>
    <t xml:space="preserve">Topic (iii) must be specified further, as ML techniques can be an asset to interpret large sets of data for patterns, but it comes at great risks very quickly. The main issue is that current AI regulations are minimal to none, and companies have shown themselves to not behave altruistically. This matters because human health and biological data is necessary to keep private insofar as it could be used to identify someone for reasons I need not explain here. There is great incentive for traditional researchers at large to behave responsibly and protect the data they have because they will at least be subjected to punishment (and they usually have no way of using data obtained by breaching others' privacy). Pursuing AI solutions with reckless abandon only encourages AI startups to participate, and there is no incentive for said companies to actually dedicate significant funds to maintain diligent standards of security from hacking, and furthermore this is quite significant as there is also no incentive to stop these companies from obtaining personal data from individuals without consent as at least the current AI powerhouses do.</t>
  </si>
  <si>
    <t xml:space="preserve">As always, medical and biological data must be kept private insofar as it is identifying. This is not new, but with new methods of research that rely upon mass amounts of data as well as a current lack of regulation on how data is obtained or how it is used (with regards to AI), it becomes essential to maintain HIPAA protocol.</t>
  </si>
  <si>
    <t xml:space="preserve">G3-021</t>
  </si>
  <si>
    <t xml:space="preserve">Hong Kong</t>
  </si>
  <si>
    <t xml:space="preserve">Hong Kong, China</t>
  </si>
  <si>
    <t xml:space="preserve">Increase in physical age with the decline in physical ability and mental ability</t>
  </si>
  <si>
    <t xml:space="preserve">Ageing population may not have sufficient ability and resources to catch up with the fast-changing world</t>
  </si>
  <si>
    <t xml:space="preserve">Low adaptability and few resources to advanced technology like AI, as they will easily get phased out and replaced</t>
  </si>
  <si>
    <t xml:space="preserve">Minimal</t>
  </si>
  <si>
    <t xml:space="preserve">Relationship with friends, ability to keep up with new technology, passion in learning</t>
  </si>
  <si>
    <t xml:space="preserve">Find some aspects of the new technology that aligns with my interests</t>
  </si>
  <si>
    <t xml:space="preserve">i) some kind of methods or technology make people live longer and make the species of human beings healthier
ii) everyone can be treated to induce healthy and longer life optimally
Iii) incorporating advanced technology like AI for possible better medical treatment</t>
  </si>
  <si>
    <t xml:space="preserve">Technology will make the most impact only if they are accessible, particularly when I may not necessarily be the one who can afford the treatment, and technology is a way to derive solution for longevity</t>
  </si>
  <si>
    <t xml:space="preserve">The potential of the future using AI</t>
  </si>
  <si>
    <t xml:space="preserve">Constraints set by people hamper the progress of possible solutions</t>
  </si>
  <si>
    <t xml:space="preserve">Not to ignore the detrimental side effect of the solutions, even if it's minimal at that time</t>
  </si>
  <si>
    <t xml:space="preserve">G3-022</t>
  </si>
  <si>
    <t xml:space="preserve">Brazil</t>
  </si>
  <si>
    <t xml:space="preserve">I would define aging by the biological changes in our body along the years, more a biological thing</t>
  </si>
  <si>
    <t xml:space="preserve">Not so much. In Brazil we have public access to health care, and it’s something very importante for the population in our country</t>
  </si>
  <si>
    <t xml:space="preserve">My energy, my intelligence and happiness</t>
  </si>
  <si>
    <t xml:space="preserve">Health care, exercises, studies and psychological services</t>
  </si>
  <si>
    <t xml:space="preserve">1-Help people to keep their reproductive health along the years, to have children or not 2- Public, free and quality health service for all the population 3- AI helping in diagnosing people and treatment</t>
  </si>
  <si>
    <t xml:space="preserve">Ai is importante, but the human contact is much more effective and careful, but I believe that AI can help a lot people, especially in the democratic Acess for all the population</t>
  </si>
  <si>
    <t xml:space="preserve">The topic 2, because is very important for all the population to have access to health solutions, especially older people, that are more vulnerable</t>
  </si>
  <si>
    <t xml:space="preserve">2- The high prices of health care for the older population inside of vulnerable groups</t>
  </si>
  <si>
    <t xml:space="preserve">Yes, like the Acess to the technology</t>
  </si>
  <si>
    <t xml:space="preserve">G3-023</t>
  </si>
  <si>
    <t xml:space="preserve">Painful</t>
  </si>
  <si>
    <t xml:space="preserve">Not taking better care of ourselves</t>
  </si>
  <si>
    <t xml:space="preserve">More resources to help - not just going to a doctor but heading a health care advocate</t>
  </si>
  <si>
    <t xml:space="preserve">My health, the ability to get around and travel and financial stability</t>
  </si>
  <si>
    <t xml:space="preserve">Necessary</t>
  </si>
  <si>
    <t xml:space="preserve">If you could predict disease ahead of time, the chances of survival would increase immensely</t>
  </si>
  <si>
    <t xml:space="preserve">3</t>
  </si>
  <si>
    <t xml:space="preserve">There could be downfalls finding out about a disease early on, could affect your will to live and your outlook on life</t>
  </si>
  <si>
    <t xml:space="preserve">N/a</t>
  </si>
  <si>
    <t xml:space="preserve">G3-024</t>
  </si>
  <si>
    <t xml:space="preserve">health issues</t>
  </si>
  <si>
    <t xml:space="preserve">health issues, if the population is unhealthy the quality of life is just so low</t>
  </si>
  <si>
    <t xml:space="preserve">better healthcare, medical innovations, robotics to care for aging populations better</t>
  </si>
  <si>
    <t xml:space="preserve">being able to walk, mental functions (aka hopefully won't get dementia), general health</t>
  </si>
  <si>
    <t xml:space="preserve">eat healthy, exercise, sleep, see the doctor regularly</t>
  </si>
  <si>
    <t xml:space="preserve">1. Biomedical innovations can help make people healthier for much longer, and able to safely have healthy children at higher rates.
2. Making healthcare more accessible to a larger percentage of people will allow the aging population to better take advantage of treatments that already exist to support longevity.
3. Artificial intellligence is one method of improving medical treatments for an aging population, and may be especially helpful in diagnostic trends and predictions.</t>
  </si>
  <si>
    <t xml:space="preserve">Technological innovations for longevity is the most important to help an aging population stay healthy and live longer. AI usage is a subset of this, and will contribute to some of the technological improvements. Making healthcare more accessible is also extremely important because even if the technology is there, it won't make a big effect if it's not accessible to most people.</t>
  </si>
  <si>
    <t xml:space="preserve">Topic i excites me the most. The idea of being able to eradicate some health issues faced by society is very appealing.</t>
  </si>
  <si>
    <t xml:space="preserve">Topic ii definitely has a lot of social, economic, and political barriers. The government budget right now isn't distributed in a way that can support things like universal healthcare, and many people are opposed to it for other reasons.</t>
  </si>
  <si>
    <t xml:space="preserve">Definitely, healthcare innovations are always a balance between fast innovations (tech develops faster for the majority but the first tests in humans are more likely to cause harm) and slow innovations (initial tests are much safer, but the time to develop a technology might make it too late for some people).</t>
  </si>
  <si>
    <t xml:space="preserve">G3-025</t>
  </si>
  <si>
    <t xml:space="preserve">The process of becoming an older person</t>
  </si>
  <si>
    <t xml:space="preserve">Health problems</t>
  </si>
  <si>
    <t xml:space="preserve">Maybe how we eat as we age? It should be prioritized to eat right so that we can live longer.</t>
  </si>
  <si>
    <t xml:space="preserve">Doing healthy activities with friends and family members so you are not alone.</t>
  </si>
  <si>
    <t xml:space="preserve">weight, nutrition, happiness</t>
  </si>
  <si>
    <t xml:space="preserve">Make sure to surround yourself with positive people</t>
  </si>
  <si>
    <t xml:space="preserve">Amplifying how we come into the world and for how long. Adjusting to sciences that help with our living a longer life. Using machines to help with our longevity of life.</t>
  </si>
  <si>
    <t xml:space="preserve">I believe that in order to study aging we have to first see how we are born, then we can use science to study our growth and then if we really need it, we can use machines to help study how we age.</t>
  </si>
  <si>
    <t xml:space="preserve">I want to learn more about reproductive health because I love being a mother and learning more about how we come to be is exciting for me</t>
  </si>
  <si>
    <t xml:space="preserve">I'm concerned about AI taking over for humans because it will limit jobs for people</t>
  </si>
  <si>
    <t xml:space="preserve">Unsure</t>
  </si>
  <si>
    <t xml:space="preserve">I'm not sure</t>
  </si>
  <si>
    <t xml:space="preserve">G3-026</t>
  </si>
  <si>
    <t xml:space="preserve">Getting older m</t>
  </si>
  <si>
    <t xml:space="preserve">Worsening health</t>
  </si>
  <si>
    <t xml:space="preserve">Lack of social support. This should be prioritized because it impacts mental and physical health, and because it is relatively easy to solve in the short term (compared to broad health problems)</t>
  </si>
  <si>
    <t xml:space="preserve">Implement programs for seniors to connect with each other and with younger generations, encourage families to spend time with elderly loved ones, create “buddy” programs where young people can be paired with senior and provide social support.</t>
  </si>
  <si>
    <t xml:space="preserve">Good physical health
Good memory and cognitive skills
Experiences that bring me joy</t>
  </si>
  <si>
    <t xml:space="preserve">Exercise, eat healthy diet, avoid harmful substances, meaningful social engagement, activities that challenge my brain</t>
  </si>
  <si>
    <t xml:space="preserve">1. Improving reproductive health outcomes and length of life. 
2. Making longevity solutions equitable. 
3. Using AI to develop modern solutions for health issues associated with aging.</t>
  </si>
  <si>
    <t xml:space="preserve">Accessibility and affordability are priorities to me. I am hesitant to integrate AI into everything, which is why topic 3 was least important.</t>
  </si>
  <si>
    <t xml:space="preserve">Topic 2 excites me the most, because I believe that everyone deserves access to treatments that can increase health and longevity.</t>
  </si>
  <si>
    <t xml:space="preserve">My greatest concern about topic 3 is that AI cannot fully understand what it is like to be human and is prone to making mistakes.</t>
  </si>
  <si>
    <t xml:space="preserve">Yes. Aging and AI are both subjects that involve a lot of ethical concerns. The value of human life and respecting individual’s wishes for how they wish to live when nearing end of life are important considerations.</t>
  </si>
  <si>
    <t xml:space="preserve">G3-027</t>
  </si>
  <si>
    <t xml:space="preserve">Physically getting older with your body slowing down as time passes</t>
  </si>
  <si>
    <t xml:space="preserve">Technology, scams etc</t>
  </si>
  <si>
    <t xml:space="preserve">Education for the older generations to understand technology and be able to work with it in some means so they don’t feel ostracized from the world</t>
  </si>
  <si>
    <t xml:space="preserve">Cognition, physical capabilities and bodily health(no bad knees)</t>
  </si>
  <si>
    <t xml:space="preserve">Constantly learning, eating as healthy as I can and exercising. My knees are already bad.</t>
  </si>
  <si>
    <t xml:space="preserve">As a general sentence for all. Ensuring that the general populace has access to ready and appropriate resources for identifying and treating diseases and ensuring long-lasting health.</t>
  </si>
  <si>
    <t xml:space="preserve">Affordability matters in getting these things out to the masses, ensuring you can identify and treat diseases earlier then pushes that longevity as a whole becomes possible.</t>
  </si>
  <si>
    <t xml:space="preserve">The ability for people to live longer means they have more time to accomplish their goals and prevents this feeling of being rushed</t>
  </si>
  <si>
    <t xml:space="preserve">The elite preventing the diffusion of such tech to ensure their own lives are expanded at great expense to the general public</t>
  </si>
  <si>
    <t xml:space="preserve">Yes in regards to what expanded life may mean for the earth and society as a whole as with longer lives food shortages etc can become more apparent as our supply to taken from in great quantities. TL;DR Overpo</t>
  </si>
  <si>
    <t xml:space="preserve">G3-028</t>
  </si>
  <si>
    <t xml:space="preserve">changes in your body over time, hormones changing, visually looking and physically feeling older</t>
  </si>
  <si>
    <t xml:space="preserve">Letting go of their work and retiring</t>
  </si>
  <si>
    <t xml:space="preserve">same as above^ more prone to error not representiven of population</t>
  </si>
  <si>
    <t xml:space="preserve">kinda</t>
  </si>
  <si>
    <t xml:space="preserve">i would hope to retain like a relatively stable memory and ability to do things</t>
  </si>
  <si>
    <t xml:space="preserve">exercise/keeping up with current knowledge + times</t>
  </si>
  <si>
    <t xml:space="preserve">increasing solutions and access to understanding aging and improving longevity</t>
  </si>
  <si>
    <t xml:space="preserve">i feel like we need to find better ways to help with aging and making it accessible</t>
  </si>
  <si>
    <t xml:space="preserve">ii</t>
  </si>
  <si>
    <t xml:space="preserve">the usage of ai</t>
  </si>
  <si>
    <t xml:space="preserve">ai and what data it has access to</t>
  </si>
  <si>
    <t xml:space="preserve">G3-029</t>
  </si>
  <si>
    <t xml:space="preserve">The mental, physical, social, and other wellbeing and identity-related changes that occur as time goes on.</t>
  </si>
  <si>
    <t xml:space="preserve">Uncertainty – rapid advances in medical technology (and other technology) creating more potential than ever for longer lifespans, but greater disparities than ever around who can access that, and even if one can, increasing uncertainty around the quality of life and support possible during those years (insurance, financial stability, social marginalization, dignity, independence, autonomy)</t>
  </si>
  <si>
    <t xml:space="preserve">The immense inaccessibility of society (physical barriers, healthcare access, social stigma) as people experience greater health challenges and lose mobility, autonomy, and agency. People cannot thrive if they cannot even survive</t>
  </si>
  <si>
    <t xml:space="preserve">Greater investment in Medicaid and Medicare to support the older population and also provide more preventative services to younger people so they can reach old age in better health</t>
  </si>
  <si>
    <t xml:space="preserve">Mobility, agency, independence</t>
  </si>
  <si>
    <t xml:space="preserve">Manage health conditions + maintain strong support system</t>
  </si>
  <si>
    <t xml:space="preserve">(I) advancing technology and innovations to extend lifespan and quality of life. 
(II) making technology and innovations to extend lifespan and quality of life accessible to all. 
(III) using ML/AI to advance technology and innovations to extend lifespan and quality of life.</t>
  </si>
  <si>
    <t xml:space="preserve">Innovation means nothing if it’s only accessible to the elite</t>
  </si>
  <si>
    <t xml:space="preserve">I am very excited to see how to democratize longevity care because older populations have so much to offer their communities and the world will be a better place when everyone can engage in their lives fully</t>
  </si>
  <si>
    <t xml:space="preserve">I am concerned about how healthcare access initiatives will weather the extreme political polarization in this country and world</t>
  </si>
  <si>
    <t xml:space="preserve">Definitely democratizing access</t>
  </si>
  <si>
    <t xml:space="preserve">G3-030</t>
  </si>
  <si>
    <t xml:space="preserve">Getting older; having the time since your birth increase</t>
  </si>
  <si>
    <t xml:space="preserve">Loneliness; having nobody near them to support them</t>
  </si>
  <si>
    <t xml:space="preserve">Poor state of nursing homes; should be prioritized because the number of people needing to be in nursing homes is increasing</t>
  </si>
  <si>
    <t xml:space="preserve">Political action increasing funding to nursing homes, making it easier to be covered by insurance, increasing programs certifying carers</t>
  </si>
  <si>
    <t xml:space="preserve">My enjoyment of learning, my openness to new ideas, positive relationships with those around me</t>
  </si>
  <si>
    <t xml:space="preserve">Constantly try new things, join clubs, practice my hobbies</t>
  </si>
  <si>
    <t xml:space="preserve">I) Improving safety of pregnancy and childbirth in later ages maybe? I don’t really know.
II) you kind of said it; improving affordability and accessibility of health care
Iii) using machine learning to help identify disease or develop therapies to improve longevity</t>
  </si>
  <si>
    <t xml:space="preserve">I think affordability of health care is a huge problem, machine learning has a lot of potential to improve healthcare but the benefits will be more valuable if that healthcare is accessible, and reproductive health at older ages only impacts some smaller fraction of elderly people</t>
  </si>
  <si>
    <t xml:space="preserve">Democratizing healthcare could really improve equality and reduce the burden of caring for the elderly on lower income communities; also it will help people who do not have children to support them in their old age</t>
  </si>
  <si>
    <t xml:space="preserve">I’m worried about the political will to implement effective solutions to improve affordability and accessibility of care</t>
  </si>
  <si>
    <t xml:space="preserve">Making sure care is available equally across social classes and races and genders</t>
  </si>
  <si>
    <t xml:space="preserve">G3-031</t>
  </si>
  <si>
    <t xml:space="preserve">Singapore</t>
  </si>
  <si>
    <t xml:space="preserve">Finances from healthcare</t>
  </si>
  <si>
    <t xml:space="preserve">More accessible healthcare. So they can actually retire</t>
  </si>
  <si>
    <t xml:space="preserve">Somewhat</t>
  </si>
  <si>
    <t xml:space="preserve">I actually don’t believe in growing old, but if I did being able to eat, work out, and be independent</t>
  </si>
  <si>
    <t xml:space="preserve">Workout, eat healthy</t>
  </si>
  <si>
    <t xml:space="preserve">i) Being able to have kids at a later age, ii) access to longevity health care/tech, iii) using AI/ML to predict diseases to treat/manage before it happens</t>
  </si>
  <si>
    <t xml:space="preserve">Detecting disease early has the largest impact in a country’s health care burden. Health care equity is important.</t>
  </si>
  <si>
    <t xml:space="preserve">iii) i could potentially find out when and how i may die and how to prevent it</t>
  </si>
  <si>
    <t xml:space="preserve">i) Ethical considerations</t>
  </si>
  <si>
    <t xml:space="preserve">Yes, ensuring that it still retains human value, instead of chasing it solely for economic growth or innovation</t>
  </si>
  <si>
    <t xml:space="preserve">G3-032</t>
  </si>
  <si>
    <t xml:space="preserve">Aging is the process of changing over time after birth</t>
  </si>
  <si>
    <t xml:space="preserve">mutual lack of respect between the elderly and youth that leads to them repeatedly undermining each other</t>
  </si>
  <si>
    <t xml:space="preserve">Neurodegenerative diseases, because losing agency and/or mental faculties is becoming more and more dangerous</t>
  </si>
  <si>
    <t xml:space="preserve">Like do I see it happening or do I have a specific idea of what should be done? In the first case no and in the second case more funding toward medical research</t>
  </si>
  <si>
    <t xml:space="preserve">mental faculties, muscle/body function control, senses</t>
  </si>
  <si>
    <t xml:space="preserve">Sort of?</t>
  </si>
  <si>
    <t xml:space="preserve">i. researching and developing better ways to mitigate reproduction- and aging- related illnesses
ii. ensuring that access to geriatric and general care does not hinge on any socioeconomic factor pertaining to the patient</t>
  </si>
  <si>
    <t xml:space="preserve">The rankings are in order of how much benefit I believe each would bring and how many people I believe would benefit</t>
  </si>
  <si>
    <t xml:space="preserve">ii. I think everyone should be able to access healthcare without their security being potentially put in jeopardy</t>
  </si>
  <si>
    <t xml:space="preserve">iii. I worry about the prospect of important medical decisions not being made by doctors.</t>
  </si>
  <si>
    <t xml:space="preserve">yes (am I supposed to describe them? I mean, I’d suspect that the major ethical issue with research and development in geriatric medical care would be the question of whether participants can truly be consenting if they are not in full possession of their mental faculties)</t>
  </si>
  <si>
    <t xml:space="preserve">G3-033</t>
  </si>
  <si>
    <t xml:space="preserve">healthcare access</t>
  </si>
  <si>
    <t xml:space="preserve">yes because nobody deserves to have to worry about medical care prior to death</t>
  </si>
  <si>
    <t xml:space="preserve">governments have attempted to address it recently</t>
  </si>
  <si>
    <t xml:space="preserve">flexibility, human relationships, strength</t>
  </si>
  <si>
    <t xml:space="preserve">stretch daily, exercise, reach out to others</t>
  </si>
  <si>
    <t xml:space="preserve">i) helping people maintain their reproductive system and ability. ii) helping make healthcare affordable and accessible. iii) using ai to help with the aging process</t>
  </si>
  <si>
    <t xml:space="preserve">i don’t think older people need to reproduce and ai could be good but i think more accessible healthcare is better</t>
  </si>
  <si>
    <t xml:space="preserve">ii) it would help people live healthier and happier lives</t>
  </si>
  <si>
    <t xml:space="preserve">iii) would ai actually help the situation or lose human connection at older age</t>
  </si>
  <si>
    <t xml:space="preserve">yes for sure, especially with ai and reproductive health</t>
  </si>
  <si>
    <t xml:space="preserve">G3-034</t>
  </si>
  <si>
    <t xml:space="preserve">Telangana</t>
  </si>
  <si>
    <t xml:space="preserve">Telangana, India</t>
  </si>
  <si>
    <t xml:space="preserve">It is in mind. Being active can make feel younger.</t>
  </si>
  <si>
    <t xml:space="preserve">Health issues</t>
  </si>
  <si>
    <t xml:space="preserve">General issues related to heart</t>
  </si>
  <si>
    <t xml:space="preserve">Not much research related to it</t>
  </si>
  <si>
    <t xml:space="preserve">Weight, mental health, mobility</t>
  </si>
  <si>
    <t xml:space="preserve">Food habits and quality food</t>
  </si>
  <si>
    <t xml:space="preserve">Predicting disease risk using AI will be very good</t>
  </si>
  <si>
    <t xml:space="preserve">AI</t>
  </si>
  <si>
    <t xml:space="preserve">Diseases</t>
  </si>
  <si>
    <t xml:space="preserve">G3-035</t>
  </si>
  <si>
    <t xml:space="preserve">Aging is biological process depends on “changes our body cells have accumulated over the period of time”</t>
  </si>
  <si>
    <t xml:space="preserve">Aging is inevitable. Children are not taking enough responsibility to take care of the aging population or their parents.</t>
  </si>
  <si>
    <t xml:space="preserve">Values should be incorporated in every society from early part of education. Problem surfaced over the years and takes lot of amount of time to fix it. Better to adapt fix earlier than later</t>
  </si>
  <si>
    <t xml:space="preserve">Education!</t>
  </si>
  <si>
    <t xml:space="preserve">Be good, Do right, Leave rest</t>
  </si>
  <si>
    <t xml:space="preserve">It’s all within me!</t>
  </si>
  <si>
    <t xml:space="preserve">Great. Great. Great.</t>
  </si>
  <si>
    <t xml:space="preserve">All of them are equally important and go hand in hand</t>
  </si>
  <si>
    <t xml:space="preserve">Topic III</t>
  </si>
  <si>
    <t xml:space="preserve">Topic III - consequences of it</t>
  </si>
  <si>
    <t xml:space="preserve">G3-036</t>
  </si>
  <si>
    <t xml:space="preserve">Abidjan</t>
  </si>
  <si>
    <t xml:space="preserve">Côte d'Ivoire</t>
  </si>
  <si>
    <t xml:space="preserve">Abidjan, Côte d'Ivoire</t>
  </si>
  <si>
    <t xml:space="preserve">Aging = existing + time</t>
  </si>
  <si>
    <t xml:space="preserve">Health Care Costs</t>
  </si>
  <si>
    <t xml:space="preserve">Health Care Costs - because it financially cripples families while being a solvable issue.</t>
  </si>
  <si>
    <t xml:space="preserve">enact some form of Universal Health Care, there are multiple options that exist that could work and has worked in many countries</t>
  </si>
  <si>
    <t xml:space="preserve">my ability to take care of myself, my ability to travel and my ability to think</t>
  </si>
  <si>
    <t xml:space="preserve">Keeping active both physically and mentally</t>
  </si>
  <si>
    <t xml:space="preserve">i. Aid individuals in the ability to have healthy children, ii. Establishing systems of universal healthcare globally. iii. Trying to advance science with AI</t>
  </si>
  <si>
    <t xml:space="preserve">reproductive health is a subsection of health that does not exist if healthcare is not prioritized. Utilizing AI is a method of achieving a goal, not an actual goal.</t>
  </si>
  <si>
    <t xml:space="preserve">Topic ii. Implementing Universal Health is essential, logical and obvious.</t>
  </si>
  <si>
    <t xml:space="preserve">The lack of motion by politicians to enact Universal Health care.</t>
  </si>
  <si>
    <t xml:space="preserve">Sure, as there are for everything</t>
  </si>
  <si>
    <t xml:space="preserve">G3-037</t>
  </si>
  <si>
    <t xml:space="preserve">Aging is a natural process</t>
  </si>
  <si>
    <t xml:space="preserve">Medical care and the bills</t>
  </si>
  <si>
    <t xml:space="preserve">Medical care is very important for the aging group and the financial burden due to medical bills is something that needs immediate attention.</t>
  </si>
  <si>
    <t xml:space="preserve">Good Medicare benefits and also regulating pharmacy and medical costs would help</t>
  </si>
  <si>
    <t xml:space="preserve">Health, wealth and happiness</t>
  </si>
  <si>
    <t xml:space="preserve">Increasing age factor for reproductive health. Increasing age factor for overall survival and Increasing age factor using AI enabled solutions.</t>
  </si>
  <si>
    <t xml:space="preserve">I think using modern solutions to help aging is most productive out of 3.</t>
  </si>
  <si>
    <t xml:space="preserve">Using modern solutions for aging</t>
  </si>
  <si>
    <t xml:space="preserve">None</t>
  </si>
  <si>
    <t xml:space="preserve">G3-038</t>
  </si>
  <si>
    <t xml:space="preserve">Mobility slows down</t>
  </si>
  <si>
    <t xml:space="preserve">Lonliness</t>
  </si>
  <si>
    <t xml:space="preserve">Affordable Assisted Living</t>
  </si>
  <si>
    <t xml:space="preserve">Physical Activity</t>
  </si>
  <si>
    <t xml:space="preserve">Any intervention that is proven and affordable is great solution</t>
  </si>
  <si>
    <t xml:space="preserve">I think third topic is more achievable and efficient</t>
  </si>
  <si>
    <t xml:space="preserve">Applying AI and ML: It is exciting because the AI and ML are very powerful tools that can be applied on real data and come up with precise solutions and actionable items.</t>
  </si>
  <si>
    <t xml:space="preserve">Boosting longevity without solving other social and economic problems</t>
  </si>
  <si>
    <t xml:space="preserve">G3-039</t>
  </si>
  <si>
    <t xml:space="preserve">Learning more as the years pass</t>
  </si>
  <si>
    <t xml:space="preserve">Lack of medical care</t>
  </si>
  <si>
    <t xml:space="preserve">Giving Medicaid and making it more accessible</t>
  </si>
  <si>
    <t xml:space="preserve">More policy change</t>
  </si>
  <si>
    <t xml:space="preserve">Friends, family, education</t>
  </si>
  <si>
    <t xml:space="preserve">Continue taking classes, and meeting up with important people in my life</t>
  </si>
  <si>
    <t xml:space="preserve">It means being as efficient as possible in order to help the health care system</t>
  </si>
  <si>
    <t xml:space="preserve">Because it is important to revolutionize healthcare first and then work towards the other categories.</t>
  </si>
  <si>
    <t xml:space="preserve">Topic i</t>
  </si>
  <si>
    <t xml:space="preserve">I am concerned about errors AI could make</t>
  </si>
  <si>
    <t xml:space="preserve">Consider if AI will replace our jobs</t>
  </si>
  <si>
    <t xml:space="preserve">G3-040</t>
  </si>
  <si>
    <t xml:space="preserve">Andhra Pradesh</t>
  </si>
  <si>
    <t xml:space="preserve">Andhra Pradesh, India</t>
  </si>
  <si>
    <t xml:space="preserve">Aging is a blessing when a person maintains good health and fitness .</t>
  </si>
  <si>
    <t xml:space="preserve">Health issues , always in need of support from others</t>
  </si>
  <si>
    <t xml:space="preserve">New age medications with more side effects</t>
  </si>
  <si>
    <t xml:space="preserve">Vigorous researches in various health fields , invention of new medications with less side effects .</t>
  </si>
  <si>
    <t xml:space="preserve">Health , fitness , stress free life style</t>
  </si>
  <si>
    <t xml:space="preserve">Daily workouts , balancing diet</t>
  </si>
  <si>
    <t xml:space="preserve">Boosting reproductive health , using modern technology in a proper way to solve many issues related to aging . Predicting the diseases in early stages can reduce the risk .</t>
  </si>
  <si>
    <t xml:space="preserve">All of them are equally important</t>
  </si>
  <si>
    <t xml:space="preserve">Getting solutions for aging issues</t>
  </si>
  <si>
    <t xml:space="preserve">New age medications having more side effects</t>
  </si>
  <si>
    <t xml:space="preserve">G3-041</t>
  </si>
  <si>
    <t xml:space="preserve">Lack of good eldercare especially with aging population</t>
  </si>
  <si>
    <t xml:space="preserve">Social security is going to go bankrupt, it's the main program supporting old people so needs priority</t>
  </si>
  <si>
    <t xml:space="preserve">No our politicians suck</t>
  </si>
  <si>
    <t xml:space="preserve">Intelligence, personality, and physical functioning</t>
  </si>
  <si>
    <t xml:space="preserve">Exercise, eat well, sleep well, go to the doctor regularly</t>
  </si>
  <si>
    <t xml:space="preserve">(i) Helping people have kids and live longer lives
(ii) Making longevity healthcare accessible
(iiI) Using AI to help people age better</t>
  </si>
  <si>
    <t xml:space="preserve">I'm not old right now so reproductive health is more relevant to me so (i) first. I have some chronic health stuff so (iii) sounds useful. I have good health insurance so (ii) is not as relevant.</t>
  </si>
  <si>
    <t xml:space="preserve">(i) Women's health science is so behind and sexist, there's so much that could be done with an actual focus on it.</t>
  </si>
  <si>
    <t xml:space="preserve">(iii) AI with lots of people's personal data is super risky.</t>
  </si>
  <si>
    <t xml:space="preserve">(iii) Make sure AI can't do harmful stuff with people's personal data.</t>
  </si>
  <si>
    <t xml:space="preserve">G3-042</t>
  </si>
  <si>
    <t xml:space="preserve">Body gaining wear and tear</t>
  </si>
  <si>
    <t xml:space="preserve">Maintaining health as time goes on</t>
  </si>
  <si>
    <t xml:space="preserve">Keeping elderly connected with community, makes it so much easier to get them resources.</t>
  </si>
  <si>
    <t xml:space="preserve">Churches often do this in my experience. It acts as a common communal gathering space.</t>
  </si>
  <si>
    <t xml:space="preserve">My mind, my bodily autonomy, and dignity.</t>
  </si>
  <si>
    <t xml:space="preserve">Constantly studying, keeping my brain active, walking and exercising regularly, keeping regular contact with others, etc.</t>
  </si>
  <si>
    <t xml:space="preserve">i. Keeping people healthy enough to have and raise children even when older
ii. Removing the barriers to care we see throughout the world
iii. Not sure; maybe somewhat improved modeling if used correctly?</t>
  </si>
  <si>
    <t xml:space="preserve">I think they are all important, but democratizing healthcare is by far the most important goal. The greatest barriers we see in healthcare are the result of power imbalances. Also, AI is poorly defined to the public (including me), so it is hard to understand what you meant when you said AI and/or how you meant to implement it (is this an agent, or just an algorithm, and for what specific projects would it be used?)</t>
  </si>
  <si>
    <t xml:space="preserve">I want to know that, no matter where I go, the people around me don’t have to avoid healthcare for fear of the costs and/or mistreatment, and that the environment they live in is one that supports their health.</t>
  </si>
  <si>
    <t xml:space="preserve">AI, especially around medical records. I would not trust people who tout agentic AI as the technology to use with any sort of private information.</t>
  </si>
  <si>
    <t xml:space="preserve">Primarily that you have a full perspective on the issue. I find that many people working on big projects forget to check them with reality and/or the people they are trying to help.</t>
  </si>
  <si>
    <t xml:space="preserve">G3-043</t>
  </si>
  <si>
    <t xml:space="preserve">Its natural unavoidable</t>
  </si>
  <si>
    <t xml:space="preserve">Facilities</t>
  </si>
  <si>
    <t xml:space="preserve">Facility and immediate medical attention</t>
  </si>
  <si>
    <t xml:space="preserve">Memory flexibility and mobility</t>
  </si>
  <si>
    <t xml:space="preserve">Yes yoga memory games</t>
  </si>
  <si>
    <t xml:space="preserve">Accessibility and affordability</t>
  </si>
  <si>
    <t xml:space="preserve">They are most important for everyone</t>
  </si>
  <si>
    <t xml:space="preserve">2</t>
  </si>
  <si>
    <t xml:space="preserve">Yes not go to beyond human values</t>
  </si>
  <si>
    <t xml:space="preserve">G3-044</t>
  </si>
  <si>
    <t xml:space="preserve">Based on look and fitness</t>
  </si>
  <si>
    <t xml:space="preserve">Healthcare,financial security and technology</t>
  </si>
  <si>
    <t xml:space="preserve">Reduce expenses on Medicare and remove property tax for homes , tax free on income after 70’s</t>
  </si>
  <si>
    <t xml:space="preserve">Make health care easier to access</t>
  </si>
  <si>
    <t xml:space="preserve">Good health, mental piece , fitness&amp; financial secure</t>
  </si>
  <si>
    <t xml:space="preserve">Using AI to predict health risks and identify health issues in early stage to get faster cure</t>
  </si>
  <si>
    <t xml:space="preserve">All three topics r very important</t>
  </si>
  <si>
    <t xml:space="preserve">Topic 1</t>
  </si>
  <si>
    <t xml:space="preserve">Topic 3</t>
  </si>
  <si>
    <t xml:space="preserve">G3-045</t>
  </si>
  <si>
    <t xml:space="preserve">Aging is the progressive, time-related decline in bodily function that increases vulnerability to diseases.</t>
  </si>
  <si>
    <t xml:space="preserve">The biggest challenge is the growing burden of chronic disease and long-term care.</t>
  </si>
  <si>
    <t xml:space="preserve">Greatest short-term challenge: Affordable, accessible long-term care</t>
  </si>
  <si>
    <t xml:space="preserve">Expand home- and community-based care with better caregiver pay and training, supported by telehealth and smart monitoring so seniors can age safely at home</t>
  </si>
  <si>
    <t xml:space="preserve">A healthy body weight, physical strength and mobility, and a sharp, curious mind.</t>
  </si>
  <si>
    <t xml:space="preserve">Yes: eat balanced meals, stay active with regular exercise, sleep well, get routine checkups, and keep learning and socially connected.</t>
  </si>
  <si>
    <t xml:space="preserve">(i) Extending healthy lifespan, including reproductive health, by slowing the biological processes of aging; (ii) making proven longevity and health solutions affordable and accessible to everyone; (iii) using AI and machine learning on health data to predict disease risk and personalize prevention and treatment</t>
  </si>
  <si>
    <t xml:space="preserve">Accessible longevity solutions and AI-driven personalized care can benefit me directly and at scale, while reproductive health and longevity is important but less immediately relevant to me.</t>
  </si>
  <si>
    <t xml:space="preserve">possibility of using AI and data to make personalized, preventive longevity care affordable and available to everyone, not just a privileged few.</t>
  </si>
  <si>
    <t xml:space="preserve">Health and longevity.</t>
  </si>
  <si>
    <t xml:space="preserve">G3-046</t>
  </si>
  <si>
    <t xml:space="preserve">Learning and exeperience</t>
  </si>
  <si>
    <t xml:space="preserve">Health</t>
  </si>
  <si>
    <t xml:space="preserve">Medical system</t>
  </si>
  <si>
    <t xml:space="preserve">Family ,Health and Experience</t>
  </si>
  <si>
    <t xml:space="preserve">This will help every human being</t>
  </si>
  <si>
    <t xml:space="preserve">I want to see more inovation on human health</t>
  </si>
  <si>
    <t xml:space="preserve">Results</t>
  </si>
  <si>
    <t xml:space="preserve">G3-047</t>
  </si>
  <si>
    <t xml:space="preserve">Just a number</t>
  </si>
  <si>
    <t xml:space="preserve">Health &amp; Job</t>
  </si>
  <si>
    <t xml:space="preserve">Health check ups like calcium test and cancer screening should be done at age above 50.</t>
  </si>
  <si>
    <t xml:space="preserve">Doctor not suggesting to go for those tests. Patient asking those tests to their own health.</t>
  </si>
  <si>
    <t xml:space="preserve">Health, money and friendship</t>
  </si>
  <si>
    <t xml:space="preserve">Very important</t>
  </si>
  <si>
    <t xml:space="preserve">Same order</t>
  </si>
  <si>
    <t xml:space="preserve">Keeping healthy society</t>
  </si>
  <si>
    <t xml:space="preserve">AI . We don’t know how safe it keeps PHI data.</t>
  </si>
  <si>
    <t xml:space="preserve">G3-048</t>
  </si>
  <si>
    <t xml:space="preserve">Aging is a natural process which has to be accepted</t>
  </si>
  <si>
    <t xml:space="preserve">Less expensive medical care should be of priority, because not all aging people will have money to spend on their health</t>
  </si>
  <si>
    <t xml:space="preserve">Government offering medicaid etc</t>
  </si>
  <si>
    <t xml:space="preserve">Black hair, smooth skin, good health</t>
  </si>
  <si>
    <t xml:space="preserve">Hair color, skin products, health checkups</t>
  </si>
  <si>
    <t xml:space="preserve">Applying machine learning and artificial intelligence (AI) to enable modern solutions for aging and health Is very good thing for future aging to population</t>
  </si>
  <si>
    <t xml:space="preserve">Boosting reproductive health for aging population is of least importance, just give more importance to overall health and wellbeing of them</t>
  </si>
  <si>
    <t xml:space="preserve">predicting disease risk or disease trajectories</t>
  </si>
  <si>
    <t xml:space="preserve">False predictions</t>
  </si>
  <si>
    <t xml:space="preserve">G3-049</t>
  </si>
  <si>
    <t xml:space="preserve">decrease in function</t>
  </si>
  <si>
    <t xml:space="preserve">access to proper elderly care</t>
  </si>
  <si>
    <t xml:space="preserve">access to adequate elderly care as nursing homes can create very difficult situations</t>
  </si>
  <si>
    <t xml:space="preserve">yeah</t>
  </si>
  <si>
    <t xml:space="preserve">skin, hair and physical mobility</t>
  </si>
  <si>
    <t xml:space="preserve">1. protecting and boosting reproductive health capacity
2. allowing the less fortunate to access healthcare
3. having ai try to predict if you are at a higher risk of aging</t>
  </si>
  <si>
    <t xml:space="preserve">these solutions while important, I don’t think they’d be able to be feasible in time for me to make heavy use of them.</t>
  </si>
  <si>
    <t xml:space="preserve">ai has a lot of potential and could identify avenues of research we haven’t explored before which is exciting</t>
  </si>
  <si>
    <t xml:space="preserve">insurance companies using ai to deny coverage</t>
  </si>
  <si>
    <t xml:space="preserve">yes, ensuring the ai follows hipaa and preventing misuse of the data by insurance companies</t>
  </si>
  <si>
    <t xml:space="preserve">G3-050</t>
  </si>
  <si>
    <t xml:space="preserve">Isolation</t>
  </si>
  <si>
    <t xml:space="preserve">Volunteers</t>
  </si>
  <si>
    <t xml:space="preserve">Physical health, mental health transportation</t>
  </si>
  <si>
    <t xml:space="preserve">Exercise eat better and yearly check ups</t>
  </si>
  <si>
    <t xml:space="preserve">Improving reproductive health, advances in science and affordable health care and drugs</t>
  </si>
  <si>
    <t xml:space="preserve">Important for my daughter and for myself</t>
  </si>
  <si>
    <t xml:space="preserve">Reproductive health is super important</t>
  </si>
  <si>
    <t xml:space="preserve">Endometriosis needs to be prioritized as well as menopause</t>
  </si>
  <si>
    <t xml:space="preserve">G3-051</t>
  </si>
  <si>
    <t xml:space="preserve">The progressive accumulation of deleterious micro and macro biological phenomena correlated with the passage of time</t>
  </si>
  <si>
    <t xml:space="preserve">Rising costs of care vs insufficient savings, social security, and medicare coverage</t>
  </si>
  <si>
    <t xml:space="preserve">We need tools and interfaces that allow older individuals to understand the decisions made in the course of their medical care, and communicate with their doctors and caregivers about adverse incidents. I've seen my family members conceal adverse health incidents or not understand how to communicate them because of cognitive difficulties, and feel that proper health communication is one of the easier yet important problems aging persons face.</t>
  </si>
  <si>
    <t xml:space="preserve">No, and most digital tools remain stubbornly difficult for older people to use. I wish more focus went to age-aware digital accessibility</t>
  </si>
  <si>
    <t xml:space="preserve">Cognitive abilities, physical strength, and sight</t>
  </si>
  <si>
    <t xml:space="preserve">(i) Elongating the window in which reproduction is safe, (2) allowing all to benefit from the fruits of scientific discover, (3) Using data trends to build new interventions</t>
  </si>
  <si>
    <t xml:space="preserve">I think we all deserve to benefit from solutions</t>
  </si>
  <si>
    <t xml:space="preserve">Making good health affordable</t>
  </si>
  <si>
    <t xml:space="preserve">AI and wearables become an invasive and entangled part of people's health.</t>
  </si>
  <si>
    <t xml:space="preserve">G3-052</t>
  </si>
  <si>
    <t xml:space="preserve">Iran</t>
  </si>
  <si>
    <t xml:space="preserve">Cells reproducing over time in a living thing (for a living thing)</t>
  </si>
  <si>
    <t xml:space="preserve">Finding a “productive”/fulfilling placement in society for the population as a whole</t>
  </si>
  <si>
    <t xml:space="preserve">Helping those who can and want find either paying or fulfilling work in society</t>
  </si>
  <si>
    <t xml:space="preserve">Proper lanes for them to be an integral part of where they would be needed for and appreciated for</t>
  </si>
  <si>
    <t xml:space="preserve">Always a lane available for me to continue in life. From any situation life throws at me</t>
  </si>
  <si>
    <t xml:space="preserve">Being grounded</t>
  </si>
  <si>
    <t xml:space="preserve">Good healthcare, Good healthcare, very helpful tool (FOR HUMANS) if the AI billionaires don’t cause our destruction</t>
  </si>
  <si>
    <t xml:space="preserve">Cuz living long enough != allowing people in a society to live well or want to live</t>
  </si>
  <si>
    <t xml:space="preserve">AI and its application where it would open up lanes for new ways to solve problems</t>
  </si>
  <si>
    <t xml:space="preserve">Billionaires for all three</t>
  </si>
  <si>
    <t xml:space="preserve">Yes where the money goes and comes from</t>
  </si>
  <si>
    <t xml:space="preserve">G3-053</t>
  </si>
  <si>
    <t xml:space="preserve">Lack of meaningful interaction with others</t>
  </si>
  <si>
    <t xml:space="preserve">i literally have no clue.</t>
  </si>
  <si>
    <t xml:space="preserve">see above</t>
  </si>
  <si>
    <t xml:space="preserve">Money, health, friends</t>
  </si>
  <si>
    <t xml:space="preserve">Cryptoscamming, cryptoscamming (and investing in a doctor), keep annoying my friends</t>
  </si>
  <si>
    <t xml:space="preserve">(i) Boosting reproductive health and longevity
(ii) having longevity and health solutions that are accessible, affordable, and generalizable
(iii) predicting disease risk or disease trajectories, precision health, etc.</t>
  </si>
  <si>
    <t xml:space="preserve">1. well i said i would prioritize health and money so like i guess maybe you could say that i wkhld rank cheap and affordable and good healthcare as #1 if you like kinda think about it may
2. i think predicting stuff is pretty cooooooooooool
3. idc
4. the next question is dumb i have no idea what society wants because different realms of society want different stuff so like the question dont even make sense pls make it better</t>
  </si>
  <si>
    <t xml:space="preserve">me not dying</t>
  </si>
  <si>
    <t xml:space="preserve">me dying</t>
  </si>
  <si>
    <t xml:space="preserve">like dont murder people to get the data i guess idk im not a bme major and i never took an ethics class.
I WANT YOU TO KNOW TO MAKE BETTER SURVEY QUESTIONS. DO YOU KNOW HOW LONG IT TAKES TO ANSWER THESE? I (AND MOST RESPONDENTS) DONT KNOW DIDDLY SQUAT ABOUT THIS. WE'RE LIKE 20. IDK THESE ANSWERS. I DONT TAKE THIS CLASS. PLEASE FOR THE LOVE OF GOD AND ALL THAT IS HOLY MAKE BETTER FUCKING SURVEY QUESTIONS. I ALSO DONT KNOW WHAT BIOENGINEERS EVEN DO SO WHEN I ANSWER THAT QUESTION ITS JUST A RANDOM NUMBER. WHY ARE THE QUESTIONS ALL REQUIRED???</t>
  </si>
  <si>
    <t xml:space="preserve">G3-054</t>
  </si>
  <si>
    <t xml:space="preserve">When your body stops repairing itself</t>
  </si>
  <si>
    <t xml:space="preserve">Lack of resources to support people, loneliness</t>
  </si>
  <si>
    <t xml:space="preserve">I’m not sure. Maybe susceptibility to AI</t>
  </si>
  <si>
    <t xml:space="preserve">Education</t>
  </si>
  <si>
    <t xml:space="preserve">Physical health, friendships, dreams</t>
  </si>
  <si>
    <t xml:space="preserve">Integrating habits that are conducive to those goals in my present life</t>
  </si>
  <si>
    <t xml:space="preserve">i) prolonging fertility, ii) cheap healthcare iii) using AI to assist with healthcare</t>
  </si>
  <si>
    <t xml:space="preserve">I believe that making healthcare more accessible to people should be prioritized because everyone should have equitable access to care. Reproductive health is important for the current next generation to thrive. I feel like AI needs to be better regulated before looking for way to implement it in healthcare.</t>
  </si>
  <si>
    <t xml:space="preserve">Being able to help ppl lol</t>
  </si>
  <si>
    <t xml:space="preserve">Im concerned about the repercussions of AI</t>
  </si>
  <si>
    <t xml:space="preserve">G3-055</t>
  </si>
  <si>
    <t xml:space="preserve">Degradation of biological systems</t>
  </si>
  <si>
    <t xml:space="preserve">Lack of support socially and financially.</t>
  </si>
  <si>
    <t xml:space="preserve">Getting them active and social again.</t>
  </si>
  <si>
    <t xml:space="preserve">We social centers for senior citizens where they can not only interact with other seniors, but also younger people so that they can learn new hobbies and exercise.. These exist but aren't as common as they should be. Learning new activities slows the progression of dementia and other neurological degradation. Exercise does not lose value even as you get older.</t>
  </si>
  <si>
    <t xml:space="preserve">Independence, health, functional intelligence</t>
  </si>
  <si>
    <t xml:space="preserve">Exercise, diet, puzzles or other intellectually challenging hobbies. If I maintain health and mental abilities, I should be able to stay somewhat independent for longer.</t>
  </si>
  <si>
    <t xml:space="preserve">(i) increasing the time period that people are fertile (ii) making information that is important for long term health more publicly available (iii) implementation of artificial intelligence in medicine with a focus on age related diseases.</t>
  </si>
  <si>
    <t xml:space="preserve">I'd prefer the two categories that may reduce health care costs the most. (ii) and (iii) might increase the accessibility and reduce costs from how I see it. (i) is important, but as an individual, I am not concerned about reproducing, except for the fact that we need a younger generation to support the older ones.</t>
  </si>
  <si>
    <t xml:space="preserve">(iii) Might help to reduce the stress placed on health care professionals, reduce wait times, and reduce costs.</t>
  </si>
  <si>
    <t xml:space="preserve">(i) I think as a society there is not much awareness in this topic, especially among the male population.</t>
  </si>
  <si>
    <t xml:space="preserve">Who is liable when AI makes a mistake? Even if there is a professional checking its responses (which is likely not viable at a large scale), medical predictions are hard to make .</t>
  </si>
  <si>
    <t xml:space="preserve">G3-056</t>
  </si>
  <si>
    <t xml:space="preserve">Time passing, biological function decreasing</t>
  </si>
  <si>
    <t xml:space="preserve">Mental health (dementia, depression, loneliness)</t>
  </si>
  <si>
    <t xml:space="preserve">Mental health because quality of life is intimately linked to being aware and satisfied with your life.</t>
  </si>
  <si>
    <t xml:space="preserve">Prioritize Medical advances (pharmaceutical/neurological), coupled with social programs- particularly mental health care.</t>
  </si>
  <si>
    <t xml:space="preserve">Sharp cognitive ability 
Ability to be physically active 
Freedom from debilitating disease</t>
  </si>
  <si>
    <t xml:space="preserve">Stay active, physically and mentally, eat healthier and maintain a balance lifestyle.</t>
  </si>
  <si>
    <t xml:space="preserve">(I) This implicates finding methods (treatments, behavioral and lifestyle activities) that, when followed, can improve one’s chances of living longer and being able to be able to conceive and bear children during reproductive years.
(II) To me, this means having healthcare and wellness programs available to everyone and that affordability is not an issue.
(III) This means using AI tools to aid experts in developing novel or more robust approaches for predicting, diagnosing, treating, and discerning prognoses for ailments associated with aging and health.</t>
  </si>
  <si>
    <t xml:space="preserve">Personally, I’m hoping to benefit from new methods than increase longevity and quality of life. However, while having solutions to problems is important- sharing the solutions across human kind is essential. Which is why I ranked II at 2.</t>
  </si>
  <si>
    <t xml:space="preserve">The topic about boosting longevity and reproduction is exciting. It find it fascinating to think about breakthroughs in health and wellness that can improve life in this way.</t>
  </si>
  <si>
    <t xml:space="preserve">Increasing longevity and reproductive ability without consideration of the quality of life associated with each is concerning.</t>
  </si>
  <si>
    <t xml:space="preserve">Yes. Each topic has ethical considerations- I. Quality of life, II. Ensuring equal access to wellness and heath care, III Use of AI with personal information.</t>
  </si>
  <si>
    <t xml:space="preserve">G3-057</t>
  </si>
  <si>
    <t xml:space="preserve">Transitioning and growing through experiences over time.</t>
  </si>
  <si>
    <t xml:space="preserve">Inaccessibility of new technology for older individuals.</t>
  </si>
  <si>
    <t xml:space="preserve">Inaccessibility of new technology for older individuals; should be prioritized because it exacerbates generational disconnects and hinders older individuals' ability to accurately understand the world around them.</t>
  </si>
  <si>
    <t xml:space="preserve">Not particularly, I'm not a tech expert.</t>
  </si>
  <si>
    <t xml:space="preserve">My faculties (memory, senses, etc.), a permanent home, and empathy.</t>
  </si>
  <si>
    <t xml:space="preserve">Do mental exercises, keep an open mind, help my community, continue to learn about and meet new people.</t>
  </si>
  <si>
    <t xml:space="preserve">(i) Improving the ability of older individuals to live for longer and safely reproduce. (ii) Universalizing healthcare solutions, which will in turn make quality of life better across the board. (iii) Taking emergent technologies, regulating them, and employing them in such a way that they serve to support human intellectual expression and research rather than monopolize them.</t>
  </si>
  <si>
    <t xml:space="preserve">There are a lot of already existing technologies that, if made more accessible, would already dramatically improve quality of life. I feel we should prioritize improving the quality of life with the abundance of means we already have before pushing for new solutions that will remain systemically inaccessible within current social structures.</t>
  </si>
  <si>
    <t xml:space="preserve">I would like healthcare to be more affordable and accessible, frankly.</t>
  </si>
  <si>
    <t xml:space="preserve">People will prioritize new technologies (such as those outlined in topic iii) over actually implementing them in a way that will meaningfully and positively impact the lives of the people they claim to be helping. Providing good-quality, accessible healthcare and social support for the elderly and vulnerable is not seen as a viable financial commitment and thus remains undersupported.</t>
  </si>
  <si>
    <t xml:space="preserve">Absolutely, these are human beings who are being impacted by these changes.</t>
  </si>
  <si>
    <t xml:space="preserve">G3-058</t>
  </si>
  <si>
    <t xml:space="preserve">Process of change in our bodies and minds over time, shaped by biology, environment, and experience.</t>
  </si>
  <si>
    <t xml:space="preserve">Maintaining independence and quality of life as chronic illness, cognitive changes, and care needs increase.</t>
  </si>
  <si>
    <t xml:space="preserve">Making practical health care and support accessible before a crisis occurs. 
Affordable help with mobility, chronic conditions, and daily needs could improve people’s lives now and reduce pressure on families/caregivers.</t>
  </si>
  <si>
    <t xml:space="preserve">Yes: expand affordable preventive care and home based support, support caregivers, and make services easier to find and use. 
Research could measure whether these approaches reach people across different incomes and communities.</t>
  </si>
  <si>
    <t xml:space="preserve">Curiosity and the ability to learn; close relationships; physical and cognitive independence</t>
  </si>
  <si>
    <t xml:space="preserve">Keep learning, invest in relationships, stay physically active, get preventive care, sleep</t>
  </si>
  <si>
    <t xml:space="preserve">i) Helping people retain reproductive options and health for longer, while understanding how reproductive aging relates to overall health.
ii)Making advances in healthy aging affordable, accessible, and useful to people with varied backgrounds and circumstances.
iii) Using AI to identify health risks earlier, and help design prevention or treatments</t>
  </si>
  <si>
    <t xml:space="preserve">i) time sensitive ii) allows for innovation and progress iii) accessibility is important</t>
  </si>
  <si>
    <t xml:space="preserve">i) extending healthy fertility and healthy lifespan</t>
  </si>
  <si>
    <t xml:space="preserve">ii) advancements can lead to increased stratification of society. democratization is important.</t>
  </si>
  <si>
    <t xml:space="preserve">Yes. Solutions should be tested for safety and effectiveness across diverse groups, protect health and reproductive data, allow meaningful consent, and be designed with affordability and access in mind.</t>
  </si>
  <si>
    <t xml:space="preserve">G3-059</t>
  </si>
  <si>
    <t xml:space="preserve">Not enough young people to care for them because of population decline + difficulty with finances/navigating healthcare expenses</t>
  </si>
  <si>
    <t xml:space="preserve">Better resources available and accessible for health care and housing. Too many seniors don’t know what their options are or don’t have somebody technologically savvy enough to help them navigate it.</t>
  </si>
  <si>
    <t xml:space="preserve">I’m not sure. I imagine either social workers would need to have additional training, organizations would need to be founded and implemented, or a new role would have to be created for this guidance.</t>
  </si>
  <si>
    <t xml:space="preserve">Independence, financial security, community connections</t>
  </si>
  <si>
    <t xml:space="preserve">Making good financial choices/saving and embedding myself within the community instead of isolating</t>
  </si>
  <si>
    <t xml:space="preserve">1. A greater percentage of fertility among the population and the ability for older parents to conceive. 
2. Accessible and affordable care for the public 
3. Using AI to screen for illness, catch it early, and help find treatments.</t>
  </si>
  <si>
    <t xml:space="preserve">Creating solutions through AI is irrelevant if it’s not accessible to the general public and able to be used to its full potential for those who need it.</t>
  </si>
  <si>
    <t xml:space="preserve">Having more scientific breakthroughs has the potential to decrease human suffering and eliminate diseases.</t>
  </si>
  <si>
    <t xml:space="preserve">Boosting reproductive longevity has a host of ethical and medical implications for both the mother and the child.</t>
  </si>
  <si>
    <t xml:space="preserve">Yes. AI solutions should be made widely accessible when approved and not hoarded for the elite. It should also be used for ethical reasons and not for personal ones (ie designing your child’s appearance). Improving reproductive health is fantastic but extending the longevity is concerning for the parent and the child. What happens with the greater increase for birth complications and medical concerns for children of older mothers? What happens when the parents die and the child is only ten or twenty and has no guidance in the world?</t>
  </si>
  <si>
    <t xml:space="preserve">G3-060</t>
  </si>
  <si>
    <t xml:space="preserve">New Mexico</t>
  </si>
  <si>
    <t xml:space="preserve">New Mexico, United States</t>
  </si>
  <si>
    <t xml:space="preserve">Physical limitations</t>
  </si>
  <si>
    <t xml:space="preserve">Mobility issues</t>
  </si>
  <si>
    <t xml:space="preserve">More friendly methods of transportation</t>
  </si>
  <si>
    <t xml:space="preserve">Mobility, autonomy, stable financial status</t>
  </si>
  <si>
    <t xml:space="preserve">Try to be healthy</t>
  </si>
  <si>
    <t xml:space="preserve">I) making sure that reproducing has less health risks and is feasible for longer
Ii)ensuring that aging people have access to solutions to their health problems 
Iii) using pattern recognition for AI/ML to evaluate a patients health and possible future risks</t>
  </si>
  <si>
    <t xml:space="preserve">I have experienced a lot of older family members having health problems that they don’t have solutions for</t>
  </si>
  <si>
    <t xml:space="preserve">I am exciting to see more people making steps towards solutions for health problems associated with older people</t>
  </si>
  <si>
    <t xml:space="preserve">It won’t happen due to government regulations</t>
  </si>
  <si>
    <t xml:space="preserve">Definitely ethical topics regarding interfering with bodily rights. AI has a lot of concerns for anything involving people’s health.</t>
  </si>
  <si>
    <t xml:space="preserve">G3-061</t>
  </si>
  <si>
    <t xml:space="preserve">Idaho</t>
  </si>
  <si>
    <t xml:space="preserve">Idaho, United States</t>
  </si>
  <si>
    <t xml:space="preserve">The biological process of physiological and sociological changes as the result of the passage of time.</t>
  </si>
  <si>
    <t xml:space="preserve">The economic strain of aging and its associated costs, such as medical bills, assisted living, and other geriatric services.</t>
  </si>
  <si>
    <t xml:space="preserve">Implementation of public, single payer healthcare</t>
  </si>
  <si>
    <t xml:space="preserve">The passing of Medicaid for all</t>
  </si>
  <si>
    <t xml:space="preserve">Physical mobility, mental acuity, my sense of humor</t>
  </si>
  <si>
    <t xml:space="preserve">Strength training is essential for women, especially menopausal and post menopausal ages as bone density and osteopenia became more and more likely to ending in continual education and “brain games” can assist in maintaining mental acuity. Additionally, ensuring access to hearing aids can be beneficial for doing so.</t>
  </si>
  <si>
    <t xml:space="preserve">1. Increasing the length of time of which one is able to reproduce. 
2. Making the study of aging publicly accessible.
3. Utilizing machine learning to enact prevention care.</t>
  </si>
  <si>
    <t xml:space="preserve">Public healthcare access is essential and public health with an emphasis on preventive care goes hand in hand.</t>
  </si>
  <si>
    <t xml:space="preserve">Wider access equates to higher public health</t>
  </si>
  <si>
    <t xml:space="preserve">Private industry’s involvement and the capitalist expansion of the sector</t>
  </si>
  <si>
    <t xml:space="preserve">Quality of life</t>
  </si>
  <si>
    <t xml:space="preserve">G3-062</t>
  </si>
  <si>
    <t xml:space="preserve">Getting old</t>
  </si>
  <si>
    <t xml:space="preserve">Lack of affordable healthcare and housing</t>
  </si>
  <si>
    <t xml:space="preserve">Get Democrats in control of federal government</t>
  </si>
  <si>
    <t xml:space="preserve">1. Health. 2. Family. 2. Home</t>
  </si>
  <si>
    <t xml:space="preserve">Try to be good with money</t>
  </si>
  <si>
    <t xml:space="preserve">Need to look at immediate solutions as well as an eye to the future</t>
  </si>
  <si>
    <t xml:space="preserve">Based on most urgent needs for the majority</t>
  </si>
  <si>
    <t xml:space="preserve">The idea of addressing needs of elderly</t>
  </si>
  <si>
    <t xml:space="preserve">Slow progress</t>
  </si>
  <si>
    <t xml:space="preserve">That only certain socio- economic groups will be addressed</t>
  </si>
  <si>
    <t xml:space="preserve">G3-063</t>
  </si>
  <si>
    <t xml:space="preserve">Aging is an inevitable process that begins at birth as each day we get older, therefore, it is an expected outcome.</t>
  </si>
  <si>
    <t xml:space="preserve">High quality affordable healthcare</t>
  </si>
  <si>
    <t xml:space="preserve">Affordable Healthcare should be prioritized and solved in the short-term because many low and middle class senior citizens are making difficult choices between medications and healthy nutritional choices.</t>
  </si>
  <si>
    <t xml:space="preserve">This is a difficult and costly issue and has remained unsolved for decades.</t>
  </si>
  <si>
    <t xml:space="preserve">love, health, financial stability</t>
  </si>
  <si>
    <t xml:space="preserve">exercise, eat healthy and make conservative financial choices</t>
  </si>
  <si>
    <t xml:space="preserve">I think the titles are descriptive of the meaning.</t>
  </si>
  <si>
    <t xml:space="preserve">Give my age, reproductive rights are less important at this age.</t>
  </si>
  <si>
    <t xml:space="preserve">The possibility that A1 could aid and expedite addressing medical challenges.</t>
  </si>
  <si>
    <t xml:space="preserve">A1 being used to make healthcare decisions without appropriate clinical oversight.</t>
  </si>
  <si>
    <t xml:space="preserve">Yes, see comment above re; A1</t>
  </si>
  <si>
    <t xml:space="preserve">G3-064</t>
  </si>
  <si>
    <t xml:space="preserve">A lifeform proceeding in the direction of increasing entropy</t>
  </si>
  <si>
    <t xml:space="preserve">Money</t>
  </si>
  <si>
    <t xml:space="preserve">Financial security</t>
  </si>
  <si>
    <t xml:space="preserve">Social security</t>
  </si>
  <si>
    <t xml:space="preserve">Memory, physical abilities, mental abilities</t>
  </si>
  <si>
    <t xml:space="preserve">Sleep thoroughly, see a doctor regularly, eat well, exercise</t>
  </si>
  <si>
    <t xml:space="preserve">1. Extending people’s fertility to later ages and helping more people live longer
2 making newest improvements in later life healthcare available more widely
3 using AI tools in aging research</t>
  </si>
  <si>
    <t xml:space="preserve">I want people to be healthy as long as possible</t>
  </si>
  <si>
    <t xml:space="preserve">New medical techniques</t>
  </si>
  <si>
    <t xml:space="preserve">I am worried about the future of AI</t>
  </si>
  <si>
    <t xml:space="preserve">Always.</t>
  </si>
  <si>
    <t xml:space="preserve">G3-065</t>
  </si>
  <si>
    <t xml:space="preserve">A failure to replace all cells within the body</t>
  </si>
  <si>
    <t xml:space="preserve">Accessibility. The ADA is a great start but many places still need wheel chair ramps and other features</t>
  </si>
  <si>
    <t xml:space="preserve">Health, eyesight, mobility</t>
  </si>
  <si>
    <t xml:space="preserve">Exercise, maintain healthy habits</t>
  </si>
  <si>
    <t xml:space="preserve">1) increased fertility 2) public access to healthcare 3) computer aided healthcare</t>
  </si>
  <si>
    <t xml:space="preserve">Birth rate feels more dependent on social things currently and computers will always advance, policy will bog the quickest</t>
  </si>
  <si>
    <t xml:space="preserve">Seeing what technology can do</t>
  </si>
  <si>
    <t xml:space="preserve">Corporate overreach in hospitals and related technology</t>
  </si>
  <si>
    <t xml:space="preserve">Ensuring people aren’t treated like statistics</t>
  </si>
  <si>
    <t xml:space="preserve">G3-066</t>
  </si>
  <si>
    <t xml:space="preserve">Growing and getting older</t>
  </si>
  <si>
    <t xml:space="preserve">Cost of medical care after retirement</t>
  </si>
  <si>
    <t xml:space="preserve">loss of Medicare; quality healthcare should be prioritized for humanity and dignity for the aging</t>
  </si>
  <si>
    <t xml:space="preserve">Better national healthcare programs</t>
  </si>
  <si>
    <t xml:space="preserve">My mental capacity; joy in life; empathy</t>
  </si>
  <si>
    <t xml:space="preserve">Practice mindfulness; continue to socialize and meet people with different points of view, and try to understand them</t>
  </si>
  <si>
    <t xml:space="preserve">I) helping solve reproductive challenges and extending length of life ii) providing care for all, regardless of economic power iii) using AI to find healthcare solutions</t>
  </si>
  <si>
    <t xml:space="preserve">I think accessibility can help the most people. AI is a means to gain accessibility. Reproductive health and longevity felt like subsets of broader health solutions.</t>
  </si>
  <si>
    <t xml:space="preserve">Helping future generations with health solutions for quality of life.</t>
  </si>
  <si>
    <t xml:space="preserve">About AI, my greatest concern is lack of guardrails and training for those using it, and the power it might provide to those who have ill intentions</t>
  </si>
  <si>
    <t xml:space="preserve">G3-067</t>
  </si>
  <si>
    <t xml:space="preserve">The physiological experience of constant changes to a body over time.</t>
  </si>
  <si>
    <t xml:space="preserve">Inaccessibility of services and care leading to an inability to meaningfully participate in the world for a variety of related reasons.</t>
  </si>
  <si>
    <t xml:space="preserve">Accessibility to adequate and effective health care</t>
  </si>
  <si>
    <t xml:space="preserve">Policy change focused on reducing monetary privilege as a factor/barrier to receiving care. Social support services that improve quality of life for aged individuals. Population relevant education surrounding aging and medical needs.</t>
  </si>
  <si>
    <t xml:space="preserve">Strength, mobility, cognitive clarity</t>
  </si>
  <si>
    <t xml:space="preserve">Yes, caring for my body, maintaining strength, utilizing cognition by learning, etc. Active participation in the world, active participation in physical activity, socialization, and intellectual pursuit are all protective factors.</t>
  </si>
  <si>
    <t xml:space="preserve">1) improving understanding and function of reproductive health and overall liveliness throughout the aging process.
2)improving accessibility to services, treatment, and research related to reproductive health and longevity
3)utilizing new technology to create effective predictive models, treatment solutions, and detection strategies for health sciences</t>
  </si>
  <si>
    <t xml:space="preserve">I would like to see policy changes in the world that improve accessibility to all kinds of health care and science, first and foremost. This is something that I believe would benefit everyone. My body and my own health comes next. I feel divorced from passion toward AI tech due to the irritating hype and jumbled push toward more generative products (which of course are different than other kinds used here in the previous question's context). I find myself so fucking weary of talking about every kind of imaginable AI product (generative or not), and trying to distinguish what is an ethical kind of technology from an unethical kind. I'm sure there are lots of models and detection technologies that are incredible, and I can't find it in myself to muster the energy to prioritize it.</t>
  </si>
  <si>
    <t xml:space="preserve">I want there to be better access to care, education, and advancement in medicine. Aging is something that everyone goes through to some extent, and services should be available in accordance with that to benefit the most people. Plenty of people suffer and die from preventable or manageable factors of aging due to a lack of understanding and resources. Plenty more are discriminated against or neglected becauze of these factors. I always want to imagine a better world where people can take action to make things better for everyone.</t>
  </si>
  <si>
    <t xml:space="preserve">Any new technology has stumbling blocks. I would hope that new development doesn't detract from practitioner skills, or replace practitioner judgements. In a perfect world, tools enhance practitioner capabilities, rather than substituting expertise completely.</t>
  </si>
  <si>
    <t xml:space="preserve">Of course.... what a broad question lmfao. In all seriousness, medicine and science should be aimed toward maximizing positive outcomes for the most people possible. Outcomes that are aimed to maximize profit are unproductive and often actively harmful. Benificence should always be the goal. For instance, we shouldn't pursue solutions to aging and longevity that require exploitation or eugenics. There are a lot of unethical ways to practice research and medicine. There's also a lot of harm that can be caused in any case. Ethical considerations should aim to minimize suffering and harm from every relevant facet.</t>
  </si>
  <si>
    <t xml:space="preserve">G3-068</t>
  </si>
  <si>
    <t xml:space="preserve">Accumulating years of life experience.</t>
  </si>
  <si>
    <t xml:space="preserve">The cost of care — both our broken health care system and the inaffordability of long-term care.</t>
  </si>
  <si>
    <t xml:space="preserve">Affordability of quality healthcare. Baby boomers are retiring in massive numbers and social security checks are not enough for people to live on, much leas depend on when their ill. Health care should not be a luxury. Both medical care and affordable long-term care should be made available to all; not just the wealthy.</t>
  </si>
  <si>
    <t xml:space="preserve">Not with the current administration</t>
  </si>
  <si>
    <t xml:space="preserve">Health, family/friends, financial stability,</t>
  </si>
  <si>
    <t xml:space="preserve">Exercise, education, and being a caring human being</t>
  </si>
  <si>
    <t xml:space="preserve">(i) Having more babies + living longer = increasing population; (ii) increasing lifespans for everyone; (iii) apply technology to better understand trends in aging and health, as well as finding innovative solutions to current problems in this area.</t>
  </si>
  <si>
    <t xml:space="preserve">Topic ii is a pressing issue which requires immediate attention, so it’s first. I just went on Medicare this year and I want to ensure that I will be able to afford healthcare as I age. I can’t rely solely on Medicare for that. Topic i is also important to me as an individual because I want to live as long as possibly to be there for my family and watch them grow. Topic iii is a much longer vision topic, which will take time to develop and perfect. This will be helpful in the long-run, but not to me individually because I may not be around to reap the benefits.</t>
  </si>
  <si>
    <t xml:space="preserve">Topic ii. I like the words “accessible, affordable, and generalizable” in describing longevity and health solution prospects. Longevity and healthcare should not be for the wealthy only.</t>
  </si>
  <si>
    <t xml:space="preserve">Although Topic iii deals with AI, which at this stage I don’t feel very confident in, my bigger concern is with the ability to implement topic ii in a timely fashion. How many people will have to die because they don’t have access to proper care?</t>
  </si>
  <si>
    <t xml:space="preserve">Topic i - with regard to boosting reproductive health and longevity, possibly, but I don’t know enough about the methodologies being implied. 
Topic ii - this is mostly political and we all know there aren’t a lot of ethics in politics. 
Topic iii - AI is still in its infancy. As an analytical tool, it can be very helpful and insightful, but it must still be used with caution.</t>
  </si>
  <si>
    <t xml:space="preserve">G3-069</t>
  </si>
  <si>
    <t xml:space="preserve">Decrease in physical and mental abilities over years</t>
  </si>
  <si>
    <t xml:space="preserve">Long term care</t>
  </si>
  <si>
    <t xml:space="preserve">Caregiver resources</t>
  </si>
  <si>
    <t xml:space="preserve">Mental acuity mobility support system</t>
  </si>
  <si>
    <t xml:space="preserve">Exercise and diet</t>
  </si>
  <si>
    <t xml:space="preserve">Way to live longer for everyone through most modern ways</t>
  </si>
  <si>
    <t xml:space="preserve">Every one is most important</t>
  </si>
  <si>
    <t xml:space="preserve">Accessibility</t>
  </si>
  <si>
    <t xml:space="preserve">If not available to all</t>
  </si>
  <si>
    <t xml:space="preserve">Favoritism or economic roadblocks</t>
  </si>
  <si>
    <t xml:space="preserve">G3-070</t>
  </si>
  <si>
    <t xml:space="preserve">The process of growing older and the amount of years one has lived.</t>
  </si>
  <si>
    <t xml:space="preserve">Proper healthcare</t>
  </si>
  <si>
    <t xml:space="preserve">The greatest challenge facing our aging population is affordable and adequate healthcare and this should be prioritized because it affects multiple generations.</t>
  </si>
  <si>
    <t xml:space="preserve">Social security, good health, caring community</t>
  </si>
  <si>
    <t xml:space="preserve">Vote</t>
  </si>
  <si>
    <t xml:space="preserve">1. Investing in women’s health, 2. Offering various health solutions to cover the needs of differing patient populations, 3. Utilizing AI to make health procedures more efficient and to forecast potential genetic diseases.</t>
  </si>
  <si>
    <t xml:space="preserve">I ranked them this way based on the ability and opportunity I see for change in each category based on our current government policies.</t>
  </si>
  <si>
    <t xml:space="preserve">The hope for more research and investment in the quality of our healthcare system.</t>
  </si>
  <si>
    <t xml:space="preserve">Lack of funding and resources in our healthcare system.</t>
  </si>
  <si>
    <t xml:space="preserve">Yes, especially when it comes to AI.</t>
  </si>
  <si>
    <t xml:space="preserve">G3-071</t>
  </si>
  <si>
    <t xml:space="preserve">Just a number doesn’t mean anything.</t>
  </si>
  <si>
    <t xml:space="preserve">Energy decrease</t>
  </si>
  <si>
    <t xml:space="preserve">AI taking over</t>
  </si>
  <si>
    <t xml:space="preserve">Government should be more involved</t>
  </si>
  <si>
    <t xml:space="preserve">Health, happiness, financial stability</t>
  </si>
  <si>
    <t xml:space="preserve">Find out more about our selves to see what we do best to keep us going</t>
  </si>
  <si>
    <t xml:space="preserve">Science with AI will improve our health and quality of life.</t>
  </si>
  <si>
    <t xml:space="preserve">Affordable Health solution is more important than anything</t>
  </si>
  <si>
    <t xml:space="preserve">Improve affordable health solution</t>
  </si>
  <si>
    <t xml:space="preserve">Not everyone can afford healthcare</t>
  </si>
  <si>
    <t xml:space="preserve">Animal testing, human testing</t>
  </si>
  <si>
    <t xml:space="preserve">G3-072</t>
  </si>
  <si>
    <t xml:space="preserve">Getting older as time passes</t>
  </si>
  <si>
    <t xml:space="preserve">Access to dignified care</t>
  </si>
  <si>
    <t xml:space="preserve">The same as above, because it’s important</t>
  </si>
  <si>
    <t xml:space="preserve">Prioritization of and resources for caregivers</t>
  </si>
  <si>
    <t xml:space="preserve">Strong friendships, imagination, and curiosity about the world</t>
  </si>
  <si>
    <t xml:space="preserve">Continue to put time and thought into maintaining friendships, keep being creative and learning new things</t>
  </si>
  <si>
    <t xml:space="preserve">I. Reproductive heath and longevity seem like related but different issues, so perhaps this refers to their intersection (i.e. increasing longevity and survival rates tied to issues with reproductive health). II. This is so vague, it’s hard to know what it means in practice — does it mean medical intervention, or research on preventative “healthy” actions/behaviors that are correlated with longevity, or both? III. I assume this means using machine learning to create models for analyzing and interpreting medical data.</t>
  </si>
  <si>
    <t xml:space="preserve">I wasn’t sure, so I just chose an arbitrary order.</t>
  </si>
  <si>
    <t xml:space="preserve">I don’t know enough about any of the topics at the moment to have a specific thing that excites me.</t>
  </si>
  <si>
    <t xml:space="preserve">I think my concern with AI is maintaining ethical standards around patient data, consent, and confidentiality, both in developing and using the models.</t>
  </si>
  <si>
    <t xml:space="preserve">Of course. There are ethical considerations that should be considered any topic that will affect the life and health of people in our society.</t>
  </si>
  <si>
    <t xml:space="preserve">G3-073</t>
  </si>
  <si>
    <t xml:space="preserve">getting older, tissues losing some of their previous functions</t>
  </si>
  <si>
    <t xml:space="preserve">reliable, safe, and affordable elder care</t>
  </si>
  <si>
    <t xml:space="preserve">families are often not able to support high need elder care on their own, and needs to be outsourced. good elder care is very expensive, and that burden, both emotional and financial, carries down into future generations. helping alleviate benefits everyone economically, psychologically, and societally.</t>
  </si>
  <si>
    <t xml:space="preserve">I'm not aware of particular action.</t>
  </si>
  <si>
    <t xml:space="preserve">mental acuity, senses, independence</t>
  </si>
  <si>
    <t xml:space="preserve">regular checkups, exercise, and maintaining social relationships.</t>
  </si>
  <si>
    <t xml:space="preserve">1) Keeping fertility going as people get older. 2) making science that alleviates symptoms of aging more accessible. 3) Using AI to help find solutions for health problems as we get older.</t>
  </si>
  <si>
    <t xml:space="preserve">They are all useful, but topic 2 has a bigger scope than the other two.</t>
  </si>
  <si>
    <t xml:space="preserve">I think topic 2 is most important but topics 1 and 3 are most exciting, since they seem more concrete</t>
  </si>
  <si>
    <t xml:space="preserve">I have concerns for AI usage if it becomes too much of black box problem</t>
  </si>
  <si>
    <t xml:space="preserve">Yes, many, from data safety and privacy to questions of genetic selection. These have always been thorny and will continue to be so.</t>
  </si>
  <si>
    <t xml:space="preserve">G3-074</t>
  </si>
  <si>
    <t xml:space="preserve">Aging is the lifelong, natural biological process of change that influences physical and cognitive function, and overall health over time.</t>
  </si>
  <si>
    <t xml:space="preserve">Maintaining health and quality of life as people live longer.</t>
  </si>
  <si>
    <t xml:space="preserve">Preserving functional independence should be prioritized as it can be a tipping point that leads to greater healthcare utilization and reduced quality of life.</t>
  </si>
  <si>
    <t xml:space="preserve">There are some federal programs focused on healthcare initiatives like this for the elderly, but they are optional and fragmented as opposed to more routine care done earlier on.</t>
  </si>
  <si>
    <t xml:space="preserve">Independence, social connection and purpose, cognitive function</t>
  </si>
  <si>
    <t xml:space="preserve">Yes. Physical exercise to maintain strength, mobility and balance. Participation in groups, community activities, volunteering to stay engaged. Prioritize sleep and keep the brain challenged.</t>
  </si>
  <si>
    <t xml:space="preserve">1. Supporting repro health &amp; function across one's lifespan to extend reproductive longevity and promote overall healthy aging. 2. Making advances in longevity sciences accessible, affordable, and beneficial to people across all communities. 3. Advancing AI to accelerate personalized and innovative solutions that promote healthy aging and improve health across one's lifespan.</t>
  </si>
  <si>
    <t xml:space="preserve">Topic 2 benefits more people, I am most interested in Topic 1</t>
  </si>
  <si>
    <t xml:space="preserve">Topic 2 to benefit the most people &amp; lessen the divide, Topic 3 will allow Topic 2 to happen a more rapid rate and Topic 1 will happen anyway.</t>
  </si>
  <si>
    <t xml:space="preserve">AI greatest concerns would be ensuring existing inequalities do not worsen (AI bias) or compromise safety (privacy, data, personal clinical judgement).</t>
  </si>
  <si>
    <t xml:space="preserve">G3-075</t>
  </si>
  <si>
    <t xml:space="preserve">Gradual increase in cellular damage</t>
  </si>
  <si>
    <t xml:space="preserve">Insufficient medical infrastructure</t>
  </si>
  <si>
    <t xml:space="preserve">Insufficient medical infrastructure – needs to be prioritized because it impacts the availability of care to the aging population</t>
  </si>
  <si>
    <t xml:space="preserve">Address medical staff shortages</t>
  </si>
  <si>
    <t xml:space="preserve">Cognitive abilities, physical abilities to a certain degree, social relationships</t>
  </si>
  <si>
    <t xml:space="preserve">Mental and physical exercise, ensure I'm getting adequate nutrition, regular health checkups</t>
  </si>
  <si>
    <t xml:space="preserve">(i) Reproductive organs act as a predictor of aging, so if aging could be slowed in these organs it could potentially be slowed in the rest of the body.
(ii) Ensuring that health solutions that could positively impact the aging population are not only accessible to the wealthy, but are available to the population at large.
(iii) Modeling of diseases associated with aging (ex. Alzheimer's) to better understand and hopefully prevent risk factors.</t>
  </si>
  <si>
    <t xml:space="preserve">I ranked them in order of which ones I feel like could have the broadest impact on the most amount of people.</t>
  </si>
  <si>
    <t xml:space="preserve">(ii) Ensuring equitable access to health solutions is critical for progressing the health of society at large.</t>
  </si>
  <si>
    <t xml:space="preserve">(ii) Careful regulation would need to be put in place to ensure equitable access to such solutions to avoid pricing many people out of being able to access these solutions.</t>
  </si>
  <si>
    <t xml:space="preserve">Ensuring the solutions work across a range of demographics that is representative of society as a whole.</t>
  </si>
  <si>
    <t xml:space="preserve">G3-076</t>
  </si>
  <si>
    <t xml:space="preserve">I would define aging as getting wrinkles.</t>
  </si>
  <si>
    <t xml:space="preserve">access to healthcare</t>
  </si>
  <si>
    <t xml:space="preserve">not enough caregivers</t>
  </si>
  <si>
    <t xml:space="preserve">my movement, my limbs, my health</t>
  </si>
  <si>
    <t xml:space="preserve">eat better</t>
  </si>
  <si>
    <t xml:space="preserve">1) resources for women to maintain their repro knowledge 2) making health solutions accessible and available 3) using machine learning to predict diseases</t>
  </si>
  <si>
    <t xml:space="preserve">I am very passionate about reproductive health education so it was the obvious first choice</t>
  </si>
  <si>
    <t xml:space="preserve">What excites me is that we can focus on things such as menopause which is rarely taught about or focused on</t>
  </si>
  <si>
    <t xml:space="preserve">people won't take it seriously</t>
  </si>
  <si>
    <t xml:space="preserve">G3-077</t>
  </si>
  <si>
    <t xml:space="preserve">A time in life where your mind and body do not agree.</t>
  </si>
  <si>
    <t xml:space="preserve">Loneliness… people who are not lonely are usually healthier both mentally and physically and physically</t>
  </si>
  <si>
    <t xml:space="preserve">Yes… senior centers seem to help some</t>
  </si>
  <si>
    <t xml:space="preserve">A good sense of humor. Mental acuity. Peace.</t>
  </si>
  <si>
    <t xml:space="preserve">Yes..</t>
  </si>
  <si>
    <t xml:space="preserve">1. Keeping your body healthy both physically(diet sleep exercise) and sexually (medical care for needs regarding the reproductive system both physically emotionally and mentally) contribute to a long life.
2. Having affordable healthcare solutions available to all regardless of race or socioeconomic standing.
3. Using AI as another tool to assist in diagnosing and suggestions for treatment not replacement of medical professionals.</t>
  </si>
  <si>
    <t xml:space="preserve">Affordability and socioeconomic standing are usually the main issue that limits the type and quality of healthcare. And AI is often used to replace the human element in healthcare not assist.</t>
  </si>
  <si>
    <t xml:space="preserve">Topic 2</t>
  </si>
  <si>
    <t xml:space="preserve">G3-078</t>
  </si>
  <si>
    <t xml:space="preserve">Coping with the physical and mental and financial changes that occur as one gets older</t>
  </si>
  <si>
    <t xml:space="preserve">Health care in the US</t>
  </si>
  <si>
    <t xml:space="preserve">Not letting the elderly on limited incomes fall through the cracks regarding their health and housing</t>
  </si>
  <si>
    <t xml:space="preserve">Not in this administration</t>
  </si>
  <si>
    <t xml:space="preserve">1. Mobility 2. Financial security 3. Good health</t>
  </si>
  <si>
    <t xml:space="preserve">Regular Dr exams and tests and vaccinations. Maintaining physical and mental activity.</t>
  </si>
  <si>
    <t xml:space="preserve">i= longer reproductivity? 
ii =Accesible health longevity for everyone 
iii = AI assistance with Senior health issues/ diseases</t>
  </si>
  <si>
    <t xml:space="preserve">Reproductivity last since that doesn’t apply to my age. AI technology second because there are some benefits to AI, Accesible, affordable access the most important because we live in a democracy. All humans deserve the same accessibility no matter age/ income</t>
  </si>
  <si>
    <t xml:space="preserve">iii</t>
  </si>
  <si>
    <t xml:space="preserve">Most definitely</t>
  </si>
  <si>
    <t xml:space="preserve">G3-079</t>
  </si>
  <si>
    <t xml:space="preserve">South Carolina</t>
  </si>
  <si>
    <t xml:space="preserve">South Carolina, United States</t>
  </si>
  <si>
    <t xml:space="preserve">Care and support (financial, medical, etc)</t>
  </si>
  <si>
    <t xml:space="preserve">Financial support so they can continue living at a good quality of like and afford medical care</t>
  </si>
  <si>
    <t xml:space="preserve">Supporting social security</t>
  </si>
  <si>
    <t xml:space="preserve">Financial, Medical, and mental wellbeing</t>
  </si>
  <si>
    <t xml:space="preserve">Kind of just keep living</t>
  </si>
  <si>
    <t xml:space="preserve">1. Giving greater access to reproductive health care. 2. Make longevity care more accessible and affordable 
3. Use AI/machine learning to predict health risks</t>
  </si>
  <si>
    <t xml:space="preserve">Access to longevity care would allow for easier time to live longer.</t>
  </si>
  <si>
    <t xml:space="preserve">2. It would allow for potentially a healthier and greater aged population</t>
  </si>
  <si>
    <t xml:space="preserve">3. AI at least in its early stages is prone to errors, and too early adoption could pose risks especially in a healthcare setting</t>
  </si>
  <si>
    <t xml:space="preserve">Potentially, when trying to provide longevity care when someone has extremely low quality of life or against the will of the patient</t>
  </si>
  <si>
    <t xml:space="preserve">G3-080</t>
  </si>
  <si>
    <t xml:space="preserve">Declining physical function.</t>
  </si>
  <si>
    <t xml:space="preserve">Not sure</t>
  </si>
  <si>
    <t xml:space="preserve">Older people should try to stay healthy, exercise more, and follow a scientifically informed diet.</t>
  </si>
  <si>
    <t xml:space="preserve">A scientifically informed diet, to address the problem at its root within oneself.</t>
  </si>
  <si>
    <t xml:space="preserve">Health, safety, and happiness</t>
  </si>
  <si>
    <t xml:space="preserve">Worry less and live in the present.</t>
  </si>
  <si>
    <t xml:space="preserve">Use AI to develop solutions for aging and health, thereby advancing longevity science.</t>
  </si>
  <si>
    <t xml:space="preserve">Personal awareness of science is most important.</t>
  </si>
  <si>
    <t xml:space="preserve">Topic ii</t>
  </si>
  <si>
    <t xml:space="preserve">Older people's fixed ways of thinking make communication difficult.</t>
  </si>
  <si>
    <t xml:space="preserve">Yes. Communicate as much as possible.</t>
  </si>
  <si>
    <t xml:space="preserve">G3-081</t>
  </si>
  <si>
    <t xml:space="preserve">Loose, dehydrated, wrinkled skin.</t>
  </si>
  <si>
    <t xml:space="preserve">Elder care</t>
  </si>
  <si>
    <t xml:space="preserve">Making environments and services age-friendly.</t>
  </si>
  <si>
    <t xml:space="preserve">Health and mindset</t>
  </si>
  <si>
    <t xml:space="preserve">Exercise</t>
  </si>
  <si>
    <t xml:space="preserve">A sound approach to relationships, marriage, and childbearing.</t>
  </si>
  <si>
    <t xml:space="preserve">Only with a healthy body can one have other things.</t>
  </si>
  <si>
    <t xml:space="preserve">Policy guidance</t>
  </si>
  <si>
    <t xml:space="preserve">G3-082</t>
  </si>
  <si>
    <t xml:space="preserve">Slower reactions, declining function, and loss of interest.</t>
  </si>
  <si>
    <t xml:space="preserve">Have more children to increase the workforce.</t>
  </si>
  <si>
    <t xml:space="preserve">Health, contentment, and hope</t>
  </si>
  <si>
    <t xml:space="preserve">Do more things that interest me.</t>
  </si>
  <si>
    <t xml:space="preserve">i. Medical breakthroughs; ii. Putting medical advances into practice; iii. Technological development.</t>
  </si>
  <si>
    <t xml:space="preserve">Technology is truly useful only when it can be put into practice.</t>
  </si>
  <si>
    <t xml:space="preserve">Topic ii: It gives people tangible hope within reach.</t>
  </si>
  <si>
    <t xml:space="preserve">Topic ii: Putting it into practice may remain far out of reach.</t>
  </si>
  <si>
    <t xml:space="preserve">Yes. Longevity should also have limits; otherwise, society will be unable to progress.</t>
  </si>
  <si>
    <t xml:space="preserve">G3-083</t>
  </si>
  <si>
    <t xml:space="preserve">Decline in the body's various functions.</t>
  </si>
  <si>
    <t xml:space="preserve">A heavier burden on society and a smaller young and middle-aged workforce.</t>
  </si>
  <si>
    <t xml:space="preserve">Develop policies that encourage childbearing.</t>
  </si>
  <si>
    <t xml:space="preserve">Health, confidence, and cheerfulness</t>
  </si>
  <si>
    <t xml:space="preserve">Exercise, go out more and engage with society, and learn to use new things.</t>
  </si>
  <si>
    <t xml:space="preserve">Help everyone understand the secrets of longevity offered by modern science.</t>
  </si>
  <si>
    <t xml:space="preserve">Based on what I can personally access and understand.</t>
  </si>
  <si>
    <t xml:space="preserve">Topic ii: It currently seems most likely to provide timely, effective benefits.</t>
  </si>
  <si>
    <t xml:space="preserve">Topic iii: It feels inaccessible to most people.</t>
  </si>
  <si>
    <t xml:space="preserve">Nothing comes to mind at the moment.</t>
  </si>
  <si>
    <t xml:space="preserve">G3-084</t>
  </si>
  <si>
    <t xml:space="preserve">Declining physical function, low energy, fatigue, and declining memory.</t>
  </si>
  <si>
    <t xml:space="preserve">An insufficient workforce, weaker national development capacity, and a less vibrant society overall.</t>
  </si>
  <si>
    <t xml:space="preserve">Increase the younger population, encourage healthy childbearing and childrearing, and improve the quality of life of current older adults.</t>
  </si>
  <si>
    <t xml:space="preserve">The government is encouraging healthy childbearing and childrearing.</t>
  </si>
  <si>
    <t xml:space="preserve">Physical health, a positive mindset, and interests I am passionate about.</t>
  </si>
  <si>
    <t xml:space="preserve">Exercise every week to slow aging.</t>
  </si>
  <si>
    <t xml:space="preserve">Develop AI and technology to help people slow aging and improve health and quality of life, supporting the healthy development of society as a whole.</t>
  </si>
  <si>
    <t xml:space="preserve">Science and technology are the primary productive force; technological development can improve people's quality of life.</t>
  </si>
  <si>
    <t xml:space="preserve">Topic iii: I have high expectations and confidence in technology's potential to improve human health.</t>
  </si>
  <si>
    <t xml:space="preserve">Topic i: Highly developed human civilization will inevitably reduce people's willingness to have children, so I lack confidence that natural reproduction can maintain normal birth rates. However, assisted reproduction also carries potential ethical risks.</t>
  </si>
  <si>
    <t xml:space="preserve">G3-085</t>
  </si>
  <si>
    <t xml:space="preserve">Low birth rates reduce the workforce and strain pensions and health insurance; major gaps in care for people with disabilities; weakening family-based elder care; unequal urban and rural resources; the digital divide and the risk of depression among older adults.</t>
  </si>
  <si>
    <t xml:space="preserve">Rapidly expand long-term care insurance to universal coverage and supplement residents' pensions; provide community meals, bathing assistance, and home nursing; strengthen integrated medical and elder care at the primary-care level; eliminate age discrimination in employment and allow flexible retirement and rehiring.</t>
  </si>
  <si>
    <t xml:space="preserve">Shanghai has already introduced some measures.</t>
  </si>
  <si>
    <t xml:space="preserve">A healthy body, an optimistic attitude, and a kind heart.</t>
  </si>
  <si>
    <t xml:space="preserve">Keep a regular routine and a positive outlook.</t>
  </si>
  <si>
    <t xml:space="preserve">I am most interested in using AI to predict disease risks and trajectories and enable precision health interventions, shifting aging care from treatment to prevention while reducing costs and improving efficiency.</t>
  </si>
  <si>
    <t xml:space="preserve">The third topic shifts from reactive firefighting to proactive fire prevention, which makes the most sense. The first two provide a safety net; the third offers a breakthrough, turning aging from a burden into a manageable health endeavor.</t>
  </si>
  <si>
    <t xml:space="preserve">Topic iii offers the best value: treatment is expensive and care costs even more, but predicting risks and intervening early can delay them. It is the right direction: aging is irreversible, and building more hospitals and hiring more staff will never be enough. Using data and AI to extend healthy lifespan is the real way to reduce costs and improve efficiency.</t>
  </si>
  <si>
    <t xml:space="preserve">Topic iii: Data privacy breaches, errors from opaque algorithms, difficulty implementing solutions in primary care, and the possibility that overreliance on technology will weaken compassionate care and trust between patients and clinicians.</t>
  </si>
  <si>
    <t xml:space="preserve">Absolutely, and ethics should be considered from the outset, not added afterward. AI disease prediction, long-term care insurance, and flexible retirement all concern people's bodies, dignity, choices, and futures. Without ethics, more advanced technology can cause greater harm.</t>
  </si>
  <si>
    <t xml:space="preserve">G3-086</t>
  </si>
  <si>
    <t xml:space="preserve">Looking lacking in energy, whether due to mental fatigue or changes in the body or face.</t>
  </si>
  <si>
    <t xml:space="preserve">Older adults lack social engagement.</t>
  </si>
  <si>
    <t xml:space="preserve">Creating age-friendly environments.</t>
  </si>
  <si>
    <t xml:space="preserve">Long-term care insurance and similar measures.</t>
  </si>
  <si>
    <t xml:space="preserve">A healthy body, free and convenient travel, and a comfortable life.</t>
  </si>
  <si>
    <t xml:space="preserve">Take care of my body.</t>
  </si>
  <si>
    <t xml:space="preserve">There is something to look forward to.</t>
  </si>
  <si>
    <t xml:space="preserve">Predicting diseases and tackling difficult medical conditions are most important.</t>
  </si>
  <si>
    <t xml:space="preserve">Topic iii</t>
  </si>
  <si>
    <t xml:space="preserve">G3-087</t>
  </si>
  <si>
    <t xml:space="preserve">Aging is the gradual decline of physical function, such as taking longer to recover from staying up late or moderately strenuous travel. There are also visible signs, such as gray hair and wrinkles.</t>
  </si>
  <si>
    <t xml:space="preserve">Insufficient innovation and vitality.</t>
  </si>
  <si>
    <t xml:space="preserve">Improve older adults' quality of life, because this helps a country or city maintain some vitality.</t>
  </si>
  <si>
    <t xml:space="preserve">China is currently promoting family doctors, exercise and health maintenance through various communication channels, health education, and opportunities for people who have just reached retirement age to find suitable work.</t>
  </si>
  <si>
    <t xml:space="preserve">A youthful appearance, physique, and ability to learn.</t>
  </si>
  <si>
    <t xml:space="preserve">Haha, it is difficult. Exercise, watch my diet, rest, engage more with society, and stay curious.</t>
  </si>
  <si>
    <t xml:space="preserve">Use technology to extend lifespan and improve quality of life.</t>
  </si>
  <si>
    <t xml:space="preserve">Individuals have limited resources, so they should start with actions within their reach. Society can pool resources, including those of government and businesses, so the third topic naturally ranks higher at that level.</t>
  </si>
  <si>
    <t xml:space="preserve">Topic ii: Affordable and scalable solutions should be easiest to understand and use, given declining interest and ability to learn among older adults.</t>
  </si>
  <si>
    <t xml:space="preserve">AI still involves many unknown and unpredictable scientific and ethical issues. Ethics and legal systems should develop alongside technology.</t>
  </si>
  <si>
    <t xml:space="preserve">For example, in promoting reproductive health, countries differ in their acceptance of surrogacy and other methods. How should this be addressed?</t>
  </si>
  <si>
    <t xml:space="preserve">G3-088</t>
  </si>
  <si>
    <t xml:space="preserve">Physical and mental abilities can no longer keep up.</t>
  </si>
  <si>
    <t xml:space="preserve">Declining creativity in society.</t>
  </si>
  <si>
    <t xml:space="preserve">Encourage childbearing. Without addressing the root cause, we will always be dealing with immediate problems.</t>
  </si>
  <si>
    <t xml:space="preserve">Health, wealth, and wisdom</t>
  </si>
  <si>
    <t xml:space="preserve">I feel unable to do much.</t>
  </si>
  <si>
    <t xml:space="preserve">Use AI technology to solve health problems and extend life.</t>
  </si>
  <si>
    <t xml:space="preserve">Use society's limited wealth for its long-term development.</t>
  </si>
  <si>
    <t xml:space="preserve">Topic iii: More and more older people.</t>
  </si>
  <si>
    <t xml:space="preserve">Yes, a sense of belonging.</t>
  </si>
  <si>
    <t xml:space="preserve">G3-089</t>
  </si>
  <si>
    <t xml:space="preserve">For example, developing presbyopia around age 40, reduced skin elasticity, and gradual declines in physical fitness and memory. These are all normal bodily aging.</t>
  </si>
  <si>
    <t xml:space="preserve">Heavy pressure on pensions and health insurance, and changes in consumption patterns.</t>
  </si>
  <si>
    <t xml:space="preserve">The short-term priority should be building a long-term care system for older adults with disabilities. Their needs cannot wait for policies to change gradually, and many families cannot bear the financial and energy costs.</t>
  </si>
  <si>
    <t xml:space="preserve">Yes. Expanding elder-care services, including community care, home care, and beds in institutions.</t>
  </si>
  <si>
    <t xml:space="preserve">A positive mindset, emotional stability, and the ability to think and make judgments.</t>
  </si>
  <si>
    <t xml:space="preserve">Develop more hobbies and explore cooking. There is no need to become an expert; just stay curious.</t>
  </si>
  <si>
    <t xml:space="preserve">Use new technologies to develop more practical solutions for longevity and health.</t>
  </si>
  <si>
    <t xml:space="preserve">Topic i identifies the problem, topic iii proposes solutions, and those solutions lead to a topic that is easier to understand and apply.</t>
  </si>
  <si>
    <t xml:space="preserve">Democratizing longevity science and solutions, so ordinary people can afford and access anti-aging approaches.</t>
  </si>
  <si>
    <t xml:space="preserve">Problems caused by distorted information spreading online during wider adoption, as well as the quality of related products.</t>
  </si>
  <si>
    <t xml:space="preserve">If longevity solutions become widely available, how will the resulting elder-care and related issues be addressed?</t>
  </si>
  <si>
    <t xml:space="preserve">G3-090</t>
  </si>
  <si>
    <t xml:space="preserve">Gradual declines in physical function and hormone levels, worsening memory, slower reactions, loose skin, graying hair, presbyopia, and so on.</t>
  </si>
  <si>
    <t xml:space="preserve">Strained medical resources, a shortage of professional services, pressure on family caregivers, and increasing pressure on old-age support systems.</t>
  </si>
  <si>
    <t xml:space="preserve">Professional services and old-age support. Reliable support can reduce the burden on families and children, while professional services can improve quality of life in later years.</t>
  </si>
  <si>
    <t xml:space="preserve">Yes. Adjustments to pension increases for low-income retirees and the construction of elder-care facilities.</t>
  </si>
  <si>
    <t xml:space="preserve">A healthy body, harmonious family relationships, and stable savings.</t>
  </si>
  <si>
    <t xml:space="preserve">Exercise moderately, maintain a regular routine, nurture family relationships, and protect savings by avoiding careless investments and purchases of health supplements.</t>
  </si>
  <si>
    <t xml:space="preserve">Use AI technology and widely available scientific solutions to help everyone live longer and healthier lives with more personalized care.</t>
  </si>
  <si>
    <t xml:space="preserve">Topic ii is closest to my daily health management and is most practical. Topic i concerns long-term quality of life and is also important. Topic iii is more technical, so its short-term effect on individuals is relatively indirect.</t>
  </si>
  <si>
    <t xml:space="preserve">Topic ii. Even the best technology is meaningful only if ordinary people can use it. Making effective health solutions accessible and affordable is the most practical goal.</t>
  </si>
  <si>
    <t xml:space="preserve">If these solutions do not truly reach ordinary people, they may instead worsen social inequality.</t>
  </si>
  <si>
    <t xml:space="preserve">Yes: equitable access, informed consent and privacy, and ensuring that longer lifespans do not impose excessive resource pressures on future generations.</t>
  </si>
  <si>
    <t xml:space="preserve">G3-091</t>
  </si>
  <si>
    <t xml:space="preserve">Being willing but physically unable.</t>
  </si>
  <si>
    <t xml:space="preserve">Pension spending exceeds income.</t>
  </si>
  <si>
    <t xml:space="preserve">Encourage young people to marry and have children.</t>
  </si>
  <si>
    <t xml:space="preserve">I suppose so.</t>
  </si>
  <si>
    <t xml:space="preserve">Energy, physical strength, and mindset.</t>
  </si>
  <si>
    <t xml:space="preserve">Consciously take care of myself, inside and out.</t>
  </si>
  <si>
    <t xml:space="preserve">Technology improves life.</t>
  </si>
  <si>
    <t xml:space="preserve">Identify problems, analyze them, and solve them.</t>
  </si>
  <si>
    <t xml:space="preserve">How to use the most advanced technology to help solve specific problems in society and daily life.</t>
  </si>
  <si>
    <t xml:space="preserve">Investigating and demonstrating the accuracy and feasibility of the methods.</t>
  </si>
  <si>
    <t xml:space="preserve">Public acceptance</t>
  </si>
  <si>
    <t xml:space="preserve">G3-092</t>
  </si>
  <si>
    <t xml:space="preserve">Aging is an irreversible part of human development. We can only slow it down to extend life.</t>
  </si>
  <si>
    <t xml:space="preserve">Not enough young people working to support social security. When older people become unable to care for themselves, there are no younger family members to look after them. Society lacks vitality; there are too many problems.</t>
  </si>
  <si>
    <t xml:space="preserve">Address the low birth rate.</t>
  </si>
  <si>
    <t xml:space="preserve">The government has ended birth restrictions, encourages more children, provides childbirth subsidies, and encourages companies to establish their own childcare facilities.</t>
  </si>
  <si>
    <t xml:space="preserve">A clear mind, freely moving limbs, and secure living support without financial worries.</t>
  </si>
  <si>
    <t xml:space="preserve">I practice piano, Chinese calligraphy, reading, standing meditation, and Baduanjin every day. I am retired, have no loans, and receive a pension.</t>
  </si>
  <si>
    <t xml:space="preserve">The key is to rely on yourself rather than others: take action, maintain a routine, reflect on what you learn, and use machines to learn more about health. Eating well and correctly is essential. Take responsibility for your own health.</t>
  </si>
  <si>
    <t xml:space="preserve">Combine knowledge with action. First gain knowledge: if AI can enable precision health, that is the most efficient scientific approach. Then act on it by paying attention to meals, sleep, and appropriate exercise.</t>
  </si>
  <si>
    <t xml:space="preserve">Topic iii. Eating well and enough means getting complete nutrition. People often do not know which nutrients they lack or whether they get enough. Deficits accumulate and lead to illness. AI could help us understand these needs, plan meals, and monitor sleep quality.</t>
  </si>
  <si>
    <t xml:space="preserve">Again, topic iii. The first two are controllable, while the third is not. If the data collected by AI are unreliable or wrong, how can we distinguish this? Targeted feeding of information to AI models already occurs; repeat a lie a thousand times and it becomes accepted as truth.</t>
  </si>
  <si>
    <t xml:space="preserve">G3-093</t>
  </si>
  <si>
    <t xml:space="preserve">Psychological and skin aging: lack of motivation and vitality, wrinkles, hollowing, and so on.</t>
  </si>
  <si>
    <t xml:space="preserve">Economic burdens and a lack of social progress.</t>
  </si>
  <si>
    <t xml:space="preserve">Healthy relationships and reasonable childbearing plans.</t>
  </si>
  <si>
    <t xml:space="preserve">Health, family, and the ability to earn money.</t>
  </si>
  <si>
    <t xml:space="preserve">Exercise actively, learn and explore new things, and allocate time reasonably between work and life.</t>
  </si>
  <si>
    <t xml:space="preserve">Pay attention to health and improve it.</t>
  </si>
  <si>
    <t xml:space="preserve">Predicting disease allows early risk management, and appropriate solutions can address those risks, making life more vibrant and longer.</t>
  </si>
  <si>
    <t xml:space="preserve">Topic iii: Detect individual health risks early and plan ahead to manage and address them.</t>
  </si>
  <si>
    <t xml:space="preserve">Topic iii: Excessive reliance on it at the expense of living naturally and freely.</t>
  </si>
  <si>
    <t xml:space="preserve">Yes. I would not want too much animal or human experimentation.</t>
  </si>
  <si>
    <t xml:space="preserve">G3-094</t>
  </si>
  <si>
    <t xml:space="preserve">Declining memory, strength, and flexibility; greater susceptibility to injury; graying hair; and reduced openness to new things.</t>
  </si>
  <si>
    <t xml:space="preserve">Insufficient labor, pressure on social welfare, declining social vitality, and insufficient consumption.</t>
  </si>
  <si>
    <t xml:space="preserve">Insufficient consumption should be addressed first.</t>
  </si>
  <si>
    <t xml:space="preserve">I have not seen any obvious measures.</t>
  </si>
  <si>
    <t xml:space="preserve">Physical function, memory, and family.</t>
  </si>
  <si>
    <t xml:space="preserve">Exercise, eat healthily, and spend time with family.</t>
  </si>
  <si>
    <t xml:space="preserve">Use advanced science and technology to promote human health and longevity.</t>
  </si>
  <si>
    <t xml:space="preserve">For individuals, AI solutions create many more possibilities for health and longevity. For society as a whole, affordability and scalability are fundamental.</t>
  </si>
  <si>
    <t xml:space="preserve">Topic iii. AI assistants already help with health and other everyday questions. As the technology develops and its use deepens, ordinary people will gain easier and faster access to health advice, diseases will be overcome faster, and diagnosis and treatment will become more precise.</t>
  </si>
  <si>
    <t xml:space="preserve">Topic ii: The affordability of health and longevity solutions is a concern.</t>
  </si>
  <si>
    <t xml:space="preserve">Yes. For example, cloning, surrogacy, possible future mind uploading, and silicon-based machine life.</t>
  </si>
  <si>
    <t xml:space="preserve">G3-095</t>
  </si>
  <si>
    <t xml:space="preserve">Declining physical function, mental confusion, and forgetfulness.</t>
  </si>
  <si>
    <t xml:space="preserve">Economic imbalance, including insecure pensions, and strained medical resources.</t>
  </si>
  <si>
    <t xml:space="preserve">Develop medical facilities and extend lifespan.</t>
  </si>
  <si>
    <t xml:space="preserve">I have not looked into it.</t>
  </si>
  <si>
    <t xml:space="preserve">Mindset, appearance, and perceptual sharpness.</t>
  </si>
  <si>
    <t xml:space="preserve">Exercise, study, and stay engaged with society.</t>
  </si>
  <si>
    <t xml:space="preserve">i. Improve the numbers; ii. Strengthen social solidarity and reduce inequality, since class and economic differences mean disadvantaged people may not know about or afford ways to live healthier and longer; iii. Combine scientific research with disease prevention to preserve health.</t>
  </si>
  <si>
    <t xml:space="preserve">Individual rankings are subjective and depend on one's current circumstances. For society as a whole, I think outcomes and statistics such as mortality and average lifespan matter more than people's experiences.</t>
  </si>
  <si>
    <t xml:space="preserve">Topic iii: I am curious about how far AI can develop and what will emerge when it meets medicine and science.</t>
  </si>
  <si>
    <t xml:space="preserve">Topic iii: If AI completely controls modern medicine, more medical professionals may lose their jobs or their ability to reflect and innovate. Losing critical thinking and letting AI guide our thoughts and lives is hard to imagine.</t>
  </si>
  <si>
    <t xml:space="preserve">Yes. Products should be affordable to the general public, and AI-assisted care should protect the personal information of those receiving it.</t>
  </si>
  <si>
    <t xml:space="preserve">G3-096</t>
  </si>
  <si>
    <t xml:space="preserve">A general term for the period after age 28 and before death.</t>
  </si>
  <si>
    <t xml:space="preserve">A sharp decline in births.</t>
  </si>
  <si>
    <t xml:space="preserve">Encourage and raise the birth rate: increase inflows and reduce outflows.</t>
  </si>
  <si>
    <t xml:space="preserve">Convictions, logic, and original intentions.</t>
  </si>
  <si>
    <t xml:space="preserve">Read books.</t>
  </si>
  <si>
    <t xml:space="preserve">Can AI find practical, low-cost ways to help people live longer?</t>
  </si>
  <si>
    <t xml:space="preserve">Human nature</t>
  </si>
  <si>
    <t xml:space="preserve">Topic ii: There are countless approaches, but which can be the cheapest, most broadly applicable, and effective?</t>
  </si>
  <si>
    <t xml:space="preserve">Topic iii: Can AI that has never actually interacted with a human body and does not fully understand the nature of human life predict humanity's future?</t>
  </si>
  <si>
    <t xml:space="preserve">The sourcing and use of human liver microsomes should both be controlled.</t>
  </si>
  <si>
    <t xml:space="preserve">G3-097</t>
  </si>
  <si>
    <t xml:space="preserve">Changes in skin, an aging physique, and slower metabolism.</t>
  </si>
  <si>
    <t xml:space="preserve">Poor financial and health conditions.</t>
  </si>
  <si>
    <t xml:space="preserve">Older people being deceived; addressing this could improve mental health and financial circumstances.</t>
  </si>
  <si>
    <t xml:space="preserve">A healthy lifestyle, regular medical checkups, and mental health.</t>
  </si>
  <si>
    <t xml:space="preserve">Improving the quality of longer lives.</t>
  </si>
  <si>
    <t xml:space="preserve">Topic i is more fundamental, while topic iii is more innovative and precise.</t>
  </si>
  <si>
    <t xml:space="preserve">Overreliance on AI may delay in-person medical care and treatment.</t>
  </si>
  <si>
    <t xml:space="preserve">There should be theoretical considerations.</t>
  </si>
  <si>
    <t xml:space="preserve">G3-098</t>
  </si>
  <si>
    <t xml:space="preserve">Cells lose vitality and repair more slowly. Visible signs include loose skin and reduced physical ability.</t>
  </si>
  <si>
    <t xml:space="preserve">Healthcare and old-age support.</t>
  </si>
  <si>
    <t xml:space="preserve">Medical services should keep pace with the needs of an aging population. Healthcare is the most important part of aging; good care can ease many difficulties and improve well-being.</t>
  </si>
  <si>
    <t xml:space="preserve">The development of cancer drugs, vaccines, and similar products is a visible existing effort.</t>
  </si>
  <si>
    <t xml:space="preserve">Good sleep, a happy mood, and a healthy body.</t>
  </si>
  <si>
    <t xml:space="preserve">Moderate exercise and maintaining my hobbies.</t>
  </si>
  <si>
    <t xml:space="preserve">Use advanced technology to achieve and promote human health and longevity.</t>
  </si>
  <si>
    <t xml:space="preserve">AI and other technologies may make solutions simpler and more accessible, enabling wider adoption.</t>
  </si>
  <si>
    <t xml:space="preserve">Topic iii: Advanced technologies can lower the barrier between ordinary people and professional medical care. They can help individuals make an initial assessment of their health and give doctors more information to support care.</t>
  </si>
  <si>
    <t xml:space="preserve">Topic ii: Health and longevity have always interested humanity, but making solutions affordable may be difficult. If ordinary people cannot afford them, widespread adoption remains out of reach.</t>
  </si>
  <si>
    <t xml:space="preserve">Ethical considerations are needed.</t>
  </si>
  <si>
    <t xml:space="preserve">Q6 range "10–20%" stored as midpoint</t>
  </si>
  <si>
    <t xml:space="preserve">G3-099</t>
  </si>
  <si>
    <t xml:space="preserve">Declining physiological, psychological, and other functions.</t>
  </si>
  <si>
    <t xml:space="preserve">Insufficient social productivity.</t>
  </si>
  <si>
    <t xml:space="preserve">Insufficient social productivity and maintaining social stability.</t>
  </si>
  <si>
    <t xml:space="preserve">Delayed retirement</t>
  </si>
  <si>
    <t xml:space="preserve">Family, health, and career.</t>
  </si>
  <si>
    <t xml:space="preserve">Self-discipline</t>
  </si>
  <si>
    <t xml:space="preserve">Extend human lifespan.</t>
  </si>
  <si>
    <t xml:space="preserve">Health is very important.</t>
  </si>
  <si>
    <t xml:space="preserve">Topic iii: Health comes first.</t>
  </si>
  <si>
    <t xml:space="preserve">The accuracy of AI predictions and whether it can provide corresponding solutions.</t>
  </si>
  <si>
    <t xml:space="preserve">None at present.</t>
  </si>
  <si>
    <t xml:space="preserve">Q6 answer not numeric: "Over half"</t>
  </si>
  <si>
    <t xml:space="preserve">G3-100</t>
  </si>
  <si>
    <t xml:space="preserve">Malaysia</t>
  </si>
  <si>
    <t xml:space="preserve">Declining physical function, with less physical strength and energy than before.</t>
  </si>
  <si>
    <t xml:space="preserve">Insufficient medical resources, with supply unable to meet demand.</t>
  </si>
  <si>
    <t xml:space="preserve">Address resource allocation first; otherwise, resources cannot flow into markets for young people and the economy will struggle to develop.</t>
  </si>
  <si>
    <t xml:space="preserve">Not at present.</t>
  </si>
  <si>
    <t xml:space="preserve">Memory, physical strength, and muscle tissue.</t>
  </si>
  <si>
    <t xml:space="preserve">Exercise actively and eat a balanced, healthy diet.</t>
  </si>
  <si>
    <t xml:space="preserve">Make health awareness widespread.</t>
  </si>
  <si>
    <t xml:space="preserve">Based on how difficult they are to achieve.</t>
  </si>
  <si>
    <t xml:space="preserve">Topic iii: It relates to future automation.</t>
  </si>
  <si>
    <t xml:space="preserve">Topic ii: How to spread information effectively and accurately. It is difficult to ensure that correct information reaches society.</t>
  </si>
  <si>
    <t xml:space="preserve">Yes. Obtain accurate experimental results before introducing solutions into society; do not test directly on humans.</t>
  </si>
  <si>
    <t xml:space="preserve">Q6 range "28–29%?" stored as midpoint</t>
  </si>
  <si>
    <t xml:space="preserve">G3-101</t>
  </si>
  <si>
    <t xml:space="preserve">I don't know</t>
  </si>
  <si>
    <t xml:space="preserve">G3-102</t>
  </si>
  <si>
    <t xml:space="preserve">I think aging is when the body's various functions begin to decline: having less energy than when young, muscle atrophy, osteoporosis, worsening memory, and so on. Metabolism also becomes slower.</t>
  </si>
  <si>
    <t xml:space="preserve">Older adults gradually lose the ability to care for themselves and may not receive adequate care. Younger family members are often not nearby, leading to poorer quality of life. They increasingly struggle to keep up with rapid changes, become mentally isolated from the outside world, and feel physically unable to manage.</t>
  </si>
  <si>
    <t xml:space="preserve">Convenient, accessible services are very important. Many restaurants and stores no longer accept cash or require ordering by scanning a code, which is inconvenient for older adults. This directly affects their quality of life and should be addressed quickly.</t>
  </si>
  <si>
    <t xml:space="preserve">In China, communities have convenient canteens, and the government provides meal subsidies for older people by adding money to their senior cards every three months. Neighborhood committees also care about older residents and regularly visit to check on them. I think China is getting better at providing this kind of care.</t>
  </si>
  <si>
    <t xml:space="preserve">Health, memory, and beauty.</t>
  </si>
  <si>
    <t xml:space="preserve">Maintain a healthy daily routine, do not drink alcohol, and do not smoke.</t>
  </si>
  <si>
    <t xml:space="preserve">Use different methods to slow aging, make later life healthier and more comfortable, and help people live longer.</t>
  </si>
  <si>
    <t xml:space="preserve">Widespread access is most important. Even if solutions exist, they are of little use if they are too niche, expensive, or difficult to implement. Ultimately, solutions must be used by people. Personally, I think machine learning and AI can effectively improve medical care, and I am more interested in disease prediction, so I put them second. Reproductive health is not especially important to me personally, but society may value it more as birth rates continue to fall.</t>
  </si>
  <si>
    <t xml:space="preserve">Topic iii: Disease prediction and precision health are very important. Many diseases cannot be treated effectively or their symptoms relieved because they are detected too late. AI and machine learning are developing rapidly, so I am optimistic about this field and hope for major research breakthroughs.</t>
  </si>
  <si>
    <t xml:space="preserve">Topic iii: Even if we develop these solutions, clinical trials will probably take considerable time. If the predicted risk is high or the methods are more invasive, I would worry and be unsure whether to undergo testing. I also worry about disclosure of my own and my family's information, and the cost of advanced testing equipment.</t>
  </si>
  <si>
    <t xml:space="preserve">Anything involving invasive experiments or surgery requires careful consideration. Gene editing, for example, remains a somewhat sensitive topic in medicine. How can we ensure that information used in machine learning is not leaked, especially rare blood types or rare disease cases?</t>
  </si>
  <si>
    <t xml:space="preserve">G4-001</t>
  </si>
  <si>
    <t xml:space="preserve">Chronic diseases</t>
  </si>
  <si>
    <t xml:space="preserve">Dementia and cognitive decline</t>
  </si>
  <si>
    <t xml:space="preserve">It has a major impact on quality of life</t>
  </si>
  <si>
    <t xml:space="preserve">Physical health, Mental/cognitive health, Financial security</t>
  </si>
  <si>
    <t xml:space="preserve">Yes, there are things can be done, but I am not putting enough efforts to maintain them</t>
  </si>
  <si>
    <t xml:space="preserve">(i) awareness of STD; (ii) Devices you can carry with you for your disease; (iii) Use AI tools to reduce research time</t>
  </si>
  <si>
    <t xml:space="preserve">Individual: Potential to prevent disease; Society: Potential to improve quality of life</t>
  </si>
  <si>
    <t xml:space="preserve">I have no major concerns</t>
  </si>
  <si>
    <t xml:space="preserve">G4-002</t>
  </si>
  <si>
    <t xml:space="preserve">Reduced tissue regeneration and slower wound healing</t>
  </si>
  <si>
    <t xml:space="preserve">Lack of personalized treatments for older adults</t>
  </si>
  <si>
    <t xml:space="preserve">Physical health, Mental/cognitive health, Independence</t>
  </si>
  <si>
    <t xml:space="preserve">Maybe</t>
  </si>
  <si>
    <t xml:space="preserve">(i) To be fertile in later periods of life; (ii) How to live longer; (iii) AI assisting human in our late life</t>
  </si>
  <si>
    <t xml:space="preserve">Individual: Potential to help the largest number of people; Society: Potential to help the largest number of people</t>
  </si>
  <si>
    <t xml:space="preserve">High costs or unequal access</t>
  </si>
  <si>
    <t xml:space="preserve">G4-003</t>
  </si>
  <si>
    <t xml:space="preserve">Age-related decline in organ function</t>
  </si>
  <si>
    <t xml:space="preserve">Mental/cognitive health, Mobility, Relationships/social life</t>
  </si>
  <si>
    <t xml:space="preserve">(i) Can have kids later in life; (ii) Getting treatment to live longer; (iii) AI help scientists</t>
  </si>
  <si>
    <t xml:space="preserve">Individual: Personal relevance to me; Society: Potential to help the largest number of people</t>
  </si>
  <si>
    <t xml:space="preserve">G4-004</t>
  </si>
  <si>
    <t xml:space="preserve">Gradual physical and biological changes over time</t>
  </si>
  <si>
    <t xml:space="preserve">Physical health, Mental/cognitive health, Relationships/social life</t>
  </si>
  <si>
    <t xml:space="preserve">(i) Having kids at a greater age; (ii) Changes in lifestyle that allows you to live longer; (iii) Using AI in diagnostics</t>
  </si>
  <si>
    <t xml:space="preserve">Individual: Potential to improve quality of life, Potential to help the largest number of people; Society: Potential to improve quality of life, Potential to help the largest number of people</t>
  </si>
  <si>
    <t xml:space="preserve">Over reliance on AI/technology</t>
  </si>
  <si>
    <t xml:space="preserve">G4-005</t>
  </si>
  <si>
    <t xml:space="preserve">Washington</t>
  </si>
  <si>
    <t xml:space="preserve">Washington, United States</t>
  </si>
  <si>
    <t xml:space="preserve">Decline in immune function and increased susceptibility to disease</t>
  </si>
  <si>
    <t xml:space="preserve">Ensuring longevity technologies are affordable and accessible</t>
  </si>
  <si>
    <t xml:space="preserve">Mental/cognitive health, Relationships/social life, Financial security</t>
  </si>
  <si>
    <t xml:space="preserve">(i) Have sex until I die; (ii) Getting treatments that can expand my life time and quality; (iii) AI help us to live longer and healthier</t>
  </si>
  <si>
    <t xml:space="preserve">Individual: Potential to improve quality of life; Society: Potential to reduce healthcare inequality</t>
  </si>
  <si>
    <t xml:space="preserve">G4-006</t>
  </si>
  <si>
    <t xml:space="preserve">Physical health, Mental/cognitive health, Mobility</t>
  </si>
  <si>
    <t xml:space="preserve">(i) Live longer and have fertility longer; (ii) Accesses to treatment of chronic diseases; (iii) Not sure, but ai help science</t>
  </si>
  <si>
    <t xml:space="preserve">Individual: Personal relevance to me; Society: Scientific/technological potential</t>
  </si>
  <si>
    <t xml:space="preserve">G4-007</t>
  </si>
  <si>
    <t xml:space="preserve">It could realistically be improved in the near future</t>
  </si>
  <si>
    <t xml:space="preserve">Independence, Mobility, Relationships/social life</t>
  </si>
  <si>
    <t xml:space="preserve">Individual: Potential to improve quality of life, Potential to help the largest number of people, Personal relevance to me, Potential to reduce healthcare inequality, Scientific/technological potential; Society: Potential to improve quality of life, Potential to help the largest number of people, Scientific/technological potential</t>
  </si>
  <si>
    <t xml:space="preserve">AI may get wrong but user don’t know and follow the instruction</t>
  </si>
  <si>
    <t xml:space="preserve">G4-008</t>
  </si>
  <si>
    <t xml:space="preserve">A natural life process involving both positive and negative changes</t>
  </si>
  <si>
    <t xml:space="preserve">Limited ability to detect age-related diseases early</t>
  </si>
  <si>
    <t xml:space="preserve">Loss of frailty and mobility</t>
  </si>
  <si>
    <t xml:space="preserve">(i) Longer reproductive period?; (ii) Cheap and convenient; (iii) AI for health</t>
  </si>
  <si>
    <t xml:space="preserve">Individual: Potential to improve quality of life; Society: Potential to help the largest number of people</t>
  </si>
  <si>
    <t xml:space="preserve">G4-009</t>
  </si>
  <si>
    <t xml:space="preserve">It affects a large number of people</t>
  </si>
  <si>
    <t xml:space="preserve">Physical health, Relationships/social life, Financial security</t>
  </si>
  <si>
    <t xml:space="preserve">Yes, I am actively maintaining</t>
  </si>
  <si>
    <t xml:space="preserve">(i) keep health and longlife; (ii) Plan to live longer; (iii) Machine learning and ai solution to long live</t>
  </si>
  <si>
    <t xml:space="preserve">Individual: Potential to improve quality of life, Personal relevance to me, Potential to prevent disease; Society: Potential to improve quality of life, Potential to help the largest number of people, Personal relevance to me, Potential to prevent disease</t>
  </si>
  <si>
    <t xml:space="preserve">Safety or unintended health effects</t>
  </si>
  <si>
    <t xml:space="preserve">G4-010</t>
  </si>
  <si>
    <t xml:space="preserve">Not much I can do</t>
  </si>
  <si>
    <t xml:space="preserve">(i) Make body physically stronger and more durable, or even renewable; (ii) Fair price and easy accessibility; (iii) Improve efficiency of experiments and avoid moral issues sometimes</t>
  </si>
  <si>
    <t xml:space="preserve">Individual: Potential to improve quality of life, Personal relevance to me; Society: Potential to improve quality of life, Potential to help the largest number of people, Potential to reduce healthcare inequality</t>
  </si>
  <si>
    <t xml:space="preserve">G4-011</t>
  </si>
  <si>
    <t xml:space="preserve">It creates significant healthcare/economic costs</t>
  </si>
  <si>
    <t xml:space="preserve">(i) Maintaining biological functions; (ii) Way to live longer; (iii) Use ai to find solutions deal with potential problems by getting older</t>
  </si>
  <si>
    <t xml:space="preserve">Individual: Potential to improve quality of life, Potential to help the largest number of people, Potential to prevent disease, Potential to reduce healthcare inequality; Society: Potential to help the largest number of people, Scientific/technological potential</t>
  </si>
  <si>
    <t xml:space="preserve">G4-012</t>
  </si>
  <si>
    <t xml:space="preserve">(i) B; (ii) There are lots of solutions preventing muscle loss aged people in order to preserve organ vitality and function integrity.; (iii) May to LLM speeds basic research understanding aging and longevity.</t>
  </si>
  <si>
    <t xml:space="preserve">Individual: Potential to improve quality of life, Potential to prevent disease, Scientific/technological potential; Society: Potential to improve quality of life, Potential to prevent disease, Scientific/technological potential</t>
  </si>
  <si>
    <t xml:space="preserve">G4-013</t>
  </si>
  <si>
    <t xml:space="preserve">Mental/cognitive health, Independence, Mobility</t>
  </si>
  <si>
    <t xml:space="preserve">(i) Improving reproductive health and extending healthy lifespan; (ii) Making longevity treatments affordable and accessible; (iii) Using AI and machine learning to improve aging and healthcare solutions</t>
  </si>
  <si>
    <t xml:space="preserve">Individual: Potential to help the largest number of people; Society: Potential to help the largest number of people, Personal relevance to me, Potential to prevent disease</t>
  </si>
  <si>
    <t xml:space="preserve">personal rank grid answered inconsistently; only unambiguous ranks kept; societal rank grid answered inconsistently; only unambiguous ranks kept</t>
  </si>
  <si>
    <t xml:space="preserve">G4-014</t>
  </si>
  <si>
    <t xml:space="preserve">(i) The general topic ppl think of when bringing up aging; (ii) Ways lead to longevity; (iii) How ai helps</t>
  </si>
  <si>
    <t xml:space="preserve">Individual: Scientific/technological potential; Society: Potential to improve quality of life</t>
  </si>
  <si>
    <t xml:space="preserve">G4-015</t>
  </si>
  <si>
    <t xml:space="preserve">Mental/cognitive health, Financial security, Appearance</t>
  </si>
  <si>
    <t xml:space="preserve">(i) Have health offspring with no mental/physical disability, and people would not die from common disease before age of 60; (ii) accessible healthcare also affordable. have decent living environment; (iii) quicker solution to get your question answered, so save some time</t>
  </si>
  <si>
    <t xml:space="preserve">Individual: Potential to improve quality of life, Potential to help the largest number of people, Personal relevance to me, Potential to reduce healthcare inequality; Society: Potential to help the largest number of people, Potential to reduce healthcare inequality</t>
  </si>
  <si>
    <t xml:space="preserve">G4-016</t>
  </si>
  <si>
    <t xml:space="preserve">Australia</t>
  </si>
  <si>
    <t xml:space="preserve">Physical health, Mental/cognitive health, Financial security, Career or sense of purpose</t>
  </si>
  <si>
    <t xml:space="preserve">(i) Having sex every day; (ii) Having sex; (iii) Don’t know</t>
  </si>
  <si>
    <t xml:space="preserve">Individual: Potential to improve quality of life; Society: Potential to improve quality of life, Potential to help the largest number of people</t>
  </si>
  <si>
    <t xml:space="preserve">G4-017</t>
  </si>
  <si>
    <t xml:space="preserve">(i) improving health sustainably; (ii) longterm health lifestyle; (iii) ai asist the healthy life plan</t>
  </si>
  <si>
    <t xml:space="preserve">Individual: Potential to help the largest number of people, Potential to prevent disease, Potential to reduce healthcare inequality; Society: Potential to help the largest number of people</t>
  </si>
  <si>
    <t xml:space="preserve">G4-018</t>
  </si>
  <si>
    <t xml:space="preserve">Current solutions are inadequate</t>
  </si>
  <si>
    <t xml:space="preserve">(i) do physical exercise; (ii) make more people know what to do to prevent aging; (iii) AI solving aging problem</t>
  </si>
  <si>
    <t xml:space="preserve">G4-019</t>
  </si>
  <si>
    <t xml:space="preserve">(i) Being able to give birth and get older than usual; (ii) The way to be older and healthier; (iii) Using AI to predict aging problems and find solutions</t>
  </si>
  <si>
    <t xml:space="preserve">Individual: Potential to improve quality of life, Scientific/technological potential; Society: Potential to improve quality of life, Potential to reduce healthcare inequality, Scientific/technological potential</t>
  </si>
  <si>
    <t xml:space="preserve">G4-020</t>
  </si>
  <si>
    <t xml:space="preserve">(i) older male should give birth more than younger.; (ii) most people get heathier condition; (iii) robot and mechanics help those disabled activity</t>
  </si>
  <si>
    <t xml:space="preserve">Individual: Potential to improve quality of life, Potential to prevent disease, Scientific/technological potential; Society: Potential to help the largest number of people, Potential to reduce healthcare inequality</t>
  </si>
  <si>
    <t xml:space="preserve">G4-021</t>
  </si>
  <si>
    <t xml:space="preserve">Physical health, Financial security, Appearance</t>
  </si>
  <si>
    <t xml:space="preserve">(i) N/A; (ii) N/A; (iii) N/A</t>
  </si>
  <si>
    <t xml:space="preserve">Individual: Potential to help the largest number of people, Potential to prevent disease, Potential to reduce healthcare inequality; Society: Potential to improve quality of life, Potential to help the largest number of people, Personal relevance to me, Potential to prevent disease, Potential to reduce healthcare inequality</t>
  </si>
  <si>
    <t xml:space="preserve">G4-022</t>
  </si>
  <si>
    <t xml:space="preserve">Mental/cognitive health, Mobility, Appearance</t>
  </si>
  <si>
    <t xml:space="preserve">(i) Improving reproductive health; (ii) Making longevity and healthy-aging solutions affordable; (iii) develop smarter, personalized solutions</t>
  </si>
  <si>
    <t xml:space="preserve">Individual: Potential to improve quality of life, Potential to help the largest number of people, Personal relevance to me; Society: Potential to help the largest number of people</t>
  </si>
  <si>
    <t xml:space="preserve">G4-023</t>
  </si>
  <si>
    <t xml:space="preserve">(i) Increasing time of fertility and hormone balance; (ii) Affordable and effective solutions; (iii) Fast developing and huge data sample</t>
  </si>
  <si>
    <t xml:space="preserve">G4-024</t>
  </si>
  <si>
    <t xml:space="preserve">G4-025</t>
  </si>
  <si>
    <t xml:space="preserve">Physical health, Mental/cognitive health, Career or sense of purpose</t>
  </si>
  <si>
    <t xml:space="preserve">(i) Sex ability; (ii) Live longer; (iii) Train ai model to find what are factors contributing to individual aging?</t>
  </si>
  <si>
    <t xml:space="preserve">Individual: Potential to improve quality of life; Society: Potential to prevent disease</t>
  </si>
  <si>
    <t xml:space="preserve">G4-026</t>
  </si>
  <si>
    <t xml:space="preserve">(i) Maintaining reproductive function and promoting healthy aging.; (ii) Making longevity interventions, therapies and health-aging benefits available; (iii) AI-driven healthy aging</t>
  </si>
  <si>
    <t xml:space="preserve">Individual: Potential to improve quality of life, Potential to help the largest number of people; Society: Potential to help the largest number of people</t>
  </si>
  <si>
    <t xml:space="preserve">Privacy and data security</t>
  </si>
  <si>
    <t xml:space="preserve">G4-027</t>
  </si>
  <si>
    <t xml:space="preserve">Physical health, Independence, Mobility</t>
  </si>
  <si>
    <t xml:space="preserve">(i) It is meaningless.; (ii) This is needed for the majority of older adults in society.; (iii) It is a topic well worthy of attention and research.</t>
  </si>
  <si>
    <t xml:space="preserve">Individual: Potential to improve quality of life; Society: Scientific/technological potential</t>
  </si>
  <si>
    <t xml:space="preserve">G4-028</t>
  </si>
  <si>
    <t xml:space="preserve">Decline in physical or mental abilities</t>
  </si>
  <si>
    <t xml:space="preserve">Individual: Potential to help the largest number of people; Society: Potential to reduce healthcare inequality</t>
  </si>
  <si>
    <t xml:space="preserve">G4-029</t>
  </si>
  <si>
    <t xml:space="preserve">Mental/cognitive health, Independence, Financial security</t>
  </si>
  <si>
    <t xml:space="preserve">(i) Physical state at the bodily level; (ii) Take the initiative to improve one's health condition; (iii) New technologies promote longevity.</t>
  </si>
  <si>
    <t xml:space="preserve">G4-030</t>
  </si>
  <si>
    <t xml:space="preserve">(i) Increase maternal age and average life expectancy; (ii) Redistribution of resources to the elderly population; (iii) Simulate different scenario in a computational base and apply to it after rigorous and robust calculation</t>
  </si>
  <si>
    <t xml:space="preserve">Individual: Potential to reduce healthcare inequality; Society: Potential to improve quality of life</t>
  </si>
  <si>
    <t xml:space="preserve">G4-031</t>
  </si>
  <si>
    <t xml:space="preserve">(i) Maintain the species; (ii) Wellbeing; (iii) Could be useful</t>
  </si>
  <si>
    <t xml:space="preserve">G4-032</t>
  </si>
  <si>
    <t xml:space="preserve">Physical health, Mobility, Career or sense of purpose</t>
  </si>
  <si>
    <t xml:space="preserve">(i) efficient treatment targeting human being; (ii) possible treatment but not widely accepted; (iii) no idea</t>
  </si>
  <si>
    <t xml:space="preserve">Individual: Personal relevance to me, Potential to prevent disease; Society: Potential to help the largest number of people, Scientific/technological potential</t>
  </si>
  <si>
    <t xml:space="preserve">Ethical concerns</t>
  </si>
  <si>
    <t xml:space="preserve">G4-033</t>
  </si>
  <si>
    <t xml:space="preserve">(i) Extending reproductive lifespan &amp; health; (ii) Affordable aging solutions for all; (iii) AI-driven longevity &amp; healthcare</t>
  </si>
  <si>
    <t xml:space="preserve">Individual: Potential to improve quality of life, Potential to help the largest number of people; Society: Potential to help the largest number of people, Potential to reduce healthcare inequality</t>
  </si>
  <si>
    <t xml:space="preserve">G4-034</t>
  </si>
  <si>
    <t xml:space="preserve">Physical health, Mental/cognitive health, Appearance</t>
  </si>
  <si>
    <t xml:space="preserve">(i) Exercise more, eat healthier. Send more time on rest; (ii) This means developing affordable and practical ways for everyone to improve their health and increase their chances of living a longer, healthier life.; (iii) This focuses on using AI and machine learning to better understand aging, prevent diseases, and develop personalized solutions to improve people’s health and lifespan.</t>
  </si>
  <si>
    <t xml:space="preserve">Individual: Potential to improve quality of life</t>
  </si>
  <si>
    <t xml:space="preserve">G4-035</t>
  </si>
  <si>
    <t xml:space="preserve">(i) stay healthy and live long live; (ii) How to live longer; (iii) AI to help in long life and health</t>
  </si>
  <si>
    <t xml:space="preserve">Individual: Potential to improve quality of life, Personal relevance to me, Potential to prevent disease; Society: Potential to help the largest number of people, Scientific/technological potential</t>
  </si>
  <si>
    <t xml:space="preserve">G4-036</t>
  </si>
  <si>
    <t xml:space="preserve">United Arab Emirates</t>
  </si>
  <si>
    <t xml:space="preserve">Physical health, Mobility, Financial security</t>
  </si>
  <si>
    <t xml:space="preserve">(i) Allowing people to live longer and having babies at an older agr; (ii) Social efforts to care for older people's health like free and mandatory examinations; (iii) Using mass data to discover trends in the population or building specific robots to help detect and treat potential diseases</t>
  </si>
  <si>
    <t xml:space="preserve">Individual: Potential to improve quality of life, Potential to help the largest number of people, Potential to reduce healthcare inequality, Scientific/technological potential; Society: Potential to help the largest number of people, Potential to reduce healthcare inequality</t>
  </si>
  <si>
    <t xml:space="preserve">G4-037</t>
  </si>
  <si>
    <t xml:space="preserve">(i) To enjoy more with children and the life built in youth and working years; (ii) To enjoy the above in the high quality way; (iii) Speed up development of new solutions</t>
  </si>
  <si>
    <t xml:space="preserve">G4-038</t>
  </si>
  <si>
    <t xml:space="preserve">(i) Exercise; (ii) Exercise; (iii) Learning</t>
  </si>
  <si>
    <t xml:space="preserve">G4-039</t>
  </si>
  <si>
    <t xml:space="preserve">(i) Extend the life; (ii) Cheap solution; (iii) Personalization</t>
  </si>
  <si>
    <t xml:space="preserve">G4-040</t>
  </si>
  <si>
    <t xml:space="preserve">United Kingdom</t>
  </si>
  <si>
    <t xml:space="preserve">Mental/cognitive health, Appearance, Career or sense of purpose</t>
  </si>
  <si>
    <t xml:space="preserve">Individual: Potential to help the largest number of people; Society: Scientific/technological potential</t>
  </si>
  <si>
    <t xml:space="preserve">G4-041</t>
  </si>
  <si>
    <t xml:space="preserve">(i) Lifestyles, nutrition, habits, medical and innovation; (ii) Affordable, customized; (iii) Quite a long way to go</t>
  </si>
  <si>
    <t xml:space="preserve">G4-042</t>
  </si>
  <si>
    <t xml:space="preserve">(i) Child youngster; (ii) Generalized; (iii) Efficient</t>
  </si>
  <si>
    <t xml:space="preserve">G4-043</t>
  </si>
  <si>
    <t xml:space="preserve">Physical health, Independence, Financial security</t>
  </si>
  <si>
    <t xml:space="preserve">(i) Improving reproductive well-being while extending healthy lifespan; (ii) Affordable and easy-to-use methods to help people live longer; (iii) Using AI and machine learning technology to solve aging and health-related problems</t>
  </si>
  <si>
    <t xml:space="preserve">G4-044</t>
  </si>
  <si>
    <t xml:space="preserve">(i) I don’t know; (ii) I don’t know; (iii) I don’t know</t>
  </si>
  <si>
    <t xml:space="preserve">G4-045</t>
  </si>
  <si>
    <t xml:space="preserve">Relationships/social life, Financial security, Appearance, Career or sense of purpose</t>
  </si>
  <si>
    <t xml:space="preserve">(i) Eating healthy; (ii) Public Health; (iii) A future</t>
  </si>
  <si>
    <t xml:space="preserve">Individual: Potential to improve quality of life, Potential to prevent disease; Society: Personal relevance to me, Potential to reduce healthcare inequality</t>
  </si>
  <si>
    <t xml:space="preserve">societal rank grid answered inconsistently; only unambiguous ranks kept</t>
  </si>
  <si>
    <t xml:space="preserve">G4-046</t>
  </si>
  <si>
    <t xml:space="preserve">(i) Maintain the ability that self body can heal minor disease; (ii) Knowing what to do to maintain health when aging; (iii) Using AI to help research and model methods of preventing aging</t>
  </si>
  <si>
    <t xml:space="preserve">G4-047</t>
  </si>
  <si>
    <t xml:space="preserve">(i) Improving reproductive function while extending healthy lifespan; (ii) Anti-aging interventions that are affordable and easy for the public to obtain; (iii) Apply AI and machine learning to study ageing and develop health-maintaining strategies</t>
  </si>
  <si>
    <t xml:space="preserve">G4-048</t>
  </si>
  <si>
    <t xml:space="preserve">(i) to be health; (ii) how to live longer life and be health; (iii) to use ai solve some health problem</t>
  </si>
  <si>
    <t xml:space="preserve">Individual: Potential to improve quality of life, Personal relevance to me; Society: Potential to help the largest number of people</t>
  </si>
  <si>
    <t xml:space="preserve">G4-049</t>
  </si>
  <si>
    <t xml:space="preserve">(i) Extending fertility and long-term reproductive wellness.; (ii) Democratizing affordable anti-aging treatments for everyone.; (iii) Leveraging artificial intelligence to predict, prevent, and treat age-related decline.</t>
  </si>
  <si>
    <t xml:space="preserve">G4-050</t>
  </si>
  <si>
    <t xml:space="preserve">Independence, Financial security, Appearance</t>
  </si>
  <si>
    <t xml:space="preserve">Individual: Potential to improve quality of life; Society: Potential to improve quality of life</t>
  </si>
  <si>
    <t xml:space="preserve">G4-051</t>
  </si>
  <si>
    <t xml:space="preserve">(i) Helping people stay reproductively healthy and live longer; (ii) Making longevity and healthy-aging solutions affordable and accessible to everyone; (iii) Using AI and machine learning to improve health and aging</t>
  </si>
  <si>
    <t xml:space="preserve">G4-052</t>
  </si>
  <si>
    <t xml:space="preserve">Physical health, Independence, Career or sense of purpose</t>
  </si>
  <si>
    <t xml:space="preserve">(i) Good; (ii) Good; (iii) Good</t>
  </si>
  <si>
    <t xml:space="preserve">G4-053</t>
  </si>
  <si>
    <t xml:space="preserve">Mental/cognitive health, Independence, Relationships/social life</t>
  </si>
  <si>
    <r>
      <rPr>
        <sz val="10"/>
        <rFont val="Arial"/>
        <family val="0"/>
        <charset val="1"/>
      </rPr>
      <t xml:space="preserve">(i) Reduce reproductive system-related diseases and cancers. </t>
    </r>
    <r>
      <rPr>
        <sz val="10"/>
        <rFont val="Noto Sans CJK SC"/>
        <family val="2"/>
      </rPr>
      <t xml:space="preserve">也可译为： </t>
    </r>
    <r>
      <rPr>
        <sz val="10"/>
        <rFont val="Arial"/>
        <family val="0"/>
        <charset val="1"/>
      </rPr>
      <t xml:space="preserve">Reduce diseases and cancers related to the reproductive system.; (ii) Control various cardiovascular diseases.; (iii) Help older adults manage their lives and support their social interactions.</t>
    </r>
  </si>
  <si>
    <t xml:space="preserve">Individual: Potential to improve quality of life, Potential to prevent disease, Potential to reduce healthcare inequality; Society: Potential to help the largest number of people, Potential to prevent disease, Scientific/technological potential</t>
  </si>
  <si>
    <t xml:space="preserve">G4-054</t>
  </si>
  <si>
    <t xml:space="preserve">Mental/cognitive health, Financial security, Career or sense of purpose</t>
  </si>
  <si>
    <t xml:space="preserve">(i) Reproductive health meets healthy longevity; (ii) Affordable longevity for everyone; (iii) AI-powered solutions for aging and health</t>
  </si>
  <si>
    <t xml:space="preserve">Individual: Scientific/technological potential; Society: Potential to help the largest number of people</t>
  </si>
  <si>
    <t xml:space="preserve">G4-055</t>
  </si>
  <si>
    <t xml:space="preserve">(i) Promote people's physical health; (ii) Plan for extending life expectancy; (iii) The assistance that artificial intelligence can offer in the context of the aging population issue</t>
  </si>
  <si>
    <t xml:space="preserve">Individual: Potential to improve quality of life, Potential to prevent disease; Society: Potential to help the largest number of people</t>
  </si>
  <si>
    <t xml:space="preserve">G4-056</t>
  </si>
  <si>
    <t xml:space="preserve">(i) Keep exercise; (ii) Keep exercise; (iii) Keep exercise every day</t>
  </si>
  <si>
    <t xml:space="preserve">Individual: Potential to prevent disease; Society: Potential to help the largest number of people</t>
  </si>
  <si>
    <t xml:space="preserve">G4-057</t>
  </si>
  <si>
    <t xml:space="preserve">Mental/cognitive health, Independence</t>
  </si>
  <si>
    <t xml:space="preserve">Individual: Potential to improve quality of life, Potential to help the largest number of people; Society: Potential to improve quality of life</t>
  </si>
  <si>
    <t xml:space="preserve">G4-058</t>
  </si>
  <si>
    <t xml:space="preserve">G4-059</t>
  </si>
  <si>
    <t xml:space="preserve">(i) Better reproductive health and longer life; (ii) Easily to get ways to extend lifespan; (iii) Use AI and ML for aging and health issues</t>
  </si>
  <si>
    <t xml:space="preserve">Individual: Personal relevance to me; Society: Potential to help the largest number of people, Potential to reduce healthcare inequality</t>
  </si>
  <si>
    <t xml:space="preserve">G4-060</t>
  </si>
  <si>
    <t xml:space="preserve">(i) Not very productive, but maybe useful; (ii) Reasonable; (iii) Reasonable and fair</t>
  </si>
  <si>
    <t xml:space="preserve">Individual: Scientific/technological potential; Society: Potential to help the largest number of people, Personal relevance to me, Potential to reduce healthcare inequality</t>
  </si>
  <si>
    <t xml:space="preserve">G4-061</t>
  </si>
  <si>
    <t xml:space="preserve">(i) Ensure the life quality; (ii) Make life longer; (iii) Using AI tools for assistance with aging problems</t>
  </si>
  <si>
    <t xml:space="preserve">Individual: Personal relevance to me; Society: Potential to improve quality of life</t>
  </si>
  <si>
    <t xml:space="preserve">G4-062</t>
  </si>
  <si>
    <t xml:space="preserve">(i) Able to reproduce in a longer period; (ii) Can be used by normal people; (iii) use ai to find solutions</t>
  </si>
  <si>
    <t xml:space="preserve">G4-063</t>
  </si>
  <si>
    <t xml:space="preserve">G4-064</t>
  </si>
  <si>
    <t xml:space="preserve">(i) Not sure; (ii) Solutions that requires less than 5 minutes to access; (iii) Improving efficiency and accessibility for existing solutions in clinics</t>
  </si>
  <si>
    <t xml:space="preserve">Individual: Potential to improve quality of life, Potential to help the largest number of people, Scientific/technological potential; Society: Potential to help the largest number of people, Potential to reduce healthcare inequality</t>
  </si>
  <si>
    <t xml:space="preserve">G4-065</t>
  </si>
  <si>
    <t xml:space="preserve">Individual: Personal relevance to me, Potential to prevent disease, Scientific/technological potential; Society: Potential to improve quality of life, Potential to help the largest number of people, Potential to reduce healthcare inequality</t>
  </si>
  <si>
    <t xml:space="preserve">G4-066</t>
  </si>
  <si>
    <t xml:space="preserve">(i) Improve fertility and extend healthy human lifespan; (ii) Affordable, widely‑available anti‑aging and longevity interventions.; (iii) Applying AI and machine learning to solve ageing‑related health problems.</t>
  </si>
  <si>
    <t xml:space="preserve">G4-067</t>
  </si>
  <si>
    <t xml:space="preserve">Physical health, Mental/cognitive health, Mobility, Relationships/social life</t>
  </si>
  <si>
    <t xml:space="preserve">(i) Nutrition and exercise; (ii) Regular physical exam; (iii) Daily assistance and diagnosis</t>
  </si>
  <si>
    <t xml:space="preserve">G4-068</t>
  </si>
  <si>
    <t xml:space="preserve">G4-069</t>
  </si>
  <si>
    <t xml:space="preserve">Individual: Potential to improve quality of life; Society: Potential to improve quality of life, Personal relevance to me, Potential to prevent disease</t>
  </si>
  <si>
    <t xml:space="preserve">G4-070</t>
  </si>
  <si>
    <t xml:space="preserve">(i) Improving fertility; (ii) Helping people stay longer; (iii) Helping people stay healthy longer</t>
  </si>
  <si>
    <t xml:space="preserve">Individual: Potential to improve quality of life, Potential to help the largest number of people, Potential to prevent disease; Society: Potential to improve quality of life, Potential to help the largest number of people, Potential to prevent disease, Potential to reduce healthcare inequality</t>
  </si>
  <si>
    <t xml:space="preserve">G4-071</t>
  </si>
  <si>
    <t xml:space="preserve">(i) Not sure; (ii) Better supporting system for older people; (iii) AI assisting in designing tools or solutions to inconvenience brought by aging</t>
  </si>
  <si>
    <t xml:space="preserve">G4-072</t>
  </si>
  <si>
    <t xml:space="preserve">All of the above</t>
  </si>
  <si>
    <t xml:space="preserve">(i) Extend the age where people normally can or should have baby; (ii) Low cost, affordable, feasible, practicable way to improve QoL and extend life expectancy; (iii) Use AI to detect diseases, come up with personal solution, etc that could effect life to expectancy</t>
  </si>
  <si>
    <t xml:space="preserve">Individual: Potential to improve quality of life, Potential to help the largest number of people, Potential to prevent disease, Potential to reduce healthcare inequality; Society: Potential to help the largest number of people, Potential to prevent disease, Potential to reduce healthcare inequality</t>
  </si>
  <si>
    <t xml:space="preserve">G4-073</t>
  </si>
  <si>
    <t xml:space="preserve">Independence, Relationships/social life, Career or sense of purpose</t>
  </si>
  <si>
    <t xml:space="preserve">(i) To help people get a more healthier life span; (ii) Give solutions that are accessible for most people; (iii) Use ml&amp;ai to address problems of aging</t>
  </si>
  <si>
    <t xml:space="preserve">Individual: Potential to help the largest number of people, Potential to reduce healthcare inequality; Society: Potential to help the largest number of people, Potential to reduce healthcare inequality</t>
  </si>
  <si>
    <t xml:space="preserve">G4-074</t>
  </si>
  <si>
    <t xml:space="preserve">(iii) help cognitive function though Machine learning</t>
  </si>
  <si>
    <t xml:space="preserve">Individual: Potential to improve quality of life, Potential to prevent disease, Potential to reduce healthcare inequality; Society: Potential to help the largest number of people, Potential to reduce healthcare inequality, Scientific/technological potential</t>
  </si>
  <si>
    <t xml:space="preserve">G4-075</t>
  </si>
  <si>
    <t xml:space="preserve">(i) Making sure people always have the choice to have families in healthy ways.; (ii) Making sure healthcare solutions are long term.; (iii) Utilizing the already prevalent computational tools to make advancements in finding solutions in healthcare.</t>
  </si>
  <si>
    <t xml:space="preserve">Individual: Potential to improve quality of life, Potential to help the largest number of people, Potential to prevent disease; Society: Potential to improve quality of life, Potential to prevent disease</t>
  </si>
  <si>
    <t xml:space="preserve">G4-076</t>
  </si>
  <si>
    <t xml:space="preserve">(i) Enhance the ability to give birth at older age and increase expectancy; (ii) Providing Public healthcare for aging population; (iii) Go ask a cmu graduate</t>
  </si>
  <si>
    <t xml:space="preserve">Individual: Potential to improve quality of life, Potential to prevent disease; Society: Potential to improve quality of life, Potential to help the largest number of people</t>
  </si>
  <si>
    <t xml:space="preserve">G4-077</t>
  </si>
  <si>
    <t xml:space="preserve">Early detection and disease prevention can fundamentally improve the health and quality of life of the aging population</t>
  </si>
  <si>
    <t xml:space="preserve">(i) It's may not a good thing; this involves social issues.; (ii) The increasing overall human lifespan may require population control.; (iii) Advancing technology through more efficient research methods. Data acquisition requires sufficient time accumulation and more advanced machine perception technologies.</t>
  </si>
  <si>
    <t xml:space="preserve">Individual: Potential to improve quality of life, Personal relevance to me, Potential to prevent disease; Society: Potential to help the largest number of people, Potential to prevent disease, Potential to reduce healthcare inequality</t>
  </si>
  <si>
    <t xml:space="preserve">G4-078</t>
  </si>
  <si>
    <t xml:space="preserve">(i) Improving fertility and reproductive health across the lifespan.; (ii) Making the aging solutions more affordable and available.; (iii) AI tools can help to provide more personalized and science based solutions</t>
  </si>
  <si>
    <t xml:space="preserve">Individual: Potential to improve quality of life, Personal relevance to me, Potential to prevent disease; Society: Potential to improve quality of life, Potential to help the largest number of people, Potential to reduce healthcare inequality</t>
  </si>
  <si>
    <t xml:space="preserve">G4-079</t>
  </si>
  <si>
    <t xml:space="preserve">(i) Important research projects; (ii) Challenging; (iii) Future trends</t>
  </si>
  <si>
    <t xml:space="preserve">Individual: Potential to improve quality of life, Potential to help the largest number of people, Personal relevance to me, Potential to prevent disease, Potential to reduce healthcare inequality, Scientific/technological potential; Society: Potential to improve quality of life, Potential to help the largest number of people, Personal relevance to me, Potential to prevent disease, Potential to reduce healthcare inequality, Scientific/technological potential</t>
  </si>
  <si>
    <t xml:space="preserve">G4-080</t>
  </si>
  <si>
    <t xml:space="preserve">(i) The topic seems useful but don’t know the prospect; (ii) More reasonable to me; (iii) More like the trend of this generation</t>
  </si>
  <si>
    <t xml:space="preserve">G4-081</t>
  </si>
  <si>
    <t xml:space="preserve">G4-082</t>
  </si>
  <si>
    <t xml:space="preserve">(i) Make people more likely to recover from some disease or hurt; (ii) Things we can do to make life longer; (iii) How machine learning and AI can help us solve some problems in health</t>
  </si>
  <si>
    <t xml:space="preserve">Individual: Potential to improve quality of life, Potential to prevent disease; Society: Potential to improve quality of life, Potential to help the largest number of people, Personal relevance to me, Potential to prevent disease</t>
  </si>
  <si>
    <t xml:space="preserve">personal rank grid answered inconsistently; only unambiguous ranks kept</t>
  </si>
  <si>
    <t xml:space="preserve">G4-083</t>
  </si>
  <si>
    <t xml:space="preserve">G4-084</t>
  </si>
  <si>
    <t xml:space="preserve">(i) improve reproductive health to gain longer healthy lifespan; (ii) Make longevity solutions affordable to most people; (iii) analyse huge amount of aging data to produce a general longevity solution (adaptable for more people but less effective</t>
  </si>
  <si>
    <t xml:space="preserve">Individual: Personal relevance to me; Society: Potential to reduce healthcare inequality</t>
  </si>
  <si>
    <t xml:space="preserve">G4-085</t>
  </si>
  <si>
    <t xml:space="preserve">(i) Reproductivity in aging problem; (ii) Accessibility in aging problem; (iii) How to incorporate AI into aging problem</t>
  </si>
  <si>
    <t xml:space="preserve">Individual: Personal relevance to me; Society: Potential to improve quality of life, Potential to help the largest number of people</t>
  </si>
  <si>
    <t xml:space="preserve">G4-086</t>
  </si>
  <si>
    <t xml:space="preserve">(i) improve health to live longer.; (ii) Some reasonable methods to live longer.; (iii) Use AI to solve aging related problems.</t>
  </si>
  <si>
    <t xml:space="preserve">G4-087</t>
  </si>
  <si>
    <t xml:space="preserve">Mental/cognitive health, Independence, Mobility, Relationships/social life</t>
  </si>
  <si>
    <t xml:space="preserve">(i) 1; (ii) 1; (iii) 1</t>
  </si>
  <si>
    <t xml:space="preserve">Individual: Potential to improve quality of life; Society: Scientific/technological potential,</t>
  </si>
  <si>
    <t xml:space="preserve">G4-088</t>
  </si>
  <si>
    <t xml:space="preserve">(i) Increase reproduction; (ii) prevent aging; (iii) finding solutions for aging with ai</t>
  </si>
  <si>
    <t xml:space="preserve">Individual: Potential to improve quality of life, Potential to help the largest number of people, Potential to reduce healthcare inequality; Society: Potential to improve quality of life, Potential to help the largest number of people, Personal relevance to me</t>
  </si>
  <si>
    <t xml:space="preserve">G4-089</t>
  </si>
  <si>
    <t xml:space="preserve">(i) Help reproductive functions last longer.; (ii) Help people live longer and healthier.; (iii) Apply AI to solve some aging problems.</t>
  </si>
  <si>
    <t xml:space="preserve">G4-090</t>
  </si>
  <si>
    <t xml:space="preserve">(i) Improving fertility, reproductive function, and healthspan as people age, including delaying age-related reproductive decline.; (ii) Making longevity technologies and treatments practical, affordable, and widely available rather than limited to a small group of people.; (iii) Using AI and machine learning to analyze aging-related data, predict health risks, personalize interventions, and support the development of new longevity solutions.</t>
  </si>
  <si>
    <t xml:space="preserve">Individual: Potential to improve quality of life, Personal relevance to me; Society: Potential to improve quality of life, Potential to help the largest number of people</t>
  </si>
  <si>
    <t xml:space="preserve">G4-091</t>
  </si>
  <si>
    <t xml:space="preserve">Physical health, Relationships/social life, Appearance</t>
  </si>
  <si>
    <t xml:space="preserve">(i) Probably exercise more frequently to improve reproductive health and lifespan; (ii) Approachable ways for long-living; (iii) Use technologies to find solutions of health problems</t>
  </si>
  <si>
    <t xml:space="preserve">Individual: Potential to improve quality of life, Personal relevance to me; Society: Potential to help the largest number of people, Potential to reduce healthcare inequality, Scientific/technological potential</t>
  </si>
  <si>
    <t xml:space="preserve">G4-092</t>
  </si>
  <si>
    <t xml:space="preserve">(i) na; (ii) na; (iii) na</t>
  </si>
  <si>
    <t xml:space="preserve">Individual: Potential to improve quality of life; Society: Potential to help the largest number of people, Scientific/technological potential</t>
  </si>
  <si>
    <t xml:space="preserve">G4-093</t>
  </si>
  <si>
    <t xml:space="preserve">Mobility, Relationships/social life, Financial security</t>
  </si>
  <si>
    <t xml:space="preserve">Individual: Potential to help the largest number of people; Society: Potential to prevent disease</t>
  </si>
  <si>
    <t xml:space="preserve">G4-094</t>
  </si>
  <si>
    <t xml:space="preserve">(i) Ensure good health; (ii) Long-term medical care; (iii) More accessible solution for most people</t>
  </si>
  <si>
    <t xml:space="preserve">G4-095</t>
  </si>
  <si>
    <t xml:space="preserve">Relationships/social life, Appearance, Career or sense of purpose</t>
  </si>
  <si>
    <t xml:space="preserve">(i) Improving reproductive health and extending healthy reproductive lifespan.; (ii) Making longevity treatments affordable and accessible to everyone.; (iii) Using AI and machine learning to improve aging research and healthcare.</t>
  </si>
  <si>
    <t xml:space="preserve">Individual: Potential to improve quality of life, Potential to help the largest number of people; Society: Potential to prevent disease</t>
  </si>
  <si>
    <t xml:space="preserve">G4-096</t>
  </si>
  <si>
    <t xml:space="preserve">(i) New technology to support longevity; (ii) Affordable and feasible solution; (iii) Leverage AI to find new solution</t>
  </si>
  <si>
    <t xml:space="preserve">Individual: Potential to improve quality of life, Potential to prevent disease, Scientific/technological potential; Society: Potential to improve quality of life, Potential to help the largest number of people, Potential to prevent disease, Potential to reduce healthcare inequality</t>
  </si>
  <si>
    <t xml:space="preserve">G4-097</t>
  </si>
  <si>
    <t xml:space="preserve">Individual: Potential to improve quality of life, Potential to help the largest number of people, Potential to reduce healthcare inequality; Society: Potential to help the largest number of people, Scientific/technological potential</t>
  </si>
  <si>
    <t xml:space="preserve">G4-098</t>
  </si>
  <si>
    <t xml:space="preserve">Scotland</t>
  </si>
  <si>
    <t xml:space="preserve">Scotland, United Kingdom</t>
  </si>
  <si>
    <t xml:space="preserve">(i) i don’t quite understand; (ii) solutions that help all people to maintain health conditions like young people; (iii) using modern tech to stop aging related symptoms</t>
  </si>
  <si>
    <t xml:space="preserve">Individual: Potential to reduce healthcare inequality; Society: Potential to reduce healthcare inequality</t>
  </si>
  <si>
    <t xml:space="preserve">G4-099</t>
  </si>
  <si>
    <t xml:space="preserve">(i) Increasing the function of reproductive health and reduce the decline of organ function due to aging; (ii) Make longevity solutions affordable and reachable to wider audiences; (iii) Using computer based programming and prediction to find solutions addressing aging</t>
  </si>
  <si>
    <t xml:space="preserve">Individual: Potential to improve quality of life, Potential to help the largest number of people; Society: Potential to help the largest number of people, Scientific/technological potential</t>
  </si>
  <si>
    <t xml:space="preserve">G4-100</t>
  </si>
  <si>
    <t xml:space="preserve">Individual: Personal relevance to me, Potential to prevent disease; Society: Potential to improve quality of life</t>
  </si>
  <si>
    <t xml:space="preserve">G4-101</t>
  </si>
  <si>
    <t xml:space="preserve">Individual: Potential to improve quality of life, Potential to help the largest number of people; Society: Potential to prevent disease, Potential to reduce healthcare inequality</t>
  </si>
  <si>
    <t xml:space="preserve">G4-102</t>
  </si>
  <si>
    <t xml:space="preserve">(i) keep physical training; (ii) maintain active social life; (iii) keep interest in new things</t>
  </si>
  <si>
    <t xml:space="preserve">G4-103</t>
  </si>
  <si>
    <t xml:space="preserve">(i) Being more able to have children and live longer; (ii) Able to access care when getting older; (iii) Using AI to help solve aging problems</t>
  </si>
  <si>
    <t xml:space="preserve">Individual: Potential to improve quality of life, Potential to help the largest number of people, Potential to reduce healthcare inequality, Scientific/technological potential; Society: Potential to help the largest number of people, Potential to reduce healthcare inequality, Scientific/technological potential</t>
  </si>
  <si>
    <t xml:space="preserve">G4-104</t>
  </si>
  <si>
    <t xml:space="preserve">G4-105</t>
  </si>
  <si>
    <t xml:space="preserve">(i) Supporting reproductive health and a longer, healthier life.; (ii) Making healthy aging solutions affordable and accessible to everyone.; (iii) Using AI to improve aging research and healthcare.</t>
  </si>
  <si>
    <t xml:space="preserve">Individual: Potential to improve quality of life, Scientific/technological potential; Society: Potential to help the largest number of people, Potential to reduce healthcare inequality</t>
  </si>
  <si>
    <t xml:space="preserve">G4-106</t>
  </si>
  <si>
    <t xml:space="preserve">(i) Improving reproductive health and extending healthy lifespan.; (ii) Making healthy-aging technologies affordable and available to more people.; (iii) Using AI and machine learning to improve aging research, health monitoring, and personalized care.</t>
  </si>
  <si>
    <t xml:space="preserve">G5-001</t>
  </si>
  <si>
    <t xml:space="preserve">Loss of homeostasis</t>
  </si>
  <si>
    <t xml:space="preserve">Medicine is more for management instead of solution</t>
  </si>
  <si>
    <t xml:space="preserve">Loss of independence, sensuous stuck in nursing homes decline in mental health</t>
  </si>
  <si>
    <t xml:space="preserve">Mobility, awareness, health</t>
  </si>
  <si>
    <t xml:space="preserve">Eating clean</t>
  </si>
  <si>
    <t xml:space="preserve">Methods to elongate life</t>
  </si>
  <si>
    <t xml:space="preserve">Capitalism</t>
  </si>
  <si>
    <t xml:space="preserve">Increasing quality of health and life</t>
  </si>
  <si>
    <t xml:space="preserve">Who gets access to it</t>
  </si>
  <si>
    <t xml:space="preserve">G5-002</t>
  </si>
  <si>
    <t xml:space="preserve">A gradual process of having more challenges with one’s physical and mental capabilities.</t>
  </si>
  <si>
    <t xml:space="preserve">Lack of community support.</t>
  </si>
  <si>
    <t xml:space="preserve">We should work to improve access to health care and support services for those who need it. The elderly have very little leeway when it comes to recovering from illnesses or dealing with financial setbacks.</t>
  </si>
  <si>
    <t xml:space="preserve">Very little. The medical system in particular seems to always be reducing the time being devoted to patients’ care.</t>
  </si>
  <si>
    <t xml:space="preserve">Mental abilities, mobility, and social interactions</t>
  </si>
  <si>
    <t xml:space="preserve">Staying physically active, maintaining networks of friends, being more careful and less hurried when performing physical tasks.</t>
  </si>
  <si>
    <t xml:space="preserve">Make aging have fewer negative consequences.</t>
  </si>
  <si>
    <t xml:space="preserve">treating people better is more important than betting on some untested quick fix</t>
  </si>
  <si>
    <t xml:space="preserve">Ideas for boosting health have gradually led to more effective treatments and prevention of disease</t>
  </si>
  <si>
    <t xml:space="preserve">It is hard to use these ideas to improve health and longevity when even basics like food and water are tainted and unreliable.</t>
  </si>
  <si>
    <t xml:space="preserve">As long as people are clearly informed about research trials and other available options, it should be ethical to do a research trial.</t>
  </si>
  <si>
    <t xml:space="preserve">Hoping for good innovations, but there is a lot out there that is just market-driven instead of outcome-driven.</t>
  </si>
  <si>
    <t xml:space="preserve">G5-003</t>
  </si>
  <si>
    <t xml:space="preserve">The amount of years you are on this earth, the more years the older you are</t>
  </si>
  <si>
    <t xml:space="preserve">The government taking away things like social security and retirement funds etc</t>
  </si>
  <si>
    <t xml:space="preserve">Retirement funds since that allows our older pop to live</t>
  </si>
  <si>
    <t xml:space="preserve">A new gov</t>
  </si>
  <si>
    <t xml:space="preserve">My sense of joy, my health, and my wealth</t>
  </si>
  <si>
    <t xml:space="preserve">Just continue to be me and invest responsibly, and be cognizant of my health</t>
  </si>
  <si>
    <t xml:space="preserve">These topics are all about improving health</t>
  </si>
  <si>
    <t xml:space="preserve">I believe society is more focused on improving tech and Ai rather than making things affordable</t>
  </si>
  <si>
    <t xml:space="preserve">I like making things affordable</t>
  </si>
  <si>
    <t xml:space="preserve">I think ai can cause our world to end so the ai option concerns me</t>
  </si>
  <si>
    <t xml:space="preserve">Yeah making the ai one not destroy the world</t>
  </si>
  <si>
    <t xml:space="preserve">Yeah since we’re always focused on helping people have longer healthier lives</t>
  </si>
  <si>
    <t xml:space="preserve">100% since they can find cures and stuff to things</t>
  </si>
  <si>
    <t xml:space="preserve">G5-004</t>
  </si>
  <si>
    <t xml:space="preserve">Getting old and starting to feel pain everywhere.</t>
  </si>
  <si>
    <t xml:space="preserve">Not having a support system and being financially unstable to access the medical system.</t>
  </si>
  <si>
    <t xml:space="preserve">Resources include seeing a doctor when needed. Prevention health care</t>
  </si>
  <si>
    <t xml:space="preserve">Health insurance for low-income families but still not accessible to all who needs it</t>
  </si>
  <si>
    <t xml:space="preserve">Health, ability to sustain myself financially, and my freedom to choose</t>
  </si>
  <si>
    <t xml:space="preserve">Obtaining a job that provides health insurance but as I get older, it's harder to maintain since some systems don't support aging in the workforce.</t>
  </si>
  <si>
    <t xml:space="preserve">Preventing measures to take into account as I get older</t>
  </si>
  <si>
    <t xml:space="preserve">I use my life experiences to calibrate</t>
  </si>
  <si>
    <t xml:space="preserve">2. Accessible and affordable to all.</t>
  </si>
  <si>
    <t xml:space="preserve">The work generalization in the statement.</t>
  </si>
  <si>
    <t xml:space="preserve">Yes. To consider the power of money needs to factor it into solution</t>
  </si>
  <si>
    <t xml:space="preserve">That there is one.</t>
  </si>
  <si>
    <t xml:space="preserve">Of course. We live in a technology era and we need to embrace what we know about our humanity and combine it with innovation in the engineering field</t>
  </si>
  <si>
    <t xml:space="preserve">G5-005</t>
  </si>
  <si>
    <t xml:space="preserve">El Salvador</t>
  </si>
  <si>
    <t xml:space="preserve">Growing old</t>
  </si>
  <si>
    <t xml:space="preserve">Mobility</t>
  </si>
  <si>
    <t xml:space="preserve">There shoud be a way older people exercise at home</t>
  </si>
  <si>
    <t xml:space="preserve">Continue a busy life and exercising</t>
  </si>
  <si>
    <t xml:space="preserve">A person is able to conceive a child in an older age</t>
  </si>
  <si>
    <t xml:space="preserve">I think everyone should get the same health support and treatment</t>
  </si>
  <si>
    <t xml:space="preserve">It is great to know that there are studies to improve a person’s life in the older years since mobility is one of the major problems which causes decline on the persons health and loneliness</t>
  </si>
  <si>
    <t xml:space="preserve">Topic one can contribute to over population</t>
  </si>
  <si>
    <t xml:space="preserve">Yes, we want to consider that everyone should get the same treatment and that the treatment doesn’t become a dependent factor for the person</t>
  </si>
  <si>
    <t xml:space="preserve">Yes, l am excited about solutions in the older population which can cause health and mental declines</t>
  </si>
  <si>
    <t xml:space="preserve">Yes, bio engineers can provide the equipment needed for a person who is aging to continue to be safe, healthy, and emotionally strong</t>
  </si>
  <si>
    <t xml:space="preserve">personal rank answer not interpretable: "Everyone gets the same health support"</t>
  </si>
  <si>
    <t xml:space="preserve">G5-006</t>
  </si>
  <si>
    <t xml:space="preserve">It's the process of growing older, gaining more experience, and becoming wiser.</t>
  </si>
  <si>
    <t xml:space="preserve">Loneliness and understanding the changing technological landscape.</t>
  </si>
  <si>
    <t xml:space="preserve">Loneliness should be prioritized because by teaching how to use technology and creating more opportunities for the aging population to be out and about we can help lower depression and other health issues and help them feel supported.</t>
  </si>
  <si>
    <t xml:space="preserve">Some libraries offer technology help</t>
  </si>
  <si>
    <t xml:space="preserve">Friendships/family bonds, my values, my health</t>
  </si>
  <si>
    <t xml:space="preserve">Staying in touch, reading a lot and keeping up to date on the news, exercising regularly</t>
  </si>
  <si>
    <t xml:space="preserve">Making healthcare more accessible to all and finding new solutions through AI</t>
  </si>
  <si>
    <t xml:space="preserve">I think equality and accessibility is the most important and hopefully AI can be used to find solutions both for aging and for reproductive health meaning it also covers (i)</t>
  </si>
  <si>
    <t xml:space="preserve">Having more breakthroughs in medicine that can help everyone be healthier while also hopefully bringing down costs.</t>
  </si>
  <si>
    <t xml:space="preserve">AI and other tools furthering the gap between those who can afford good healthcare and those who can't.</t>
  </si>
  <si>
    <t xml:space="preserve">Yes there are privacy and ethical concerns with AI</t>
  </si>
  <si>
    <t xml:space="preserve">Yes I think we have made great strides already</t>
  </si>
  <si>
    <t xml:space="preserve">G5-007</t>
  </si>
  <si>
    <t xml:space="preserve">Peru</t>
  </si>
  <si>
    <t xml:space="preserve">Is the process of getting older physically and mentally</t>
  </si>
  <si>
    <t xml:space="preserve">Health issues and economic instability</t>
  </si>
  <si>
    <t xml:space="preserve">Housing and health support</t>
  </si>
  <si>
    <t xml:space="preserve">good health, economic stability, family connection</t>
  </si>
  <si>
    <t xml:space="preserve">taking care of my health and making sure I save money for the future</t>
  </si>
  <si>
    <t xml:space="preserve">They are topics to help the elder community to expand their lifespan.</t>
  </si>
  <si>
    <t xml:space="preserve">Unfortunately, the care for elderly are only for the male wealthy people so option 1 and 2 are not of importance to society.</t>
  </si>
  <si>
    <t xml:space="preserve">The fact that their is being more research towards our elder communities than few years ago.</t>
  </si>
  <si>
    <t xml:space="preserve">That no action will be taken and that our elder community will continue with no proper care.</t>
  </si>
  <si>
    <t xml:space="preserve">Keeping the elder autonomy and identity.</t>
  </si>
  <si>
    <t xml:space="preserve">Yes. It will benefit all of us at the end.</t>
  </si>
  <si>
    <t xml:space="preserve">Yes. They are the key for directing the different research in aging and longevity.</t>
  </si>
  <si>
    <t xml:space="preserve">G5-008</t>
  </si>
  <si>
    <t xml:space="preserve">The slight decay in old mobility and cognitive function.</t>
  </si>
  <si>
    <t xml:space="preserve">Little ease of life access and loneliness</t>
  </si>
  <si>
    <t xml:space="preserve">Better access to healthcare along with easier methods as it can be both challenging and overwhelming to the aging population having to keep up with the newer generation and technology.</t>
  </si>
  <si>
    <t xml:space="preserve">access to older ways of accessing healthcare and having health care providers that provide and explain the medications to the recipient.</t>
  </si>
  <si>
    <t xml:space="preserve">community both familial and with friends, health, and pets</t>
  </si>
  <si>
    <t xml:space="preserve">being supportive and present for your family and focusing on maintaining your health by being safe and educated.</t>
  </si>
  <si>
    <t xml:space="preserve">maintaining reproductive health, making healthcare affordable and accessible to all, applying machine learning and AI to produce solutions for aging and health.</t>
  </si>
  <si>
    <t xml:space="preserve">ii first because healthcare should be more affordable to the general public and more accessible to people of all socioeconomic statuses. iii second because it can help solve and innovate new solutions to health problems. i because it is not a prevalent issue so i ranked it last.</t>
  </si>
  <si>
    <t xml:space="preserve">new innovative solutions to health problems in society</t>
  </si>
  <si>
    <t xml:space="preserve">Corporate greed and unaffordable healthcare for people of lower socioeconomic status</t>
  </si>
  <si>
    <t xml:space="preserve">not disallowing equal healthcare to all and disclosing private patient information</t>
  </si>
  <si>
    <t xml:space="preserve">G5-009</t>
  </si>
  <si>
    <t xml:space="preserve">Healthy</t>
  </si>
  <si>
    <t xml:space="preserve">Being active</t>
  </si>
  <si>
    <t xml:space="preserve">Increase of falling because of mobility, strength, home modification and lighting.</t>
  </si>
  <si>
    <t xml:space="preserve">ergonomic support, safer homes, smart technology</t>
  </si>
  <si>
    <t xml:space="preserve">Safer home and technology</t>
  </si>
  <si>
    <t xml:space="preserve">Help from government</t>
  </si>
  <si>
    <t xml:space="preserve">To be active, quality of life and independence</t>
  </si>
  <si>
    <t xml:space="preserve">For my own benefit</t>
  </si>
  <si>
    <t xml:space="preserve">To keep me active</t>
  </si>
  <si>
    <t xml:space="preserve">Not enough information on how to keep you active</t>
  </si>
  <si>
    <t xml:space="preserve">Fair, safety and respectful</t>
  </si>
  <si>
    <t xml:space="preserve">G5-010</t>
  </si>
  <si>
    <t xml:space="preserve">Social security money, retirement, Ai</t>
  </si>
  <si>
    <t xml:space="preserve">It’ should be affordable</t>
  </si>
  <si>
    <t xml:space="preserve">My beauty, my health and my memories</t>
  </si>
  <si>
    <t xml:space="preserve">I’m not sure</t>
  </si>
  <si>
    <t xml:space="preserve">How is science helping health and longevity using Ai?</t>
  </si>
  <si>
    <t xml:space="preserve">Because society at the moment is running this wave of AI and prioritizing that at the moment</t>
  </si>
  <si>
    <t xml:space="preserve">Don’t test on animals, also take a better look into women’s health, advancing AI on this sector</t>
  </si>
  <si>
    <t xml:space="preserve">I don’t know enough for this</t>
  </si>
  <si>
    <t xml:space="preserve">G5-011</t>
  </si>
  <si>
    <t xml:space="preserve">Wrinkles, gray hair, and mental decline</t>
  </si>
  <si>
    <t xml:space="preserve">Mental decline and physical issues as well as money</t>
  </si>
  <si>
    <t xml:space="preserve">Money for old people and help with mobility</t>
  </si>
  <si>
    <t xml:space="preserve">More help for the elderly</t>
  </si>
  <si>
    <t xml:space="preserve">My looks, my agility, and my mental health</t>
  </si>
  <si>
    <t xml:space="preserve">Exercise, not relying on AI to do basic tasks and micro needling</t>
  </si>
  <si>
    <t xml:space="preserve">Using AI to find scientifically proven solutions to help with aging, reproduction, and accessibility for the older generation.</t>
  </si>
  <si>
    <t xml:space="preserve">I rank them like this because AI is ruling the world and people care about old people having a good comfortable life but not many care about having children in today’s day and age</t>
  </si>
  <si>
    <t xml:space="preserve">How AI makes our brains slower instead of benefits them but also how it can be used to make them better</t>
  </si>
  <si>
    <t xml:space="preserve">Concent from participants</t>
  </si>
  <si>
    <t xml:space="preserve">G5-012</t>
  </si>
  <si>
    <t xml:space="preserve">Slowly dying</t>
  </si>
  <si>
    <t xml:space="preserve">Social Security</t>
  </si>
  <si>
    <t xml:space="preserve">Free healthcare for all</t>
  </si>
  <si>
    <t xml:space="preserve">Not with our current political and economic structure.</t>
  </si>
  <si>
    <t xml:space="preserve">My mobility, my mind, my sense of humor</t>
  </si>
  <si>
    <t xml:space="preserve">Live a healthy and active life.</t>
  </si>
  <si>
    <t xml:space="preserve">Access is important. Identifying issues is important. Reproduction is somewhat important, and our world is overpopulated.</t>
  </si>
  <si>
    <t xml:space="preserve">Terminator. AI errors</t>
  </si>
  <si>
    <t xml:space="preserve">G5-013</t>
  </si>
  <si>
    <t xml:space="preserve">Venezuela</t>
  </si>
  <si>
    <t xml:space="preserve">The process of your body and mind deteriorating</t>
  </si>
  <si>
    <t xml:space="preserve">The economy, cost of living, access to healthcare</t>
  </si>
  <si>
    <t xml:space="preserve">Cost of living because that affects everything</t>
  </si>
  <si>
    <t xml:space="preserve">None whatsoever</t>
  </si>
  <si>
    <t xml:space="preserve">Values, moral and quality of life</t>
  </si>
  <si>
    <t xml:space="preserve">Work hard and save for retirement</t>
  </si>
  <si>
    <t xml:space="preserve">The formula to a long high quality life</t>
  </si>
  <si>
    <t xml:space="preserve">I think society is hyper focused on Ai right now…</t>
  </si>
  <si>
    <t xml:space="preserve">Health care must be affordable and accessible first before we can focus on anything else. It would assure a great quality of life for our older generations</t>
  </si>
  <si>
    <t xml:space="preserve">The Ai one removes the human aspect and considerations, being at the mercy of a machine.</t>
  </si>
  <si>
    <t xml:space="preserve">G5-014</t>
  </si>
  <si>
    <t xml:space="preserve">I would define aging as the process of physically getting older, meaning that my body has been around longer and has experienced some natural wear and tear over time. At the same time, I believe my mind has improved because of the knowledge, experiences, and wisdom I have gained throughout my life.</t>
  </si>
  <si>
    <t xml:space="preserve">Financial stability.</t>
  </si>
  <si>
    <t xml:space="preserve">I think all elderly people should have access to the same medical support.</t>
  </si>
  <si>
    <t xml:space="preserve">From my perspective, it would be to allocate more tax dollars to the elderly population as well as to the veterans.</t>
  </si>
  <si>
    <t xml:space="preserve">A good relationship with my family.</t>
  </si>
  <si>
    <t xml:space="preserve">Continue establishing a relationship with those who are close to me.</t>
  </si>
  <si>
    <t xml:space="preserve">I would say that these are potential solutions or suggestions that could help support the aging population.</t>
  </si>
  <si>
    <t xml:space="preserve">I would rank them in this order because I believe democratizing longevity and advances in science could provide potential solutions for supporting the aging population. Science can help develop evidence-based treatments and interventions that improve the health and quality of life of older adults. In addition, I believe AI can help support the creativity and innovation behind these solutions by assisting researchers with their work and allowing them to spend more time focusing on important areas of research.</t>
  </si>
  <si>
    <t xml:space="preserve">Not sure If I would say this is an exciting topic ring some one who is aging.</t>
  </si>
  <si>
    <t xml:space="preserve">The lack of support I know the aging populations get within our society.</t>
  </si>
  <si>
    <t xml:space="preserve">Yes, they should always be regulation.</t>
  </si>
  <si>
    <t xml:space="preserve">I’m not sure.</t>
  </si>
  <si>
    <t xml:space="preserve">G5-015</t>
  </si>
  <si>
    <t xml:space="preserve">The decrease in physical activity</t>
  </si>
  <si>
    <t xml:space="preserve">Lack of physical fitness</t>
  </si>
  <si>
    <t xml:space="preserve">Strength, mental function and energy</t>
  </si>
  <si>
    <t xml:space="preserve">I stay active and workout</t>
  </si>
  <si>
    <t xml:space="preserve">Trying to increase quality of life</t>
  </si>
  <si>
    <t xml:space="preserve">That is how I would rank them</t>
  </si>
  <si>
    <t xml:space="preserve">Trying to come up with a solution</t>
  </si>
  <si>
    <t xml:space="preserve">Mental state</t>
  </si>
  <si>
    <t xml:space="preserve">On some level</t>
  </si>
  <si>
    <t xml:space="preserve">It definitely can</t>
  </si>
  <si>
    <t xml:space="preserve">G5-016</t>
  </si>
  <si>
    <t xml:space="preserve">Human Aging is a Biological process whereby a human’s physical and mental being undergoes irreversible environmental and time related effects resulting in decay and ultimate demise of overall constitution of the human</t>
  </si>
  <si>
    <t xml:space="preserve">Body weight effect upon aging process specifically heart disease</t>
  </si>
  <si>
    <t xml:space="preserve">Body weight since it directly greatly accelerates both physical and mental aging</t>
  </si>
  <si>
    <t xml:space="preserve">Yes : exercise and diet to reduce body weight.</t>
  </si>
  <si>
    <t xml:space="preserve">1) Physical, 2) mental and 3) spiritual wellbeing</t>
  </si>
  <si>
    <t xml:space="preserve">Yes : plenty of things can be done 
Make good choices in diet and maintain them
Add an exercise program to your life and maintain it
Add emotional and spiritual wellbeing maintenance to your life</t>
  </si>
  <si>
    <t xml:space="preserve">I believe as far as the primary processes of aging are concerned that all (i-iii) have little consequence in aging of humans as it stands today and I would not consider of them to be greatly assisting what we know to be the main problem of human aging</t>
  </si>
  <si>
    <t xml:space="preserve">First, Aging has moderate to little to do with reproductive health. Next, since aging is based primarily on a person’s body weight (in USA) making universally available health care improving efforts is an indirect method about something that is exercise and diet improved as these are individual choices. 
AI could provide emotional and mental stimulation to make life decisions to change physical, mental and emotional wellbeing if it were practicable (like Noom as example)</t>
  </si>
  <si>
    <t xml:space="preserve">AI perhaps has most potential since we already know computer programs are already part of human life and if they could be integrated better into human existence then this could be a good advantage in making individuals make positive life changes</t>
  </si>
  <si>
    <t xml:space="preserve">For computer programs to be integrated into lives tightly enough to allow them to accept them as positive life influencers these programs must be engineered so people want the potential help</t>
  </si>
  <si>
    <t xml:space="preserve">Plenty. One such example would be if government mandated these good choices indirectly or directly, say, by making health care costs related to one’s health (body weight based) then this would both force and favor those who made the influenced choice to do so. Though fraught with ethical pitfalls, this approach does have potentially good possibilities.</t>
  </si>
  <si>
    <t xml:space="preserve">I think it has progressed well but never seems to go fast enough to give us enough information. Seems like we always want everything and everything now.</t>
  </si>
  <si>
    <t xml:space="preserve">They already do to an ever increasing extent. For example, bioengineering is already responsible at least indirectly to many of the new drug treatments we have now that increase longevity directly</t>
  </si>
  <si>
    <t xml:space="preserve">societal rank answered "same as personal"</t>
  </si>
  <si>
    <t xml:space="preserve">G5-017</t>
  </si>
  <si>
    <t xml:space="preserve">A period in your life when physical and mental changes become noticeable.</t>
  </si>
  <si>
    <t xml:space="preserve">Keeping them socially and physically active and finding proper care for them can become more challenging as they age.</t>
  </si>
  <si>
    <t xml:space="preserve">Health care, and affordability.</t>
  </si>
  <si>
    <t xml:space="preserve">Not at this time.</t>
  </si>
  <si>
    <t xml:space="preserve">Mental clarity and physical capabilities.</t>
  </si>
  <si>
    <t xml:space="preserve">Be as physically and mentally active as you can. Health and Socials Clubs.</t>
  </si>
  <si>
    <t xml:space="preserve">The use of medical research and modern technology to increase human life span.</t>
  </si>
  <si>
    <t xml:space="preserve">Because it is the most realistic and attainable solution that the government can effectively control.</t>
  </si>
  <si>
    <t xml:space="preserve">I believe safety, privacy, and the respect of choices.</t>
  </si>
  <si>
    <t xml:space="preserve">Yes, because it could help people live longer and healthier lives.</t>
  </si>
  <si>
    <t xml:space="preserve">Yes, bio-engineers can help develop new technologies and treatments that improve health and quality of life as people age.</t>
  </si>
  <si>
    <t xml:space="preserve">G5-018</t>
  </si>
  <si>
    <t xml:space="preserve">North Dakota</t>
  </si>
  <si>
    <t xml:space="preserve">North Dakota, United States</t>
  </si>
  <si>
    <t xml:space="preserve">It’s a physical cognitive and emotional process. Some are impacted more than others. 15%</t>
  </si>
  <si>
    <t xml:space="preserve">Access to healthcare, declining socialization and lack of support.</t>
  </si>
  <si>
    <t xml:space="preserve">Loss of the social safety net. Maintain social security and Medicare. Advance community based programs that support socialization.</t>
  </si>
  <si>
    <t xml:space="preserve">It varies but yes</t>
  </si>
  <si>
    <t xml:space="preserve">Health, wellbeing of family, financial stability</t>
  </si>
  <si>
    <t xml:space="preserve">Yes I make efforts every day</t>
  </si>
  <si>
    <t xml:space="preserve">Next generation efforts to support positive aging outcomes.</t>
  </si>
  <si>
    <t xml:space="preserve">Access for all and promotion of scientific advancement</t>
  </si>
  <si>
    <t xml:space="preserve">Opportunity to be healthy and engaged as one aged</t>
  </si>
  <si>
    <t xml:space="preserve">Only the well off will gain full benefit</t>
  </si>
  <si>
    <t xml:space="preserve">Everyone should have access</t>
  </si>
  <si>
    <t xml:space="preserve">I suppose although it’s impact to me may be limited</t>
  </si>
  <si>
    <t xml:space="preserve">Everyone has a role so yes</t>
  </si>
  <si>
    <t xml:space="preserve">G5-019</t>
  </si>
  <si>
    <t xml:space="preserve">Getting older and wiser on the things that matter</t>
  </si>
  <si>
    <t xml:space="preserve">People unable to make ends meet from being on a fixed income effecting housing, medical, transportation and food source.</t>
  </si>
  <si>
    <t xml:space="preserve">Their economic status to help their accessibility to Healthcare, housing, food etc.</t>
  </si>
  <si>
    <t xml:space="preserve">There is HUD programs out aging housing which usually have long waiting list.</t>
  </si>
  <si>
    <t xml:space="preserve">Independence in all things including housing, Healthcare, income.</t>
  </si>
  <si>
    <t xml:space="preserve">Plan ahead</t>
  </si>
  <si>
    <t xml:space="preserve">Making healthcare fair and utilizing AI for everyone.</t>
  </si>
  <si>
    <t xml:space="preserve">Human biology is more important then technology.</t>
  </si>
  <si>
    <t xml:space="preserve">(ii) Democratizing longevity science/solutions (having longevity and health solutions that are accessible, affordable, and generalizable) because it serves the most people.</t>
  </si>
  <si>
    <t xml:space="preserve">That discoveries come with a high price and will essentially be unattainable.</t>
  </si>
  <si>
    <t xml:space="preserve">Yes of course ethical considerations are a must and serve as guardrails to prevent division and protect rights and medical privacy.</t>
  </si>
  <si>
    <t xml:space="preserve">Yes of course</t>
  </si>
  <si>
    <t xml:space="preserve">G5-020</t>
  </si>
  <si>
    <t xml:space="preserve">The cycle of life with changes to mind &amp; body</t>
  </si>
  <si>
    <t xml:space="preserve">Management of health and finances</t>
  </si>
  <si>
    <t xml:space="preserve">Addressing food and housing shortfalls so the elderly can live comfortably</t>
  </si>
  <si>
    <t xml:space="preserve">Yes, there are some programs that assist with housing and food supplementals as well as senior discounts</t>
  </si>
  <si>
    <t xml:space="preserve">Good Health, financial stability and strong family bonds</t>
  </si>
  <si>
    <t xml:space="preserve">Take care of your physical and mental health, plan for the future by saving money and maintaining relationships with your family</t>
  </si>
  <si>
    <t xml:space="preserve">Applying scientific technology to the general public to assist with a longer healthier life</t>
  </si>
  <si>
    <t xml:space="preserve">At age 67 I am most interested in health solutions now, as it is too late for disease predictions &amp; longevity. I think it's already determined at this age.</t>
  </si>
  <si>
    <t xml:space="preserve">I think the most exciting thing is using AI to predict disease risk so adjustments can be made at an early age</t>
  </si>
  <si>
    <t xml:space="preserve">Predicting disease risk can also be a burden with knowing that you are predisposed to something life threatening</t>
  </si>
  <si>
    <t xml:space="preserve">Yes, especially when it comes to AI knowledge &amp; who should have this information about future predictions</t>
  </si>
  <si>
    <t xml:space="preserve">Yes, I have seen so many advancements in health care treatments &amp; prevention, it is exciting to see more achievements.</t>
  </si>
  <si>
    <t xml:space="preserve">Absolutely, they are the driving force behind new technology and treatments for diseases</t>
  </si>
  <si>
    <t xml:space="preserve">G5-021</t>
  </si>
  <si>
    <t xml:space="preserve">The deterioration of bodily functions as time passes.</t>
  </si>
  <si>
    <t xml:space="preserve">The greatest challenge that should be solved in the short term is the exclusion of older people from the rapidly advancing technology. This should be prioritized because it further isolates them from the rest of the society.</t>
  </si>
  <si>
    <t xml:space="preserve">Yes, I see apps with accessibility options.</t>
  </si>
  <si>
    <t xml:space="preserve">Ability to take care of myself.</t>
  </si>
  <si>
    <t xml:space="preserve">Working out and eating healthy.</t>
  </si>
  <si>
    <t xml:space="preserve">1. Keep old people happy in bed. 2. Allow all people to have access to necessary longevity solutions. 3. Leverage AI to deliver better longevity solutions.</t>
  </si>
  <si>
    <t xml:space="preserve">I think keeping longevity solutions accessible is the most important to both me and the society because I believe in equality and that everyone wants to live long and healthy. I ranked topic 3 the lowest because I think it concerns the method used but not the outcome.</t>
  </si>
  <si>
    <t xml:space="preserve">Topic 2 excites me because its a potential way of building a better society and benefit all humanity.</t>
  </si>
  <si>
    <t xml:space="preserve">Topic 2: What concerns me is that it might not be easily achieved due to cost.</t>
  </si>
  <si>
    <t xml:space="preserve">Equity</t>
  </si>
  <si>
    <t xml:space="preserve">G5-022</t>
  </si>
  <si>
    <t xml:space="preserve">a process of losing ability and towards death and ending</t>
  </si>
  <si>
    <t xml:space="preserve">medical system cannot hold too many aged people</t>
  </si>
  <si>
    <t xml:space="preserve">medical care is expensive, so many aged people without money cannot have access to it</t>
  </si>
  <si>
    <t xml:space="preserve">age related disease, energy, strong muscle/bone</t>
  </si>
  <si>
    <t xml:space="preserve">doing sports, supplements, no anxiety</t>
  </si>
  <si>
    <t xml:space="preserve">studying aging to provide better life to elderly people</t>
  </si>
  <si>
    <t xml:space="preserve">as an individual, I am not afraid of aging or longevity itself, I care more about whether I could live with dignity and without pain in my last period of life; but for society, the society need more babies, more younger people, and more adults work for a longer time to keep the society running.</t>
  </si>
  <si>
    <t xml:space="preserve">1</t>
  </si>
  <si>
    <t xml:space="preserve">data privacy about the topic 3</t>
  </si>
  <si>
    <t xml:space="preserve">G5-023</t>
  </si>
  <si>
    <t xml:space="preserve">The decline of physical capacity and cognitive abilities</t>
  </si>
  <si>
    <t xml:space="preserve">Difficulties in living and diseases</t>
  </si>
  <si>
    <t xml:space="preserve">Their ability to address healthy issues quickly</t>
  </si>
  <si>
    <t xml:space="preserve">Medicare</t>
  </si>
  <si>
    <t xml:space="preserve">Health and passion</t>
  </si>
  <si>
    <t xml:space="preserve">Keep exercising</t>
  </si>
  <si>
    <t xml:space="preserve">Make people live longer; how to make people to live longer; how to use AI to make people live longer</t>
  </si>
  <si>
    <t xml:space="preserve">Because I wanna live my best life with good longevity</t>
  </si>
  <si>
    <t xml:space="preserve">Patient privacy</t>
  </si>
  <si>
    <t xml:space="preserve">G5-024</t>
  </si>
  <si>
    <t xml:space="preserve">British Columbia</t>
  </si>
  <si>
    <t xml:space="preserve">British Columbia, Canada</t>
  </si>
  <si>
    <t xml:space="preserve">body performance naturally irreversiably deteriorate comparing to previouse performance</t>
  </si>
  <si>
    <t xml:space="preserve">Us healthcare is too expensive and money grabbing. It is more economical to just die</t>
  </si>
  <si>
    <t xml:space="preserve">Ur political system which allow cooperations to bribe policy maker so that healthcare which is state controled in all other contry is sold as a commodity in ur country</t>
  </si>
  <si>
    <t xml:space="preserve">Ote Saunders</t>
  </si>
  <si>
    <t xml:space="preserve">Health body mind and habits</t>
  </si>
  <si>
    <t xml:space="preserve">Stay away from united state’s evil capitalist society</t>
  </si>
  <si>
    <t xml:space="preserve">Make more people can live longer and have sex</t>
  </si>
  <si>
    <t xml:space="preserve">I am poor, research in logevity usually does not benefit me directly unless it is aimed to be affordable</t>
  </si>
  <si>
    <t xml:space="preserve">How machine learning can end monopoly of longevity research by usa’s rulling class</t>
  </si>
  <si>
    <t xml:space="preserve">U might accidentally create an cast of immortal rich ruling class</t>
  </si>
  <si>
    <t xml:space="preserve">Yeah dont make any rich person imortal</t>
  </si>
  <si>
    <t xml:space="preserve">Hell no, it will probably creat societal disaster</t>
  </si>
  <si>
    <t xml:space="preserve">Yeah who else will do it, just plz dont do evil</t>
  </si>
  <si>
    <t xml:space="preserve">G5-025</t>
  </si>
  <si>
    <t xml:space="preserve">An irreversible process in which the organism gradually loses the ability—through the mechanisms by which it acquires energy from the external environment—to counteract the increase of system entropy.</t>
  </si>
  <si>
    <t xml:space="preserve">Mental Health</t>
  </si>
  <si>
    <t xml:space="preserve">There should be more entertainment options available for the elderly. Since most physical ailments cannot be resolved in the short term, the focus should be on helping them live happier lives.</t>
  </si>
  <si>
    <t xml:space="preserve">As far as I know, there isn't; most entertainment is still geared towards young people.</t>
  </si>
  <si>
    <t xml:space="preserve">Reading(if If my eyesight remains decent as I age)
Exploring interests 
Doing research/teaching next generation</t>
  </si>
  <si>
    <t xml:space="preserve">My passion and interests</t>
  </si>
  <si>
    <t xml:space="preserve">Using AI to formulate precise, inclusive, and affordable strategies for addressing aging.</t>
  </si>
  <si>
    <t xml:space="preserve">I am not only knowledgeable about AI but also a biomedical researcher, so I can fully leverage advanced solutions; however, for most people, affordable and practical AI solutions may be more important.</t>
  </si>
  <si>
    <t xml:space="preserve">Topic3</t>
  </si>
  <si>
    <t xml:space="preserve">Topic1</t>
  </si>
  <si>
    <t xml:space="preserve">Sure, privacy security of the topic3</t>
  </si>
  <si>
    <t xml:space="preserve">I do consider aging research important, interesting, and exciting, but I also believe there won't be any breakthrough progress in the near future.</t>
  </si>
  <si>
    <t xml:space="preserve">G5-026</t>
  </si>
  <si>
    <t xml:space="preserve">An accumulation of functional decline and a continuous process that associated with increased risk of mortality</t>
  </si>
  <si>
    <t xml:space="preserve">Physical health and all kinds of age related diseases.</t>
  </si>
  <si>
    <t xml:space="preserve">Sleeping issues. Great burden on mental health</t>
  </si>
  <si>
    <t xml:space="preserve">Promoting good living habits like daily workout balance diet</t>
  </si>
  <si>
    <t xml:space="preserve">Good mental health, strong functional body, appearance healthy skin</t>
  </si>
  <si>
    <t xml:space="preserve">Work out everyday, balanced diet, build strong connections with others</t>
  </si>
  <si>
    <t xml:space="preserve">Finding solutions to improve the life quality of aging population</t>
  </si>
  <si>
    <t xml:space="preserve">I value making longevity and health solutions accessible to everyone, since scientific advances only have a meaningful impact if people can actually benefit from them. Reproductive health is also important to me, while AI feels more like a tool for achieving these goals rather than the goal itself. For society, however, I ranked AI first because of its potential to accelerate research, improve prediction and personalized care, and benefit a much larger population.</t>
  </si>
  <si>
    <t xml:space="preserve">I am most excited by the possibility of turning advances in longevity science into solutions that are affordable and accessible to a broad population, rather than being available only to a small group of people.</t>
  </si>
  <si>
    <t xml:space="preserve">My greatest concern is that AI models can be biased or inaccurate when training data</t>
  </si>
  <si>
    <t xml:space="preserve">Safety, privacy, informed consent</t>
  </si>
  <si>
    <t xml:space="preserve">G5-027</t>
  </si>
  <si>
    <t xml:space="preserve">Natural process of circle of life</t>
  </si>
  <si>
    <t xml:space="preserve">Healthcare worker compensation</t>
  </si>
  <si>
    <t xml:space="preserve">Health, happiness and knowledge</t>
  </si>
  <si>
    <t xml:space="preserve">Discipline</t>
  </si>
  <si>
    <t xml:space="preserve">It means utilizing current AI tools on reproductive health issues that could be a permanent solution.</t>
  </si>
  <si>
    <t xml:space="preserve">Longevity means more for the society than individual while personal health is important as a whole.</t>
  </si>
  <si>
    <t xml:space="preserve">Reproductive health: exposure to know health/disease related to reproduction system</t>
  </si>
  <si>
    <t xml:space="preserve">It is often seems as taboo in my culture.</t>
  </si>
  <si>
    <t xml:space="preserve">Mutual respect for both gender</t>
  </si>
  <si>
    <t xml:space="preserve">G5-028</t>
  </si>
  <si>
    <t xml:space="preserve">I would define aging as the natural process of getting older. It includes changes in our body, our mind, and our life experience. As we get older, our bodies may become weaker, but we can also become more mature and gain more experience. So, I think aging is a natural part of life.</t>
  </si>
  <si>
    <t xml:space="preserve">medical pressure</t>
  </si>
  <si>
    <t xml:space="preserve">Social isolation and loneliness among older adults is the most urgent short-term challenge. Loneliness worsens physical conditions like high blood pressure and cognitive decline, increases emergency hospital visits, and lowers quality of life. It should be prioritized because it is preventable, and early interventions can reduce heavy healthcare burdens quickly.</t>
  </si>
  <si>
    <t xml:space="preserve">Yes. Community volunteer visiting programs, regular group activities and simple digital skill training help seniors stay connected. Some local organizations also build check-in systems to regularly look after homebound elderly people.</t>
  </si>
  <si>
    <t xml:space="preserve">independent mobility, clear cognitive ability, and meaningful social connections.</t>
  </si>
  <si>
    <t xml:space="preserve">Yes. Regular physical exercise preserves mobility. Lifelong learning and reading protect cognitive function. Keeping in touch with friends and joining community activities helps sustain social bonds.</t>
  </si>
  <si>
    <t xml:space="preserve">These three topics explore improving reproductive health and lifespan, making longevity healthcare widely affordable and available to all people, and using AI and machine learning to build personalized, predictive tools for aging and disease prevention.</t>
  </si>
  <si>
    <t xml:space="preserve">AI and machine learning can create scalable, early warning tools for aging-related diseases, which eases the pressure on public healthcare systems for an aging society. Boosting reproductive health supports stable population structures. Democratized longevity solutions rank third here because they rely on technologies first being developed.</t>
  </si>
  <si>
    <t xml:space="preserve">I am most excited about Topic3: AI can predict health risks early and deliver personalized aging support, helping older adults maintain independence and quality of life.</t>
  </si>
  <si>
    <t xml:space="preserve">My biggest concern for Topic3 is data privacy. Collecting sensitive health data for AI models may lead to personal information leakage and unfair algorithm bias for marginalized groups.</t>
  </si>
  <si>
    <t xml:space="preserve">Yes. We must protect health data privacy, avoid algorithmic discrimination, ensure equal access regardless of income, and prevent overpromising anti-aging results.</t>
  </si>
  <si>
    <t xml:space="preserve">G5-029</t>
  </si>
  <si>
    <t xml:space="preserve">The experience they got</t>
  </si>
  <si>
    <t xml:space="preserve">skincare</t>
  </si>
  <si>
    <t xml:space="preserve">money</t>
  </si>
  <si>
    <t xml:space="preserve">unkonw</t>
  </si>
  <si>
    <t xml:space="preserve">important</t>
  </si>
  <si>
    <t xml:space="preserve">intuition</t>
  </si>
  <si>
    <t xml:space="preserve">Applying machine learning</t>
  </si>
  <si>
    <t xml:space="preserve">advanced tech</t>
  </si>
  <si>
    <t xml:space="preserve">AI regulation</t>
  </si>
  <si>
    <t xml:space="preserve">G5-030</t>
  </si>
  <si>
    <t xml:space="preserve">Aging is a progressive decline in the body's ability</t>
  </si>
  <si>
    <t xml:space="preserve">Delaying loss of functional independence in older adults. Because it directly affects quality of life.</t>
  </si>
  <si>
    <t xml:space="preserve">Provide more community excise/sports facilitate</t>
  </si>
  <si>
    <t xml:space="preserve">Cognitive ability, healthy body, and a good relationship.</t>
  </si>
  <si>
    <t xml:space="preserve">Yes. I can support healthy aging by staying physically active</t>
  </si>
  <si>
    <t xml:space="preserve">These topics focus on extending healthy life, and using AI to predict, personalize, and improve health across the lifespan.</t>
  </si>
  <si>
    <r>
      <rPr>
        <sz val="10"/>
        <rFont val="Arial"/>
        <family val="0"/>
        <charset val="1"/>
      </rPr>
      <t xml:space="preserve">For society, I prioritize solutions that can improve health at the population level</t>
    </r>
    <r>
      <rPr>
        <sz val="10"/>
        <rFont val="Noto Sans CJK SC"/>
        <family val="2"/>
      </rPr>
      <t xml:space="preserve">；</t>
    </r>
    <r>
      <rPr>
        <sz val="10"/>
        <rFont val="Arial"/>
        <family val="0"/>
        <charset val="1"/>
      </rPr>
      <t xml:space="preserve">For me as an individual, I prioritize personalized solutions, so AI and machine learning are most important.</t>
    </r>
  </si>
  <si>
    <t xml:space="preserve">Use AI to get better personlized medicine.</t>
  </si>
  <si>
    <t xml:space="preserve">The solution if really working.</t>
  </si>
  <si>
    <t xml:space="preserve">Be transparent about their limitations</t>
  </si>
  <si>
    <t xml:space="preserve">G5-031</t>
  </si>
  <si>
    <t xml:space="preserve">People living longer with chronic illness need more care, while families are smaller and more geographically scattered. There aren't enough paid caregivers either. In my eyes, many elderly people, whether or not they have chronic conditions, struggle to get by on their own.</t>
  </si>
  <si>
    <t xml:space="preserve">In the short term, I believe the most urgent priority is making sure older adults who live alone can get help immediately when something goes wrong. A fall, stroke, or heart attack can become fatal or cause permanent damage if no one notices for hours, and this risk exists whether or not a person has a chronic condition. Emergency alert devices, such as fall detection wearables and one-button call systems, can notify family members and emergency services right away. This should be prioritized because the technology already exists, it is relatively affordable, and its impact is immediate and measurable: every alert that leads to timely treatment can save a life. However, these devices only work if older adults are willing to wear them and if someone can respond quickly, so improving the interaction deisgn of the devices should be prioritized, and they should be connected to emergency services rather than relying on family alone. Improving daily quality of life is also important, but ensuring survival is the foundation that every other goal depends on.</t>
  </si>
  <si>
    <t xml:space="preserve">I know that some smartwatches, such as the Apple Watch, have continued to develop features to address this challenge. There are also medical devices that offer similar functions.</t>
  </si>
  <si>
    <t xml:space="preserve">The ability to function normally in daily life
The freedom to live without health restrictions
Maintaining the cognitive ability</t>
  </si>
  <si>
    <t xml:space="preserve">Visit a doctor whenever something feels off</t>
  </si>
  <si>
    <t xml:space="preserve">1. boosting reproductive health and longevity
2. Making longevity solutions affordable and accessible to everyone
3. Using AI on health data to predict disease risk and progression, and to personalize prevention and treatment for each individual</t>
  </si>
  <si>
    <t xml:space="preserve">population is aging</t>
  </si>
  <si>
    <t xml:space="preserve">For topic 3, ethical risks and concerns may be huge, since AI solutions involve a lot of unknown unknown, and the way capitalists uses it is also a known unknown
For topic 1, ethical concerns may be significant but predictable. Ethical considerations include:
Effects on future children, Embryo research limits, Safety issues during the research, Safety issues of long-term application
For topic 2, ethical considerations include:
Widening inequality, Underrepresentation in research, Who pays, Exploitation risk</t>
  </si>
  <si>
    <t xml:space="preserve">G5-032</t>
  </si>
  <si>
    <t xml:space="preserve">When people start to develop chronic health problems or have less energy than they used to.</t>
  </si>
  <si>
    <t xml:space="preserve">Financial security after retirement, including adequate pensions and affordable healthcare.</t>
  </si>
  <si>
    <t xml:space="preserve">Retirement and healthcare costs, because older people need stable financial support to maintain a good quality of life.</t>
  </si>
  <si>
    <t xml:space="preserve">Improving retirement benefits and making healthcare more affordable.</t>
  </si>
  <si>
    <t xml:space="preserve">Good health, independence, and close relationships with family and friends.</t>
  </si>
  <si>
    <t xml:space="preserve">Exercise regularly, maintain a healthy lifestyle, save for retirement, and stay connected with family and friends.</t>
  </si>
  <si>
    <t xml:space="preserve">Finding better ways to help people stay healthy and live longer, and making these solutions available to everyone.</t>
  </si>
  <si>
    <t xml:space="preserve">aging is inevitable and longevity research takes time, so I think the priority should be making current healthcare and aging solutions more accessible.</t>
  </si>
  <si>
    <t xml:space="preserve">I’m excited to see how far AI can go and what it may be able to achieve in healthcare.</t>
  </si>
  <si>
    <t xml:space="preserve">Whether the healthcare development of AI could eventually create risks or cause harm to humans.</t>
  </si>
  <si>
    <t xml:space="preserve">Yes. AI should not make important healthcare decisions without human oversight. Patient privacy and safety should be protected, and there should be clear responsibility when AI makes mistakes.</t>
  </si>
  <si>
    <t xml:space="preserve">G5-033</t>
  </si>
  <si>
    <t xml:space="preserve">A series of molecular events in cells that reduces the body's ability to function optimally.</t>
  </si>
  <si>
    <t xml:space="preserve">High incidences of chronic disease and its burden on the healthcare system and resources</t>
  </si>
  <si>
    <t xml:space="preserve">I believe it would be chronic diseases, particularly those who have multiple chronic diseases because they complicate disease management and drains the healthcare system's resources. It should be prioritized in the short-term in the interest of freeing up resources for addressing other health disparities like subsidizing healthcare expenditure in low-income households.</t>
  </si>
  <si>
    <t xml:space="preserve">A combination of policy, public education awareness, and centralized training/guidelines on providing adequate care for chronic diseases for healthcare providers would be the optimal approach; though in the context of US healthcare I'm not familiar with any specifics to this challenge.</t>
  </si>
  <si>
    <t xml:space="preserve">1. Muscle mass and joint flexibility (through exercise)
2. Healthy, balanced diet with low amounts of alcohol intake
3. 7-8 hours of daily sleep</t>
  </si>
  <si>
    <t xml:space="preserve">Developing them into habits and setting up personal boundaries in order to maintain these behavior.</t>
  </si>
  <si>
    <t xml:space="preserve">Supporting health aging through a multifaceted approach of reproductive health, health advocacy and stewardship, and cutting edge research.</t>
  </si>
  <si>
    <t xml:space="preserve">The internal order of these topics did not change as I ranked them based on how I perceive each topic to be directly actionable and impactful to the public. This includes reproductive longevity, which is crucial to rescuing the demographic from aging to growing, as well as making health solutions more accessible to all. The ability to predict aging and health are more concentrated in research and require more translational steps for it to be directly influential to the society or I.</t>
  </si>
  <si>
    <t xml:space="preserve">Applying machine learning and artificial intelligence (AI) to enable modern solutions for aging and health (e.g., predicting disease risk or disease trajectories, precision health, etc.).</t>
  </si>
  <si>
    <t xml:space="preserve">AI making wrong predictions or conclusions that harm patients</t>
  </si>
  <si>
    <t xml:space="preserve">Absolutely. One consideration would be data privacy concerns and misuse of patient data.</t>
  </si>
  <si>
    <t xml:space="preserve">G5-034</t>
  </si>
  <si>
    <t xml:space="preserve">The gradual decline in one’s biological function over time</t>
  </si>
  <si>
    <t xml:space="preserve">Maintain independence</t>
  </si>
  <si>
    <t xml:space="preserve">Maintaining healthy independence: preventing disability and diseases reduces healthcare burden and improves quality of life of the elderly and their loved ones</t>
  </si>
  <si>
    <t xml:space="preserve">Promote exercising, raise awareness to diet and a healthy lifestyle. Ensure early diagnosis and intervention to prevent diseases and maintain independence.</t>
  </si>
  <si>
    <t xml:space="preserve">Physical ability, cognitive ability, social connections</t>
  </si>
  <si>
    <t xml:space="preserve">aware of government healthcare programs/subsidies, keep exercising, learning and join communities (whether young or old) to stay socially connected</t>
  </si>
  <si>
    <t xml:space="preserve">Biological, engineering and AI solutions to longevity and ageing</t>
  </si>
  <si>
    <t xml:space="preserve">AI solutions sound more concrete and encouraging and that I wish I had access to in the near future. 2. Would may be more accessible and effective for the general public</t>
  </si>
  <si>
    <t xml:space="preserve">Topic 3 which sounds most realistic and achievable. I’m excited to see more about the specific use cases and what other aging/health-related tasks can be done.</t>
  </si>
  <si>
    <t xml:space="preserve">Will the accuracy and reliability of these ai solutions be enough for their task and whether they should be trusted.</t>
  </si>
  <si>
    <t xml:space="preserve">How affordable will these solutions be and whether or not they will be accessible; if so, will there be selection criteria based on wealth/status/reputation? Liability concern on risks caused by ai solutions.</t>
  </si>
  <si>
    <t xml:space="preserve">G5-035</t>
  </si>
  <si>
    <t xml:space="preserve">over70</t>
  </si>
  <si>
    <t xml:space="preserve">health</t>
  </si>
  <si>
    <t xml:space="preserve">finance</t>
  </si>
  <si>
    <t xml:space="preserve">insurance</t>
  </si>
  <si>
    <t xml:space="preserve">travelling readibg exercise</t>
  </si>
  <si>
    <t xml:space="preserve">routine</t>
  </si>
  <si>
    <t xml:space="preserve">apply ai in public health</t>
  </si>
  <si>
    <r>
      <rPr>
        <sz val="10"/>
        <rFont val="Arial"/>
        <family val="0"/>
        <charset val="1"/>
      </rPr>
      <t xml:space="preserve">for ppl</t>
    </r>
    <r>
      <rPr>
        <sz val="10"/>
        <rFont val="Noto Sans CJK SC"/>
        <family val="2"/>
      </rPr>
      <t xml:space="preserve">， </t>
    </r>
    <r>
      <rPr>
        <sz val="10"/>
        <rFont val="Arial"/>
        <family val="0"/>
        <charset val="1"/>
      </rPr>
      <t xml:space="preserve">treatment is more important while for society solution always tge priory</t>
    </r>
  </si>
  <si>
    <t xml:space="preserve">na</t>
  </si>
  <si>
    <t xml:space="preserve">G5-036</t>
  </si>
  <si>
    <t xml:space="preserve">years from born</t>
  </si>
  <si>
    <t xml:space="preserve">The biggest challenge is the lack of affordable, accessible long-term care and home support services.</t>
  </si>
  <si>
    <t xml:space="preserve">healthcare burdens</t>
  </si>
  <si>
    <t xml:space="preserve">Local communities have set up senior centers, volunteer visiting programs</t>
  </si>
  <si>
    <t xml:space="preserve">I want to keep good physical health, close social relationships with family and friends, and a positive mindset.</t>
  </si>
  <si>
    <t xml:space="preserve">I think I can do that untill im old.</t>
  </si>
  <si>
    <t xml:space="preserve">A. Improve reproductive health and lifespan: This field aims to protect fertility and extend the healthy reproductive period while lengthening overall healthy human lifespan.
B. Make longevity solutions accessible and affordable to everyone: It means anti-aging and health-extending treatments should not only work well but also be low-cost and available to people of all income levels worldwide.
C. Use AI/machine learning to develop new aging and health solutions: Researchers apply machine learning to analyze health data, predict age-related disease risks and design personalized therapies to slow aging.</t>
  </si>
  <si>
    <t xml:space="preserve">universal access to affordable longevity solutions ranks first because new anti-aging technologies will bring little public benefit if only wealthy people can use them.</t>
  </si>
  <si>
    <t xml:space="preserve">Use AI/machine learning to develop new aging and health solutions.</t>
  </si>
  <si>
    <t xml:space="preserve">Make longevity solutions accessible and affordable to everyone.
My worry is that powerful longevity treatments may become exclusive luxury goods, widening health inequality between rich and poor groups.</t>
  </si>
  <si>
    <t xml:space="preserve">Yes. We need to carefully consider fairness, privacy of sensitive biological data, informed consent, and potential social impacts, such as wealth gaps, overpopulation pressure and changes to retirement and social security systems.</t>
  </si>
  <si>
    <t xml:space="preserve">G5-037</t>
  </si>
  <si>
    <t xml:space="preserve">Inevitable</t>
  </si>
  <si>
    <t xml:space="preserve">Retirement contributions and healthcare</t>
  </si>
  <si>
    <t xml:space="preserve">Healthcare. Because it affects everyone especially the elderly population</t>
  </si>
  <si>
    <t xml:space="preserve">Physical health, mental health, stable living environment</t>
  </si>
  <si>
    <t xml:space="preserve">Exercise, read books, stable income through working</t>
  </si>
  <si>
    <t xml:space="preserve">Improve healthcare solutions through computated solutions</t>
  </si>
  <si>
    <t xml:space="preserve">Solution 2 is more generalized than 1, but more specific than 3. There are other ways of solving this problem, solution is one modern approach</t>
  </si>
  <si>
    <t xml:space="preserve">The growth of AI allows more areas of development for topic 3</t>
  </si>
  <si>
    <t xml:space="preserve">Data security of Topic 3</t>
  </si>
  <si>
    <t xml:space="preserve">Topic 3, data security, and who will take responsibility for negative consequences</t>
  </si>
  <si>
    <t xml:space="preserve">G5-038</t>
  </si>
  <si>
    <t xml:space="preserve">Japan</t>
  </si>
  <si>
    <t xml:space="preserve">Body function changes cause by the time passing</t>
  </si>
  <si>
    <t xml:space="preserve">The loss of labor force with the increase of public pensions</t>
  </si>
  <si>
    <t xml:space="preserve">Public pensions</t>
  </si>
  <si>
    <t xml:space="preserve">Not significant</t>
  </si>
  <si>
    <t xml:space="preserve">Mental health, physical health, family</t>
  </si>
  <si>
    <t xml:space="preserve">Wealth</t>
  </si>
  <si>
    <t xml:space="preserve">Makes public more satisfy with their health and longevity</t>
  </si>
  <si>
    <t xml:space="preserve">I don’t think simply boosting longevity is the effective way. Basically, public wants a secure/happy later life rather than a longer later life. (Definitely longevity is a part of “happy”, but not the most important part)</t>
  </si>
  <si>
    <t xml:space="preserve">Yes. Like humanistic care among the machine and ai learning - some people prefer facing human beings rather than the machines and data.</t>
  </si>
  <si>
    <t xml:space="preserve">G5-039</t>
  </si>
  <si>
    <t xml:space="preserve">By my age</t>
  </si>
  <si>
    <t xml:space="preserve">Deterioration of physical and mental health</t>
  </si>
  <si>
    <t xml:space="preserve">No idea</t>
  </si>
  <si>
    <t xml:space="preserve">Eat well, rest well and exercise regularly</t>
  </si>
  <si>
    <t xml:space="preserve">Just to do it through every day life</t>
  </si>
  <si>
    <t xml:space="preserve">To achieve better life for human being as a whole</t>
  </si>
  <si>
    <t xml:space="preserve">AI will solve most challenging issues we are facing</t>
  </si>
  <si>
    <t xml:space="preserve">Some breakthrough will happen sooner</t>
  </si>
  <si>
    <t xml:space="preserve">How to ensure AI serves human but not control or even destroy human</t>
  </si>
  <si>
    <t xml:space="preserve">G5-040</t>
  </si>
  <si>
    <t xml:space="preserve">Aging is the process of physical, mental and funcational decline over the time.</t>
  </si>
  <si>
    <t xml:space="preserve">Medical system and senior care</t>
  </si>
  <si>
    <t xml:space="preserve">Not yet.</t>
  </si>
  <si>
    <t xml:space="preserve">Youngth, health and happiness</t>
  </si>
  <si>
    <t xml:space="preserve">Keep excisese</t>
  </si>
  <si>
    <t xml:space="preserve">Keeping excises is the essential for maintain health.</t>
  </si>
  <si>
    <t xml:space="preserve">G5-041</t>
  </si>
  <si>
    <t xml:space="preserve">Health status and physical function.</t>
  </si>
  <si>
    <t xml:space="preserve">Allocation of social resources.</t>
  </si>
  <si>
    <t xml:space="preserve">Health protection.</t>
  </si>
  <si>
    <t xml:space="preserve">I do not know.</t>
  </si>
  <si>
    <t xml:space="preserve">Health; appearance; mindset.</t>
  </si>
  <si>
    <t xml:space="preserve">Exercise.</t>
  </si>
  <si>
    <t xml:space="preserve">Based on intuition.</t>
  </si>
  <si>
    <t xml:space="preserve">Job displacement.</t>
  </si>
  <si>
    <t xml:space="preserve">G5-042</t>
  </si>
  <si>
    <t xml:space="preserve">Changes in age and appearance.</t>
  </si>
  <si>
    <t xml:space="preserve">Labor shortages and low well-being.</t>
  </si>
  <si>
    <t xml:space="preserve">Well-being.</t>
  </si>
  <si>
    <t xml:space="preserve">An increasing number of nursing homes.</t>
  </si>
  <si>
    <t xml:space="preserve">Wealth; mindset; perceptiveness.</t>
  </si>
  <si>
    <t xml:space="preserve">Maintain a positive mindset.</t>
  </si>
  <si>
    <t xml:space="preserve">My first reaction was that aging-related problems should be addressed step by step.</t>
  </si>
  <si>
    <t xml:space="preserve">Failure to solve the problem could create larger problems.</t>
  </si>
  <si>
    <t xml:space="preserve">G5-043</t>
  </si>
  <si>
    <t xml:space="preserve">Declining physical function; an aging mindset that resists learning and progress; believing oneself to be authoritative; becoming a patronizing older person.</t>
  </si>
  <si>
    <t xml:space="preserve">Lack of money, excessive wealth inequality, and pressure on young people.</t>
  </si>
  <si>
    <t xml:space="preserve">Employment for young people. When young people have better lives, they have more capacity to contribute to society.</t>
  </si>
  <si>
    <t xml:space="preserve">I have not noticed any.</t>
  </si>
  <si>
    <t xml:space="preserve">Physical function; a positive mindset; memory.</t>
  </si>
  <si>
    <t xml:space="preserve">Exercise and study.</t>
  </si>
  <si>
    <t xml:space="preserve">Having children is unnecessary.</t>
  </si>
  <si>
    <t xml:space="preserve">Current pregnancy-preservation technology may be overused.</t>
  </si>
  <si>
    <t xml:space="preserve">G5-044</t>
  </si>
  <si>
    <t xml:space="preserve">Decline in physical and mental condition.</t>
  </si>
  <si>
    <t xml:space="preserve">Resources.</t>
  </si>
  <si>
    <t xml:space="preserve">Supporting facilities for eldercare services, especially medical care.</t>
  </si>
  <si>
    <t xml:space="preserve">Health insurance, perhaps.</t>
  </si>
  <si>
    <t xml:space="preserve">A healthy body; a flexible mind; rich knowledge.</t>
  </si>
  <si>
    <t xml:space="preserve">Maintain healthy routines, exercise consistently, and keep learning throughout life.</t>
  </si>
  <si>
    <t xml:space="preserve">All are indispensable.</t>
  </si>
  <si>
    <t xml:space="preserve">The time required to move from theory to reality.</t>
  </si>
  <si>
    <t xml:space="preserve">personal rank answer not a valid 1-2-3 order: "1,1,1"; societal rank answer not a valid 1-2-3 order: "1,1,1"</t>
  </si>
  <si>
    <t xml:space="preserve">G5-045</t>
  </si>
  <si>
    <t xml:space="preserve">Loose skin and declining physical strength.</t>
  </si>
  <si>
    <t xml:space="preserve">A heavy family burden of eldercare.</t>
  </si>
  <si>
    <t xml:space="preserve">Insufficient pensions.</t>
  </si>
  <si>
    <t xml:space="preserve">Delayed retirement.</t>
  </si>
  <si>
    <t xml:space="preserve">Wealth; health; happiness.</t>
  </si>
  <si>
    <t xml:space="preserve">Life and health are most important.</t>
  </si>
  <si>
    <t xml:space="preserve">Whether the cost is affordable.</t>
  </si>
  <si>
    <t xml:space="preserve">G5-046</t>
  </si>
  <si>
    <t xml:space="preserve">A person is not truly aging if their mindset remains young.</t>
  </si>
  <si>
    <t xml:space="preserve">Healthcare and eldercare.</t>
  </si>
  <si>
    <t xml:space="preserve">Eldercare, because older adults need support.</t>
  </si>
  <si>
    <t xml:space="preserve">Yes; for example, the Chinese government is actively addressing it.</t>
  </si>
  <si>
    <t xml:space="preserve">Family; friends; self.</t>
  </si>
  <si>
    <t xml:space="preserve">Live in the present and meet one another more often.</t>
  </si>
  <si>
    <t xml:space="preserve">I am indifferent to reproduction.</t>
  </si>
  <si>
    <t xml:space="preserve">Robots developing their own consciousness.</t>
  </si>
  <si>
    <t xml:space="preserve">G5-047</t>
  </si>
  <si>
    <t xml:space="preserve">Physical function worsens with age.</t>
  </si>
  <si>
    <t xml:space="preserve">Basic living security.</t>
  </si>
  <si>
    <t xml:space="preserve">Basic living security. Without it, social instability could result.</t>
  </si>
  <si>
    <t xml:space="preserve">Life; health; money.</t>
  </si>
  <si>
    <t xml:space="preserve">Receive regular physical examinations.</t>
  </si>
  <si>
    <t xml:space="preserve">My own physical health is most important.</t>
  </si>
  <si>
    <t xml:space="preserve">Ethical issues.</t>
  </si>
  <si>
    <t xml:space="preserve">societal rank answer not a valid 1-2-3 order: "1,1,1"</t>
  </si>
  <si>
    <t xml:space="preserve">G5-048</t>
  </si>
  <si>
    <t xml:space="preserve">Growing older.</t>
  </si>
  <si>
    <t xml:space="preserve">Inadequate healthcare.</t>
  </si>
  <si>
    <t xml:space="preserve">Improve medical equipment.</t>
  </si>
  <si>
    <t xml:space="preserve">Increase medical research and development.</t>
  </si>
  <si>
    <t xml:space="preserve">Money; money; money.</t>
  </si>
  <si>
    <t xml:space="preserve">Save money.</t>
  </si>
  <si>
    <t xml:space="preserve">No particular reason.</t>
  </si>
  <si>
    <t xml:space="preserve">It may not be achievable.</t>
  </si>
  <si>
    <t xml:space="preserve">personal rank answer not a valid 1-2-3 order: "3,3,2"; societal rank answer not a valid 1-2-3 order: "2,1,2"</t>
  </si>
  <si>
    <t xml:space="preserve">G5-049</t>
  </si>
  <si>
    <t xml:space="preserve">A natural phenomenon that also causes fear.</t>
  </si>
  <si>
    <t xml:space="preserve">Being unable to care for oneself.</t>
  </si>
  <si>
    <t xml:space="preserve">How older adults can care for themselves, because both their capacity to work and their standard of living decline substantially.</t>
  </si>
  <si>
    <t xml:space="preserve">The expansion of nursing homes.</t>
  </si>
  <si>
    <t xml:space="preserve">Appearance; muscle mass; physical fitness.</t>
  </si>
  <si>
    <t xml:space="preserve">Purely subjective.</t>
  </si>
  <si>
    <t xml:space="preserve">Different or even contradictory perspectives may emerge.</t>
  </si>
  <si>
    <t xml:space="preserve">G5-050</t>
  </si>
  <si>
    <t xml:space="preserve">For the United States: financial security or pension coverage, as well as age-related diseases.</t>
  </si>
  <si>
    <t xml:space="preserve">Basic living security; survival comes first.</t>
  </si>
  <si>
    <t xml:space="preserve">Government action.</t>
  </si>
  <si>
    <t xml:space="preserve">Heart; face; money.</t>
  </si>
  <si>
    <t xml:space="preserve">Go to bed and wake up early, and keep working hard.</t>
  </si>
  <si>
    <t xml:space="preserve">I personally value my lifespan, while society values the continuation of human civilization.</t>
  </si>
  <si>
    <t xml:space="preserve">When it will become widely available.</t>
  </si>
  <si>
    <t xml:space="preserve">G5-051</t>
  </si>
  <si>
    <t xml:space="preserve">Physical function and overall appearance.</t>
  </si>
  <si>
    <t xml:space="preserve">Anxiety about one’s own health.</t>
  </si>
  <si>
    <t xml:space="preserve">Timely access to medical resources. Sudden health events in older adults can become fatal quickly, and prompt care can greatly improve survival.</t>
  </si>
  <si>
    <t xml:space="preserve">Vision; physical function; mental clarity.</t>
  </si>
  <si>
    <t xml:space="preserve">Exercise actively and follow a healthy diet.</t>
  </si>
  <si>
    <t xml:space="preserve">Individuals can seek information proactively, so I hope AI can address aging and health early; for society, broad public access is clearly more important.</t>
  </si>
  <si>
    <t xml:space="preserve">Whether AI-generated answers are controllable and ethically acceptable.</t>
  </si>
  <si>
    <t xml:space="preserve">G5-052</t>
  </si>
  <si>
    <t xml:space="preserve">Declining physical function and advanced age.</t>
  </si>
  <si>
    <t xml:space="preserve">The burden of supporting older adults.</t>
  </si>
  <si>
    <t xml:space="preserve">Support for older adults, so they can continue to live.</t>
  </si>
  <si>
    <t xml:space="preserve">None.</t>
  </si>
  <si>
    <t xml:space="preserve">Health; responsiveness; creativity.</t>
  </si>
  <si>
    <t xml:space="preserve">Exercise and play video games.</t>
  </si>
  <si>
    <t xml:space="preserve">Health in older adults should be protected first, then lifespan extension, and then wider access.</t>
  </si>
  <si>
    <t xml:space="preserve">Population growth and aging, insufficient productivity, and inadequate resources.</t>
  </si>
  <si>
    <t xml:space="preserve">G5-053</t>
  </si>
  <si>
    <t xml:space="preserve">A series of changes in the human body as age increases.</t>
  </si>
  <si>
    <t xml:space="preserve">Technological change is occurring faster than older adults can adapt.</t>
  </si>
  <si>
    <t xml:space="preserve">Improve older adults’ ability to adapt to technology because this can reduce their social and psychological isolation.</t>
  </si>
  <si>
    <t xml:space="preserve">Many senior universities in China offer courses on filming and editing short videos with smartphones.</t>
  </si>
  <si>
    <t xml:space="preserve">Curiosity; money; a partner.</t>
  </si>
  <si>
    <t xml:space="preserve">Work hard.</t>
  </si>
  <si>
    <t xml:space="preserve">AI may identify an incorrect approach.</t>
  </si>
  <si>
    <t xml:space="preserve">G5-054</t>
  </si>
  <si>
    <t xml:space="preserve">A process in which various organs of the body deteriorate.</t>
  </si>
  <si>
    <t xml:space="preserve">Health.</t>
  </si>
  <si>
    <t xml:space="preserve">I have not seen any action.</t>
  </si>
  <si>
    <t xml:space="preserve">Appearance; mental state; physical strength.</t>
  </si>
  <si>
    <t xml:space="preserve">Because machine learning is not especially important.</t>
  </si>
  <si>
    <t xml:space="preserve">Drug misuse.</t>
  </si>
  <si>
    <t xml:space="preserve">G5-055</t>
  </si>
  <si>
    <t xml:space="preserve">Becoming old and losing abilities.</t>
  </si>
  <si>
    <t xml:space="preserve">Medical challenges.</t>
  </si>
  <si>
    <t xml:space="preserve">Economic challenges.</t>
  </si>
  <si>
    <t xml:space="preserve">Memory; physical ability; intelligence.</t>
  </si>
  <si>
    <t xml:space="preserve">Fitness.</t>
  </si>
  <si>
    <t xml:space="preserve">I want to live longer, and AI technology has only just begun, so the third topic is currently difficult to realize.</t>
  </si>
  <si>
    <t xml:space="preserve">No stated concern.</t>
  </si>
  <si>
    <t xml:space="preserve">G5-056</t>
  </si>
  <si>
    <t xml:space="preserve">Declining organ function, loss of cellular regenerative capacity, and reduced DNA replication capacity.</t>
  </si>
  <si>
    <t xml:space="preserve">Structural challenges to production and the economy.</t>
  </si>
  <si>
    <t xml:space="preserve">The economic structure, because the impact is substantial.</t>
  </si>
  <si>
    <t xml:space="preserve">I am unsure; I do not know whether delayed retirement counts.</t>
  </si>
  <si>
    <t xml:space="preserve">Mobility; thinking ability; sensory ability.</t>
  </si>
  <si>
    <t xml:space="preserve">Exercise more, think more, and stay engaged.</t>
  </si>
  <si>
    <t xml:space="preserve">I work in bioinformatics, AI, and translational medicine, so I care about the research questions.</t>
  </si>
  <si>
    <t xml:space="preserve">Biosafety and associated social conflicts.</t>
  </si>
  <si>
    <t xml:space="preserve">G5-057</t>
  </si>
  <si>
    <t xml:space="preserve">Increasing age, declining physical function, wrinkles, and tooth loss.</t>
  </si>
  <si>
    <t xml:space="preserve">Chronic diseases and cancer.</t>
  </si>
  <si>
    <t xml:space="preserve">Access to physical examinations, because screening can identify many diseases early.</t>
  </si>
  <si>
    <t xml:space="preserve">Yes. Government departments call older community members to attend free physical examinations.</t>
  </si>
  <si>
    <t xml:space="preserve">Faith; hope; contentment.</t>
  </si>
  <si>
    <t xml:space="preserve">Cultivate one’s character and inner peace.</t>
  </si>
  <si>
    <t xml:space="preserve">For me, achieving actual longevity is most important; for society, basic health education is more important because many people must first become aware of it.</t>
  </si>
  <si>
    <t xml:space="preserve">Overcoming cancer.</t>
  </si>
  <si>
    <t xml:space="preserve">G5-058</t>
  </si>
  <si>
    <t xml:space="preserve">Aging occurs when one’s mindset is no longer young.</t>
  </si>
  <si>
    <t xml:space="preserve">Insufficient eldercare resources.</t>
  </si>
  <si>
    <t xml:space="preserve">Convenience in daily life. Without solutions, older adults may be unable to travel or function normally and may become disconnected from society.</t>
  </si>
  <si>
    <t xml:space="preserve">I have not learned about any.</t>
  </si>
  <si>
    <t xml:space="preserve">Curiosity; freedom; health.</t>
  </si>
  <si>
    <t xml:space="preserve">Exercise more when young and develop the habit of remaining curious about everything.</t>
  </si>
  <si>
    <t xml:space="preserve">AI participates in every field, and democratizing longevity science includes using AI for aging and health. Reproductive longevity matters personally because it gives people who regret delaying parenthood more time, but relatively few people need this option at the societal level.</t>
  </si>
  <si>
    <t xml:space="preserve">Concern that implementation may be ineffective.</t>
  </si>
  <si>
    <t xml:space="preserve">G5-059</t>
  </si>
  <si>
    <t xml:space="preserve">Aging of the body.</t>
  </si>
  <si>
    <t xml:space="preserve">Limited medical resources.</t>
  </si>
  <si>
    <t xml:space="preserve">The social security system, because it is foundational.</t>
  </si>
  <si>
    <t xml:space="preserve">I am not sure.</t>
  </si>
  <si>
    <t xml:space="preserve">Curiosity; empathy; passion.</t>
  </si>
  <si>
    <t xml:space="preserve">Maintain personal interests and hobbies.</t>
  </si>
  <si>
    <t xml:space="preserve">I am unsure.</t>
  </si>
  <si>
    <t xml:space="preserve">Healthcare monopolies.</t>
  </si>
  <si>
    <t xml:space="preserve">G5-060</t>
  </si>
  <si>
    <t xml:space="preserve">Physical function becomes worse than in younger people: slower walking, difficulty running, shortness of breath, fatigue, wrinkles, and gray hair.</t>
  </si>
  <si>
    <t xml:space="preserve">Loneliness.</t>
  </si>
  <si>
    <t xml:space="preserve">Eldercare. People must first be able to live safely before addressing anything else, and everyone eventually grows old.</t>
  </si>
  <si>
    <t xml:space="preserve">The government has delayed the retirement age.</t>
  </si>
  <si>
    <t xml:space="preserve">A healthy body; a modern and open mindset; enough time and money to travel.</t>
  </si>
  <si>
    <t xml:space="preserve">Stay mentally and physically active.</t>
  </si>
  <si>
    <t xml:space="preserve">Practice healthy living, pay attention to diet and sleep, exercise, work hard to earn money, and maintain an open mindset.</t>
  </si>
  <si>
    <t xml:space="preserve">Longevity science may be monopolized by wealthy people.</t>
  </si>
  <si>
    <t xml:space="preserve">G5-061</t>
  </si>
  <si>
    <t xml:space="preserve">Zhejiang</t>
  </si>
  <si>
    <t xml:space="preserve">Zhejiang, China</t>
  </si>
  <si>
    <t xml:space="preserve">A decline in physical function and resistance to illness as age increases.</t>
  </si>
  <si>
    <t xml:space="preserve">Insufficient emotional support for many older adults.</t>
  </si>
  <si>
    <t xml:space="preserve">Healthcare coverage and services for older adults.</t>
  </si>
  <si>
    <t xml:space="preserve">Various countries appear to have established dedicated healthcare channels and services for older adults.</t>
  </si>
  <si>
    <t xml:space="preserve">Health Memory Social connection with friends</t>
  </si>
  <si>
    <t xml:space="preserve">Enable people to have children at older ages. New technological solutions should not be limited to high-income groups. Use AI to provide more personalized solutions for elder care and aging.</t>
  </si>
  <si>
    <t xml:space="preserve">Accessibility does not seem as important from an individual perspective. AI could help more people catch health problems early and get carethat fits their needs. We need solutions that actually work before we can make them available to everyone.</t>
  </si>
  <si>
    <t xml:space="preserve">Reproductive science, because reproduction is essential to human development.</t>
  </si>
  <si>
    <t xml:space="preserve">Excessive reliance on AI in aging research and elder care could reduce human interaction.</t>
  </si>
  <si>
    <t xml:space="preserve">Excessive involvement of AI in aging-related research and solutions.</t>
  </si>
  <si>
    <t xml:space="preserve">Yes; but other research field such as cancer research sounds more interesting</t>
  </si>
  <si>
    <t xml:space="preserve">Yes, bioengineers can contribute to developing solutions.</t>
  </si>
  <si>
    <t xml:space="preserve">G5-062</t>
  </si>
  <si>
    <t xml:space="preserve">Guangdong</t>
  </si>
  <si>
    <t xml:space="preserve">Guangdong, China</t>
  </si>
  <si>
    <t xml:space="preserve">A decline in physical function.</t>
  </si>
  <si>
    <t xml:space="preserve">Not having enough money.</t>
  </si>
  <si>
    <t xml:space="preserve">Healthcare.</t>
  </si>
  <si>
    <t xml:space="preserve">Has not observed any actions.</t>
  </si>
  <si>
    <t xml:space="preserve">Money Health Curiosity</t>
  </si>
  <si>
    <t xml:space="preserve">Earn enough money to support financial security and health, and stay happy to maintain curiosity.</t>
  </si>
  <si>
    <t xml:space="preserve">Does not know. Without money, there is little point in discussing these solutions. Help more people monitor their health and receive advice.</t>
  </si>
  <si>
    <t xml:space="preserve">Not concerned about benefits for other people in society. /</t>
  </si>
  <si>
    <t xml:space="preserve">Machine learning, because wearable devices can monitor many aspects of health.</t>
  </si>
  <si>
    <t xml:space="preserve">Making solutions widely accessible requires a wealthy society.</t>
  </si>
  <si>
    <t xml:space="preserve">Unequal access to resources, as wealthy people always have the best resources.</t>
  </si>
  <si>
    <t xml:space="preserve">No; does not have time to think about it.</t>
  </si>
  <si>
    <t xml:space="preserve">Bioengineers can play an important role in developing wearable devices and sensors.</t>
  </si>
  <si>
    <t xml:space="preserve">G5-063</t>
  </si>
  <si>
    <t xml:space="preserve">England</t>
  </si>
  <si>
    <t xml:space="preserve">England, United Kingdom</t>
  </si>
  <si>
    <t xml:space="preserve">The gradual process of getting older, involving changes in the body, health, abilities, thinking, and lifestyle.</t>
  </si>
  <si>
    <t xml:space="preserve">The financial pressure of supporting an aging population.</t>
  </si>
  <si>
    <t xml:space="preserve">Better financial and insurance support for older adults, especially in rural areas.</t>
  </si>
  <si>
    <t xml:space="preserve">Current efforts seem insufficient; better pension coverage and more affordable healthcare and elder care are needed.</t>
  </si>
  <si>
    <t xml:space="preserve">Curiosity A healthy body An open mindset</t>
  </si>
  <si>
    <t xml:space="preserve">Exercise, go out more, try new things, and stay connected with people.</t>
  </si>
  <si>
    <t xml:space="preserve">Help people stay healthy for longer, including maintaining reproductive health as they age. Make health and longevity solutions affordable and accessible to ordinary people. Use AI and health data to predict health risks and improve disease prevention and treatment.</t>
  </si>
  <si>
    <t xml:space="preserve">Effective solutions and access for ordinary people matter more than the specific technology used. Effective solutions and access for ordinary people matter more than the specific technology used.</t>
  </si>
  <si>
    <t xml:space="preserve">Finding practical ways to achieve healthier and longer lives, rather than just discussing the idea.</t>
  </si>
  <si>
    <t xml:space="preserve">Research may remain too abstract and fail to produce effective, affordable solutions.</t>
  </si>
  <si>
    <t xml:space="preserve">Privacy, safety, equal access, and consent for the use of health data.</t>
  </si>
  <si>
    <t xml:space="preserve">Yes. Population aging will create substantial demand and a large market for solutions that help people stay healthy longer.</t>
  </si>
  <si>
    <t xml:space="preserve">Develop new drugs, diagnostic tools, and technologies to slow age-related decline and extend healthy life.</t>
  </si>
  <si>
    <t xml:space="preserve">G5-064</t>
  </si>
  <si>
    <t xml:space="preserve">Having less energy and needing more time to recover when feel unwell.</t>
  </si>
  <si>
    <t xml:space="preserve">Health problems and needing someone to help with everyday tasks.</t>
  </si>
  <si>
    <t xml:space="preserve">Making medical care easier to access.</t>
  </si>
  <si>
    <t xml:space="preserve">Community clinics offer some health checks for older people, but the support may not meet everyone's needs.</t>
  </si>
  <si>
    <t xml:space="preserve">Being able to take care of myself. Good memory. Close relationships with family and friends.</t>
  </si>
  <si>
    <t xml:space="preserve">Follow medical advice, and keep talking with family and friends.</t>
  </si>
  <si>
    <t xml:space="preserve">Helping people stay healthy and live longer. Ordinary families should be able to afford and benefit from these treatments. Computers could help doctors find health problems and decide how to treat them.</t>
  </si>
  <si>
    <t xml:space="preserve">What matters most is being able to get care I can afford. Staying healthy comes next. Don't know much about AI. Good care should reach ordinary families first. Technology could help more people, while reproductive health feels less urgent for older adults.</t>
  </si>
  <si>
    <t xml:space="preserve">Being able to get useful treatment without putting too much financial pressure on my family.</t>
  </si>
  <si>
    <t xml:space="preserve">Everything will require a smartphone and that people who cannot use one will struggle to get help.</t>
  </si>
  <si>
    <t xml:space="preserve">Older people should understand and agree to treatments. People with less money should also have access to good care.</t>
  </si>
  <si>
    <t xml:space="preserve">Yes. I hope it helps us stay independent and spend more healthy years with our families.</t>
  </si>
  <si>
    <t xml:space="preserve">Yes. They could make devices that help us check our health more easily.</t>
  </si>
  <si>
    <t xml:space="preserve">G5-065</t>
  </si>
  <si>
    <t xml:space="preserve">Having less strength, finding it harder to remember things, and not being able to walk as far as I used to.</t>
  </si>
  <si>
    <t xml:space="preserve">Having difficulty communicating with people.</t>
  </si>
  <si>
    <t xml:space="preserve">I don’t have to rely on my family for everything.</t>
  </si>
  <si>
    <t xml:space="preserve">Cannot recall any specific examples.</t>
  </si>
  <si>
    <t xml:space="preserve">Being able to take care of myself. Memories of my family and my years as a soldier. Time with my family.</t>
  </si>
  <si>
    <t xml:space="preserve">Keep a daily routine, move around as much as I can, and look at old photos with my family.</t>
  </si>
  <si>
    <t xml:space="preserve">Helping people stay healthy as they get older. Making sure ordinary people can afford good care. Don't know</t>
  </si>
  <si>
    <t xml:space="preserve">Want care that is easy to get and helps me manage daily life. Put AI last because not familiar Everyone should be able to get care.</t>
  </si>
  <si>
    <t xml:space="preserve">New technology may be difficult to use, especially if instructions are only spoken.</t>
  </si>
  <si>
    <t xml:space="preserve">People should explain things in a way I can understand and ask what I want before making decisions about my care.</t>
  </si>
  <si>
    <t xml:space="preserve">They could develop communication tools and devices that help older people with daily life.</t>
  </si>
  <si>
    <t xml:space="preserve">Q6 answer not numeric: "/"</t>
  </si>
  <si>
    <t xml:space="preserve">G5-066</t>
  </si>
  <si>
    <t xml:space="preserve">Sichuan</t>
  </si>
  <si>
    <t xml:space="preserve">Sichuan, China</t>
  </si>
  <si>
    <t xml:space="preserve">My mind and body is changing, in both good and bad ways</t>
  </si>
  <si>
    <t xml:space="preserve">Being treated as incapable just because we are older.</t>
  </si>
  <si>
    <t xml:space="preserve">Making everyday services accessible without requiring a smartphone.</t>
  </si>
  <si>
    <t xml:space="preserve">Some places still offer staffed service counters, and community volunteers help older people use digital services.</t>
  </si>
  <si>
    <t xml:space="preserve">The freedom to make my own decisions. A sense of humor. Being useful to other people.</t>
  </si>
  <si>
    <t xml:space="preserve">Keep learning, stay involved in community activities, and make time for friends who make me laugh.</t>
  </si>
  <si>
    <t xml:space="preserve">Helping people maintain reproductive health and live longer, hopefully with a good quality of life. Making sure useful health treatments are available to ordinary people, not just wealthy families. Don't know</t>
  </si>
  <si>
    <t xml:space="preserve">A treatment is only useful if I can actually get it. AI comes next if it helps me stay independent. Living longer by itself is not my main goal. AI could help people self identify problems earlier. Making those benefits widely available comes next. I would put extending life after improving everyday care</t>
  </si>
  <si>
    <t xml:space="preserve">Technology that notices a health problem before it starts affecting my daily life. Prevent a problem rather than deal with it later.</t>
  </si>
  <si>
    <t xml:space="preserve">Keeping people alive longer without helping them live well. I care more about what I can do with my years than the number of years itself.</t>
  </si>
  <si>
    <t xml:space="preserve">Older people should have a say in their own care. Being old should not mean that doctors or family members automatically decide everything for you.</t>
  </si>
  <si>
    <t xml:space="preserve">Yes, if it helps us keep doing things we enjoy. Like more healthy years, but do not expect to live forever.</t>
  </si>
  <si>
    <t xml:space="preserve">They could make practical tools that help us move around safely, notice health changes, and manage daily life ourselves.</t>
  </si>
  <si>
    <t xml:space="preserve">G5-067</t>
  </si>
  <si>
    <t xml:space="preserve">A frightening process.</t>
  </si>
  <si>
    <t xml:space="preserve">Insufficient social security funding, labor shortages, “bad money driving out good,” and limited healthcare resources.</t>
  </si>
  <si>
    <t xml:space="preserve">Social security funding.</t>
  </si>
  <si>
    <t xml:space="preserve">Solutions should benefit the general public and apply to a wider range of people.</t>
  </si>
  <si>
    <t xml:space="preserve">The ability to learn. Creativity and the ability to innovate. The ability to stay active</t>
  </si>
  <si>
    <t xml:space="preserve">Keep a youthful mindset and remain humble.</t>
  </si>
  <si>
    <t xml:space="preserve">Having healthy children with good genes and living longer. Help more people approach age-related illnesses and changes with a healthy mindset and scientific methods. Use existing technologies to manage chronic diseases in older adults and improve their health</t>
  </si>
  <si>
    <t xml:space="preserve">Solutions should benefit the general public and apply to a wider range of people. Solutions should benefit the general public and apply to a wider range of people.</t>
  </si>
  <si>
    <t xml:space="preserve">Applying machine learning.</t>
  </si>
  <si>
    <t xml:space="preserve">Data leaks, data theft, and regulation failing to keep pace with technological changes.</t>
  </si>
  <si>
    <t xml:space="preserve">Potential conflict between age groups over social security and healthcare resources. If allocations continue to favor older adults, or older patients with chronic conditions occupy healthcare resources for long periods, younger people may develop resentment toward older adults.</t>
  </si>
  <si>
    <t xml:space="preserve">Yes. There will be many older adults in the future, but not enough people to care for them.</t>
  </si>
  <si>
    <t xml:space="preserve">Help extend life and improve physical function.</t>
  </si>
  <si>
    <t xml:space="preserve">G5-068</t>
  </si>
  <si>
    <t xml:space="preserve">Becoming less attractive and experiencing declining physical health.</t>
  </si>
  <si>
    <t xml:space="preserve">An increasing burden on the healthcare system.</t>
  </si>
  <si>
    <t xml:space="preserve">Healthcare for older adults.</t>
  </si>
  <si>
    <t xml:space="preserve">Has not paid attention to this issue.</t>
  </si>
  <si>
    <t xml:space="preserve">An attractive face. A healthy body. My loved ones.</t>
  </si>
  <si>
    <t xml:space="preserve">Exercise and take good care of older family members.</t>
  </si>
  <si>
    <t xml:space="preserve">Promoting healthy pregnancies and healthy children. Reducing costs and improving efficiency. Use AI to accelerate aging research and identify solutions that best meet ethical standards.</t>
  </si>
  <si>
    <t xml:space="preserve">A solution cannot be considered as good solution if it only benefits rich people Logically, the personal and societal rankings should be the same.</t>
  </si>
  <si>
    <t xml:space="preserve">Making longevity science accessible to more people, because this would provide the greatest benefit to society.</t>
  </si>
  <si>
    <t xml:space="preserve">Solutions may fail to reach the people who truly need them.</t>
  </si>
  <si>
    <t xml:space="preserve">Ensure that people who need these solutions can benefit from them fairly and equitably.</t>
  </si>
  <si>
    <t xml:space="preserve">Yes, because I am afraid of both my loved ones and myself getting older.</t>
  </si>
  <si>
    <t xml:space="preserve">I recall that aging has something to do with telomeres, and I think bioengineers may be the only ones who can find an effective solution.</t>
  </si>
  <si>
    <t xml:space="preserve">G5-069</t>
  </si>
  <si>
    <t xml:space="preserve">Chongqing</t>
  </si>
  <si>
    <t xml:space="preserve">Chongqing, China</t>
  </si>
  <si>
    <t xml:space="preserve">A gradual decline in physical function, cognitive abilities, and recovery capacity as people get older.</t>
  </si>
  <si>
    <t xml:space="preserve">Health problems caused by chronic diseases and declining physical function, along with the resulting pressure on healthcare and elder care.</t>
  </si>
  <si>
    <t xml:space="preserve">Health and healthcare coverage for older adults.</t>
  </si>
  <si>
    <t xml:space="preserve">Governments and healthcare providers are improving elder care services, promoting health management, and preventing chronic diseases. Researchers are also exploring ways to slow aging and improve older adults’ health.</t>
  </si>
  <si>
    <t xml:space="preserve">Physical health. A youthful mindset. Financial security</t>
  </si>
  <si>
    <t xml:space="preserve">Exercise regularly, eat healthily, get enough sleep, attend regular health checkups, keep learning, stay socially connected, and maintain good habits.</t>
  </si>
  <si>
    <t xml:space="preserve">Improve reproductive health and related medical technologies to extend the period of life spent in good health. Make advances in aging research and healthy longevity available to ordinary people at a reasonable cost, rather than only to a privileged few. Use AI and machine learning to analyze health and biological data, understand disease and aging patterns, predict risks, support diagnosis, and develop personalized health plans.</t>
  </si>
  <si>
    <t xml:space="preserve">I care most about health itself and my future quality of life. Solutions should benefit the majority of people before new technologies are used to improve efficiency.</t>
  </si>
  <si>
    <t xml:space="preserve">AI and machine learning could identify health risks earlier and enable more personalized prevention and treatment.</t>
  </si>
  <si>
    <t xml:space="preserve">High costs and unequal resource allocation could limit advanced longevity and healthcare technologies to a small group of people, widening health inequalities.</t>
  </si>
  <si>
    <t xml:space="preserve">Privacy of health and genetic data, informed consent, algorithmic bias, technological safety, and equitable access to healthcare and longevity technologies.</t>
  </si>
  <si>
    <t xml:space="preserve">Yes. Advances in biomedicine, data science, and AI could improve our understanding of aging and help extend healthy life and improve quality of life in older age.</t>
  </si>
  <si>
    <t xml:space="preserve">Combine biology, medicine, and engineering to develop diagnostic tools, treatments, and health-monitoring technologies, and translate research into practical solutions.</t>
  </si>
  <si>
    <t xml:space="preserve">G5-070</t>
  </si>
  <si>
    <t xml:space="preserve">Anhui</t>
  </si>
  <si>
    <t xml:space="preserve">Anhui, China</t>
  </si>
  <si>
    <t xml:space="preserve">Physical abilities can no longer keep up with daily demands.</t>
  </si>
  <si>
    <t xml:space="preserve">Ensuring adequate services and support for older adults.</t>
  </si>
  <si>
    <t xml:space="preserve">Healthcare coverage, elder care services, and health education.</t>
  </si>
  <si>
    <t xml:space="preserve">Government departments and elder care organizations are taking action.</t>
  </si>
  <si>
    <t xml:space="preserve">Energy. Health. Quality of life.</t>
  </si>
  <si>
    <t xml:space="preserve">Participate in more activities and stay connected with society and the wider world.</t>
  </si>
  <si>
    <t xml:space="preserve">Slow aging and improve quality of life. Help people understand longevity science, put research findings into practice, and reduce barriers to access. Use big data to provide personalized and diverse services.</t>
  </si>
  <si>
    <t xml:space="preserve">I care more about solutions available now and whether I can benefit from them. Society needs scientific progress and technological innovation to improve health and longevity systems.</t>
  </si>
  <si>
    <t xml:space="preserve">Making longevity solutions available to more people, because wider access is necessary for people to benefit.</t>
  </si>
  <si>
    <t xml:space="preserve">Privacy risks.</t>
  </si>
  <si>
    <t xml:space="preserve">Ensure fairness and avoid solutions benefiting only a small group or worsening inequalities in resource allocation.</t>
  </si>
  <si>
    <t xml:space="preserve">Somewhat. I am still young, but I hope the research will produce solutions I can use later. Given population aging, I would prioritize better services and quality of life over simply living longer. Research should also help older adults contribute to society, explore the silver economy, and develop more age-friendly health products.</t>
  </si>
  <si>
    <t xml:space="preserve">I do not know much about this, but I think they probably can contribute.</t>
  </si>
  <si>
    <t xml:space="preserve">G5-071</t>
  </si>
  <si>
    <t xml:space="preserve">Getting older, having more wrinkles, and not being able to run as fast.</t>
  </si>
  <si>
    <t xml:space="preserve">Getting sick and feeling lonely when nobody comes to visit.</t>
  </si>
  <si>
    <t xml:space="preserve">Having someone nearby to help when older people get sick.</t>
  </si>
  <si>
    <t xml:space="preserve">Don’t know.</t>
  </si>
  <si>
    <t xml:space="preserve">Being healthy. Being curious about new things. My family and friends.</t>
  </si>
  <si>
    <t xml:space="preserve">Play outside, learn new things, and spend time with people I love.</t>
  </si>
  <si>
    <t xml:space="preserve">Helping people have healthy babies and stay healthy as they get older. Making sure everyone can get help to stay healthy, even if they don’t have much money. Using smart computers to help doctors find out why someone is sick.</t>
  </si>
  <si>
    <t xml:space="preserve">I want everyone in my family to get help when they are sick. I don’t know much about smart computers. Everyone should get help, not just rich people. Computers might help doctors look after more people.</t>
  </si>
  <si>
    <t xml:space="preserve">A smart computer helping doctors find out what is wrong sounds interesting.</t>
  </si>
  <si>
    <t xml:space="preserve">Some people might still not get help because they don’t have enough money.</t>
  </si>
  <si>
    <t xml:space="preserve">Ask people before trying something new, and don’t leave anyone out just because they are poor.</t>
  </si>
  <si>
    <t xml:space="preserve">Yes. I hope my grandparents can stay healthy and keep playing with me.</t>
  </si>
  <si>
    <t xml:space="preserve">Don't know</t>
  </si>
  <si>
    <t xml:space="preserve">G5-072</t>
  </si>
  <si>
    <t xml:space="preserve">Jiangxi</t>
  </si>
  <si>
    <t xml:space="preserve">Jiangxi, China</t>
  </si>
  <si>
    <t xml:space="preserve">Jiangsu</t>
  </si>
  <si>
    <t xml:space="preserve">Jiangsu, China</t>
  </si>
  <si>
    <t xml:space="preserve">Continuing social responsibilities that older adults can no longer physically manage.</t>
  </si>
  <si>
    <t xml:space="preserve">Health, a positive mindset, the ability to learn</t>
  </si>
  <si>
    <t xml:space="preserve">Exercise when appropriate and maintain a positive mindset.</t>
  </si>
  <si>
    <t xml:space="preserve">Longer life should be accompanied by better health. Scientific approaches to longevity can benefit more people. AI can help address aging and health problems.</t>
  </si>
  <si>
    <t xml:space="preserve">Improving reproductive health.</t>
  </si>
  <si>
    <t xml:space="preserve">The cost of maintaining health and extending life.</t>
  </si>
  <si>
    <t xml:space="preserve">Yes, mainly because it could improve health.</t>
  </si>
  <si>
    <t xml:space="preserve">G5-073</t>
  </si>
  <si>
    <t xml:space="preserve">Chronic disease prevention and treatment, and health and supportive care for older adults.</t>
  </si>
  <si>
    <t xml:space="preserve">Managing chronic diseases and reducing loss of independence.</t>
  </si>
  <si>
    <t xml:space="preserve">Yes. Community health checkups for older adults.</t>
  </si>
  <si>
    <t xml:space="preserve">Good physical function, clear judgement, the ability to take care of myself</t>
  </si>
  <si>
    <t xml:space="preserve">Maintain a regular daily routine, exercise, and get regular health checkups.</t>
  </si>
  <si>
    <t xml:space="preserve">Protect reproductive health to support healthy longevity. Make longevity science more widely understood and accessible. Use AI to advance longevity science and provide health solutions.</t>
  </si>
  <si>
    <t xml:space="preserve">Aging research that helps people age healthily.</t>
  </si>
  <si>
    <t xml:space="preserve">High technology costs and potential safety risks.</t>
  </si>
  <si>
    <t xml:space="preserve">Fairness, safety, resource allocation, and informed consent.</t>
  </si>
  <si>
    <t xml:space="preserve">Yes. I hope it can support healthy aging for everyone.</t>
  </si>
  <si>
    <t xml:space="preserve">Yes. They can help develop solutions for healthy aging.</t>
  </si>
  <si>
    <t xml:space="preserve">G5-074</t>
  </si>
  <si>
    <t xml:space="preserve">True aging involves both physical and psychological aging, not just physical decline.</t>
  </si>
  <si>
    <t xml:space="preserve">A lack of companionship.</t>
  </si>
  <si>
    <t xml:space="preserve">Providing companionship for older adults.</t>
  </si>
  <si>
    <t xml:space="preserve">Some isolated efforts exist, but they have not yet developed into a coordinated system.</t>
  </si>
  <si>
    <t xml:space="preserve">Health, companionship, Some financial security</t>
  </si>
  <si>
    <t xml:space="preserve">Work hard, earn and save money, manage finances sensibly, exercise regularly, and teach children from an early age to value spending time with family.</t>
  </si>
  <si>
    <t xml:space="preserve">A good quality of life in older age. Teach people how to live longer with a good quality of life. Learn about and use new technologies to address aging and health problems and improve quality of life.</t>
  </si>
  <si>
    <t xml:space="preserve">From an individual perspective, I prioritize my own interests.</t>
  </si>
  <si>
    <t xml:space="preserve">Using machines and AI to improve reproductive health and longevity. I believe this can be achieved.</t>
  </si>
  <si>
    <t xml:space="preserve">Whether AI-based improvements in reproductive health and longevity can reach every household.</t>
  </si>
  <si>
    <t xml:space="preserve">Ethical issues should be considered, and conventional ethical problems should be avoided.</t>
  </si>
  <si>
    <t xml:space="preserve">Very excited. I believe we can achieve breakthroughs.</t>
  </si>
  <si>
    <t xml:space="preserve">They can definitely contribute. I believe future technological breakthroughs will improve our lives and help us live longer.</t>
  </si>
  <si>
    <t xml:space="preserve">G5-075</t>
  </si>
  <si>
    <t xml:space="preserve">Declining physical function and energy, slower thinking, and slower reactions.</t>
  </si>
  <si>
    <t xml:space="preserve">Healthcare and elder care.</t>
  </si>
  <si>
    <t xml:space="preserve">Pressure on healthcare services.</t>
  </si>
  <si>
    <t xml:space="preserve">The government has taken some measures, but their effects are not yet noticeable.</t>
  </si>
  <si>
    <t xml:space="preserve">An optimistic mindset, a healthy body, and savings for retirement and elder care</t>
  </si>
  <si>
    <t xml:space="preserve">Maintain healthy daily and dietary habits and a good working routine.</t>
  </si>
  <si>
    <t xml:space="preserve">Improve reproductive capacity and outcomes, and extend lifespan. A scientific field that develops ways to extend life, with solutions applicable to most people. Make effective use of machines and AI to address aging and longevity issues.</t>
  </si>
  <si>
    <t xml:space="preserve">From an individual perspective, the focus is on personalized needs. From society’s perspective, the needs of the broader population must be considered.</t>
  </si>
  <si>
    <t xml:space="preserve">Improving health and extending life.</t>
  </si>
  <si>
    <t xml:space="preserve">Making longevity science and solutions accessible to more people may be difficult to achieve.</t>
  </si>
  <si>
    <t xml:space="preserve">Potential effects of gene therapies and stem cell treatments on future generations.</t>
  </si>
  <si>
    <t xml:space="preserve">Yes. I hope it can improve health and extend life.</t>
  </si>
  <si>
    <t xml:space="preserve">Develop new approaches through biomedicine and gene editing to support health and longevity.</t>
  </si>
  <si>
    <t xml:space="preserve">G5-076</t>
  </si>
  <si>
    <t xml:space="preserve">Declining physical function and memory.</t>
  </si>
  <si>
    <t xml:space="preserve">Health and healthcare issues.</t>
  </si>
  <si>
    <t xml:space="preserve">Exercise and health promotion.</t>
  </si>
  <si>
    <t xml:space="preserve">Some elder care organizations and community groups organize activities for older adults, but most lack a systematic, scientifically informed approach.</t>
  </si>
  <si>
    <t xml:space="preserve">The ability to learn and think. The ability to exercise. Health</t>
  </si>
  <si>
    <t xml:space="preserve">Keep exercising and learning.</t>
  </si>
  <si>
    <t xml:space="preserve">The benefits of maintaining good exercise and lifestyle habits. Helping others improve health and longevity through scientifically informed exercise and lifestyle habits. Individuals or service providers using AI to achieve health and longevity goals for themselves or others.</t>
  </si>
  <si>
    <t xml:space="preserve">The individual perspective focuses on oneself and one’s own goals. The societal perspective focuses on other people and their needs.</t>
  </si>
  <si>
    <t xml:space="preserve">AI has already shown considerable capabilities in many fields and could create new, efficient approaches to older adults’ health.</t>
  </si>
  <si>
    <t xml:space="preserve">How to put AI solutions into practice, especially in rural areas with large older populations.</t>
  </si>
  <si>
    <t xml:space="preserve">Consider how implementing solutions affects different families and seek support and agreement from children and other family members.</t>
  </si>
  <si>
    <t xml:space="preserve">Yes. Everyone ages, although many are reluctant to face it. Slowing aging and staying healthy are important and necessary goals for everyone.</t>
  </si>
  <si>
    <t xml:space="preserve">Identify key points in the natural aging process and use AI to help slow aging and promote health and longevity, even though I view aging as irreversible.</t>
  </si>
  <si>
    <t xml:space="preserve">G5-077</t>
  </si>
  <si>
    <t xml:space="preserve">Physical functions and energy levels can no longer meet the demands of everyday life.</t>
  </si>
  <si>
    <t xml:space="preserve">Access to professional medical care and daily care at home.</t>
  </si>
  <si>
    <t xml:space="preserve">Safety in home-based and residential care</t>
  </si>
  <si>
    <t xml:space="preserve">High-end facilities combining medical and elder care have relatively well-developed services.</t>
  </si>
  <si>
    <t xml:space="preserve">Health, good sleep, energy</t>
  </si>
  <si>
    <t xml:space="preserve">Adjust my diet, pay for services, and purchase health supplements.</t>
  </si>
  <si>
    <t xml:space="preserve">Slow the decline of physiological functions during normal aging so that quality of life can be maintained throughout a longer lifespan. Develop solutions and methods to improve quality of life throughout a person’s lifespan. Use AI-powered robots to perform or assist with care at home or in facilities, reducing the difficulty and workload of elder care.</t>
  </si>
  <si>
    <t xml:space="preserve">Individuals focus on lifespan and quality of life. Society focuses on caregiving costs and ease of implementation.</t>
  </si>
  <si>
    <t xml:space="preserve">Making longevity science and solutions accessible to more people.</t>
  </si>
  <si>
    <t xml:space="preserve">Benifit everyone</t>
  </si>
  <si>
    <t xml:space="preserve">Developing technologies and sourcing materials must protect every person’s basic rights. Materials must not be obtained through unethical means.</t>
  </si>
  <si>
    <t xml:space="preserve">Aging research improves quality of life and has positive significance for every individual.</t>
  </si>
  <si>
    <t xml:space="preserve">Professional bioengineers are needed to overcome current bottlenecks in bioengineering.</t>
  </si>
  <si>
    <t xml:space="preserve">G5-078</t>
  </si>
  <si>
    <t xml:space="preserve">Developing wrinkles and gray hair.</t>
  </si>
  <si>
    <t xml:space="preserve">Living alone and being unable to get help promptly.</t>
  </si>
  <si>
    <t xml:space="preserve">Supporting older adults at the grassroots community level.</t>
  </si>
  <si>
    <t xml:space="preserve">Medical appointment accompaniment services.</t>
  </si>
  <si>
    <t xml:space="preserve">The ability to take action, overall condition, appearance</t>
  </si>
  <si>
    <t xml:space="preserve">Exercise and stay in a good mood.</t>
  </si>
  <si>
    <t xml:space="preserve">Stay healthy, healthy lifestyle, use AI to accurately assess the aging process</t>
  </si>
  <si>
    <t xml:space="preserve">Individuals are part of society. So the ranking should be the same</t>
  </si>
  <si>
    <t xml:space="preserve">Being personally involved.</t>
  </si>
  <si>
    <t xml:space="preserve">Whether everyone will experience the benefits.</t>
  </si>
  <si>
    <t xml:space="preserve">Whether people are treated fairly.</t>
  </si>
  <si>
    <t xml:space="preserve">Interested in whether it can extend lifespan; excitement was not explicitly stated.</t>
  </si>
  <si>
    <t xml:space="preserve">I hope they can contribute.</t>
  </si>
  <si>
    <t xml:space="preserve">G5-079</t>
  </si>
  <si>
    <t xml:space="preserve">A decline in body function.</t>
  </si>
  <si>
    <t xml:space="preserve">Dementia and loss of functional independence.</t>
  </si>
  <si>
    <t xml:space="preserve">Addressing dementia and loss of functional independence.</t>
  </si>
  <si>
    <t xml:space="preserve">/</t>
  </si>
  <si>
    <t xml:space="preserve">A clear mind, a healthy body, and a happy mood</t>
  </si>
  <si>
    <t xml:space="preserve">Maintain a regular routine, eat healthily, exercise moderately, and keep a positive mindset.</t>
  </si>
  <si>
    <t xml:space="preserve">Continue living with a good quality of life. The meaning of longevity science needs to be clarified first; otherwise, discussing solutions is meaningless. The description seems driven by trends and is too broad. Specific applications are unclear, since aging and health cover a very large field.</t>
  </si>
  <si>
    <t xml:space="preserve">Within the same group, individual and societal perspectives should align under a people-centered approach. I understand the societal perspective as people-centered. Different groups may define society differently, but individual and societal perspectives should align within the same group.</t>
  </si>
  <si>
    <t xml:space="preserve">AI offers a relatively concrete path toward solving problems.</t>
  </si>
  <si>
    <t xml:space="preserve">Following trends without a specific direction.</t>
  </si>
  <si>
    <t xml:space="preserve">Medical ethics must be considered, with specific issues depending on the solution. For AI, accountability and who bears responsibility require attention alongside general ethical concerns.</t>
  </si>
  <si>
    <t xml:space="preserve">Yes. I believe the ultimate goal of human evolution is to live forever without aging.</t>
  </si>
  <si>
    <t xml:space="preserve">Absolutely. Check the latest Nobel Prize</t>
  </si>
  <si>
    <t xml:space="preserve">G5-080</t>
  </si>
  <si>
    <t xml:space="preserve">A spontaneous, progressive process of structural degeneration and functional decline over time, accompanied by reduced ability to maintain internal stability and repair damage, and increasing risks of disease and death.</t>
  </si>
  <si>
    <t xml:space="preserve">A shrinking workforce, pressure on social security funds, changes in savings and investment, health problems, increased healthcare demand, shortages of elder care services, and heavier burdens across generations.</t>
  </si>
  <si>
    <t xml:space="preserve">Establishing a long-term care system for older adults who need full or partial assistance with daily activities.</t>
  </si>
  <si>
    <t xml:space="preserve">Health, clear cognition, social connections and a sense of self-worth</t>
  </si>
  <si>
    <t xml:space="preserve">Maintain a healthy body, a clear mind, social connections, and a sense of self-worth; no specific actions provided.</t>
  </si>
  <si>
    <t xml:space="preserve">Reproductive health affects fertility and the future workforce. Improving it could reduce chronic disease and loss of independence, easing pressure on elder care and health insurance. This is a broad, society-level issue. AI-driven solutions</t>
  </si>
  <si>
    <t xml:space="preserve">Society consists of individuals. Population-level issues cannot be addressed without first addressing individual problems.</t>
  </si>
  <si>
    <t xml:space="preserve">Yes. Many aspects require consideration, but no specific issues were identified.</t>
  </si>
  <si>
    <t xml:space="preserve">No. Aging research is a broad field and cannot be reduced to a single research topic.</t>
  </si>
  <si>
    <t xml:space="preserve">Not currently familiar with this profession.</t>
  </si>
  <si>
    <t xml:space="preserve">G5-081</t>
  </si>
  <si>
    <t xml:space="preserve">Wrinkles and hair turns white</t>
  </si>
  <si>
    <t xml:space="preserve">Old people live on their own cannot find help on time</t>
  </si>
  <si>
    <t xml:space="preserve">Old people from a low income family</t>
  </si>
  <si>
    <t xml:space="preserve">There are some communities provide medical escort service</t>
  </si>
  <si>
    <t xml:space="preserve">Mobility, Physical and mental state, appearance</t>
  </si>
  <si>
    <t xml:space="preserve">Exercise often and be happy</t>
  </si>
  <si>
    <t xml:space="preserve">Help people live longer. Derive solution that can help more people. Using artificial intelligence to precisely assess the aging process.</t>
  </si>
  <si>
    <t xml:space="preserve">Individual forms the society so the ranking should be the same</t>
  </si>
  <si>
    <t xml:space="preserve">Myself can get some benefits from these.</t>
  </si>
  <si>
    <t xml:space="preserve">Whether everyone can be benifited</t>
  </si>
  <si>
    <t xml:space="preserve">Fairness.</t>
  </si>
  <si>
    <t xml:space="preserve">Yes, if it can extend our life</t>
  </si>
  <si>
    <t xml:space="preserve">I hope they can.</t>
  </si>
  <si>
    <t xml:space="preserve">G5-082</t>
  </si>
  <si>
    <t xml:space="preserve">Getting wiser and not caring about other peoples opinions</t>
  </si>
  <si>
    <t xml:space="preserve">Having enough money to retire</t>
  </si>
  <si>
    <t xml:space="preserve">Social Security. Many people can’t retire or live without it.</t>
  </si>
  <si>
    <t xml:space="preserve">Make sure there’s always social security by having the rich pay their share of taxes</t>
  </si>
  <si>
    <t xml:space="preserve">Youthful spirit, integrity Memory,</t>
  </si>
  <si>
    <t xml:space="preserve">Keep being curious, stay honest, do puzzles and hobbies</t>
  </si>
  <si>
    <t xml:space="preserve">Be your own advocate and open to new Technology</t>
  </si>
  <si>
    <t xml:space="preserve">The Ways I ranked them are what I feel will make me live longer</t>
  </si>
  <si>
    <t xml:space="preserve">Finding things early and living longer</t>
  </si>
  <si>
    <t xml:space="preserve">Takeover</t>
  </si>
  <si>
    <t xml:space="preserve">Yes you should always have and keep integrity.</t>
  </si>
  <si>
    <t xml:space="preserve">Yes in Finding solutions for memory loss and living longer.</t>
  </si>
  <si>
    <t xml:space="preserve">societal rank answer not interpretable: "Open"</t>
  </si>
  <si>
    <t xml:space="preserve">G5-083</t>
  </si>
  <si>
    <t xml:space="preserve">Philippines</t>
  </si>
  <si>
    <t xml:space="preserve">Growing older and experiencing what’s left in life</t>
  </si>
  <si>
    <t xml:space="preserve">Long term care - insurance doesn’t pay for someone that may need a caregiver in the home or a care facility</t>
  </si>
  <si>
    <t xml:space="preserve">No - especially if one doesn’t qualify for caregiver assistance or to make it affordable</t>
  </si>
  <si>
    <t xml:space="preserve">Health, cognitive stability, and income</t>
  </si>
  <si>
    <t xml:space="preserve">Take care of myself through diet and exercise. Income will sustain itself via pension and SSA</t>
  </si>
  <si>
    <t xml:space="preserve">i - ways in which to enhance each ii - where society have more of a say how longevity can be more affordable and accessible iii - where non-humans will be able to find solutions to our health issues</t>
  </si>
  <si>
    <t xml:space="preserve">My perspective on their importance to me as an individual and to society</t>
  </si>
  <si>
    <t xml:space="preserve">ii - when we as a society can choose on how we want to live a longer, more enhanced, and comfortable life without any financial restrictions.</t>
  </si>
  <si>
    <t xml:space="preserve">iii - I am not keen on AI right now as I see how it can be deceiving and that it may fall into the wrong hands.</t>
  </si>
  <si>
    <t xml:space="preserve">Yes - especially with AI. AI might get out of hand where AI will take over humans</t>
  </si>
  <si>
    <t xml:space="preserve">Not really as I may not see the the results in my lifetime</t>
  </si>
  <si>
    <t xml:space="preserve">Possibly</t>
  </si>
  <si>
    <t xml:space="preserve">G5-084</t>
  </si>
  <si>
    <t xml:space="preserve">Physical decline of the body but not necessarily the brain</t>
  </si>
  <si>
    <t xml:space="preserve">Rising costs of living especially in California</t>
  </si>
  <si>
    <t xml:space="preserve">The rising cost of living and maintaining financial security. Prioritizing the rising costs is critical for everyone not just the elderly.</t>
  </si>
  <si>
    <t xml:space="preserve">Unfortunately no</t>
  </si>
  <si>
    <t xml:space="preserve">Health, physical and mental activity</t>
  </si>
  <si>
    <t xml:space="preserve">Continue to remain active and positive</t>
  </si>
  <si>
    <t xml:space="preserve">AI will be used in ways to extend life.</t>
  </si>
  <si>
    <t xml:space="preserve">AI will lead the way with solutions for 1 and 2.</t>
  </si>
  <si>
    <t xml:space="preserve">A possible cure for cancer using AI.</t>
  </si>
  <si>
    <t xml:space="preserve">There has to be and that has to be in place first before moving forward.</t>
  </si>
  <si>
    <t xml:space="preserve">I am as would be nice to slow that process down.</t>
  </si>
  <si>
    <t xml:space="preserve">I think they must play a role because I feel you need the human aspect with AI.</t>
  </si>
  <si>
    <t xml:space="preserve">G5-085</t>
  </si>
  <si>
    <t xml:space="preserve">Mindset</t>
  </si>
  <si>
    <t xml:space="preserve">Loneliness, housing</t>
  </si>
  <si>
    <t xml:space="preserve">American people need to demand it</t>
  </si>
  <si>
    <t xml:space="preserve">Joy, freedom and health</t>
  </si>
  <si>
    <t xml:space="preserve">Enjoy each day</t>
  </si>
  <si>
    <t xml:space="preserve">Take one day at a time</t>
  </si>
  <si>
    <t xml:space="preserve">Because that’s what’s important to me</t>
  </si>
  <si>
    <t xml:space="preserve">Joy joy</t>
  </si>
  <si>
    <t xml:space="preserve">Not experiencing it</t>
  </si>
  <si>
    <t xml:space="preserve">Humanity tours are race</t>
  </si>
  <si>
    <t xml:space="preserve">We’ll see</t>
  </si>
  <si>
    <t xml:space="preserve">age given as "A young 62"; personal rank answer not interpretable: "Health, joy, and freedom"; societal rank answer not interpretable: "Freedom health and joy"</t>
  </si>
  <si>
    <t xml:space="preserve">G5-086</t>
  </si>
  <si>
    <t xml:space="preserve">Lusaka</t>
  </si>
  <si>
    <t xml:space="preserve">Zambia</t>
  </si>
  <si>
    <t xml:space="preserve">Lusaka, Zambia</t>
  </si>
  <si>
    <t xml:space="preserve">The process of losing normal body function</t>
  </si>
  <si>
    <t xml:space="preserve">The high expenses associated with proper health care for the aging population, e.g nursing homes</t>
  </si>
  <si>
    <t xml:space="preserve">High cost of health care. We need our aging population to get access to proper medical attention (or even regular medical checkup) as scientist work on long term solutions for aging and longevity</t>
  </si>
  <si>
    <t xml:space="preserve">Not enough action. There is more talk among politician to address healcare than there is action</t>
  </si>
  <si>
    <t xml:space="preserve">1. Full mental faculties (including memory and comprehension) 2. Coordination and mobility 3. Healthy physical appearance</t>
  </si>
  <si>
    <t xml:space="preserve">Yes. Exercise, eating heallthy, and keeping my mind active (e.g reading/learning knew things)</t>
  </si>
  <si>
    <t xml:space="preserve">Scientific research for the issues of aging and longevity</t>
  </si>
  <si>
    <t xml:space="preserve">As someone in the scientist research space, I'm excited about the future of medicine as we uncover more ways to use AI/ML for complex problems but I understand that democratizing these issues makes them more accessible to society thats why I ranked those two issues first.</t>
  </si>
  <si>
    <t xml:space="preserve">(iii) I work with ML/AI ideass to solve complex problems in medicine so I'm excited to see how AI/ML can be used to solve issues of aging and longevity</t>
  </si>
  <si>
    <t xml:space="preserve">When real solutions for aging start to emerge, I fear these solutions won't be accessible for a long time and will be hogged by the elites and especially in developed countries only.</t>
  </si>
  <si>
    <t xml:space="preserve">Absolutely! First, we need to consider how we classify 'old' people and not treat them as 'guinea pigs' and secondly, we need to consider the ethics of distributing any beneficial knowledge to the wider society once we get to that point</t>
  </si>
  <si>
    <t xml:space="preserve">Yes. With the plethora of data, wearables, and expansion of artificial intelligence, there seems to be new avenues to explore in aging and longevity research</t>
  </si>
  <si>
    <t xml:space="preserve">They will probably play the biggest role. Bionengineering is the perfect nucleas that combines biology, engineering, and medicine to solve some of the most complex problems in society</t>
  </si>
  <si>
    <t xml:space="preserve">G5-087</t>
  </si>
  <si>
    <t xml:space="preserve">Age increasing i.e., getting older</t>
  </si>
  <si>
    <t xml:space="preserve">Independence in daily life</t>
  </si>
  <si>
    <t xml:space="preserve">Ability of older folks to function independently. USA has an impoverished culture of families caring for elderly relatives. While I would love for cultural shift that centers community and family support for elderly folks I don't see a concrete path to achieving such a change. Thus, we should prioritize the ability of elderly to function independently. The methods for improving elderly independence also combat declining physical health and loneliness by getting folks out of the house, moving around and interacting with others.</t>
  </si>
  <si>
    <t xml:space="preserve">This can be approached from multiple directions 1) better mobility/ exercise routines for all, enabling high functioning elderly folks 2) more walkable/bikeable urban design with concentrated and accessible vital services (groceries, healthcare etc.)</t>
  </si>
  <si>
    <t xml:space="preserve">Physical mobility and strength, reasonable sensory acuity, and active friendships/relationships</t>
  </si>
  <si>
    <t xml:space="preserve">Nothing is certain but certainly staying physically and intellectually active will help, along with maintaining active investment and interest in other people</t>
  </si>
  <si>
    <t xml:space="preserve">Developing and sharing widely methods for enhancing health and longevity of human lifespan</t>
  </si>
  <si>
    <t xml:space="preserve">2 emphasizes increasing availability of existing proven healthcare tools which if done likely improves the most number of lives.
1 is somewhat vague but generally seems positive and possible
 3 is also vague but seems to propose a research endeavor to discover new healthcare approaches. This is a low priority as the existing healthcare tools and knowledge seems adequate to mitigate most concerns but are constrained by limited access and availability</t>
  </si>
  <si>
    <t xml:space="preserve">2 appears a viable and reliable option to improve well being across a large portion of the human population</t>
  </si>
  <si>
    <t xml:space="preserve">How to incenitivize investment in neglected communities that don't appear commercially profitable to the industrial titans that adjudicate over where to allocate healthcare resources.</t>
  </si>
  <si>
    <t xml:space="preserve">Minimize harm and perceived harm in the development of new approaches. Ensure those most exploited in development of approaches are major beneficiaries.</t>
  </si>
  <si>
    <t xml:space="preserve">Not really, I feel the core tenants of healthy aging are already known (e.g. eat healthy, stay active, stay social etc.) The major concern to me should be enabling the lifestyle that encourages healthy aging.</t>
  </si>
  <si>
    <t xml:space="preserve">Sure, anyone can.</t>
  </si>
  <si>
    <t xml:space="preserve">G5-088</t>
  </si>
  <si>
    <t xml:space="preserve">The cells that make up your body deteriorating and becoming less useful.</t>
  </si>
  <si>
    <t xml:space="preserve">Technology and not being able to keep up. Most companies dont care either.</t>
  </si>
  <si>
    <t xml:space="preserve">I think they probably make up enough of the pop to consider them when designing UX. Utilizing them in ads isnt enough, should test with elderly as well. Focus groups</t>
  </si>
  <si>
    <t xml:space="preserve">Not really. I see ads with elderly. Like chatgpt has ads showing how the elderly use it.</t>
  </si>
  <si>
    <t xml:space="preserve">Memories, pain free movement, spark of a life worth of living.</t>
  </si>
  <si>
    <t xml:space="preserve">Probably, but knowing me i wont do it till its too late.</t>
  </si>
  <si>
    <t xml:space="preserve">Basically everyone doing their part in their own health to prevent common health issues associated with aging.</t>
  </si>
  <si>
    <t xml:space="preserve">I think 3 happens no matter what and the other 2 will take initiative from government/private companies.</t>
  </si>
  <si>
    <t xml:space="preserve">Id love the idea of something made spec for me that improves my life. Down to the dna of a treatment plan</t>
  </si>
  <si>
    <t xml:space="preserve">iii. Ai is usually more generalized and people being their own doctor is never a wise choice but making people more aware and maybe even scaring them into seeing a doctor is not nec a bad thing.</t>
  </si>
  <si>
    <t xml:space="preserve">Yes but thays not my area of expertise</t>
  </si>
  <si>
    <t xml:space="preserve">Yes, give me a potion that stops my aging please.</t>
  </si>
  <si>
    <t xml:space="preserve">Absolutely. We are all so similar while remaining so different. Find what makes us tic differently and provide solutions for anyones problems. Piece of cake.</t>
  </si>
  <si>
    <t xml:space="preserve">G5-089</t>
  </si>
  <si>
    <t xml:space="preserve">Natural/biological process in which the capacity of one's body declines</t>
  </si>
  <si>
    <t xml:space="preserve">negative social stigma around aging. poor social and mental wellbeing</t>
  </si>
  <si>
    <t xml:space="preserve">Adequate medical care to insure healthy aging and catch potential diseases</t>
  </si>
  <si>
    <t xml:space="preserve">bad medical system</t>
  </si>
  <si>
    <t xml:space="preserve">physical/cognitive mobility, memories, social connections</t>
  </si>
  <si>
    <t xml:space="preserve">try and maintain a healthy lifestyle</t>
  </si>
  <si>
    <t xml:space="preserve">all different approaches to address aging</t>
  </si>
  <si>
    <t xml:space="preserve">my opinions</t>
  </si>
  <si>
    <t xml:space="preserve">I think the 3rd option is the most exciting since its a more recent approach in which we still don't know how it will play out</t>
  </si>
  <si>
    <t xml:space="preserve">3rd option. for the same reason as previous question.</t>
  </si>
  <si>
    <t xml:space="preserve">yes but also concerned</t>
  </si>
  <si>
    <t xml:space="preserve">potentially</t>
  </si>
  <si>
    <t xml:space="preserve">G5-090</t>
  </si>
  <si>
    <t xml:space="preserve">the process of a living being passing time</t>
  </si>
  <si>
    <t xml:space="preserve">Economic security</t>
  </si>
  <si>
    <t xml:space="preserve">We already have a welfare system however most times it isn't enough to live</t>
  </si>
  <si>
    <t xml:space="preserve">Health, physical activity, community</t>
  </si>
  <si>
    <t xml:space="preserve">taking care of myself :)</t>
  </si>
  <si>
    <t xml:space="preserve">providing frontier health technologies to everyone</t>
  </si>
  <si>
    <t xml:space="preserve">honestly, AI is a tool more than anything - I and the general population don't really care about how the technology works, they care about results</t>
  </si>
  <si>
    <t xml:space="preserve">would love to see a future where medicine isn't a scarce resource</t>
  </si>
  <si>
    <t xml:space="preserve">i guess privacy, alignment (discrimination based off race, gender, socioeconomic background, etc) for AI</t>
  </si>
  <si>
    <t xml:space="preserve">hmm not sure</t>
  </si>
  <si>
    <t xml:space="preserve">not really</t>
  </si>
  <si>
    <t xml:space="preserve">G5-091</t>
  </si>
  <si>
    <t xml:space="preserve">Myanmar</t>
  </si>
  <si>
    <t xml:space="preserve">Growing older both physically and mentally</t>
  </si>
  <si>
    <t xml:space="preserve">Inflation - they stay in jobs longer, quality of life (rent, food)</t>
  </si>
  <si>
    <t xml:space="preserve">Job turnouts</t>
  </si>
  <si>
    <t xml:space="preserve">Loved ones, discipline, compassion</t>
  </si>
  <si>
    <t xml:space="preserve">Having a good why</t>
  </si>
  <si>
    <t xml:space="preserve">Research to find different solutions</t>
  </si>
  <si>
    <t xml:space="preserve">Social responsibility</t>
  </si>
  <si>
    <t xml:space="preserve">social construct and norms</t>
  </si>
  <si>
    <t xml:space="preserve">AI getting overused</t>
  </si>
  <si>
    <t xml:space="preserve">Yes - data concerns getting leaked</t>
  </si>
  <si>
    <t xml:space="preserve">G5-092</t>
  </si>
  <si>
    <t xml:space="preserve">Nigeria</t>
  </si>
  <si>
    <t xml:space="preserve">Aging is a biological process that occurs as someone is advancing in age which contributes to changes and physicality, metabolism, reproductive abilities, and other areas relating to the human anatomy</t>
  </si>
  <si>
    <t xml:space="preserve">The fear of aging and not building leverage in your youth</t>
  </si>
  <si>
    <t xml:space="preserve">Improving the food and air quality in the United States so people can actually live longer lives</t>
  </si>
  <si>
    <t xml:space="preserve">Yes, by empowering small and local farmers and putting sanctions for food producers.</t>
  </si>
  <si>
    <t xml:space="preserve">Good health , mental health stability, family and good relationships</t>
  </si>
  <si>
    <t xml:space="preserve">Some of them</t>
  </si>
  <si>
    <t xml:space="preserve">Approaches to make the process of aging better</t>
  </si>
  <si>
    <t xml:space="preserve">I think using AI in this field can take it much further than other traditional means</t>
  </si>
  <si>
    <t xml:space="preserve">It feels new and feasible</t>
  </si>
  <si>
    <t xml:space="preserve">People with bad intentions reducing the world’s population instead</t>
  </si>
  <si>
    <t xml:space="preserve">Offcourse</t>
  </si>
  <si>
    <t xml:space="preserve">G5-093</t>
  </si>
  <si>
    <t xml:space="preserve">Growing older in age</t>
  </si>
  <si>
    <t xml:space="preserve">Lack of good accesible healthcare and lack of financial planning beforehand</t>
  </si>
  <si>
    <t xml:space="preserve">Accesible healthcare thats both preventative and affordable when needed.</t>
  </si>
  <si>
    <t xml:space="preserve">Mobility, cognitive function, financial feedom</t>
  </si>
  <si>
    <t xml:space="preserve">Investing in my future early on, exercising and mantaining a healthy lifestyle</t>
  </si>
  <si>
    <t xml:space="preserve">They are all key topics that relate to aging science and inform possible solutions to current problems</t>
  </si>
  <si>
    <t xml:space="preserve">I thing affotability is a key part of making this available for the greater population. Improving longevity and reproductive health is important for next generations for the society as a whole, but personally i think implementation of AI will be really impactful for early diagnostics/preventative health as well.</t>
  </si>
  <si>
    <t xml:space="preserve">That sadly a lot of both the healthcare system and geriatric care facilities are ran more in a capitalistic way where they prioritize financial gain over the patient’s wellbeing.</t>
  </si>
  <si>
    <t xml:space="preserve">Sure!</t>
  </si>
  <si>
    <t xml:space="preserve">G5-094</t>
  </si>
  <si>
    <t xml:space="preserve">The advancement and progression of somatic time</t>
  </si>
  <si>
    <t xml:space="preserve">I think it is more biological; the frailties and challenges that naturally come with being at that age or health issues one is more susceptible to at that age.</t>
  </si>
  <si>
    <t xml:space="preserve">Physical competence, soundness of mind</t>
  </si>
  <si>
    <t xml:space="preserve">Certainly. There are things I can do that, between diet, nutrition, fitness that will make these things more realistically possible.</t>
  </si>
  <si>
    <t xml:space="preserve">Different means of advancing human health and well-being.</t>
  </si>
  <si>
    <t xml:space="preserve">My observations seems to suggest this to be the case for society</t>
  </si>
  <si>
    <t xml:space="preserve">3 I'm such a biomarker advocate and lover and I am deeply appreciative of every effort that optimized personalized and precision medicine</t>
  </si>
  <si>
    <t xml:space="preserve">2 Could be misused and could wind up being a benefit only for a select class if not handled properly.</t>
  </si>
  <si>
    <t xml:space="preserve">I believe there should be checks and balances in place</t>
  </si>
  <si>
    <t xml:space="preserve">It's exciting!</t>
  </si>
  <si>
    <t xml:space="preserve">Yes, we can!</t>
  </si>
  <si>
    <t xml:space="preserve">G5-095</t>
  </si>
  <si>
    <t xml:space="preserve">Nepal</t>
  </si>
  <si>
    <t xml:space="preserve">Getting unhealthier</t>
  </si>
  <si>
    <t xml:space="preserve">Health costs</t>
  </si>
  <si>
    <t xml:space="preserve">Nope- health is the most expensive here</t>
  </si>
  <si>
    <t xml:space="preserve">Diet, Exercise and Sleep</t>
  </si>
  <si>
    <t xml:space="preserve">I maintain my own and make sure my family does it</t>
  </si>
  <si>
    <t xml:space="preserve">Too long for that</t>
  </si>
  <si>
    <t xml:space="preserve">Because it makes sense</t>
  </si>
  <si>
    <t xml:space="preserve">1, good health long life is more experience</t>
  </si>
  <si>
    <t xml:space="preserve">Why is health so expensive</t>
  </si>
  <si>
    <t xml:space="preserve">G5-096</t>
  </si>
  <si>
    <t xml:space="preserve">Mississippi</t>
  </si>
  <si>
    <t xml:space="preserve">Mississippi, United States</t>
  </si>
  <si>
    <t xml:space="preserve">Increase in years with evidence of wear and tear on health or bone</t>
  </si>
  <si>
    <t xml:space="preserve">Loneliness and things to keep them lively</t>
  </si>
  <si>
    <t xml:space="preserve">Lower cost for elderly homes</t>
  </si>
  <si>
    <t xml:space="preserve">Health, wealth, freedom</t>
  </si>
  <si>
    <t xml:space="preserve">Ability to procreate</t>
  </si>
  <si>
    <t xml:space="preserve">The solutions helps to make aging better, people won’t be scared to age.</t>
  </si>
  <si>
    <t xml:space="preserve">Solution</t>
  </si>
  <si>
    <t xml:space="preserve">I don’t think so</t>
  </si>
  <si>
    <t xml:space="preserve">G5-097</t>
  </si>
  <si>
    <t xml:space="preserve">Aging is increasing the amount of time that you've been alive.</t>
  </si>
  <si>
    <t xml:space="preserve">Diseases like cancer and dementia</t>
  </si>
  <si>
    <t xml:space="preserve">Cancer - it should be prioritized because it affects so many people</t>
  </si>
  <si>
    <t xml:space="preserve">Research into what causes cancer and how to prevent and treat it more effectively</t>
  </si>
  <si>
    <t xml:space="preserve">Faith, friendships, and physical health</t>
  </si>
  <si>
    <t xml:space="preserve">For faith, I can put my trust in God and not in my own strength. For frienships, I can prioritize spending time with my friends and avoid working too hard. For physical health, I can avoid eating too much sugar and junk food and continue staying active.</t>
  </si>
  <si>
    <t xml:space="preserve">The first one means improving people's reproductive health, the second one means making health solutions accessible for everyone, and the third one means leveraging AI for health solutions.</t>
  </si>
  <si>
    <t xml:space="preserve">Boosting reproductive health and applying AI to health solutions aren't much help to society if they're not accessible, so accessibility comes first in my opinion.</t>
  </si>
  <si>
    <t xml:space="preserve">What excites me most about ii is the idea that people who don't have much money or resources can still have a way to live a healthy life.</t>
  </si>
  <si>
    <t xml:space="preserve">My greatest concern is that affordable healthcare would have to be funded by something such as higher taxes.</t>
  </si>
  <si>
    <t xml:space="preserve">Yes, especially for iii as we should be cautious about over-reliance on AI.</t>
  </si>
  <si>
    <t xml:space="preserve">Yes, it's cool to think about what technologies might be in place by the time I'm older to help me maintain health in old age.</t>
  </si>
  <si>
    <t xml:space="preserve">G5-098</t>
  </si>
  <si>
    <t xml:space="preserve">Growing of human body cells with time.</t>
  </si>
  <si>
    <t xml:space="preserve">I think isolation or caregiving gaps as people get older. Healthcare expenses that also come with these caregiving gaps are big challenge for the aging population.</t>
  </si>
  <si>
    <t xml:space="preserve">Healthcare expenses as they relate to caregiving. This should be prioritized as I think it's relatively easy to achieve and also because it's the greatest challenge.</t>
  </si>
  <si>
    <t xml:space="preserve">Yes. Increasing compensation for caregiving workers and improving healthcare for the aging population is one to address this challenge.</t>
  </si>
  <si>
    <t xml:space="preserve">Memory, strength, and mental sharpness.</t>
  </si>
  <si>
    <t xml:space="preserve">Yes, exercise regularly, eat healthy, and keep a sharp mind through reading and other activities that help to maintain a sharp mind.</t>
  </si>
  <si>
    <t xml:space="preserve">Potential ways to address the challenges facing the aging population.</t>
  </si>
  <si>
    <t xml:space="preserve">I prioritized what I think could help to quickly address the challenges of the aging population is facing.</t>
  </si>
  <si>
    <t xml:space="preserve">The applications of modern technology (AI and ML) to solve one of humanities biggest challenges right now.</t>
  </si>
  <si>
    <t xml:space="preserve">This topic and technology could be used in potentially malicious ways instead of trying to solve the challenges as they should.</t>
  </si>
  <si>
    <t xml:space="preserve">Yes, especially when working with AI and ML for aging and healthcare solutions.</t>
  </si>
  <si>
    <t xml:space="preserve">Yes, it will have a huge impact of mankind and the research that will go into it could potentially be used to solve other healthcare challenges that remain without a solution.</t>
  </si>
  <si>
    <t xml:space="preserve">Yes, a huge role. They are at the forefront of cutting edge, novel solutions.</t>
  </si>
  <si>
    <t xml:space="preserve">G5-099</t>
  </si>
  <si>
    <t xml:space="preserve">A combination of health, intrinsic and extrinsic environmental factors, and genetic predisposition</t>
  </si>
  <si>
    <t xml:space="preserve">Social security and Medicare, retirement and savings, health or familial care</t>
  </si>
  <si>
    <t xml:space="preserve">Ensuring our aging population has equitable access to long term care, independent living, and community support. This could all be offered in the short term and extended once best practices are determined.</t>
  </si>
  <si>
    <t xml:space="preserve">No I can't say that I do, if anything some of the typical things like social security and Medicare seem to be facing administration challenges, especially taking money from these pots without refilling them with appropriate funds.</t>
  </si>
  <si>
    <t xml:space="preserve">Community support, health and wellness education, and affordable care</t>
  </si>
  <si>
    <t xml:space="preserve">Being knowledgeable on what I can do such as not smoking, eating well, frequent activity/movement and supplements when needed</t>
  </si>
  <si>
    <t xml:space="preserve">Prioritizing tools to advance health and longevity both at the individual and systems level.</t>
  </si>
  <si>
    <t xml:space="preserve">Because most issues arise from policies or systems approaches that encroach on ways aging is supported in america.</t>
  </si>
  <si>
    <t xml:space="preserve">Anything improving accessibility to education</t>
  </si>
  <si>
    <t xml:space="preserve">Relying on AI when proper safety nets have not been implemented, this puts our aging population at risk of harm should suggestions be inverse to what humanity needs.</t>
  </si>
  <si>
    <t xml:space="preserve">Please see above answer, ethically should we rely on machine learning to create policies?</t>
  </si>
  <si>
    <t xml:space="preserve">I am</t>
  </si>
  <si>
    <t xml:space="preserve">G5-100</t>
  </si>
  <si>
    <t xml:space="preserve">I’d say aging is the process where a particular thing (mind, body, whatever) changes with time. Sometimes for the better, sometimes for worse.</t>
  </si>
  <si>
    <t xml:space="preserve">It would depend on specifics: in terms of physical aging and the challenges, I’d say quality of life, the hardship that many face. Many people work until they die, literally, and I think it just makes some people experience a lot of health challenges even when they’re already old. Another challenge though more of a factor is the environment and the kind of food. Most of the affordable foods in America are processed</t>
  </si>
  <si>
    <t xml:space="preserve">I think maybe food (don’t know if that counts) - the kind of food available to populations. Right now, processed foods, unhealthy kind of food are the only thing available to majority of the population, which forces most people to stay with that. I believe it should be prioritized because it also affects younger people. In addition, it compounds overtime and affects a larger age group beyond the aged. Solving the problem from the root when these individuals are much younger can have a significant effect on their health when older</t>
  </si>
  <si>
    <t xml:space="preserve">I don’t know what exact body in US is involved but I think it’s largely the government- the responsible for what gets into our bodies. But also, there could be an increased movement for people to encourage agriculture. More people have their own farms, know what’s going into their bodies</t>
  </si>
  <si>
    <t xml:space="preserve">I just have one(probably not related to your study): my Faith in God</t>
  </si>
  <si>
    <t xml:space="preserve">Yes there are. I think with most in life, consistency in practice is key</t>
  </si>
  <si>
    <t xml:space="preserve">They all revolve around promoting health</t>
  </si>
  <si>
    <t xml:space="preserve">I feel like there’s a lot of health disparities- so much more than you can imagine. There are people suffering, dying even right know because they cannot afford to pay medical bills and taking out loans can greatly affect the future of their families. So they sit in the midst of all their medical emergencies and just do nothing about it, allowing it to get worse. That’s why I think accessibility is so much more important 
Then I chose implementing AI and ML to improve health solutions because there’s a lot of health conditions that are stuck in a place that AI and ML can largely contribute to, or even solve.</t>
  </si>
  <si>
    <t xml:space="preserve">(I)</t>
  </si>
  <si>
    <t xml:space="preserve">I kind of talked about this in my answer to d</t>
  </si>
  <si>
    <t xml:space="preserve">Yes probably mostly (ii) and (iii) to be honest</t>
  </si>
  <si>
    <t xml:space="preserve">I honestly don’t know a lot of about it, but from what I do know, it does seem exciting</t>
  </si>
  <si>
    <t xml:space="preserve">I strongly believe that everyone has a part to play irrespective of what your area of speciality is. There’s so much more we can learn by coming together to provide solutions</t>
  </si>
  <si>
    <t xml:space="preserve">G5-101</t>
  </si>
  <si>
    <t xml:space="preserve">Rwanda</t>
  </si>
  <si>
    <t xml:space="preserve">Aging to me is when someone’s physical and/or biological wellbeing starts deteriorating as a result of just accumulating more years of life.</t>
  </si>
  <si>
    <t xml:space="preserve">Loneliness- not having people to care for them or just even hang out with.</t>
  </si>
  <si>
    <t xml:space="preserve">Nearby access to elderly care facilities that offer various services needed by the aging population for free/cheap like meal prepping, house cleaning, etc and also host events to boost morale as well as physical training etc</t>
  </si>
  <si>
    <t xml:space="preserve">I know that there are some government programs focused on providing at least medical care but I am not familiar with those focused on holistic care.</t>
  </si>
  <si>
    <t xml:space="preserve">My faith,adequate physical mobility, mental stability/wellbeing</t>
  </si>
  <si>
    <t xml:space="preserve">Having a church and a Christian community throughout all the seasons, take seriously physical activity now, care for emotional and mental wellbeing on a daily but also physical checkups as necessary</t>
  </si>
  <si>
    <t xml:space="preserve">1. Making better one’s reproductive health
2. making health care focused on aging accessible and relevant for the society in general
3. Leveraging machine language capabilities in predicting potential areas of one’s health that might deteriorate in the future and fix it beforehand</t>
  </si>
  <si>
    <t xml:space="preserve">I feel like ML has potential in surfacing biological issues that might otherwise take long to get discovered thus making treatment more complex and potentially more expensive. For second choice, it’s because I know that for early fields like (3) there’s a possibility that it might first only be limited to the wealthy hence causing inequality which is why democratizing it is important. Lastly, I ranked (i) last because it’s more geared towards the reproductive health which at the moment is outweighed by other health concerns.</t>
  </si>
  <si>
    <t xml:space="preserve">(3) applying ML for predictive or precision health is promising given the various areas that ML is proving its capabilities. And in my opinion the benefits could lead to extended lifetime spans of people etc</t>
  </si>
  <si>
    <t xml:space="preserve">My biggest concern about ML in health is the approaches to testing and confidence in the results</t>
  </si>
  <si>
    <t xml:space="preserve">Yes, data used to train the models, testing methodologies, who’s getting access to the care, what actions are the results driving.</t>
  </si>
  <si>
    <t xml:space="preserve">Mostly skeptical than excited</t>
  </si>
  <si>
    <t xml:space="preserve">Yes, ethical bioengineers can help develop these solutions</t>
  </si>
  <si>
    <t xml:space="preserve">G6-001</t>
  </si>
  <si>
    <t xml:space="preserve">A natural biological process involving changes and gradual decline in bodily functions over time</t>
  </si>
  <si>
    <t xml:space="preserve">Loss of independence and increasing caregiver burden</t>
  </si>
  <si>
    <t xml:space="preserve">Healthcare and long-term care cost/accessibility</t>
  </si>
  <si>
    <t xml:space="preserve">Early intervention could prevent more serious future problems, Addressing it could help older adults maintain independence and dignity</t>
  </si>
  <si>
    <t xml:space="preserve">Some action is being taken, but it is still insufficient</t>
  </si>
  <si>
    <t xml:space="preserve">Physical health and mobility, Mental and emotional well-being, Hobbies and the ability to enjoy life</t>
  </si>
  <si>
    <t xml:space="preserve">To some extent; most helpful actions: Regular exercise and physical activity, Regular health screening and preventive care, Avoiding smoking, excessive alcohol use, and other health risks</t>
  </si>
  <si>
    <t xml:space="preserve">(i) Studying both fertility and how reproductive aging influences overall long-term health; (ii) Making aging research, information, and resources easier for the public to access and understand; (iii) Using AI to provide personalized diagnosis, treatment, or precision health</t>
  </si>
  <si>
    <t xml:space="preserve">Personal relevance to my own or my family's health</t>
  </si>
  <si>
    <t xml:space="preserve">None of them</t>
  </si>
  <si>
    <t xml:space="preserve">Technology developing faster than regulation and ethical oversight</t>
  </si>
  <si>
    <t xml:space="preserve">Privacy and health-data protection, Safety and sufficient scientific evidence</t>
  </si>
  <si>
    <t xml:space="preserve">G6-002</t>
  </si>
  <si>
    <t xml:space="preserve">Unequal access to new health technologies and resources</t>
  </si>
  <si>
    <t xml:space="preserve">Social isolation and mental health</t>
  </si>
  <si>
    <t xml:space="preserve">It affects a large proportion of the population, Early intervention could prevent more serious future problems</t>
  </si>
  <si>
    <t xml:space="preserve">Very limited action is being taken</t>
  </si>
  <si>
    <t xml:space="preserve">Physical health and mobility, Memory, thinking, and learning ability, Hobbies and the ability to enjoy life</t>
  </si>
  <si>
    <t xml:space="preserve">Definitely yes; most helpful actions: Regular exercise and physical activity, Regular health screening and preventive care, Managing stress and supporting mental health</t>
  </si>
  <si>
    <t xml:space="preserve">(i) I am not sure what this topic means; (ii) All of the above; (iii) Using AI to provide personalized diagnosis, treatment, or precision health</t>
  </si>
  <si>
    <t xml:space="preserve">Likelihood of producing useful solutions in the near future, Lower perceived ethical risks</t>
  </si>
  <si>
    <t xml:space="preserve">Safety and unknown long-term effects</t>
  </si>
  <si>
    <t xml:space="preserve">Yes, but they should not unnecessarily restrict research; Equitable access, Privacy and health-data protection, Safety and sufficient scientific evidence</t>
  </si>
  <si>
    <t xml:space="preserve">G6-003</t>
  </si>
  <si>
    <t xml:space="preserve">A natural stage of life involving physical, psychological, and social changes</t>
  </si>
  <si>
    <t xml:space="preserve">Financial and retirement security / cost of living</t>
  </si>
  <si>
    <t xml:space="preserve">It has a major effect on health or quality of life</t>
  </si>
  <si>
    <t xml:space="preserve">Physical health and mobility, Memory, thinking, and learning ability, Independence and the ability to make my own decisions</t>
  </si>
  <si>
    <t xml:space="preserve">To some extent; most helpful actions: Regular exercise and physical activity, Regular health screening and preventive care, Maintaining cognitive activities such as learning and reading</t>
  </si>
  <si>
    <t xml:space="preserve">(i) Studying both fertility and how reproductive aging influences overall long-term health; (ii) Ensuring that people from different income levels, regions, and social groups have equitable access; (iii) Using AI to provide personalized diagnosis, treatment, or precision health</t>
  </si>
  <si>
    <t xml:space="preserve">Scientific or technological potential, Personal familiarity or interest in the topic</t>
  </si>
  <si>
    <t xml:space="preserve">All three equally</t>
  </si>
  <si>
    <t xml:space="preserve">Commercial interests influencing healthcare decisions</t>
  </si>
  <si>
    <t xml:space="preserve">G6-004</t>
  </si>
  <si>
    <t xml:space="preserve">Cost and accessibility of healthcare and long-term care</t>
  </si>
  <si>
    <t xml:space="preserve">Addressing it could reduce long-term healthcare or social costs</t>
  </si>
  <si>
    <t xml:space="preserve">To some extent; most helpful actions: Maintaining a healthy diet, Regular health screening and preventive care, Maintaining cognitive activities such as learning and reading</t>
  </si>
  <si>
    <t xml:space="preserve">(i) I am not sure what this topic means; (ii) Ensuring that people from different income levels, regions, and social groups have equitable access; (iii) Using AI to provide personalized diagnosis, treatment, or precision health</t>
  </si>
  <si>
    <t xml:space="preserve">Potential to reduce future healthcare and societal costs</t>
  </si>
  <si>
    <t xml:space="preserve">Ethical concerns related to reproduction or extending human lifespan</t>
  </si>
  <si>
    <t xml:space="preserve">Safety and sufficient scientific evidence, Reproductive choice and reproductive ethics</t>
  </si>
  <si>
    <t xml:space="preserve">G6-005</t>
  </si>
  <si>
    <t xml:space="preserve">Cognitive decline, dementia, and Alzheimer’s disease</t>
  </si>
  <si>
    <t xml:space="preserve">It affects a large proportion of the population, It has a major effect on health or quality of life</t>
  </si>
  <si>
    <t xml:space="preserve">Probably not very much; most helpful actions: Regular exercise and physical activity, Maintaining a healthy diet, Avoiding smoking, excessive alcohol use, and other health risks</t>
  </si>
  <si>
    <t xml:space="preserve">(i) Extending or maintaining reproductive health and function as people age; (ii) All of the above; (iii) All of the above</t>
  </si>
  <si>
    <t xml:space="preserve">Potential to benefit the largest number of people, Potential to improve equity and accessibility</t>
  </si>
  <si>
    <t xml:space="preserve">Technologies may primarily benefit wealthy people and increase health inequalities</t>
  </si>
  <si>
    <t xml:space="preserve">Equitable access, Privacy and health-data protection, Safety and sufficient scientific evidence</t>
  </si>
  <si>
    <t xml:space="preserve">G6-006</t>
  </si>
  <si>
    <t xml:space="preserve">Age-related changes in physical and cognitive abilities</t>
  </si>
  <si>
    <t xml:space="preserve">Social isolation, loneliness, and mental health</t>
  </si>
  <si>
    <t xml:space="preserve">Early intervention could prevent more serious future problems, Addressing it could reduce long-term healthcare or social costs</t>
  </si>
  <si>
    <t xml:space="preserve">Yes, substantial and effective action is being taken</t>
  </si>
  <si>
    <t xml:space="preserve">Physical health and mobility, Memory, thinking, and learning ability, Mental and emotional well-being</t>
  </si>
  <si>
    <t xml:space="preserve">To some extent; most helpful actions: Regular exercise and physical activity, Maintaining a healthy diet, Getting adequate sleep</t>
  </si>
  <si>
    <t xml:space="preserve">(i) I am not sure what this topic means; (ii) All of the above; (iii) All of the above</t>
  </si>
  <si>
    <t xml:space="preserve">Personal relevance to my own or my family's health, Potential to benefit the largest number of people</t>
  </si>
  <si>
    <t xml:space="preserve">Equitable access, Informed consent and individual autonomy, Resource allocation associated with extending longevity</t>
  </si>
  <si>
    <t xml:space="preserve">G6-007</t>
  </si>
  <si>
    <t xml:space="preserve">A process in which chronic diseases and health problems accumulate over time</t>
  </si>
  <si>
    <t xml:space="preserve">Chronic diseases and declining physical health</t>
  </si>
  <si>
    <t xml:space="preserve">It has a major effect on health or quality of life, Addressing it could help older adults maintain independence and dignity</t>
  </si>
  <si>
    <t xml:space="preserve">Physical health and mobility, Independence and the ability to make my own decisions, Hobbies and the ability to enjoy life</t>
  </si>
  <si>
    <t xml:space="preserve">To some extent; most helpful actions: Maintaining a healthy diet, Getting adequate sleep, Regular health screening and preventive care</t>
  </si>
  <si>
    <t xml:space="preserve">(i) Studying both fertility and how reproductive aging influences overall long-term health; (ii) All of the above; (iii) All of the above</t>
  </si>
  <si>
    <t xml:space="preserve">Algorithmic bias or unfair outcomes for certain populations</t>
  </si>
  <si>
    <t xml:space="preserve">Privacy and health-data protection, Algorithmic bias and discrimination, Transparency and accountability</t>
  </si>
  <si>
    <t xml:space="preserve">G6-008</t>
  </si>
  <si>
    <t xml:space="preserve">It affects a large proportion of the population, Addressing it could reduce health and social inequalities</t>
  </si>
  <si>
    <t xml:space="preserve">To some extent; most helpful actions: Regular exercise and physical activity, Saving and planning financially for later life, Managing stress and supporting mental health</t>
  </si>
  <si>
    <t xml:space="preserve">(i) Studying both fertility and how reproductive aging influences overall long-term health; (ii) Making aging research, information, and resources easier for the public to access and understand; (iii) Using AI to analyze complex aging data and help identify new interventions</t>
  </si>
  <si>
    <t xml:space="preserve">Potential to benefit the largest number of people, Potential to reduce future healthcare and societal costs</t>
  </si>
  <si>
    <t xml:space="preserve">I do not have a major concern</t>
  </si>
  <si>
    <t xml:space="preserve">Equitable access, Privacy and health-data protection, Algorithmic bias and discrimination</t>
  </si>
  <si>
    <t xml:space="preserve">G6-009</t>
  </si>
  <si>
    <t xml:space="preserve">Memory, thinking, and learning ability, Independence and the ability to make my own decisions, Dignity and respect from others</t>
  </si>
  <si>
    <t xml:space="preserve">To some extent; most helpful actions: Regular exercise and physical activity, Getting adequate sleep, Avoiding smoking, excessive alcohol use, and other health risks</t>
  </si>
  <si>
    <t xml:space="preserve">(i) Studying both fertility and how reproductive aging influences overall long-term health; (ii) Making longevity and health technologies less expensive; (iii) Using AI to provide personalized diagnosis, treatment, or precision health</t>
  </si>
  <si>
    <t xml:space="preserve">Personal relevance to my own or my family's health, Potential to improve equity and accessibility</t>
  </si>
  <si>
    <t xml:space="preserve">Equitable access, Resource allocation associated with extending longevity, Other: Why extend lifespan at all? Do humans need to live that long?</t>
  </si>
  <si>
    <t xml:space="preserve">G6-010</t>
  </si>
  <si>
    <t xml:space="preserve">It has a major effect on health or quality of life, Early intervention could prevent more serious future problems</t>
  </si>
  <si>
    <t xml:space="preserve">Memory, thinking, and learning ability, Independence and the ability to make my own decisions, Mental and emotional well-being</t>
  </si>
  <si>
    <t xml:space="preserve">(i) Extending or maintaining reproductive health and function as people age; (ii) Making aging research, information, and resources easier for the public to access and understand; (iii) Using AI to analyze complex aging data and help identify new interventions</t>
  </si>
  <si>
    <t xml:space="preserve">Potential to improve equity and accessibility, Potential to reduce future healthcare and societal costs</t>
  </si>
  <si>
    <t xml:space="preserve">Equitable access, Privacy and health-data protection, Informed consent and individual autonomy</t>
  </si>
  <si>
    <t xml:space="preserve">G6-011</t>
  </si>
  <si>
    <t xml:space="preserve">Addressing it could reduce health and social inequalities</t>
  </si>
  <si>
    <t xml:space="preserve">Physical health and mobility, Close relationships with family and friends, Financial security</t>
  </si>
  <si>
    <t xml:space="preserve">Privacy and security of personal health data</t>
  </si>
  <si>
    <t xml:space="preserve">Yes, but they should not unnecessarily restrict research; Algorithmic bias and discrimination, Informed consent and individual autonomy, Reproductive choice and reproductive ethics</t>
  </si>
  <si>
    <t xml:space="preserve">G6-012</t>
  </si>
  <si>
    <t xml:space="preserve">Independence and caregiver burden</t>
  </si>
  <si>
    <t xml:space="preserve">I am not sure / I do not know enough about it</t>
  </si>
  <si>
    <t xml:space="preserve">Not sure; most helpful actions: Regular exercise and physical activity, Maintaining a healthy diet, Getting adequate sleep</t>
  </si>
  <si>
    <t xml:space="preserve">Personal relevance to my own or my family's health, Potential to reduce future healthcare and societal costs</t>
  </si>
  <si>
    <t xml:space="preserve">G6-013</t>
  </si>
  <si>
    <t xml:space="preserve">Cognitive decline and dementia</t>
  </si>
  <si>
    <t xml:space="preserve">Probably not very much; most helpful actions: Regular exercise and physical activity, Maintaining a healthy diet, Getting adequate sleep</t>
  </si>
  <si>
    <t xml:space="preserve">G6-014</t>
  </si>
  <si>
    <t xml:space="preserve">It has a major effect on health or quality of life, Addressing it could reduce health and social inequalities</t>
  </si>
  <si>
    <t xml:space="preserve">Not sure; most helpful actions: Regular exercise and physical activity, Regular health screening and preventive care, Saving and planning financially for later life</t>
  </si>
  <si>
    <t xml:space="preserve">(i) Extending or maintaining reproductive health and function as people age; (ii) Making aging research, information, and resources easier for the public to access and understand; (iii) All of the above</t>
  </si>
  <si>
    <t xml:space="preserve">Privacy and health-data protection, Informed consent and individual autonomy, Resource allocation associated with extending longevity</t>
  </si>
  <si>
    <t xml:space="preserve">G6-015</t>
  </si>
  <si>
    <t xml:space="preserve">Victoria</t>
  </si>
  <si>
    <t xml:space="preserve">Victoria, Australia</t>
  </si>
  <si>
    <t xml:space="preserve">Memory, thinking, and learning ability, Independence and the ability to make my own decisions, Financial security</t>
  </si>
  <si>
    <t xml:space="preserve">To some extent; most helpful actions: Regular health screening and preventive care, Saving and planning financially for later life</t>
  </si>
  <si>
    <t xml:space="preserve">(i) Extending or maintaining reproductive health and function as people age; (ii) Ensuring that people from different income levels, regions, and social groups have equitable access; (iii) Using AI to provide personalized diagnosis, treatment, or precision health</t>
  </si>
  <si>
    <t xml:space="preserve">G6-016</t>
  </si>
  <si>
    <t xml:space="preserve">Ageism and social participation</t>
  </si>
  <si>
    <t xml:space="preserve">Addressing it could help older adults maintain independence and dignity</t>
  </si>
  <si>
    <t xml:space="preserve">Definitely yes; most helpful actions: Regular exercise and physical activity, Getting adequate sleep, Saving and planning financially for later life</t>
  </si>
  <si>
    <t xml:space="preserve">Yes, but they should not unnecessarily restrict research; Equitable access, Privacy and health-data protection, Algorithmic bias and discrimination</t>
  </si>
  <si>
    <t xml:space="preserve">G6-017</t>
  </si>
  <si>
    <t xml:space="preserve">To some extent; most helpful actions: Regular exercise and physical activity, Getting adequate sleep, Regular health screening and preventive care</t>
  </si>
  <si>
    <t xml:space="preserve">(i) Studying both fertility and how reproductive aging influences overall long-term health; (ii) Making aging research, information, and resources easier for the public to access and understand; (iii) All of the above</t>
  </si>
  <si>
    <t xml:space="preserve">Yes, but they should not unnecessarily restrict research; Privacy and health-data protection, Informed consent and individual autonomy, Transparency and accountability</t>
  </si>
  <si>
    <t xml:space="preserve">G6-018</t>
  </si>
  <si>
    <t xml:space="preserve">Personal relevance to my own or my family's health, Lower perceived ethical risks</t>
  </si>
  <si>
    <t xml:space="preserve">G6-019</t>
  </si>
  <si>
    <t xml:space="preserve">Physical health and mobility, Independence and the ability to make my own decisions, Mental and emotional well-being</t>
  </si>
  <si>
    <t xml:space="preserve">Not sure; most helpful actions: Getting adequate sleep, Regular health screening and preventive care, Maintaining cognitive activities such as learning and reading</t>
  </si>
  <si>
    <t xml:space="preserve">Likelihood of producing useful solutions in the near future, Potential to reduce future healthcare and societal costs</t>
  </si>
  <si>
    <t xml:space="preserve">Overreliance on technology or over-medicalization of normal aging</t>
  </si>
  <si>
    <t xml:space="preserve">G6-020</t>
  </si>
  <si>
    <t xml:space="preserve">It affects a large proportion of the population</t>
  </si>
  <si>
    <t xml:space="preserve">Mental and emotional well-being, Financial security, Dignity and respect from others</t>
  </si>
  <si>
    <t xml:space="preserve">Probably not very much; most helpful actions: Saving and planning financially for later life</t>
  </si>
  <si>
    <t xml:space="preserve">(i) Studying both fertility and how reproductive aging influences overall long-term health; (ii) I am not sure; (iii) I am not sure</t>
  </si>
  <si>
    <t xml:space="preserve">Personal relevance to my own or my family's health, Likelihood of producing useful solutions in the near future</t>
  </si>
  <si>
    <t xml:space="preserve">Reproductive choice and reproductive ethics</t>
  </si>
  <si>
    <t xml:space="preserve">G6-021</t>
  </si>
  <si>
    <t xml:space="preserve">Physical health and mobility, Memory, thinking, and learning ability, Close relationships with family and friends</t>
  </si>
  <si>
    <t xml:space="preserve">To some extent; most helpful actions: Maintaining social connections with family, friends, and community, Saving and planning financially for later life, Avoiding smoking, excessive alcohol use, and other health risks</t>
  </si>
  <si>
    <t xml:space="preserve">Privacy and health-data protection, Informed consent and individual autonomy, Safety and sufficient scientific evidence</t>
  </si>
  <si>
    <t xml:space="preserve">G6-022</t>
  </si>
  <si>
    <t xml:space="preserve">Physical health and mobility, Independence and the ability to make my own decisions, Dignity and respect from others</t>
  </si>
  <si>
    <t xml:space="preserve">Yes, but they should not unnecessarily restrict research; Equitable access, Informed consent and individual autonomy, Safety and sufficient scientific evidence</t>
  </si>
  <si>
    <t xml:space="preserve">G6-023</t>
  </si>
  <si>
    <t xml:space="preserve">To some extent; most helpful actions: Regular exercise and physical activity, Maintaining cognitive activities such as learning and reading, Avoiding smoking, excessive alcohol use, and other health risks</t>
  </si>
  <si>
    <t xml:space="preserve">Yes, but they should not unnecessarily restrict research; Equitable access, Informed consent and individual autonomy, Resource allocation associated with extending longevity</t>
  </si>
  <si>
    <t xml:space="preserve">G6-024</t>
  </si>
  <si>
    <t xml:space="preserve">It affects a large proportion of the population, Addressing it could reduce long-term healthcare or social costs</t>
  </si>
  <si>
    <t xml:space="preserve">Physical health and mobility, Mental and emotional well-being, A sense of purpose, productivity, or ability to contribute to society</t>
  </si>
  <si>
    <t xml:space="preserve">Not sure; most helpful actions: Regular exercise and physical activity, Maintaining cognitive activities such as learning and reading, Maintaining social connections with family, friends, and community</t>
  </si>
  <si>
    <t xml:space="preserve">(i) I am not sure what this topic means; (ii) Ensuring that people from different income levels, regions, and social groups have equitable access; (iii) Using AI to analyze complex aging data and help identify new interventions</t>
  </si>
  <si>
    <t xml:space="preserve">G6-025</t>
  </si>
  <si>
    <t xml:space="preserve">It has a major effect on health or quality of life, Practical solutions are already available</t>
  </si>
  <si>
    <t xml:space="preserve">(i) Extending or maintaining reproductive health and function as people age; (ii) Making longevity and health technologies less expensive; (iii) Using AI to predict future disease risks</t>
  </si>
  <si>
    <t xml:space="preserve">G6-026</t>
  </si>
  <si>
    <t xml:space="preserve">Memory, thinking, and learning ability, Financial security, A sense of purpose, productivity, or ability to contribute to society</t>
  </si>
  <si>
    <t xml:space="preserve">To some extent; most helpful actions: Regular exercise and physical activity, Maintaining cognitive activities such as learning and reading, Saving and planning financially for later life</t>
  </si>
  <si>
    <t xml:space="preserve">G6-027</t>
  </si>
  <si>
    <t xml:space="preserve">Self-described</t>
  </si>
  <si>
    <t xml:space="preserve">Mostly outside of my control; most helpful actions: Maintaining a healthy diet, Getting adequate sleep, Saving and planning financially for later life</t>
  </si>
  <si>
    <t xml:space="preserve">(i) Mainly improving infertility treatments and assisted reproductive technologies; (ii) Making aging research, information, and resources easier for the public to access and understand; (iii) Using AI to provide personalized diagnosis, treatment, or precision health</t>
  </si>
  <si>
    <t xml:space="preserve">Scientific or technological potential, Likelihood of producing useful solutions in the near future</t>
  </si>
  <si>
    <t xml:space="preserve">Equitable access, Algorithmic bias and discrimination, Informed consent and individual autonomy</t>
  </si>
  <si>
    <t xml:space="preserve">G6-028</t>
  </si>
  <si>
    <t xml:space="preserve">Physical health and mobility, Memory, thinking, and learning ability, Financial security</t>
  </si>
  <si>
    <t xml:space="preserve">G6-029</t>
  </si>
  <si>
    <t xml:space="preserve">Physical health and mobility, Independence and the ability to make my own decisions, Close relationships with family and friends</t>
  </si>
  <si>
    <t xml:space="preserve">Probably not very much; most helpful actions: Regular exercise and physical activity, Maintaining a healthy diet, Regular health screening and preventive care</t>
  </si>
  <si>
    <t xml:space="preserve">(i) Studying both fertility and how reproductive aging influences overall long-term health; (ii) Ensuring that people from different income levels, regions, and social groups have equitable access; (iii) Using AI to predict future disease risks</t>
  </si>
  <si>
    <t xml:space="preserve">Equitable access, Informed consent and individual autonomy, Safety and sufficient scientific evidence</t>
  </si>
  <si>
    <t xml:space="preserve">G6-030</t>
  </si>
  <si>
    <t xml:space="preserve">It affects a large proportion of the population, Addressing it could help older adults maintain independence and dignity</t>
  </si>
  <si>
    <t xml:space="preserve">Physical health and mobility, Independence and the ability to make my own decisions, Financial security</t>
  </si>
  <si>
    <t xml:space="preserve">To some extent; most helpful actions: Regular exercise and physical activity, Regular health screening and preventive care, Maintaining social connections with family, friends, and community</t>
  </si>
  <si>
    <t xml:space="preserve">Yes, but they should not unnecessarily restrict research; Equitable access, Algorithmic bias and discrimination, Informed consent and individual autonomy</t>
  </si>
  <si>
    <t xml:space="preserve">G6-031</t>
  </si>
  <si>
    <t xml:space="preserve">Physical health and mobility, Memory, thinking, and learning ability, A sense of purpose, productivity, or ability to contribute to society</t>
  </si>
  <si>
    <t xml:space="preserve">To some extent; most helpful actions: Regular exercise and physical activity, Maintaining a healthy diet, Saving and planning financially for later life</t>
  </si>
  <si>
    <t xml:space="preserve">G6-032</t>
  </si>
  <si>
    <t xml:space="preserve">Not sure; most helpful actions: Regular exercise and physical activity, Maintaining a healthy diet, Regular health screening and preventive care</t>
  </si>
  <si>
    <t xml:space="preserve">Potential to benefit the largest number of people, Likelihood of producing useful solutions in the near future</t>
  </si>
  <si>
    <t xml:space="preserve">G6-033</t>
  </si>
  <si>
    <t xml:space="preserve">Aging mainly reflects the passage of time and does not necessarily mean declining health or function</t>
  </si>
  <si>
    <t xml:space="preserve">Early intervention could prevent more serious future problems</t>
  </si>
  <si>
    <t xml:space="preserve">Physical health and mobility, Independence and the ability to make my own decisions, A sense of purpose, productivity, or ability to contribute to society</t>
  </si>
  <si>
    <t xml:space="preserve">To some extent; most helpful actions: Regular exercise and physical activity, Maintaining a healthy diet, Maintaining social connections with family, friends, and community</t>
  </si>
  <si>
    <t xml:space="preserve">(i) Extending or maintaining reproductive health and function as people age; (ii) Making longevity and health technologies less expensive; (iii) Using AI to provide personalized diagnosis, treatment, or precision health</t>
  </si>
  <si>
    <t xml:space="preserve">Yes, but they should not unnecessarily restrict research; Privacy and health-data protection</t>
  </si>
  <si>
    <t xml:space="preserve">G6-034</t>
  </si>
  <si>
    <t xml:space="preserve">To some extent; most helpful actions: Maintaining a healthy diet, Maintaining social connections with family, friends, and community, Avoiding smoking, excessive alcohol use, and other health risks</t>
  </si>
  <si>
    <t xml:space="preserve">(i) Extending or maintaining reproductive health and function as people age; (ii) All of the above; (iii) Using AI to provide personalized diagnosis, treatment, or precision health</t>
  </si>
  <si>
    <t xml:space="preserve">Yes, but they should not unnecessarily restrict research; Privacy and health-data protection, Reproductive choice and reproductive ethics, Resource allocation associated with extending longevity</t>
  </si>
  <si>
    <t xml:space="preserve">G6-035</t>
  </si>
  <si>
    <t xml:space="preserve">Physical health and mobility, Mental and emotional well-being, Financial security</t>
  </si>
  <si>
    <t xml:space="preserve">Scientific or technological potential, Potential to reduce future healthcare and societal costs</t>
  </si>
  <si>
    <t xml:space="preserve">Yes, but they should not unnecessarily restrict research; Equitable access, Transparency and accountability</t>
  </si>
  <si>
    <t xml:space="preserve">G6-036</t>
  </si>
  <si>
    <t xml:space="preserve">To some extent; most helpful actions: Avoiding smoking, excessive alcohol use, and other health risks</t>
  </si>
  <si>
    <t xml:space="preserve">(i) I am not sure what this topic means; (ii) Making aging research, information, and resources easier for the public to access and understand; (iii) Using AI to predict future disease risks</t>
  </si>
  <si>
    <t xml:space="preserve">G6-037</t>
  </si>
  <si>
    <t xml:space="preserve">A process best defined by changes in functional ability and independence</t>
  </si>
  <si>
    <t xml:space="preserve">Probably not very much; most helpful actions: Regular exercise and physical activity, Maintaining social connections with family, friends, and community, Saving and planning financially for later life</t>
  </si>
  <si>
    <t xml:space="preserve">(i) Mainly improving infertility treatments and assisted reproductive technologies; (ii) All of the above; (iii) All of the above</t>
  </si>
  <si>
    <t xml:space="preserve">Algorithmic bias and discrimination, Safety and sufficient scientific evidence, Reproductive choice and reproductive ethics</t>
  </si>
  <si>
    <t xml:space="preserve">G6-038</t>
  </si>
  <si>
    <t xml:space="preserve">G6-039</t>
  </si>
  <si>
    <t xml:space="preserve">Addressing it could reduce long-term healthcare or social costs, Addressing it could reduce health and social inequalities</t>
  </si>
  <si>
    <t xml:space="preserve">Not sure; most helpful actions: Regular exercise and physical activity, Regular health screening and preventive care, Avoiding smoking, excessive alcohol use, and other health risks</t>
  </si>
  <si>
    <t xml:space="preserve">(i) Studying both fertility and how reproductive aging influences overall long-term health; (ii) All of the above; (iii) Using AI to provide personalized diagnosis, treatment, or precision health</t>
  </si>
  <si>
    <t xml:space="preserve">G6-040</t>
  </si>
  <si>
    <t xml:space="preserve">To some extent; most helpful actions: Maintaining cognitive activities such as learning and reading, Maintaining social connections with family, friends, and community, Managing stress and supporting mental health</t>
  </si>
  <si>
    <t xml:space="preserve">Personal relevance to my own or my family's health, Scientific or technological potential</t>
  </si>
  <si>
    <t xml:space="preserve">G6-041</t>
  </si>
  <si>
    <t xml:space="preserve">Probably not very much; most helpful actions: Regular exercise and physical activity, Maintaining a healthy diet, Maintaining cognitive activities such as learning and reading</t>
  </si>
  <si>
    <t xml:space="preserve">G6-042</t>
  </si>
  <si>
    <t xml:space="preserve">Inequality in access to health resources and technology</t>
  </si>
  <si>
    <t xml:space="preserve">To some extent; most helpful actions: Regular exercise and physical activity, Maintaining a healthy diet, Avoiding smoking, excessive alcohol use, and other health risks</t>
  </si>
  <si>
    <t xml:space="preserve">G6-043</t>
  </si>
  <si>
    <t xml:space="preserve">Memory, thinking, and learning ability, Independence and the ability to make my own decisions, Close relationships with family and friends</t>
  </si>
  <si>
    <t xml:space="preserve">Not sure; most helpful actions: Maintaining a healthy diet, Getting adequate sleep, Regular health screening and preventive care</t>
  </si>
  <si>
    <t xml:space="preserve">Equitable access, Safety and sufficient scientific evidence, Transparency and accountability</t>
  </si>
  <si>
    <t xml:space="preserve">G6-044</t>
  </si>
  <si>
    <t xml:space="preserve">Ageism and limited social participation</t>
  </si>
  <si>
    <t xml:space="preserve">To some extent; most helpful actions: Regular exercise and physical activity, Maintaining a healthy diet, Regular health screening and preventive care</t>
  </si>
  <si>
    <t xml:space="preserve">(i) Extending or maintaining reproductive health and function as people age; (ii) Making aging research, information, and resources easier for the public to access and understand; (iii) Using AI to provide personalized diagnosis, treatment, or precision health</t>
  </si>
  <si>
    <t xml:space="preserve">Potential to improve equity and accessibility, Scientific or technological potential</t>
  </si>
  <si>
    <t xml:space="preserve">Yes, but they should not unnecessarily restrict research; Equitable access, Privacy and health-data protection, Informed consent and individual autonomy</t>
  </si>
  <si>
    <t xml:space="preserve">G6-045</t>
  </si>
  <si>
    <t xml:space="preserve">Addressing it could reduce health and social inequalities, Addressing it could help older adults maintain independence and dignity</t>
  </si>
  <si>
    <t xml:space="preserve">I see little or no action addressing the problem</t>
  </si>
  <si>
    <t xml:space="preserve">Equitable access, Algorithmic bias and discrimination, Resource allocation associated with extending longevity</t>
  </si>
  <si>
    <t xml:space="preserve">G6-046</t>
  </si>
  <si>
    <t xml:space="preserve">from: "Asia" – location too vague to place; residence: "Asia" – location too vague to place</t>
  </si>
  <si>
    <t xml:space="preserve">G6-047</t>
  </si>
  <si>
    <t xml:space="preserve">Privacy and health-data protection, Algorithmic bias and discrimination, Informed consent and individual autonomy</t>
  </si>
  <si>
    <t xml:space="preserve">G6-048</t>
  </si>
  <si>
    <t xml:space="preserve">G6-049</t>
  </si>
  <si>
    <t xml:space="preserve">(i) I am not sure what this topic means; (ii) All of the above; (iii) Using AI to predict future disease risks</t>
  </si>
  <si>
    <t xml:space="preserve">G6-050</t>
  </si>
  <si>
    <t xml:space="preserve">Other: Societal burden, including transfer payments and labor shortages</t>
  </si>
  <si>
    <t xml:space="preserve">Other: As stated above, but structural problems are difficult to solve</t>
  </si>
  <si>
    <t xml:space="preserve">Physical health and mobility, Memory, thinking, and learning ability, Dignity and respect from others</t>
  </si>
  <si>
    <t xml:space="preserve">G6-051</t>
  </si>
  <si>
    <t xml:space="preserve">Definitely yes; most helpful actions: Regular exercise and physical activity, Maintaining cognitive activities such as learning and reading, Maintaining social connections with family, friends, and community</t>
  </si>
  <si>
    <t xml:space="preserve">(i) I am not sure what this topic means; (ii) Making aging research, information, and resources easier for the public to access and understand; (iii) Using AI to provide personalized diagnosis, treatment, or precision health</t>
  </si>
  <si>
    <t xml:space="preserve">Potential to benefit the largest number of people, Scientific or technological potential</t>
  </si>
  <si>
    <t xml:space="preserve">No special safeguards are necessary</t>
  </si>
  <si>
    <t xml:space="preserve">G6-052</t>
  </si>
  <si>
    <t xml:space="preserve">Definitely yes; most helpful actions: Regular health screening and preventive care, Maintaining cognitive activities such as learning and reading, Using new medical or health-monitoring technologies</t>
  </si>
  <si>
    <t xml:space="preserve">G6-053</t>
  </si>
  <si>
    <t xml:space="preserve">Memory, thinking, and learning ability, Independence and the ability to make my own decisions, Hobbies and the ability to enjoy life</t>
  </si>
  <si>
    <t xml:space="preserve">To some extent; most helpful actions: Regular health screening and preventive care, Maintaining cognitive activities such as learning and reading, Saving and planning financially for later life</t>
  </si>
  <si>
    <t xml:space="preserve">Equitable access, Informed consent and individual autonomy, Transparency and accountability</t>
  </si>
  <si>
    <t xml:space="preserve">G6-054</t>
  </si>
  <si>
    <t xml:space="preserve">Close relationships with family and friends, Mental and emotional well-being, Hobbies and the ability to enjoy life</t>
  </si>
  <si>
    <t xml:space="preserve">To some extent; most helpful actions: Getting adequate sleep, Maintaining social connections with family, friends, and community, Managing stress and supporting mental health</t>
  </si>
  <si>
    <t xml:space="preserve">G6-055</t>
  </si>
  <si>
    <t xml:space="preserve">Algorithmic bias and discrimination, Informed consent and individual autonomy, Safety and sufficient scientific evidence</t>
  </si>
  <si>
    <t xml:space="preserve">G6-056</t>
  </si>
  <si>
    <t xml:space="preserve">To some extent; most helpful actions: Regular exercise and physical activity, Maintaining cognitive activities such as learning and reading, Managing stress and supporting mental health</t>
  </si>
  <si>
    <t xml:space="preserve">Informed consent and individual autonomy, Safety and sufficient scientific evidence, Resource allocation associated with extending longevity</t>
  </si>
  <si>
    <t xml:space="preserve">G6-057</t>
  </si>
  <si>
    <t xml:space="preserve">G6-058</t>
  </si>
  <si>
    <t xml:space="preserve">To some extent; most helpful actions: Regular health screening and preventive care, Saving and planning financially for later life, Using new medical or health-monitoring technologies</t>
  </si>
  <si>
    <t xml:space="preserve">Privacy and health-data protection, Informed consent and individual autonomy, Transparency and accountability</t>
  </si>
  <si>
    <t xml:space="preserve">G6-059</t>
  </si>
  <si>
    <t xml:space="preserve">Yes, but they should not unnecessarily restrict research; Equitable access, Safety and sufficient scientific evidence, Reproductive choice and reproductive ethics</t>
  </si>
  <si>
    <t xml:space="preserve">G6-060</t>
  </si>
  <si>
    <t xml:space="preserve">Other: I think the Chinese term for biological aging and the English word “aging” are not completely equivalent; their meanings should be represented as different answer options.</t>
  </si>
  <si>
    <t xml:space="preserve">It affects a large proportion of the population, Other: If it is not addressed, the problem will become very serious by my generation</t>
  </si>
  <si>
    <t xml:space="preserve">To some extent; most helpful actions: Regular exercise and physical activity, Maintaining cognitive activities such as learning and reading, Maintaining social connections with family, friends, and community</t>
  </si>
  <si>
    <t xml:space="preserve">G6-061</t>
  </si>
  <si>
    <t xml:space="preserve">To some extent; most helpful actions: Regular health screening and preventive care, Saving and planning financially for later life, Managing stress and supporting mental health</t>
  </si>
  <si>
    <t xml:space="preserve">Algorithmic bias and discrimination, Informed consent and individual autonomy, Transparency and accountability</t>
  </si>
  <si>
    <t xml:space="preserve">G6-062</t>
  </si>
  <si>
    <t xml:space="preserve">Yes, but they should not unnecessarily restrict research; Informed consent and individual autonomy, Resource allocation associated with extending longevity</t>
  </si>
  <si>
    <t xml:space="preserve">G6-063</t>
  </si>
  <si>
    <t xml:space="preserve">Physical health and mobility, Close relationships with family and friends, Dignity and respect from others</t>
  </si>
  <si>
    <t xml:space="preserve">To some extent; most helpful actions: Regular exercise and physical activity, Maintaining a healthy diet, Maintaining cognitive activities such as learning and reading</t>
  </si>
  <si>
    <t xml:space="preserve">G6-064</t>
  </si>
  <si>
    <t xml:space="preserve">G6-065</t>
  </si>
  <si>
    <t xml:space="preserve">It has a major effect on health or quality of life, Addressing it could reduce long-term healthcare or social costs</t>
  </si>
  <si>
    <t xml:space="preserve">To some extent; most helpful actions: Regular exercise and physical activity, Regular health screening and preventive care, Saving and planning financially for later life</t>
  </si>
  <si>
    <t xml:space="preserve">Equitable access, Privacy and health-data protection, Resource allocation associated with extending longevity</t>
  </si>
  <si>
    <t xml:space="preserve">G6-066</t>
  </si>
  <si>
    <t xml:space="preserve">To some extent; most helpful actions: Maintaining cognitive activities such as learning and reading, Maintaining social connections with family, friends, and community</t>
  </si>
  <si>
    <t xml:space="preserve">Algorithmic bias and discrimination</t>
  </si>
  <si>
    <t xml:space="preserve">G6-067</t>
  </si>
  <si>
    <t xml:space="preserve">(i) I am not sure what this topic means; (ii) Ensuring that people from different income levels, regions, and social groups have equitable access; (iii) All of the above</t>
  </si>
  <si>
    <t xml:space="preserve">Equitable access, Privacy and health-data protection, Reproductive choice and reproductive ethics</t>
  </si>
  <si>
    <t xml:space="preserve">G6-068</t>
  </si>
  <si>
    <t xml:space="preserve">(i) I am not sure what this topic means; (ii) Making longevity and health technologies less expensive; (iii) I am not sure</t>
  </si>
  <si>
    <t xml:space="preserve">Potential to improve equity and accessibility</t>
  </si>
  <si>
    <t xml:space="preserve">Other: It may not actually extend longevity</t>
  </si>
  <si>
    <t xml:space="preserve">Yes, but they should not unnecessarily restrict research; Equitable access, Safety and sufficient scientific evidence, Resource allocation associated with extending longevity</t>
  </si>
  <si>
    <t xml:space="preserve">G6-069</t>
  </si>
  <si>
    <t xml:space="preserve">Practical solutions are already available, Addressing it could reduce health and social inequalities</t>
  </si>
  <si>
    <t xml:space="preserve">G6-070</t>
  </si>
  <si>
    <t xml:space="preserve">Physical health and mobility, Mental and emotional well-being, Dignity and respect from others</t>
  </si>
  <si>
    <t xml:space="preserve">(i) I am not sure what this topic means; (ii) Making aging research, information, and resources easier for the public to access and understand; (iii) All of the above</t>
  </si>
  <si>
    <t xml:space="preserve">Informed consent and individual autonomy, Safety and sufficient scientific evidence, Transparency and accountability</t>
  </si>
  <si>
    <t xml:space="preserve">G6-071</t>
  </si>
  <si>
    <t xml:space="preserve">Independence and the ability to make my own decisions, Mental and emotional well-being, Dignity and respect from others</t>
  </si>
  <si>
    <t xml:space="preserve">To some extent; most helpful actions: Maintaining cognitive activities such as learning and reading, Saving and planning financially for later life, Managing stress and supporting mental health</t>
  </si>
  <si>
    <t xml:space="preserve">(i) Studying both fertility and how reproductive aging influences overall long-term health; (ii) Ensuring that people from different income levels, regions, and social groups have equitable access; (iii) All of the above</t>
  </si>
  <si>
    <t xml:space="preserve">Yes, but they should not unnecessarily restrict research; Algorithmic bias and discrimination, Informed consent and individual autonomy, Resource allocation associated with extending longevity</t>
  </si>
  <si>
    <t xml:space="preserve">G6-072</t>
  </si>
  <si>
    <t xml:space="preserve">Not sure; most helpful actions: Regular exercise and physical activity, Getting adequate sleep, Managing stress and supporting mental health</t>
  </si>
  <si>
    <t xml:space="preserve">G6-073</t>
  </si>
  <si>
    <t xml:space="preserve">Independence and the ability to make my own decisions, Financial security, Hobbies and the ability to enjoy life</t>
  </si>
  <si>
    <t xml:space="preserve">Not sure; most helpful actions: Getting adequate sleep, Regular health screening and preventive care, Saving and planning financially for later life</t>
  </si>
  <si>
    <t xml:space="preserve">G6-074</t>
  </si>
  <si>
    <t xml:space="preserve">To some extent; most helpful actions: Maintaining cognitive activities such as learning and reading, Maintaining social connections with family, friends, and community, Avoiding smoking, excessive alcohol use, and other health risks</t>
  </si>
  <si>
    <t xml:space="preserve">G6-075</t>
  </si>
  <si>
    <t xml:space="preserve">Memory, thinking, and learning ability, Mental and emotional well-being, Hobbies and the ability to enjoy life</t>
  </si>
  <si>
    <t xml:space="preserve">Definitely yes; most helpful actions: Regular exercise and physical activity, Maintaining a healthy diet, Getting adequate sleep</t>
  </si>
  <si>
    <t xml:space="preserve">G6-076</t>
  </si>
  <si>
    <t xml:space="preserve">Informed consent and individual autonomy, Transparency and accountability</t>
  </si>
  <si>
    <t xml:space="preserve">G6-077</t>
  </si>
  <si>
    <t xml:space="preserve">G6-078</t>
  </si>
  <si>
    <t xml:space="preserve">Yes, but they should not unnecessarily restrict research; Safety and sufficient scientific evidence, Reproductive choice and reproductive ethics, Transparency and accountability</t>
  </si>
  <si>
    <t xml:space="preserve">G6-079</t>
  </si>
  <si>
    <t xml:space="preserve">Definitely yes; most helpful actions: Regular exercise and physical activity, Regular health screening and preventive care, Maintaining cognitive activities such as learning and reading</t>
  </si>
  <si>
    <t xml:space="preserve">G6-080</t>
  </si>
  <si>
    <t xml:space="preserve">G6-081</t>
  </si>
  <si>
    <t xml:space="preserve">Practical solutions are already available, Addressing it could help older adults maintain independence and dignity</t>
  </si>
  <si>
    <t xml:space="preserve">Physical health and mobility, Financial security, A sense of purpose, productivity, or ability to contribute to society</t>
  </si>
  <si>
    <t xml:space="preserve">To some extent; most helpful actions: Regular exercise and physical activity, Getting adequate sleep, Saving and planning financially for later life</t>
  </si>
  <si>
    <t xml:space="preserve">(i) Other: In addition to fertility, research and treatment of reproductive-organ-related diseases should also be improved, such as dysmenorrhea and endometriosis; (ii) All of the above; (iii) All of the above</t>
  </si>
  <si>
    <t xml:space="preserve">Yes, but they should not unnecessarily restrict research; Privacy and health-data protection, Informed consent and individual autonomy, Reproductive choice and reproductive ethics</t>
  </si>
  <si>
    <t xml:space="preserve">G6-082</t>
  </si>
  <si>
    <t xml:space="preserve">(i) Extending or maintaining reproductive health and function as people age; (ii) All of the above; (iii) Using AI to analyze complex aging data and help identify new interventions</t>
  </si>
  <si>
    <t xml:space="preserve">Privacy and health-data protection, Algorithmic bias and discrimination, Reproductive choice and reproductive ethics</t>
  </si>
  <si>
    <t xml:space="preserve">G6-083</t>
  </si>
  <si>
    <t xml:space="preserve">(i) Extending or maintaining reproductive health and function as people age; (ii) Ensuring that people from different income levels, regions, and social groups have equitable access; (iii) All of the above</t>
  </si>
  <si>
    <t xml:space="preserve">Privacy and health-data protection, Safety and sufficient scientific evidence, Resource allocation associated with extending longevity</t>
  </si>
  <si>
    <t xml:space="preserve">G6-084</t>
  </si>
  <si>
    <t xml:space="preserve">To some extent; most helpful actions: Regular exercise and physical activity, Maintaining social connections with family, friends, and community, Saving and planning financially for later life</t>
  </si>
  <si>
    <t xml:space="preserve">(i) Extending or maintaining reproductive health and function as people age; (ii) Making longevity and health technologies less expensive; (iii) All of the above</t>
  </si>
  <si>
    <t xml:space="preserve">Yes, but they should not unnecessarily restrict research; Resource allocation associated with extending longevity</t>
  </si>
  <si>
    <t xml:space="preserve">G6-085</t>
  </si>
  <si>
    <t xml:space="preserve">To some extent; most helpful actions: Maintaining a healthy diet, Regular health screening and preventive care, Maintaining social connections with family, friends, and community</t>
  </si>
  <si>
    <t xml:space="preserve">G6-086</t>
  </si>
  <si>
    <t xml:space="preserve">Not sure; most helpful actions: Regular exercise and physical activity, Maintaining a healthy diet, Avoiding smoking, excessive alcohol use, and other health risks</t>
  </si>
  <si>
    <t xml:space="preserve">Yes, but they should not unnecessarily restrict research; Privacy and health-data protection, Informed consent and individual autonomy, Safety and sufficient scientific evidence</t>
  </si>
  <si>
    <t xml:space="preserve">G6-087</t>
  </si>
  <si>
    <t xml:space="preserve">Yes, but they should not unnecessarily restrict research; Informed consent and individual autonomy, Reproductive choice and reproductive ethics, Resource allocation associated with extending longevity</t>
  </si>
  <si>
    <t xml:space="preserve">G6-088</t>
  </si>
  <si>
    <t xml:space="preserve">Safety and sufficient scientific evidence, Resource allocation associated with extending longevity, Transparency and accountability</t>
  </si>
  <si>
    <t xml:space="preserve">G6-089</t>
  </si>
  <si>
    <t xml:space="preserve">To some extent; most helpful actions: Maintaining a healthy diet, Maintaining social connections with family, friends, and community, Using new medical or health-monitoring technologies</t>
  </si>
  <si>
    <t xml:space="preserve">Privacy and health-data protection, Safety and sufficient scientific evidence, Transparency and accountability</t>
  </si>
  <si>
    <t xml:space="preserve">G6-090</t>
  </si>
  <si>
    <t xml:space="preserve">To some extent; most helpful actions: Regular exercise and physical activity, Getting adequate sleep, Maintaining cognitive activities such as learning and reading</t>
  </si>
  <si>
    <t xml:space="preserve">G6-091</t>
  </si>
  <si>
    <t xml:space="preserve">Yes, but they should not unnecessarily restrict research; Equitable access, Privacy and health-data protection, Reproductive choice and reproductive ethics</t>
  </si>
  <si>
    <t xml:space="preserve">G6-092</t>
  </si>
  <si>
    <t xml:space="preserve">Not sure; most helpful actions: Regular health screening and preventive care, Saving and planning financially for later life</t>
  </si>
  <si>
    <t xml:space="preserve">G6-093</t>
  </si>
  <si>
    <t xml:space="preserve">To some extent; most helpful actions: Maintaining a healthy diet, Getting adequate sleep, Maintaining social connections with family, friends, and community</t>
  </si>
  <si>
    <t xml:space="preserve">G6-094</t>
  </si>
  <si>
    <t xml:space="preserve">G6-095</t>
  </si>
  <si>
    <t xml:space="preserve">G6-096</t>
  </si>
  <si>
    <t xml:space="preserve">Privacy and health-data protection, Informed consent and individual autonomy, Reproductive choice and reproductive ethics</t>
  </si>
  <si>
    <t xml:space="preserve">G6-097</t>
  </si>
  <si>
    <t xml:space="preserve">G6-098</t>
  </si>
  <si>
    <t xml:space="preserve">(i) Studying both fertility and how reproductive aging influences overall long-term health; (ii) Ensuring that people from different income levels, regions, and social groups have equitable access; (iii) Using AI to analyze complex aging data and help identify new interventions</t>
  </si>
  <si>
    <t xml:space="preserve">G6-099</t>
  </si>
  <si>
    <t xml:space="preserve">Yes, but they should not unnecessarily restrict research; Equitable access, Privacy and health-data protection, Transparency and accountability</t>
  </si>
  <si>
    <t xml:space="preserve">G6-100</t>
  </si>
  <si>
    <t xml:space="preserve">G6-101</t>
  </si>
  <si>
    <t xml:space="preserve">Yes, but they should not unnecessarily restrict research; Equitable access, Algorithmic bias and discrimination, Safety and sufficient scientific evidence</t>
  </si>
  <si>
    <t xml:space="preserve">G6-102</t>
  </si>
  <si>
    <t xml:space="preserve">It has a major effect on health or quality of life, Early intervention could prevent more serious future problems, Addressing it could reduce long-term healthcare or social costs</t>
  </si>
  <si>
    <t xml:space="preserve">Personal relevance to my own or my family's health, Scientific or technological potential, Likelihood of producing useful solutions in the near future</t>
  </si>
  <si>
    <t xml:space="preserve">G6-103</t>
  </si>
  <si>
    <t xml:space="preserve">It affects a large proportion of the population, It has a major effect on health or quality of life, Addressing it could reduce health and social inequalities</t>
  </si>
  <si>
    <t xml:space="preserve">Potential to benefit the largest number of people, Potential to improve equity and accessibility, Likelihood of producing useful solutions in the near future</t>
  </si>
  <si>
    <t xml:space="preserve">Yes, but they should not unnecessarily restrict research; Equitable access, Algorithmic bias and discrimination</t>
  </si>
  <si>
    <t xml:space="preserve">G6-104</t>
  </si>
  <si>
    <t xml:space="preserve">Early intervention could prevent more serious future problems, Addressing it could reduce long-term healthcare or social costs, Addressing it could reduce health and social inequalities</t>
  </si>
  <si>
    <t xml:space="preserve">Definitely yes; most helpful actions: Regular health screening and preventive care, Maintaining cognitive activities such as learning and reading, Managing stress and supporting mental health</t>
  </si>
  <si>
    <t xml:space="preserve">(i) Extending or maintaining reproductive health and function as people age; (ii) Ensuring that people from different income levels, regions, and social groups have equitable access; (iii) Using AI to analyze complex aging data and help identify new interventions</t>
  </si>
  <si>
    <t xml:space="preserve">Potential to benefit the largest number of people, Likelihood of producing useful solutions in the near future, Potential to reduce future healthcare and societal costs</t>
  </si>
  <si>
    <t xml:space="preserve">Yes, but they should not unnecessarily restrict research; Privacy and health-data protection, Algorithmic bias and discrimination, Safety and sufficient scientific evidence</t>
  </si>
  <si>
    <t xml:space="preserve">G6-105</t>
  </si>
  <si>
    <t xml:space="preserve">It affects a large proportion of the population, It has a major effect on health or quality of life, Addressing it could reduce health and social inequalities, Addressing it could help older adults maintain independence and dignity</t>
  </si>
  <si>
    <t xml:space="preserve">G6-106</t>
  </si>
  <si>
    <t xml:space="preserve">Personal relevance to my own or my family's health, Potential to benefit the largest number of people, Scientific or technological potential</t>
  </si>
  <si>
    <t xml:space="preserve">Yes, but they should not unnecessarily restrict research; Algorithmic bias and discrimination, Safety and sufficient scientific evidence, Transparency and accountability</t>
  </si>
  <si>
    <t xml:space="preserve">G6-107</t>
  </si>
  <si>
    <t xml:space="preserve">G6-108</t>
  </si>
  <si>
    <t xml:space="preserve">It has a major effect on health or quality of life, Addressing it could reduce long-term healthcare or social costs, Addressing it could reduce health and social inequalities</t>
  </si>
  <si>
    <t xml:space="preserve">Physical health and mobility, Memory, thinking, and learning ability, Independence and the ability to make my own decisions, Financial security, Dignity and respect from others</t>
  </si>
  <si>
    <t xml:space="preserve">Definitely yes; most helpful actions: Regular exercise and physical activity, Maintaining cognitive activities such as learning and reading, Saving and planning financially for later life, Using new medical or health-monitoring technologies</t>
  </si>
  <si>
    <t xml:space="preserve">Informed consent and individual autonomy, Safety and sufficient scientific evidence, Reproductive choice and reproductive ethics</t>
  </si>
  <si>
    <t xml:space="preserve">G6-109</t>
  </si>
  <si>
    <t xml:space="preserve">It affects a large proportion of the population, It has a major effect on health or quality of life, Early intervention could prevent more serious future problems, Addressing it could reduce long-term healthcare or social costs, Addressing it could reduce health and social inequalities, Addressing it could help older adults maintain independence and dignity</t>
  </si>
  <si>
    <t xml:space="preserve">To some extent; most helpful actions: Regular exercise and physical activity, Maintaining a healthy diet, Getting adequate sleep, Regular health screening and preventive care, Maintaining cognitive activities such as learning and reading, Maintaining social connections with family, friends, and community, Saving and planning financially for later life, Managing stress and supporting mental health, Avoiding smoking, excessive alcohol use, and other health risks, Using new medical or health-monitoring technologies</t>
  </si>
  <si>
    <t xml:space="preserve">G6-110</t>
  </si>
  <si>
    <t xml:space="preserve">Financial and retirement security</t>
  </si>
  <si>
    <t xml:space="preserve">Memory, thinking, and learning ability, Close relationships with family and friends, Mental and emotional well-being</t>
  </si>
  <si>
    <t xml:space="preserve">To some extent; most helpful actions: Regular health screening and preventive care, Maintaining social connections with family, friends, and community, Saving and planning financially for later life</t>
  </si>
  <si>
    <t xml:space="preserve">Algorithmic bias and discrimination, Safety and sufficient scientific evidence, Transparency and accountability</t>
  </si>
  <si>
    <t xml:space="preserve">G6-111</t>
  </si>
  <si>
    <t xml:space="preserve">G6-112</t>
  </si>
  <si>
    <t xml:space="preserve">Definitely yes; most helpful actions: Regular exercise and physical activity, Maintaining a healthy diet, Maintaining social connections with family, friends, and community</t>
  </si>
  <si>
    <t xml:space="preserve">["Equitable access", "Privacy and health-data protection", "Safety and sufficient scientific evidence"]. Oh and by the way, if you're still looking for respondents, surveyswap.io really helped me when I was running a survey myself last year. You fill in surveys from others and get free respondents in return. Perhaps it's also helpful to you. Anyway, good luck with the study!</t>
  </si>
  <si>
    <t xml:space="preserve">G6-113</t>
  </si>
  <si>
    <t xml:space="preserve">Finland</t>
  </si>
  <si>
    <t xml:space="preserve">To some extent; most helpful actions: Regular health screening and preventive care, Maintaining cognitive activities such as learning and reading</t>
  </si>
  <si>
    <t xml:space="preserve">G6-114</t>
  </si>
  <si>
    <t xml:space="preserve">Practical solutions are already available</t>
  </si>
  <si>
    <t xml:space="preserve">Definitely yes; most helpful actions: Regular exercise and physical activity, Getting adequate sleep, Maintaining social connections with family, friends, and community</t>
  </si>
  <si>
    <t xml:space="preserve">(i) Studying both fertility and how reproductive aging influences overall long-term health; (ii) Making longevity and health technologies less expensive; (iii) All of the above</t>
  </si>
  <si>
    <t xml:space="preserve">Potential to benefit the largest number of people, My research experience (OTC for cancer patients)</t>
  </si>
  <si>
    <t xml:space="preserve">Algorithmic bias and discrimination, Informed consent and individual autonomy, Reproductive choice and reproductive ethics</t>
  </si>
  <si>
    <t xml:space="preserve">G6-115</t>
  </si>
  <si>
    <t xml:space="preserve">Yes, but they should not unnecessarily restrict research; Informed consent and individual autonomy, Reproductive choice and reproductive ethics, How longevity affects the planet and sustainability</t>
  </si>
  <si>
    <t xml:space="preserve">G6-116</t>
  </si>
  <si>
    <t xml:space="preserve">Addressing it could reduce long-term healthcare or social costs, Addressing it could help older adults maintain independence and dignity</t>
  </si>
  <si>
    <t xml:space="preserve">Physical health and mobility, Financial security, Dignity and respect from others</t>
  </si>
  <si>
    <t xml:space="preserve">Definitely yes; most helpful actions: Getting adequate sleep, Maintaining cognitive activities such as learning and reading, Managing stress and supporting mental health</t>
  </si>
  <si>
    <t xml:space="preserve">G6-117</t>
  </si>
  <si>
    <t xml:space="preserve">Memory, thinking, and learning ability, Mental and emotional well-being</t>
  </si>
  <si>
    <t xml:space="preserve">Probably not very much; most helpful actions: Regular health screening and preventive care, Maintaining cognitive activities such as learning and reading, Saving and planning financially for later life</t>
  </si>
  <si>
    <t xml:space="preserve">Potential to improve equity and accessibility, Likelihood of producing useful solutions in the near future</t>
  </si>
  <si>
    <t xml:space="preserve">Not sure; Safety and sufficient scientific evidence, Reproductive choice and reproductive ethics</t>
  </si>
  <si>
    <t xml:space="preserve">G6-118</t>
  </si>
  <si>
    <t xml:space="preserve">Not sure; most helpful actions: Regular exercise and physical activity, Maintaining a healthy diet, Getting adequate sleep, Regular health screening and preventive care, Maintaining cognitive activities such as learning and reading, Maintaining social connections with family, friends, and community, Saving and planning financially for later life, Managing stress and supporting mental health, Avoiding smoking, excessive alcohol use, and other health risks, Using new medical or health-monitoring technologies</t>
  </si>
  <si>
    <t xml:space="preserve">Likelihood of producing useful solutions in the near future</t>
  </si>
  <si>
    <t xml:space="preserve">G6-119</t>
  </si>
  <si>
    <t xml:space="preserve">The rich getting richer while trashing the planet to do so.</t>
  </si>
  <si>
    <t xml:space="preserve">Physical health and mobility, Financial security, My home</t>
  </si>
  <si>
    <t xml:space="preserve">Probably not very much; most helpful actions: Maintaining a healthy diet</t>
  </si>
  <si>
    <t xml:space="preserve">Equitable access, Safety and sufficient scientific evidence</t>
  </si>
  <si>
    <t xml:space="preserve">G6-120</t>
  </si>
  <si>
    <t xml:space="preserve">It affects a large proportion of the population, Practical solutions are already available</t>
  </si>
  <si>
    <t xml:space="preserve">Privacy and health-data protection, Informed consent and individual autonomy</t>
  </si>
  <si>
    <t xml:space="preserve">G6-121</t>
  </si>
  <si>
    <t xml:space="preserve">Yes, but they should not unnecessarily restrict research; Algorithmic bias and discrimination, Informed consent and individual autonomy, Safety and sufficient scientific evidence</t>
  </si>
  <si>
    <t xml:space="preserve">G6-122</t>
  </si>
  <si>
    <t xml:space="preserve">Not sure; most helpful actions: Getting adequate sleep, Regular health screening and preventive care, Maintaining social connections with family, friends, and community</t>
  </si>
  <si>
    <t xml:space="preserve">G7-001</t>
  </si>
  <si>
    <t xml:space="preserve">Getting older and gradually changing physically and mentally</t>
  </si>
  <si>
    <t xml:space="preserve">affordable healthcare and enough people to provide care</t>
  </si>
  <si>
    <t xml:space="preserve">Expand basic primary care access because delays can turn small problems into bigger ones.</t>
  </si>
  <si>
    <t xml:space="preserve">More community clinics and mobile health programs are starting to help.</t>
  </si>
  <si>
    <t xml:space="preserve">mobility, close relationships, and independence</t>
  </si>
  <si>
    <t xml:space="preserve">Exercise consistently, stay social, and keep up with preventive care.</t>
  </si>
  <si>
    <t xml:space="preserve">Using science and policy to help people stay healthier for more of their lives.</t>
  </si>
  <si>
    <t xml:space="preserve">Access matters most to me because a breakthrough is not very useful if only a few people can afford it.</t>
  </si>
  <si>
    <t xml:space="preserve">Earlier detection of disease before symptoms become severe.</t>
  </si>
  <si>
    <t xml:space="preserve">That the newest treatments will be too expensive for most people.</t>
  </si>
  <si>
    <t xml:space="preserve">Patients should know how their data is used and be able to opt out.</t>
  </si>
  <si>
    <t xml:space="preserve">Yes, especially through devices, diagnostics, and better treatment design.</t>
  </si>
  <si>
    <t xml:space="preserve">G7-002</t>
  </si>
  <si>
    <t xml:space="preserve">Development of physical and cognitive function over time</t>
  </si>
  <si>
    <t xml:space="preserve">Lack of standardized and accessible care</t>
  </si>
  <si>
    <t xml:space="preserve">I think access to end of life/palliative care because a lot of people without this suffer from worse health outcomes whether due to affordability or negative perception of hospice</t>
  </si>
  <si>
    <t xml:space="preserve">I think systemic changes in insurance coverage or financial aid could be beneficial.</t>
  </si>
  <si>
    <t xml:space="preserve">physical mobility, cognitive function/learning ability, memory</t>
  </si>
  <si>
    <t xml:space="preserve">These topics all talk about optimizing life outcomes as someone ages.</t>
  </si>
  <si>
    <t xml:space="preserve">I think the 2nd and 3rd ones have the most promise for any given individual's life</t>
  </si>
  <si>
    <t xml:space="preserve">The third one could show potential to break previous barriers we've hit in medicine and research since it is a relatively new tool.</t>
  </si>
  <si>
    <t xml:space="preserve">There could be ethical concerns about AI use in medicine.</t>
  </si>
  <si>
    <t xml:space="preserve">Yes -- as mentioned especially for the AI solution with data use and privacy</t>
  </si>
  <si>
    <t xml:space="preserve">G7-003</t>
  </si>
  <si>
    <t xml:space="preserve">Aging is defined as through time your body begins to change and you get older every year.</t>
  </si>
  <si>
    <t xml:space="preserve">I think the greatest challenge is adapting to new rules and expectations. Those aging have been doing what they've done for years so they struggle to adjust to current society.</t>
  </si>
  <si>
    <t xml:space="preserve">I think the greatest challenge is the technology buffer and then struggling with that.</t>
  </si>
  <si>
    <t xml:space="preserve">Yes for example Apple will have free lessons for older people to learn how to use their devices.</t>
  </si>
  <si>
    <t xml:space="preserve">mental sharpness, independence, whimsy</t>
  </si>
  <si>
    <t xml:space="preserve">I think doing things that keep you sharp like NYT Games everyday and putting yourself in situations to where you can be happy and authentic.</t>
  </si>
  <si>
    <t xml:space="preserve">Figuring out ways to continue to help progress and maintain society through science and technology.</t>
  </si>
  <si>
    <t xml:space="preserve">I believe as a society we must use the things and technologies we have to advance science and create a more efficient future but as an individual I want to focus on living and loving my life for as long as possible.</t>
  </si>
  <si>
    <t xml:space="preserve">ML with modern solutions: I think us as a society and in the education and developmental realm have advanced so much and if we are able to automate solutions like this it can save so many more people.</t>
  </si>
  <si>
    <t xml:space="preserve">My greatest concern is the affect on our environment and the environmental implications. We have this idea that AI and ML can be bad and harmful to some degree, but how can we e combust that while progressing as a society?</t>
  </si>
  <si>
    <t xml:space="preserve">Yes, we must take into consideration the patients we are testing it out on. Seniors are a protected group and are more likely to be discriminated against and taken advantage of.</t>
  </si>
  <si>
    <t xml:space="preserve">G7-004</t>
  </si>
  <si>
    <t xml:space="preserve">Minnesota</t>
  </si>
  <si>
    <t xml:space="preserve">Minnesota, United States</t>
  </si>
  <si>
    <t xml:space="preserve">Getting older and the different changes in your mind and body that come with getting older</t>
  </si>
  <si>
    <t xml:space="preserve">I feel like the main challenge is there's a lot of misinformation to the older generations, especially with the rise in the use of AI, social media, and news articles that are published to gain negative attraction. This is important because this affects how the older generation views politics and overall current events in the world.</t>
  </si>
  <si>
    <t xml:space="preserve">I think we should try our best to educate people on misinformation, AI content, and how social media algorithms work. Recognizing misinformation and checking for sources would greatly help the aging population.</t>
  </si>
  <si>
    <t xml:space="preserve">Relationships, physical mobility and strength, and mental sharpness</t>
  </si>
  <si>
    <t xml:space="preserve">Stretching/exercising, staying in good contact with family/friends, and continuing to learn everyday</t>
  </si>
  <si>
    <t xml:space="preserve">These topics are about finding solutions to help people live longer, making those solutions affordable, and utilizing modern technology.</t>
  </si>
  <si>
    <t xml:space="preserve">I definitely believe AI is important for the future and there will be a lot of good that comes out of it. However, I wouldn't rank it as number one because making solutions affordable for society should be the number one priority. It's great that there's new treatments and technologies coming out, but what's the point if no one can afford it.</t>
  </si>
  <si>
    <t xml:space="preserve">I'm most excited about the possibilities of AI in health and aging because of all the groundbreaking advancements in the past few years. There seems to be new updates every month.</t>
  </si>
  <si>
    <t xml:space="preserve">I'm most concerned about how these solutions will be accessible and affordable to the general public. Even if new cures or treatments are discovered, they will be extremely costly in the beginning which would prevent a large portion of the population from benefiting from them. Another thing to consider how new cures could affect existing healthcare industries, causing thosands of jobs to be lost and major financial implications for companies that rely on current treatments.</t>
  </si>
  <si>
    <t xml:space="preserve">Yes, I'm just considering how much we can trust AI with people's private and confidential information.</t>
  </si>
  <si>
    <t xml:space="preserve">G7-005</t>
  </si>
  <si>
    <t xml:space="preserve">Biological process of degradation, passing of time and gained experiences, cognitive and physical slowing down, getting older.</t>
  </si>
  <si>
    <t xml:space="preserve">Lack of knowledge on use of modern day technologies, societies, politics, etc. Being unable to keep up with rapid changes and growth in technology and media.</t>
  </si>
  <si>
    <t xml:space="preserve">Loneliness epidemic: older populations struggle with isolation and depression a lot more than other age groups do, and facilitating means of connectedness would not only benefit the older generation but also other individuals who partake in it.</t>
  </si>
  <si>
    <t xml:space="preserve">Some—volunteers at hospice, senior living, community partnerships, etc.</t>
  </si>
  <si>
    <t xml:space="preserve">Mental sharpness, physical mobility, optimism</t>
  </si>
  <si>
    <t xml:space="preserve">Yes— exercise, reading, socializing, going outside, learning new activities, etc.</t>
  </si>
  <si>
    <t xml:space="preserve">Applying new technologies to create sustainable long-term solutions for equity health issues.</t>
  </si>
  <si>
    <t xml:space="preserve">Personally as a woman reproductive health matters more to me. For society, AI can be hugely beneficial and can improve productivity. Overall, having democratic processes is incredibly important to humanity, especially in science.</t>
  </si>
  <si>
    <t xml:space="preserve">What excites me about applying machine learning and AI is it can fix issues we previously never thought could have been fixed at such a large scale at such a rapid speed. It’s such a new development with the power to improve efficiency and open opportunities to do things we never thought we could have.</t>
  </si>
  <si>
    <t xml:space="preserve">Generative AI is terrible for neuro plasticity, human creativity, and the environment. There are big concerns about overreliance on AI, especially when students rely heavily on it for school in their developing years.</t>
  </si>
  <si>
    <t xml:space="preserve">Absolutely—human dignity must always be respected, and there should be sanctions for equity and access. Environmental concerns should also be accounted for, as well as moral considerations for the long term in different future scenarios.</t>
  </si>
  <si>
    <t xml:space="preserve">G7-006</t>
  </si>
  <si>
    <t xml:space="preserve">an increase in the number of years you’ve lived</t>
  </si>
  <si>
    <t xml:space="preserve">independent accessibility</t>
  </si>
  <si>
    <t xml:space="preserve">accessibility because it allows for a greater quality of life</t>
  </si>
  <si>
    <t xml:space="preserve">it may be expensive</t>
  </si>
  <si>
    <t xml:space="preserve">independence, strength and memory</t>
  </si>
  <si>
    <t xml:space="preserve">mental and physical exercises</t>
  </si>
  <si>
    <t xml:space="preserve">approaching aging with a modern perspective</t>
  </si>
  <si>
    <t xml:space="preserve">i think ai is the least important</t>
  </si>
  <si>
    <t xml:space="preserve">making it affordable for all</t>
  </si>
  <si>
    <t xml:space="preserve">AI causes dependence</t>
  </si>
  <si>
    <t xml:space="preserve">probably</t>
  </si>
  <si>
    <t xml:space="preserve">G7-007</t>
  </si>
  <si>
    <t xml:space="preserve">The slow changes in the body and mind that happen with time</t>
  </si>
  <si>
    <t xml:space="preserve">staying independent when mobility starts to decline</t>
  </si>
  <si>
    <t xml:space="preserve">Improve transportation and home accessibility so older adults can stay independent longer.</t>
  </si>
  <si>
    <t xml:space="preserve">Some cities are improving ramps, transit, and age-friendly housing.</t>
  </si>
  <si>
    <t xml:space="preserve">mental sharpness, strength, and a sense of humor</t>
  </si>
  <si>
    <t xml:space="preserve">Keep learning new things, lift weights, and spend time with people I care about.</t>
  </si>
  <si>
    <t xml:space="preserve">Ways to extend healthy life while making new tools available to more people.</t>
  </si>
  <si>
    <t xml:space="preserve">I put direct health benefits first and technology second because AI is a tool, not the end goal.</t>
  </si>
  <si>
    <t xml:space="preserve">The possibility of helping people remain independent longer.</t>
  </si>
  <si>
    <t xml:space="preserve">Privacy if large amounts of personal health data are used.</t>
  </si>
  <si>
    <t xml:space="preserve">New tools should be tested across different populations before widespread use.</t>
  </si>
  <si>
    <t xml:space="preserve">Yes, bioengineers can help turn research findings into practical tools.</t>
  </si>
  <si>
    <t xml:space="preserve">G7-008</t>
  </si>
  <si>
    <t xml:space="preserve">The different changes that come with someone getting older</t>
  </si>
  <si>
    <t xml:space="preserve">Rising costs of healthcare</t>
  </si>
  <si>
    <t xml:space="preserve">Social Security not being able to sustain the aging population</t>
  </si>
  <si>
    <t xml:space="preserve">Independence, relationships, physical fitness</t>
  </si>
  <si>
    <t xml:space="preserve">Exercise and staying active, keeping in touch</t>
  </si>
  <si>
    <t xml:space="preserve">Using advances in science and technology to improve quality of life and make healthcare more accessible</t>
  </si>
  <si>
    <t xml:space="preserve">I think that society as a whole places a lot of importance on democratizing and making current solutions accessible to the public with a lot less of a focus on developing more cutting edge solutions. I think that developing more of those cutting edge solutions should be more important as a lot of general solutions are already pretty well democratized via things like the Internet.</t>
  </si>
  <si>
    <t xml:space="preserve">I'm excited the most about the use of AI for modern solutions because AI has proven to be revolutionary and quickly advance many other fields</t>
  </si>
  <si>
    <t xml:space="preserve">I'm also most concerned about the use of AI because there are a lot of ethical concerns regarding things like data especially since a lot of the data would be highly personal information in the case of medicine</t>
  </si>
  <si>
    <t xml:space="preserve">G7-009</t>
  </si>
  <si>
    <t xml:space="preserve">A gradual loss of some physical function while gaining life experience</t>
  </si>
  <si>
    <t xml:space="preserve">loneliness and losing regular social contact</t>
  </si>
  <si>
    <t xml:space="preserve">Create more social programs because isolation is common and can be addressed without new medical technology.</t>
  </si>
  <si>
    <t xml:space="preserve">Senior centers and volunteer groups help, but coverage is uneven.</t>
  </si>
  <si>
    <t xml:space="preserve">family connections, good health, and financial stability</t>
  </si>
  <si>
    <t xml:space="preserve">Save money, stay active, and make time for family.</t>
  </si>
  <si>
    <t xml:space="preserve">Improving healthspan with research, access, and responsible technology.</t>
  </si>
  <si>
    <t xml:space="preserve">I ranked affordability highly because current care is already difficult for many people to obtain.</t>
  </si>
  <si>
    <t xml:space="preserve">Making useful treatments affordable enough for more people.</t>
  </si>
  <si>
    <t xml:space="preserve">Overreliance on AI when a human should still review the decision.</t>
  </si>
  <si>
    <t xml:space="preserve">Privacy, informed consent, and fair access should be basic requirements.</t>
  </si>
  <si>
    <t xml:space="preserve">Definitely, since aging problems involve both biology and engineering.</t>
  </si>
  <si>
    <t xml:space="preserve">G7-010</t>
  </si>
  <si>
    <t xml:space="preserve">Indonesia</t>
  </si>
  <si>
    <t xml:space="preserve">Lack of caretakers</t>
  </si>
  <si>
    <t xml:space="preserve">Accessibility, it’s relatively simple to incorporate</t>
  </si>
  <si>
    <t xml:space="preserve">Add more ramps and elevators</t>
  </si>
  <si>
    <t xml:space="preserve">Physical mobility, Relationship, Mental sharpness</t>
  </si>
  <si>
    <t xml:space="preserve">Stretch and exercise, play puzzle games, maintain friendships</t>
  </si>
  <si>
    <t xml:space="preserve">Combating an aging population</t>
  </si>
  <si>
    <t xml:space="preserve">I think having accessible science is the most important</t>
  </si>
  <si>
    <t xml:space="preserve">Health solutions for everyone</t>
  </si>
  <si>
    <t xml:space="preserve">Non-individualized medications</t>
  </si>
  <si>
    <t xml:space="preserve">What is considered general? Is it fair to create health solutions in which minorities are excluded?</t>
  </si>
  <si>
    <t xml:space="preserve">G7-011</t>
  </si>
  <si>
    <t xml:space="preserve">the process of growing over time</t>
  </si>
  <si>
    <t xml:space="preserve">infrastructure and resources to aid the aging process</t>
  </si>
  <si>
    <t xml:space="preserve">accessibility of resources as it can help transition those in early aging to long term care</t>
  </si>
  <si>
    <t xml:space="preserve">government intervention, private offerings, community resources</t>
  </si>
  <si>
    <t xml:space="preserve">physical mobility, mental sharpness, independence</t>
  </si>
  <si>
    <t xml:space="preserve">engaging with community/ government</t>
  </si>
  <si>
    <t xml:space="preserve">frontiers in aging</t>
  </si>
  <si>
    <t xml:space="preserve">personal importance vs. perceived societal importance due to recent developments</t>
  </si>
  <si>
    <t xml:space="preserve">boosting reproductive health and longevity is exciting to me personally as a woman thinking about my "biological clock" and a daughter to older parents</t>
  </si>
  <si>
    <t xml:space="preserve">greatest concern regarding the same topic is the extreme means that individuals may go to achieve longevity, especially with the development of AI</t>
  </si>
  <si>
    <t xml:space="preserve">yes especially with ai and longevity</t>
  </si>
  <si>
    <t xml:space="preserve">G7-012</t>
  </si>
  <si>
    <t xml:space="preserve">The biological and everyday changes that come with more years</t>
  </si>
  <si>
    <t xml:space="preserve">paying for medications and long-term care</t>
  </si>
  <si>
    <t xml:space="preserve">Lower medication costs since people should not have to skip treatment because of price.</t>
  </si>
  <si>
    <t xml:space="preserve">There are discount programs, though costs are still a problem.</t>
  </si>
  <si>
    <t xml:space="preserve">the ability to exercise, learn, and live on my own</t>
  </si>
  <si>
    <t xml:space="preserve">Build habits now instead of waiting until health starts declining.</t>
  </si>
  <si>
    <t xml:space="preserve">Different approaches to making aging healthier and less limiting.</t>
  </si>
  <si>
    <t xml:space="preserve">I care more about usable health improvements than using a specific technology just because it is new.</t>
  </si>
  <si>
    <t xml:space="preserve">Using better data to personalize prevention instead of waiting for disease.</t>
  </si>
  <si>
    <t xml:space="preserve">Bias in the data leading to worse recommendations for some groups.</t>
  </si>
  <si>
    <t xml:space="preserve">AI recommendations should still be reviewed by qualified people.</t>
  </si>
  <si>
    <t xml:space="preserve">Yes, particularly with assistive technology and early-detection systems.</t>
  </si>
  <si>
    <t xml:space="preserve">G7-013</t>
  </si>
  <si>
    <t xml:space="preserve">Getting older and physical body degeneration</t>
  </si>
  <si>
    <t xml:space="preserve">Someone to care for them</t>
  </si>
  <si>
    <t xml:space="preserve">Giving opportunities for the aging population to enjoy their life through community events and work if they like. A lot of older people feel lonely.</t>
  </si>
  <si>
    <t xml:space="preserve">Make community events or have people visit these people</t>
  </si>
  <si>
    <t xml:space="preserve">Physical strength/mobility, clear thinking, and familial relationships</t>
  </si>
  <si>
    <t xml:space="preserve">Exercise and communication with family</t>
  </si>
  <si>
    <t xml:space="preserve">Enabling people to live longer and happy lives physically and mentally.</t>
  </si>
  <si>
    <t xml:space="preserve">For a person a long, fruitful lives can lead to being a good citizen and utilizing resources which can be facilitated by AI; for society, having access to resources can help people have longer, fruitful lives and again be facilitated by AI</t>
  </si>
  <si>
    <t xml:space="preserve">Boosting reproductive health and longevity</t>
  </si>
  <si>
    <t xml:space="preserve">Applying machine learning and AI to enable modern solutions</t>
  </si>
  <si>
    <t xml:space="preserve">These we have to be careful with AI because we need real-life interactions with each other because we are human - we cannot rely on AI for relationships</t>
  </si>
  <si>
    <t xml:space="preserve">G7-014</t>
  </si>
  <si>
    <t xml:space="preserve">Growing older as the body recovers and adapts less easily</t>
  </si>
  <si>
    <t xml:space="preserve">keeping up with technology used in everyday life</t>
  </si>
  <si>
    <t xml:space="preserve">Offer practical technology help because so many services now assume everyone is comfortable online.</t>
  </si>
  <si>
    <t xml:space="preserve">Libraries and community centers sometimes offer basic tech classes.</t>
  </si>
  <si>
    <t xml:space="preserve">memory, friendships, and the freedom to travel</t>
  </si>
  <si>
    <t xml:space="preserve">Read, exercise, and make an effort to keep friendships active.</t>
  </si>
  <si>
    <t xml:space="preserve">Using modern medicine and technology to improve quality of life with age.</t>
  </si>
  <si>
    <t xml:space="preserve">I think broad access should come before adding more complicated tools.</t>
  </si>
  <si>
    <t xml:space="preserve">Helping older adults keep more mobility and quality of life.</t>
  </si>
  <si>
    <t xml:space="preserve">Extending lifespan without improving quality of life.</t>
  </si>
  <si>
    <t xml:space="preserve">Research should separate extending life from improving quality of life.</t>
  </si>
  <si>
    <t xml:space="preserve">Yes, they can improve how treatments and medical devices are designed.</t>
  </si>
  <si>
    <t xml:space="preserve">G7-015</t>
  </si>
  <si>
    <t xml:space="preserve">Türkiye</t>
  </si>
  <si>
    <t xml:space="preserve">Changes in strength, health, memory, and experience over time</t>
  </si>
  <si>
    <t xml:space="preserve">memory loss and other cognitive problems</t>
  </si>
  <si>
    <t xml:space="preserve">Increase dementia screening and caregiver support so families are not figuring everything out alone.</t>
  </si>
  <si>
    <t xml:space="preserve">There is more awareness, but caregiver support still seems limited.</t>
  </si>
  <si>
    <t xml:space="preserve">physical strength, curiosity, and confidence</t>
  </si>
  <si>
    <t xml:space="preserve">Stay physically active and keep taking on things that challenge me.</t>
  </si>
  <si>
    <t xml:space="preserve">Making longer, healthier lives possible without limiting benefits to a small group.</t>
  </si>
  <si>
    <t xml:space="preserve">The best solution is one that improves health and can actually reach the people who need it.</t>
  </si>
  <si>
    <t xml:space="preserve">New treatments for diseases that currently have limited options.</t>
  </si>
  <si>
    <t xml:space="preserve">Companies prioritizing profit over broad access.</t>
  </si>
  <si>
    <t xml:space="preserve">Cost and access should be considered so advances do not increase inequality.</t>
  </si>
  <si>
    <t xml:space="preserve">I think so, especially for tools that help people stay independent.</t>
  </si>
  <si>
    <t xml:space="preserve">G7-016</t>
  </si>
  <si>
    <t xml:space="preserve">A path of life</t>
  </si>
  <si>
    <t xml:space="preserve">New technology</t>
  </si>
  <si>
    <t xml:space="preserve">Accessible health care</t>
  </si>
  <si>
    <t xml:space="preserve">Physical mobility and mental sharpness</t>
  </si>
  <si>
    <t xml:space="preserve">Yes sports</t>
  </si>
  <si>
    <t xml:space="preserve">Future</t>
  </si>
  <si>
    <t xml:space="preserve">Science is something that will help our future for the better and help mitigate the bad effects of present day things</t>
  </si>
  <si>
    <t xml:space="preserve">Knowing that future science is something people will practice for a long time</t>
  </si>
  <si>
    <t xml:space="preserve">Science being use in a negative way</t>
  </si>
  <si>
    <t xml:space="preserve">Yes based on location, culture and religion</t>
  </si>
  <si>
    <t xml:space="preserve">G7-017</t>
  </si>
  <si>
    <t xml:space="preserve">Cells age by telomeric shortening, humans literally age by time passing.</t>
  </si>
  <si>
    <t xml:space="preserve">Mis/disinformation related to health from institutions that should be trustworthy</t>
  </si>
  <si>
    <t xml:space="preserve">as said above, leadership issues (rfk, etc)</t>
  </si>
  <si>
    <t xml:space="preserve">yes, lots of doctor outrage/media attention, but it might not reach older people</t>
  </si>
  <si>
    <t xml:space="preserve">mobility, mental acuity, my relationships with friends/family/spouse</t>
  </si>
  <si>
    <t xml:space="preserve">work out, eat healthy, use and challenge my brain, journal, love those around me</t>
  </si>
  <si>
    <t xml:space="preserve">How to optimize aging</t>
  </si>
  <si>
    <t xml:space="preserve">i don’t care about ai as much, i think it’s becoming more intuitive and i am a sufficiently effective user of it</t>
  </si>
  <si>
    <t xml:space="preserve">i love health healthcare and longevity</t>
  </si>
  <si>
    <t xml:space="preserve">AI bioweapons</t>
  </si>
  <si>
    <t xml:space="preserve">AI and it getting out of control</t>
  </si>
  <si>
    <t xml:space="preserve">G7-018</t>
  </si>
  <si>
    <t xml:space="preserve">lossing energy and strength, wrinkles on the face, slow metabolism....</t>
  </si>
  <si>
    <t xml:space="preserve">lack of understanding on how to delay the aging process or not knowing the most effective way to be healthy</t>
  </si>
  <si>
    <t xml:space="preserve">kind of unrelated to bioengineering but maybe educating them on how to use phone? I know many aging people don't know how to order food and call uber</t>
  </si>
  <si>
    <t xml:space="preserve">relationships, health, happiness</t>
  </si>
  <si>
    <t xml:space="preserve">try to exercise more, weekly hangouts with friends, and leave one week day for lighter workload to give myself a mental health break</t>
  </si>
  <si>
    <t xml:space="preserve">use bioengineering to boost people's longevity and overall health while also making sure our solutions are accessible to the general public</t>
  </si>
  <si>
    <t xml:space="preserve">like personally i think having a solution is more important than making the solution affordable. on a societal level, i think it's harder to create the rank as making the solution only available to elites will cause unfairness or other ethical concerns while if prolonged longevity is available to everyone, we will have population control issue</t>
  </si>
  <si>
    <t xml:space="preserve">getting to know that this kind of discussion is on table now</t>
  </si>
  <si>
    <t xml:space="preserve">product quality control &amp; city management</t>
  </si>
  <si>
    <t xml:space="preserve">like if we are prolonging longevity, is genetic modifcation ethical and what kind of animal research is involved in this proces</t>
  </si>
  <si>
    <t xml:space="preserve">G7-019</t>
  </si>
  <si>
    <t xml:space="preserve">Aging is the process of getting closer to death</t>
  </si>
  <si>
    <t xml:space="preserve">I'd say it's between loneliness and healthcare expenses</t>
  </si>
  <si>
    <t xml:space="preserve">Between the two i said in 7, i think loneliness is a more achievable short term problem</t>
  </si>
  <si>
    <t xml:space="preserve">I think creating a more natural sense of community like we see in Asia other than in retirement homes, etc. would really help</t>
  </si>
  <si>
    <t xml:space="preserve">Friends, sense of community, Physical capabilities (as much as possible), Overall health</t>
  </si>
  <si>
    <t xml:space="preserve">Keeping in touch, reaching out to people. Regular strength/cardiovascular training. Regular doctor visits and preventative care whenever possible</t>
  </si>
  <si>
    <t xml:space="preserve">Boosting reproductive health and longevity: coming up with solutions to either lengthen life or make the aging process easier via less health complications; Democratizing longevity science/solutions: making whatever future solutions we come up with accessible to everyone, rather than just a certain small subpopulation; Applying machine learning and artificial intelligence to enable modern solutions for aging and health: using large amounts of data and generative modeling to aid in coming up with these solutions</t>
  </si>
  <si>
    <t xml:space="preserve">I feel like from bottom to top, they all build on each other. We can’t democratize science that doesn’t exist, and whether we use AI/ML to make these solutions doesn’t really matter. If the optimal solution doesn’t need it, then there's no need to use it.</t>
  </si>
  <si>
    <t xml:space="preserve">I think the compute + AI research is starting to reach a point where it will have a big impact on biology research as a whole. Biology produces a huge amount of data and having models to analyze it will have a huge impact in speeding up research</t>
  </si>
  <si>
    <t xml:space="preserve">My greatest concern about AI is that it will be used in places it shouldn’t be and its outputs/results won’t be checked as thoroughly as they should be, especially in a field as high stakes as biology.</t>
  </si>
  <si>
    <t xml:space="preserve">There should always be ethical considerations for this. In addition to the AI safety considerations, we should make sure solutions are accessible to everyone to prevent further income/class imbalances</t>
  </si>
  <si>
    <t xml:space="preserve">G7-020</t>
  </si>
  <si>
    <t xml:space="preserve">Aging is the act of getting older</t>
  </si>
  <si>
    <t xml:space="preserve">Health decline and financial demands</t>
  </si>
  <si>
    <t xml:space="preserve">Social isolation, and it should be prioritized because mental health is just as important as physical health. More support system to help with the emotional burden of growing older and being more alone.</t>
  </si>
  <si>
    <t xml:space="preserve">Regular screenings for mental health and isolation (as well as cognitive diseases). Community efforts to include multigenerational mingling</t>
  </si>
  <si>
    <t xml:space="preserve">My social relationships, cognitive clarity, physical activity</t>
  </si>
  <si>
    <t xml:space="preserve">Building habits from a young age (physical and mental exercises) to prevent a lot of change from happening so fast</t>
  </si>
  <si>
    <t xml:space="preserve">They’re about expanding reproductive span/ longevity, ensuring scientific breakthroughs are accessible to anyone, and using AI as a tool for more individualized healthcare support</t>
  </si>
  <si>
    <t xml:space="preserve">It is important that everyone has access to top quality health care regardless of their circumstances which is prioritized over the others. Then I said AI because it has the capability to be used in very good ways to help the individual patient be supported at home in a personalized way. Then I saw the reproductive one because I think it’s beneficial on the individual level while the others are more important for society as a whole.</t>
  </si>
  <si>
    <t xml:space="preserve">AI- switching from a reactive to proactive approach so algorithms can detect diseases before they’ve already progressed to a bad point.</t>
  </si>
  <si>
    <t xml:space="preserve">Democratizing - that it’ll take so long to reach marginalized and underserved groups bc of socioeconomic disparities that already affect them in the present.</t>
  </si>
  <si>
    <t xml:space="preserve">Yes, making sure data is private when using new AI technology (especially since it’s healthcare and hipaa stuff). Enduring new tech/advancements in medicine are accessible for all.</t>
  </si>
  <si>
    <t xml:space="preserve">Yes they play an important role in coming up with biomedical solutions! Working with different developing tech that specifically targets these kids of issues.</t>
  </si>
  <si>
    <t xml:space="preserve">G7-021</t>
  </si>
  <si>
    <t xml:space="preserve">When your body performance declines as a result of your age increasing past its prime.</t>
  </si>
  <si>
    <t xml:space="preserve">Not enough incentive to have more kids, leading to a decreasing population</t>
  </si>
  <si>
    <t xml:space="preserve">Optimizing our healthcare system because an aging population will mean more patients that need medical support</t>
  </si>
  <si>
    <t xml:space="preserve">Getting enough sleep, keeping my body healthy, and financial stability</t>
  </si>
  <si>
    <t xml:space="preserve">Yes; build better habits and get a well-paying job</t>
  </si>
  <si>
    <t xml:space="preserve">Ways to support the overall health of an aging population</t>
  </si>
  <si>
    <t xml:space="preserve">I personally would like to live a longer life hence why I ranked i highest, and while iii is important, my family history doesn’t show trends of medical issues. For society, iii will definitely provide a lot of gain to solve many medical issues, i is a bit vague but overall will help boost the population, but for ii, there are already ways online to boost longevity, but ppl are just too lazy or irresponsible to follow them and build good habits.</t>
  </si>
  <si>
    <t xml:space="preserve">This will provide a lot of benefit to society in a very short amount of time since you just have to throw a bunch of data at it and it can give breakthroughs in medical science and technology.</t>
  </si>
  <si>
    <t xml:space="preserve">This will cause the population to increase, so what will happen if there is a population beyond the carrying capacity?</t>
  </si>
  <si>
    <t xml:space="preserve">Yes; human experiments and unrestricted/unsupervised AI research should be prohibited</t>
  </si>
  <si>
    <t xml:space="preserve">G7-022</t>
  </si>
  <si>
    <t xml:space="preserve">growing older as time goes by</t>
  </si>
  <si>
    <t xml:space="preserve">Balancing finances and having enough money after retiring</t>
  </si>
  <si>
    <t xml:space="preserve">Probably the gap of technological knowledge that exists between older and newer generations. If we fixed this we could help the older or aging generations avoid lots of scams and honestly help facilitate their everyday lives.</t>
  </si>
  <si>
    <t xml:space="preserve">I know Apple has some free classes on how to use your phone, so yes</t>
  </si>
  <si>
    <t xml:space="preserve">independence, mobility, mental sharpness</t>
  </si>
  <si>
    <t xml:space="preserve">Stay healthy both mentally and physically and always make sure my finances are and I am making good financial decisions</t>
  </si>
  <si>
    <t xml:space="preserve">Things/ we can use in order to better our quality of life as we grow older and prevent more health issues as we grow old.</t>
  </si>
  <si>
    <t xml:space="preserve">i feel that with ai on the rise, machine learning and the use of machines in general to advance medicine and medical knowledge is at the forefront of innovation, so I think our society takes the use of AI very seriously. For me I believe that having health solutions that are accessible and affordable is a really big thing and I also think that this should be something that’s more talked about and considered for those that struggle a lot to find affordable, high quality health solutions.</t>
  </si>
  <si>
    <t xml:space="preserve">I think the use of ai to come up with solutions for aging and health, although scary at times, is really exciting because there’s always been talk of ai being a leading source in the future for the development of health solutions and it’s really cool to finally see that play out and see the immense impact it is having in the world of health.</t>
  </si>
  <si>
    <t xml:space="preserve">Going off of my last answer, ai scares me because it has such great power and can be abused if placed in the hands of wrong people. I also believe ai can be dangerous because it is not human and it can lead to a lot of morality issues</t>
  </si>
  <si>
    <t xml:space="preserve">The usage of AI needs to ensure that the AI use is ethical and can make sound and wise judgments.</t>
  </si>
  <si>
    <t xml:space="preserve">G7-023</t>
  </si>
  <si>
    <t xml:space="preserve">I would define aging as the body’s reducing in functionality as time passes</t>
  </si>
  <si>
    <t xml:space="preserve">The healthcare system in united states taking too long to get appointments and the high price for healthcare services</t>
  </si>
  <si>
    <t xml:space="preserve">The appointment times should be easy to get and access whenever the patient needs it. It shouldn’t take months</t>
  </si>
  <si>
    <t xml:space="preserve">More appointment times created by doctors and hospitals, new patients welcomed more in the system, insurance prices reduced</t>
  </si>
  <si>
    <t xml:space="preserve">Working out regularly, strength workouts, waking up early and going to bed early, and getting 8 hours of sleep every night</t>
  </si>
  <si>
    <t xml:space="preserve">Be disciplined and create a routine that is regular and eat healthy and whole foods to have the energy to do all these</t>
  </si>
  <si>
    <t xml:space="preserve">i. For females, maintaining regular periods, managing hormones during menopause and living a long live that is healthy; ii. Have science work on maintaining a long and healthy aging and life and produce solutions and new inventions and make these accessible in an equitable way to society; iii. Automating the monitoring and suggestions for a healthy aging process and lifestyle</t>
  </si>
  <si>
    <t xml:space="preserve">I think democratizing healthcare is the most important for society because there are a lot of people who cannot afford healthcare, especially in the US, and democratizing this would allow everyone to benefit and create a healthy society.; And personally, boosting reproductive health is most important to me individually since I want to have a healthy aging process and ML work is I think would be most beneficial in monitoring but I think people can already monitor themselves quite well if they pay attention to their body signals.</t>
  </si>
  <si>
    <t xml:space="preserve">Democratizing access excites me the most because I advocate for healthcare that is accessible by everyone in the country just because they are human and I advocate for equitable treatment. I know a lot of people, including myself, that wouldn’t call an ambulance if they need just because they would not be able to pay the price of this and in these situations like this, where life is dangered, I don’t think it should be about money</t>
  </si>
  <si>
    <t xml:space="preserve">For ML and AI my biggest concern is the privacy around healthcare, since even the most AI systems today invade privacy and train on that data and can share it publicly so I am concerned about its applications with healthcare sensitive data</t>
  </si>
  <si>
    <t xml:space="preserve">AI could be biased towards a specific gender, race, age, etc. So in all scientific situations, all treatments should be tested on different kinds of genders (for example male and female mice) and races</t>
  </si>
  <si>
    <t xml:space="preserve">G7-024</t>
  </si>
  <si>
    <t xml:space="preserve">The inevitable passage of time that weakens the body through wear and tear</t>
  </si>
  <si>
    <t xml:space="preserve">Physical exercise (lack of)</t>
  </si>
  <si>
    <t xml:space="preserve">Physical fitness, since lack of mobility/strength is the main inhibitor of elders ability to care for themselves</t>
  </si>
  <si>
    <t xml:space="preserve">Advertise the benefits of weightlifting/walking</t>
  </si>
  <si>
    <t xml:space="preserve">Physical fitness (mobility &amp; strength), neuroplasticity ( i think thats what it is called, basically the ability to learn new things and accept new ideas), and mental fitness (brain damage is scary)</t>
  </si>
  <si>
    <t xml:space="preserve">Yes: workout, always be learning something, and not being a dumbass with my head</t>
  </si>
  <si>
    <t xml:space="preserve">More people can have babies, affordable healthcare, and computers + healthcare</t>
  </si>
  <si>
    <t xml:space="preserve">Equal access to healthcare is the most important part of any healthcare system. Countrys are facing population declines, better reproductive health can stop that. AI could bring innovations, we dk what tho</t>
  </si>
  <si>
    <t xml:space="preserve">I dream of affordable healthcare in the us</t>
  </si>
  <si>
    <t xml:space="preserve">Capitalism is so deeply rooted in america that people wont sacrifice for the common good of affordable healthcare</t>
  </si>
  <si>
    <t xml:space="preserve">Yeah, theres ethical considerations for solving literally any problem</t>
  </si>
  <si>
    <t xml:space="preserve">G7-025</t>
  </si>
  <si>
    <t xml:space="preserve">I’d define aging as the stage of life where growing older means developing difficulties with certain daily skills/movements that were easier before</t>
  </si>
  <si>
    <t xml:space="preserve">Affordable healthcare</t>
  </si>
  <si>
    <t xml:space="preserve">I also think affordable healthcare is the problem that should be solved in the short term because it is the most influential, often making a big difference in the quality of life of people today</t>
  </si>
  <si>
    <t xml:space="preserve">Policy changes, primarily</t>
  </si>
  <si>
    <t xml:space="preserve">I want to go outdoors, go out with friends, keep reading/learning</t>
  </si>
  <si>
    <t xml:space="preserve">I can look to live near parks, always get a library card in whatever city I’m in, and schedule at least one social event a week</t>
  </si>
  <si>
    <t xml:space="preserve">I think boosting reproductive health and longevity means using research for ways to improve supplements or lifestyle suggestions. Democratizing longevity means turning to policy to ensure that these solutions are accessible. And lastly, applying AI means looking towards current practices and using AI to speed progress.</t>
  </si>
  <si>
    <t xml:space="preserve">I think ensuring affordability can be more important than even making the advancement in the first place (but obviously some of it needs to be created first), and while AI is really helpful in this development, it’s hard to put it first.</t>
  </si>
  <si>
    <t xml:space="preserve">I’m most excited about learning how efficient AI can make the research process</t>
  </si>
  <si>
    <t xml:space="preserve">I’m concerned about the accuracy when using AI</t>
  </si>
  <si>
    <t xml:space="preserve">there are definitely ethical considerations. I don’t think humans were made to live forever, and practices that have side effects should be treated with extreme caution.</t>
  </si>
  <si>
    <t xml:space="preserve">G7-026</t>
  </si>
  <si>
    <t xml:space="preserve">I’d define aging in a few ways, biologically the slow “wear and tear” on DNA over the years, and culturally/emotionally as maturing through life experiences once your brain fully develops</t>
  </si>
  <si>
    <t xml:space="preserve">I’d think quality of healthcare in the U.S.,</t>
  </si>
  <si>
    <t xml:space="preserve">Wealth Inequity in the short term, ensuring social safety net programs are allowing seniors to live adequately without having to stress about basic necessities</t>
  </si>
  <si>
    <t xml:space="preserve">Not on a national scale, but locally in some municipalities across the united states I see expansion of some social programs,</t>
  </si>
  <si>
    <t xml:space="preserve">Fitness for sure I want to stay fit as long as I can, mental health, and connections with people</t>
  </si>
  <si>
    <t xml:space="preserve">For fitness not giving up on Gym/Calesthenics/Cardio and maintain my current consistency, for mental health making sure I prioritize things right and not burn myself out, and for connections make sure I make the effort to reach out to people and plan things more</t>
  </si>
  <si>
    <t xml:space="preserve">Ensuring everyone has access to quality reproductive healthcare and also ensuring new mothers have all of the care they need leading up to and after birth including new technology like genetic sequencing and also time off from work</t>
  </si>
  <si>
    <t xml:space="preserve">I wouldn’t say these issues are marginally important than one another but I feel like recently reproductive healthcare has been under greater scrutiny politically so I ranked it one, democratizing longevity seems much more important to me than expanding the use of AI</t>
  </si>
  <si>
    <t xml:space="preserve">I know how useful AI has proven to be in things like modeling complex proteins and i’m excited to see its trajectory in improving treatments like alzheimer’s where we can hopefully model the behavior of amyloid plaques better and how to rid the brain of them</t>
  </si>
  <si>
    <t xml:space="preserve">With how the current political climate probably reproductive health but I feel like all three are under great threats because of how much healthcare in general has been cut the past few years</t>
  </si>
  <si>
    <t xml:space="preserve">For AI for sure there are privacy and data concerns especially considering these models will need to be trained on people’s very personal healthcare data, and also ensuring everyone has fair and equitable access to these new treatments that get developed</t>
  </si>
  <si>
    <t xml:space="preserve">G7-027</t>
  </si>
  <si>
    <t xml:space="preserve">A long-term process characterizing the slow deterioration of skin, organs, mind, and wellness over the course of a person’s lifetime.</t>
  </si>
  <si>
    <t xml:space="preserve">There is no definitive cure for many effects on the human body due to aging. For example, Alzheimer’s disease is affecting many older individuals, yet there is no definitive treatment for it yet.</t>
  </si>
  <si>
    <t xml:space="preserve">Healthcare equity and access, especially for single and socioeconomically disadvantaged families. Many older individuals that are widows, don’t have family around to take care of them, or simply don’t have the money to afford healthcare, so they tend to suffer on their own. This should be prioritized since effective care for diseases related to aging are especially expensive, such as MRI and PET scans.</t>
  </si>
  <si>
    <t xml:space="preserve">Helping deploy local healthcare workers to take care of them or connecting them to local nursing homes/caretaking facilities when they aren’t able to do so on their own is something that we can do as we continue to push for more affordable care.</t>
  </si>
  <si>
    <t xml:space="preserve">Happiness, Physiological needs, Family</t>
  </si>
  <si>
    <t xml:space="preserve">Yes, by developing loving relationships around me, learning how to take responsibility to be able to support my physiological needs, and caring for my family whenever I get the chance to.</t>
  </si>
  <si>
    <t xml:space="preserve">It means improving longevity and developing solutions for aging through scientific advancements, governmental support, and social/ethical awareness.</t>
  </si>
  <si>
    <t xml:space="preserve">For me, developing solutions for aging and health directly solves the problem, and with the AI boom, we can utilize it to further advance our understanding of the diseases. Then, I think it is important to make sure such solutions are affordable and accessible to everyone. Finally, (i) seems more of a general statement, so I ranked it third since it contributes more to the larger picture goal.; For the society, I think AI development will still continue, but a short-term goal will be to make healthcare more affordable and generalizable to the broader population, as this is important regardless of the stage of discovery. Then, for broader goals, applying ML is the future of healthcare discovery in aging, and in turn, boosting reproductive health overall.</t>
  </si>
  <si>
    <t xml:space="preserve">(iii) – Number three excites me the most since I’m really interested in seeing how AI might build predictive solutions to address aging and longevity.</t>
  </si>
  <si>
    <t xml:space="preserve">I think there is a lot of nuance with this, especially now with Robotic Surgery and an increase of AI in healthcare. I think this is interesting since there are many ML models now utilized to analyze healthcare data and advance our understanding of diseases, yet with invasive procedures involved with aging, I’m curious where AI can lead us with new insights or also potentially ethical dilemmas.</t>
  </si>
  <si>
    <t xml:space="preserve">Yes, especially for surgery and highly invasive procedures, proper ethical considerations need to be put in place to make sure patient autonomy and beneficence still remain. With advancements like robotic surgery, we can already see, that although a robot might have 360 degree vision compared to the naked eye and stricter hand control, surgeons are the main drivers behind the scenes. Without the deep expertise and experience of the surgeon, AI could lead to many ethical dilemmas and problems.</t>
  </si>
  <si>
    <t xml:space="preserve">G7-028</t>
  </si>
  <si>
    <t xml:space="preserve">I would define aging as the process and privilege of getting older.</t>
  </si>
  <si>
    <t xml:space="preserve">I think one of our major problems is not having access to affordable healthcare.</t>
  </si>
  <si>
    <t xml:space="preserve">Something we could solve in short term could be food insecurity amount aging groups, we could create a program that could allow more ppl get access to healthy food.</t>
  </si>
  <si>
    <t xml:space="preserve">I don’t see much action being taken to fix these problems.</t>
  </si>
  <si>
    <t xml:space="preserve">Three things I would like to maintain as I age would be:; - a healthy mobile body; - maybe a house; - my ability to speak up</t>
  </si>
  <si>
    <t xml:space="preserve">Yeah maintaining a healthy lifestyle and staying active when it comes to voting to ensure the best politicians are elected.</t>
  </si>
  <si>
    <t xml:space="preserve">They are different ways of improving health, increasing lifespan, and helping people age healthier.</t>
  </si>
  <si>
    <t xml:space="preserve">I ranked democratizing longevity science first because making health solutions affordable and accessible could help more people. I think reproductive health is also important because it affects people’s health and quality of life. AI is useful, but I think it should come after making these solutions accessible.</t>
  </si>
  <si>
    <t xml:space="preserve">I am excited about the possibility of helping people live longer and healthier lives.</t>
  </si>
  <si>
    <t xml:space="preserve">My biggest concern is that these technologies could be too expensive or only available to certain people.</t>
  </si>
  <si>
    <t xml:space="preserve">Yes, there should be rules about privacy, safety, fairness, and access to these technologies.</t>
  </si>
  <si>
    <t xml:space="preserve">G7-029</t>
  </si>
  <si>
    <t xml:space="preserve">Accumulation of Molecular and cellular damage causing physiological decline.</t>
  </si>
  <si>
    <t xml:space="preserve">Lack of support services as the population as a whole ages</t>
  </si>
  <si>
    <t xml:space="preserve">We can set up better infrastructure in the short term like better PCPs</t>
  </si>
  <si>
    <t xml:space="preserve">Either subsidizing medical schools/ making it more accessible or expanding who can serve as a PCP</t>
  </si>
  <si>
    <t xml:space="preserve">1. Muscle Mass 2. Cognitive Function. 3. My sense of purpose</t>
  </si>
  <si>
    <t xml:space="preserve">Working out helps all 3</t>
  </si>
  <si>
    <t xml:space="preserve">Applying social and technological innovations to tackle scientific and social determinants of health.</t>
  </si>
  <si>
    <t xml:space="preserve">II is most important because there is not point having medical innovations if no one can access them. I is most important to an aging society, but is less pertinent to me individually, and III is extremely important but I don’t think will make as much of an impact on quality of care.</t>
  </si>
  <si>
    <t xml:space="preserve">The thing that excited me the most is the possibility of considering more than just the typical biological factors, but including more social determinants of health in healthcare.</t>
  </si>
  <si>
    <t xml:space="preserve">What concerns me most is patient privacy and accuracy of tools used due to the way they’re trained.</t>
  </si>
  <si>
    <t xml:space="preserve">Yes, privacy is the most important. Additionally, you can’t make healthcare extremely generalizable as each patient has unique factors. There needs to be a balance between general factors and designing treatments for individuals.</t>
  </si>
  <si>
    <t xml:space="preserve">G7-030</t>
  </si>
  <si>
    <t xml:space="preserve">Getting older and gaining more experiences in life</t>
  </si>
  <si>
    <t xml:space="preserve">I think it is the rapidly changing technology and the inability to adapt fast enough.</t>
  </si>
  <si>
    <t xml:space="preserve">i think it should be pertaining to helping the older generation learn to adapt to this new world with technology used in daily life.</t>
  </si>
  <si>
    <t xml:space="preserve">Many people are stubborn and like to keep their lives the way they are.</t>
  </si>
  <si>
    <t xml:space="preserve">my skills, my knowledge, and my agility</t>
  </si>
  <si>
    <t xml:space="preserve">One thing is to keep myself healthy so I can live a long and healthy life.</t>
  </si>
  <si>
    <t xml:space="preserve">They are all topics that pertain to the fact that our world is rapidly changing and AI is taking over many parts of our world.</t>
  </si>
  <si>
    <t xml:space="preserve">I think improving life spans is an important goal for society since this would improve our medical system and our well-being.</t>
  </si>
  <si>
    <t xml:space="preserve">topic 1</t>
  </si>
  <si>
    <t xml:space="preserve">topic 3</t>
  </si>
  <si>
    <t xml:space="preserve">Yes, I think that using AI to enable modern solutions because it can be used in harmful ways if HIPAA and other ethical considerations are not considered.</t>
  </si>
  <si>
    <t xml:space="preserve">G7-031</t>
  </si>
  <si>
    <t xml:space="preserve">When half of a society is 60 or older</t>
  </si>
  <si>
    <t xml:space="preserve">Maybe the quality of life and sense of security? Since most of them only rely on retirement wages, there is no constant cash flow and when they have illness, both their financial and physical status will be challenged.</t>
  </si>
  <si>
    <t xml:space="preserve">I will say better national funded health insurance, as health is always the priority for the aging population.</t>
  </si>
  <si>
    <t xml:space="preserve">Do not really know</t>
  </si>
  <si>
    <t xml:space="preserve">Financial stability, physical health, freedom</t>
  </si>
  <si>
    <t xml:space="preserve">Cultivating healthy habits and maybe try my best to land in a thriving industry?</t>
  </si>
  <si>
    <t xml:space="preserve">Democratize the integration of AI in extending life expectancy and improve reproductive health.</t>
  </si>
  <si>
    <t xml:space="preserve">Because we first need to ensure basic health and average life expectancy, then can we develop more AI integrated ways that can potentially reduce healthcare costs, which then can finally be applied to more people.</t>
  </si>
  <si>
    <t xml:space="preserve">Applying machine learning and AI to enable solutions</t>
  </si>
  <si>
    <t xml:space="preserve">The abuse of AI and its ethic problem</t>
  </si>
  <si>
    <t xml:space="preserve">G7-032</t>
  </si>
  <si>
    <t xml:space="preserve">The normal process of getting older and becoming less resilient</t>
  </si>
  <si>
    <t xml:space="preserve">having safe housing that is easy to navigate</t>
  </si>
  <si>
    <t xml:space="preserve">Make homes and public spaces easier to use before mobility problems become emergencies.</t>
  </si>
  <si>
    <t xml:space="preserve">Newer buildings are more accessible, but older spaces still lag behind.</t>
  </si>
  <si>
    <t xml:space="preserve">independence, clear thinking, and social connection</t>
  </si>
  <si>
    <t xml:space="preserve">Use my brain, move every day, and avoid isolating myself.</t>
  </si>
  <si>
    <t xml:space="preserve">Combining research, access, and new technology to address aging.</t>
  </si>
  <si>
    <t xml:space="preserve">I ranked them based on impact on everyday quality of life rather than how advanced the technology sounds.</t>
  </si>
  <si>
    <t xml:space="preserve">The chance to extend healthspan instead of just lifespan.</t>
  </si>
  <si>
    <t xml:space="preserve">People trusting automated recommendations that are wrong.</t>
  </si>
  <si>
    <t xml:space="preserve">People should understand risks and alternatives before agreeing to treatment.</t>
  </si>
  <si>
    <t xml:space="preserve">Yes, because many solutions will require combining biology, data, and device design.</t>
  </si>
  <si>
    <t xml:space="preserve">G7-033</t>
  </si>
  <si>
    <t xml:space="preserve">Alabama</t>
  </si>
  <si>
    <t xml:space="preserve">Alabama, United States</t>
  </si>
  <si>
    <t xml:space="preserve">aging is how people change overtime and lose function</t>
  </si>
  <si>
    <t xml:space="preserve">maintaining a good quality of life</t>
  </si>
  <si>
    <t xml:space="preserve">focus on indepedence to avoid burdening younger generations or increasing reliance on external help</t>
  </si>
  <si>
    <t xml:space="preserve">weight training</t>
  </si>
  <si>
    <t xml:space="preserve">focus on treating issues related to aging to improve quality of life</t>
  </si>
  <si>
    <t xml:space="preserve">i believe medical treatment and focus on quality of life should be a focus for all people, no matter the income level</t>
  </si>
  <si>
    <t xml:space="preserve">Overall improvement in medical care</t>
  </si>
  <si>
    <t xml:space="preserve">I worry that we will have an even greater difference in health across income levels</t>
  </si>
  <si>
    <t xml:space="preserve">testing, data sources</t>
  </si>
  <si>
    <t xml:space="preserve">G7-034</t>
  </si>
  <si>
    <t xml:space="preserve">Living life! The process by which your body and mind change as years pass</t>
  </si>
  <si>
    <t xml:space="preserve">Decreased quality of life (failing health)</t>
  </si>
  <si>
    <t xml:space="preserve">Decreased quality of life due to lack of access to healthcare - expanding the services provided and access to those services could help the aging population, through government oversight. Should be prioritized because everyone has a right to living a healthy life</t>
  </si>
  <si>
    <t xml:space="preserve">No, not from this current administration</t>
  </si>
  <si>
    <t xml:space="preserve">Health, mental sharpness, independence</t>
  </si>
  <si>
    <t xml:space="preserve">Eat healthily and get regular exercise…</t>
  </si>
  <si>
    <t xml:space="preserve">How to ensure that our aging populations are able to live healthy lives</t>
  </si>
  <si>
    <t xml:space="preserve">I think making healthcare accessible is the most important aspect, since there’s going to be less of an impact for those technologies if they’re not able to be used by the majority of the population; Many people who want to have children may not be able to due to financial constraints, and when they’re finally able to have children later in life their reproductive capabilities may have decreased.</t>
  </si>
  <si>
    <t xml:space="preserve">Getting these technologies out to the public, and seeing the impact they have on the aging population</t>
  </si>
  <si>
    <t xml:space="preserve">That big companies will patent and paywall these technologies</t>
  </si>
  <si>
    <t xml:space="preserve">Yes. Testing out the technologies on aging populations who are already in pain and/or have declining health… is ethical</t>
  </si>
  <si>
    <t xml:space="preserve">G7-035</t>
  </si>
  <si>
    <t xml:space="preserve">It’s inevitable and makes us degrade.</t>
  </si>
  <si>
    <t xml:space="preserve">Social Security Dwindling</t>
  </si>
  <si>
    <t xml:space="preserve">We should manage funding better to provide for our elders.</t>
  </si>
  <si>
    <t xml:space="preserve">Not as much as there should be.</t>
  </si>
  <si>
    <t xml:space="preserve">Mental sharpness, relation to family and friends</t>
  </si>
  <si>
    <t xml:space="preserve">Yes, puzzles and time together.</t>
  </si>
  <si>
    <t xml:space="preserve">The use of technology to better the aging population and overall health.</t>
  </si>
  <si>
    <t xml:space="preserve">Health is the main goal, and AI is just one way to get there.</t>
  </si>
  <si>
    <t xml:space="preserve">The fact that people will hopefully benefit and live longer.</t>
  </si>
  <si>
    <t xml:space="preserve">Is there more infrastructure in place for the increase in elders.</t>
  </si>
  <si>
    <t xml:space="preserve">How will the use if AI be a detriment to others both in the short term and long term.</t>
  </si>
  <si>
    <t xml:space="preserve">G7-036</t>
  </si>
  <si>
    <t xml:space="preserve">Passage of time results in DNA damage. Your body gets weaker and it's sad and beautiful.</t>
  </si>
  <si>
    <t xml:space="preserve">Lack of support, being discarded by society once they have served their</t>
  </si>
  <si>
    <t xml:space="preserve">Getting the government to do more for our senior citizenry.</t>
  </si>
  <si>
    <t xml:space="preserve">Personally? No, I should do more tho.</t>
  </si>
  <si>
    <t xml:space="preserve">Mental sharpness, physical mobility, memory</t>
  </si>
  <si>
    <t xml:space="preserve">Exercise and challenging myself mentally</t>
  </si>
  <si>
    <t xml:space="preserve">Using modern technology to make the common man live longer</t>
  </si>
  <si>
    <t xml:space="preserve">Cuz it's not important that we have better health if it's not available to people.</t>
  </si>
  <si>
    <t xml:space="preserve">Democratizing longevity science because people deserve access to good things.</t>
  </si>
  <si>
    <t xml:space="preserve">It's hard to get distribute from a logistical standpoint and political standpoint.</t>
  </si>
  <si>
    <t xml:space="preserve">Who we experiment on and not abandoning the people who can't use the technology.</t>
  </si>
  <si>
    <t xml:space="preserve">G7-037</t>
  </si>
  <si>
    <t xml:space="preserve">Accumulating years along with physical and cognitive changes</t>
  </si>
  <si>
    <t xml:space="preserve">transportation when driving is no longer an option</t>
  </si>
  <si>
    <t xml:space="preserve">Improve local transit for people who cannot drive, since missing appointments affects health quickly.</t>
  </si>
  <si>
    <t xml:space="preserve">Paratransit exists in some places, although scheduling can be difficult.</t>
  </si>
  <si>
    <t xml:space="preserve">energy, mobility, and relationships with family</t>
  </si>
  <si>
    <t xml:space="preserve">Strength train, sleep enough, and stay in contact with family.</t>
  </si>
  <si>
    <t xml:space="preserve">Helping people live longer while preserving function and independence.</t>
  </si>
  <si>
    <t xml:space="preserve">Health comes first for me, then making improvements accessible, with AI as one possible method.</t>
  </si>
  <si>
    <t xml:space="preserve">Technology that reduces routine work and gives clinicians more time with patients.</t>
  </si>
  <si>
    <t xml:space="preserve">New technology creating a larger gap between wealthy and lower-income patients.</t>
  </si>
  <si>
    <t xml:space="preserve">Health data should not be sold or reused without clear permission.</t>
  </si>
  <si>
    <t xml:space="preserve">Yes, bioengineers can work on prevention, monitoring, and treatment.</t>
  </si>
  <si>
    <t xml:space="preserve">G7-038</t>
  </si>
  <si>
    <t xml:space="preserve">Time passing while the body slowly changes</t>
  </si>
  <si>
    <t xml:space="preserve">finding caregivers without putting all the burden on family</t>
  </si>
  <si>
    <t xml:space="preserve">Support family caregivers with respite care and training because burnout affects both the caregiver and older adult.</t>
  </si>
  <si>
    <t xml:space="preserve">Some caregiver programs exist, but families still do most of the work.</t>
  </si>
  <si>
    <t xml:space="preserve">my health, hobbies, and ability to make my own decisions</t>
  </si>
  <si>
    <t xml:space="preserve">Keep routines that support health and stay involved in hobbies.</t>
  </si>
  <si>
    <t xml:space="preserve">Applying science to aging while considering affordability and fairness.</t>
  </si>
  <si>
    <t xml:space="preserve">I focused on what could help the most people instead of what is most technically impressive.</t>
  </si>
  <si>
    <t xml:space="preserve">Better home monitoring that could prevent unnecessary hospital visits.</t>
  </si>
  <si>
    <t xml:space="preserve">Health data being reused without clear permission.</t>
  </si>
  <si>
    <t xml:space="preserve">Bias needs to be checked before a model is used for medical decisions.</t>
  </si>
  <si>
    <t xml:space="preserve">Absolutely, especially where engineering can make care easier to deliver.</t>
  </si>
  <si>
    <t xml:space="preserve">G7-039</t>
  </si>
  <si>
    <t xml:space="preserve">The long-term wear on the body plus the experiences you gain</t>
  </si>
  <si>
    <t xml:space="preserve">preventing chronic disease from limiting quality of life</t>
  </si>
  <si>
    <t xml:space="preserve">Put more resources into prevention since maintaining function is easier than recovering it after a major decline.</t>
  </si>
  <si>
    <t xml:space="preserve">Preventive care is talked about more, but access depends on insurance.</t>
  </si>
  <si>
    <t xml:space="preserve">mental clarity, physical fitness, and a sense of purpose</t>
  </si>
  <si>
    <t xml:space="preserve">Exercise, learn continuously, and keep a reason to get up every day.</t>
  </si>
  <si>
    <t xml:space="preserve">Improving the years people live, not only the number of years.</t>
  </si>
  <si>
    <t xml:space="preserve">I value healthspan first because living longer is less meaningful if health is poor.</t>
  </si>
  <si>
    <t xml:space="preserve">Research that helps people stay active at older ages.</t>
  </si>
  <si>
    <t xml:space="preserve">Moving too quickly before safety is understood.</t>
  </si>
  <si>
    <t xml:space="preserve">There should be strong safety testing before new longevity treatments are marketed.</t>
  </si>
  <si>
    <t xml:space="preserve">Yes, they can help make aging research more measurable and practical.</t>
  </si>
  <si>
    <t xml:space="preserve">G7-040</t>
  </si>
  <si>
    <t xml:space="preserve">I define aging primarily from a biological perspective, encompassing the wear and tear that naturally occurs to cells throughout time.</t>
  </si>
  <si>
    <t xml:space="preserve">Staying socially connected. I think lack of social contact could even have impacts on diseases that are better recognized such as neurodegenerative diseases.</t>
  </si>
  <si>
    <t xml:space="preserve">Helping elders stay connected with one another- I believe that health encompasses not just a human's biology but their quality of life as well. I think that helping elders stay connected can benefit both.</t>
  </si>
  <si>
    <t xml:space="preserve">Healthcare should encompass integrative approaches for the elderly- e.g., memory cafe's.</t>
  </si>
  <si>
    <t xml:space="preserve">Physical mobility, mental clarity, sense of purpose</t>
  </si>
  <si>
    <t xml:space="preserve">Choice of profession (many researchers essentially work until they die because it helps them to stay mentally sharp, connected, and with a strong sense of purpose)</t>
  </si>
  <si>
    <t xml:space="preserve">Utilizing scientific advancement to increase life/healthspan</t>
  </si>
  <si>
    <t xml:space="preserve">Effective use of technology to advance healthcare and science is paramount to me. Next to that would be using advancements to boost reproductive health and longevity. To me, democratizing longevity is a natural side effect of better tech.</t>
  </si>
  <si>
    <t xml:space="preserve">Overreliance on AI/ML &amp; subsequent deterioration of human intelligence</t>
  </si>
  <si>
    <t xml:space="preserve">Understanding the difference between lifespan and healthspan. I don't think all people want to live longer necessarily, and there is a balance between the years in one's life and the life in one's years.</t>
  </si>
  <si>
    <t xml:space="preserve">G7-041</t>
  </si>
  <si>
    <t xml:space="preserve">Getting older, with some abilities improving and others declining</t>
  </si>
  <si>
    <t xml:space="preserve">financial security after retirement</t>
  </si>
  <si>
    <t xml:space="preserve">Protect retirement income and basic benefits because financial stress affects every other part of health.</t>
  </si>
  <si>
    <t xml:space="preserve">Programs exist, but they do not seem equally available everywhere.</t>
  </si>
  <si>
    <t xml:space="preserve">close friends, movement, and the ability to keep learning</t>
  </si>
  <si>
    <t xml:space="preserve">Reach out to friends, stay active, and keep trying unfamiliar things.</t>
  </si>
  <si>
    <t xml:space="preserve">Developing better aging solutions and making sure people can actually use them.</t>
  </si>
  <si>
    <t xml:space="preserve">Access and affordability matter because research benefits are limited when people cannot use them.</t>
  </si>
  <si>
    <t xml:space="preserve">Finding ways to slow cognitive decline.</t>
  </si>
  <si>
    <t xml:space="preserve">Treatments working well for one population but not being tested broadly enough.</t>
  </si>
  <si>
    <t xml:space="preserve">Older adults should not be treated as an easy group for experimental testing.</t>
  </si>
  <si>
    <t xml:space="preserve">I think bioengineers will be important for both diagnostics and rehabilitation.</t>
  </si>
  <si>
    <t xml:space="preserve">G7-042</t>
  </si>
  <si>
    <t xml:space="preserve">A gradual shift in health, energy, and independence over time</t>
  </si>
  <si>
    <t xml:space="preserve">access to specialists without long wait times</t>
  </si>
  <si>
    <t xml:space="preserve">Reduce appointment wait times because early treatment is usually simpler and less expensive.</t>
  </si>
  <si>
    <t xml:space="preserve">Telehealth helps some people, although it can create another technology barrier.</t>
  </si>
  <si>
    <t xml:space="preserve">financial independence, health, and optimism</t>
  </si>
  <si>
    <t xml:space="preserve">Plan financially while also taking care of physical and mental health.</t>
  </si>
  <si>
    <t xml:space="preserve">Using research and technology to improve long-term health outcomes.</t>
  </si>
  <si>
    <t xml:space="preserve">I ranked practical outcomes above the tool used to create them.</t>
  </si>
  <si>
    <t xml:space="preserve">Making medical advances available outside major hospitals.</t>
  </si>
  <si>
    <t xml:space="preserve">Replacing human interaction with technology in situations where people need support.</t>
  </si>
  <si>
    <t xml:space="preserve">Human judgment should remain part of high-stakes medical decisions.</t>
  </si>
  <si>
    <t xml:space="preserve">Yes, especially for translating new science into usable products.</t>
  </si>
  <si>
    <t xml:space="preserve">G7-043</t>
  </si>
  <si>
    <t xml:space="preserve">Gaining experience and getting older</t>
  </si>
  <si>
    <t xml:space="preserve">Illness</t>
  </si>
  <si>
    <t xml:space="preserve">Independency because it gives the feeling of control and can strengthen the mindset.</t>
  </si>
  <si>
    <t xml:space="preserve">Assistive technology in devices, specifically targeted for older users</t>
  </si>
  <si>
    <t xml:space="preserve">Physical mobility, relationships, mental sharpness</t>
  </si>
  <si>
    <t xml:space="preserve">All 3 topics cover improvements in health, creating solutions sustainable for the future as well.</t>
  </si>
  <si>
    <t xml:space="preserve">I believe that everyone should have access to health related services. I believe reproductive health goes second, as it applies to the overall wellbeing. And lastly, applying AI is something I believe needs consideration in its ethics.</t>
  </si>
  <si>
    <t xml:space="preserve">Topic 2: accessibility and affordability</t>
  </si>
  <si>
    <t xml:space="preserve">Topic 2: failure and exploitation</t>
  </si>
  <si>
    <t xml:space="preserve">G7-044</t>
  </si>
  <si>
    <t xml:space="preserve">Overall health and well being.</t>
  </si>
  <si>
    <t xml:space="preserve">Accessibility. Things like ramps, railings, easy access doors. These should be prioritized since they are not an expensive addition during construction of new buildings and they make life easier for everyone, not just for those who need it.</t>
  </si>
  <si>
    <t xml:space="preserve">Yes. luckily the city i live in is fairly accessible and when traveling the difference is clear.</t>
  </si>
  <si>
    <t xml:space="preserve">Physical ability, mental sharpness, health</t>
  </si>
  <si>
    <t xml:space="preserve">Exercise, reading, eat healthy</t>
  </si>
  <si>
    <t xml:space="preserve">The framework to live longer and healthier.</t>
  </si>
  <si>
    <t xml:space="preserve">Democratizing longevity is something that affects everyone, reproductive health and longevity affects most and ai affects the least.</t>
  </si>
  <si>
    <t xml:space="preserve">Ai application</t>
  </si>
  <si>
    <t xml:space="preserve">Yes, ai as a resource is an ethical consideration.</t>
  </si>
  <si>
    <t xml:space="preserve">G7-045</t>
  </si>
  <si>
    <t xml:space="preserve">Progressive age</t>
  </si>
  <si>
    <t xml:space="preserve">Heart disease or cancer</t>
  </si>
  <si>
    <t xml:space="preserve">Heart disease, leading cause of death</t>
  </si>
  <si>
    <t xml:space="preserve">Better access to medication</t>
  </si>
  <si>
    <t xml:space="preserve">Physical mobility, mental sharpness, relationships</t>
  </si>
  <si>
    <t xml:space="preserve">Exercising and building muscle</t>
  </si>
  <si>
    <t xml:space="preserve">There are different perspectives to how longevity and quality of life can be improved with those in aging populations.</t>
  </si>
  <si>
    <t xml:space="preserve">I think accessibility and affordability is the number one priority while applying machine learning to enable solutions will come along the way</t>
  </si>
  <si>
    <t xml:space="preserve">Democratizing longevity</t>
  </si>
  <si>
    <t xml:space="preserve">Where data comes from and whether aging population wants the potential solution</t>
  </si>
  <si>
    <t xml:space="preserve">G7-046</t>
  </si>
  <si>
    <t xml:space="preserve">Natural process of growing older</t>
  </si>
  <si>
    <t xml:space="preserve">Inability to utilize or understand new technology</t>
  </si>
  <si>
    <t xml:space="preserve">Same answer as above. I think it should be prioritized because they are susceptible to scams and utilizing new technology will significantly improve their life.</t>
  </si>
  <si>
    <t xml:space="preserve">Physical mobility, Mental Acuity, Ability to Change/ Mental Flexibility</t>
  </si>
  <si>
    <t xml:space="preserve">Reading, Working out, Improving cardiovascular health, Stretching, Doing hard things with the perspective of learning.</t>
  </si>
  <si>
    <t xml:space="preserve">Improving reproductive health, making longevity solutions widely accessible, and using AI to better predict and manage aging and disease.</t>
  </si>
  <si>
    <t xml:space="preserve">I think they are all important in their own right. Obviously boosting health is the most important but it will most likely take the other 2 topics to execute. We must make it accessible and cutting edge for the health benefits to come to fruition.</t>
  </si>
  <si>
    <t xml:space="preserve">Applying AI</t>
  </si>
  <si>
    <t xml:space="preserve">From a democratic capitalist standpoint it will be hard to make health care widely accessible without severely hurting profitability and increasing taxation. We will have to cut out the middle man of pharmaceutical companies which raise prices and start buying directly from pharmaceutical companies.</t>
  </si>
  <si>
    <t xml:space="preserve">I think the largest ethical consideration is do we spend tax dollars and nationwide budget on making healthcare accessible to illegal immigrants. It can be see as good or bad depending on your standpoint.</t>
  </si>
  <si>
    <t xml:space="preserve">G7-047</t>
  </si>
  <si>
    <t xml:space="preserve">The deterioration of processes in the body, or the emotional maturing and wearing of the mind. A reckless gamble against cancer.</t>
  </si>
  <si>
    <t xml:space="preserve">Money and inflation. The decline in critical thinking skills and education in the general public.</t>
  </si>
  <si>
    <t xml:space="preserve">Money - people are having to work because they don't have anything left.</t>
  </si>
  <si>
    <t xml:space="preserve">Fighting for representation, since I guess our governments want to send their money to Israel in the billions.</t>
  </si>
  <si>
    <t xml:space="preserve">Relationships and my mental sanity.</t>
  </si>
  <si>
    <t xml:space="preserve">Make memories while they're still here.</t>
  </si>
  <si>
    <t xml:space="preserve">Not adressing the problem</t>
  </si>
  <si>
    <t xml:space="preserve">AI can really boost the biological science community and push cancer even further back. It can do wonders, EX: protein synthesis models. Healthcare is too expensive. Split up the localized monopoly.</t>
  </si>
  <si>
    <t xml:space="preserve">AI in modern medicine, since it speeds up the process, and helps us push the boundaries of medicine.</t>
  </si>
  <si>
    <t xml:space="preserve">Democratizing in this age is a monumental task and should be focused on.</t>
  </si>
  <si>
    <t xml:space="preserve">Loss of jobs from AI</t>
  </si>
  <si>
    <t xml:space="preserve">G7-048</t>
  </si>
  <si>
    <t xml:space="preserve">The process of becoming older and noticing changes in function</t>
  </si>
  <si>
    <t xml:space="preserve">maintaining purpose and community after leaving work</t>
  </si>
  <si>
    <t xml:space="preserve">Build more community activities because losing a work routine can also mean losing social connection.</t>
  </si>
  <si>
    <t xml:space="preserve">Community groups do this well in some areas, but not consistently.</t>
  </si>
  <si>
    <t xml:space="preserve">good sleep, mobility, and meaningful relationships</t>
  </si>
  <si>
    <t xml:space="preserve">Protect sleep, exercise regularly, and maintain close relationships.</t>
  </si>
  <si>
    <t xml:space="preserve">Finding ways to delay decline while keeping care accessible.</t>
  </si>
  <si>
    <t xml:space="preserve">For society, fairness matters more to me than whether a solution uses AI.</t>
  </si>
  <si>
    <t xml:space="preserve">Using models to identify risk earlier and guide follow-up.</t>
  </si>
  <si>
    <t xml:space="preserve">Using AI because it is trendy rather than because it improves care.</t>
  </si>
  <si>
    <t xml:space="preserve">Benefits and risks should be communicated clearly instead of overselling new technology.</t>
  </si>
  <si>
    <t xml:space="preserve">Yes, they can design systems that support healthier aging at home.</t>
  </si>
  <si>
    <t xml:space="preserve">G7-049</t>
  </si>
  <si>
    <t xml:space="preserve">Not staying current, falling behind or isolating yourself from life and trends</t>
  </si>
  <si>
    <t xml:space="preserve">Healthcare, responsibilities in supporting family members</t>
  </si>
  <si>
    <t xml:space="preserve">Healthcare, it is an added burden to everything else. If everyone had access to good, affordable healthcare, we would have a heather population who could contribute more to family needs either financially or by providing childcare or chores.</t>
  </si>
  <si>
    <t xml:space="preserve">Government policies in support of universal healthcare.</t>
  </si>
  <si>
    <t xml:space="preserve">A sense of wonder in the world, a belief in the good of others, and a desire to learn</t>
  </si>
  <si>
    <t xml:space="preserve">Good health, reduced stress, financial stability.</t>
  </si>
  <si>
    <t xml:space="preserve">i. Increasing access to healthcare for all women; ii. A long overdue need, something that should be expected in this day in age; iii. Using AI to data crunch to assist physicians in evaluations.</t>
  </si>
  <si>
    <t xml:space="preserve">Universal healthcare is desperately needed. Women’s healthcare is often minimized. AI in medicine is already being used for data processing and does not need to be prioritized.</t>
  </si>
  <si>
    <t xml:space="preserve">ii – the benefits to children of poor households if families receive universal healthcare</t>
  </si>
  <si>
    <t xml:space="preserve">iii – hype and prioritizing this option for the sound bytes. Over utilization of AI for diagnosis without physician oversite</t>
  </si>
  <si>
    <t xml:space="preserve">G7-050</t>
  </si>
  <si>
    <t xml:space="preserve">Adapting to change</t>
  </si>
  <si>
    <t xml:space="preserve">Healthcare costs</t>
  </si>
  <si>
    <t xml:space="preserve">I’m part of the action</t>
  </si>
  <si>
    <t xml:space="preserve">Cognitive ability, mobility, openmindedness</t>
  </si>
  <si>
    <t xml:space="preserve">Hang out with younger people</t>
  </si>
  <si>
    <t xml:space="preserve">Human evolution beyond natural selection</t>
  </si>
  <si>
    <t xml:space="preserve">AI is the most likely to disrupt any sort of long term planning for the human species so learning to manage it is key</t>
  </si>
  <si>
    <t xml:space="preserve">The unknown</t>
  </si>
  <si>
    <t xml:space="preserve">Unchecked hubris</t>
  </si>
  <si>
    <t xml:space="preserve">Resource allocation and harm reduction</t>
  </si>
  <si>
    <t xml:space="preserve">G7-051</t>
  </si>
  <si>
    <t xml:space="preserve">Getting older and our organs starts to become weaker</t>
  </si>
  <si>
    <t xml:space="preserve">Financial support</t>
  </si>
  <si>
    <t xml:space="preserve">Financial support because it make sure the living qualities of the elderly</t>
  </si>
  <si>
    <t xml:space="preserve">Not sure (tax maybe?)</t>
  </si>
  <si>
    <t xml:space="preserve">Relationships with people I love and care, frequent exercise, and mental sharpness</t>
  </si>
  <si>
    <t xml:space="preserve">Chat and hang out with friends, jog 5times a week</t>
  </si>
  <si>
    <t xml:space="preserve">Science makes our life better</t>
  </si>
  <si>
    <t xml:space="preserve">I believe in making sure and improving the living quality of people helps improve happiness and the willingness to live longer and give birth.</t>
  </si>
  <si>
    <t xml:space="preserve">the last one</t>
  </si>
  <si>
    <t xml:space="preserve">the first one, because over encouragement for giving birth would probably bring negative effects</t>
  </si>
  <si>
    <t xml:space="preserve">The first one: don't force (would be the greatest ethical concerns</t>
  </si>
  <si>
    <t xml:space="preserve">G7-052</t>
  </si>
  <si>
    <t xml:space="preserve">To be in need of periodical medical assistance</t>
  </si>
  <si>
    <t xml:space="preserve">inflation &amp; insufficient retirement pension</t>
  </si>
  <si>
    <t xml:space="preserve">For older adults who lack stable housing or require day-to-day assistance, there should be more alternatives to retirement homes and other forms of institutional care. This would require a larger, professionally trained workforce of social workers, home-care workers, and other support professionals who can help older adults remain in their own homes and communities. The cost of hiring such assistance should also be subsidized so that professional care is accessible to older people who can no longer live independently but do not need, or do not wish, to enter a residential facility.</t>
  </si>
  <si>
    <t xml:space="preserve">Medicaid’s Home and Community-Based Services programs fund services such as personal care, home health assistance, and other forms of daily support, and a 2024 federal rule introduced new requirements intended to strengthen these programs, including greater transparency over how much Medicaid funding reaches direct-care workers and better monitoring of access to services. (Medicaid) The Older Americans Act also supports a nationwide network that provides older adults with services such as in-home assistance, transportation, case management, meals, and caregiver support; according to the Administration for Community Living, these programs serve more than 14 million older Americans each year. (ACL Administration for Community Living). In 2025, HUD awarded nearly $97 million through its Section 202 program to help create more than 800 new rent-assisted homes for low- and very-low-income seniors, combining affordable housing with access to supportive services.</t>
  </si>
  <si>
    <t xml:space="preserve">The three things I would most like to retain throughout my life are independence, mental sharpness, and physical mobility. I would like to remain capable of making my own decisions, managing my daily life, continuing to learn and think critically, and moving around without having to depend heavily on other people.</t>
  </si>
  <si>
    <t xml:space="preserve">Staying physically active, eating well, and receiving regular medical care can help preserve mobility and general health. Continuing to read, learn new things, engage with other people, and pursue intellectually challenging interests may help maintain mental sharpness. I can also plan financially for later life and build a strong social support network so that, even if I eventually need some assistance, I can retain as much independence and control over my own life as possible.</t>
  </si>
  <si>
    <t xml:space="preserve">using scientific and technological advances to extend healthy human life and make such means accessible to more citizens</t>
  </si>
  <si>
    <t xml:space="preserve">Advances in health have the greatest social value when they are affordable and accessible to a wide range of people; reproductive health is an important part of long-term well-being and quality of life; although AI and ML are powerful tools for improving health care, their value depends on how effectively and equitably they are applied.</t>
  </si>
  <si>
    <t xml:space="preserve">Democratizing longevity science and solutions excites me most because it could make advances in healthy aging available to people regardless of income, location, or socioeconomic background.</t>
  </si>
  <si>
    <t xml:space="preserve">My greatest concern about longevity science is that new treatments and technologies could remain too expensive or inaccessible, creating an even larger gap in health outcomes between different socioeconomic groups.</t>
  </si>
  <si>
    <t xml:space="preserve">Yes. Important ethical considerations include equitable access, protection of personal health data, informed consent, reproductive autonomy, and preventing bias in AI-based health systems. New technologies should also be evaluated for safety and effectiveness across diverse populations.</t>
  </si>
  <si>
    <t xml:space="preserve">G7-053</t>
  </si>
  <si>
    <t xml:space="preserve">Staying fit and active mentally and physically</t>
  </si>
  <si>
    <t xml:space="preserve">Staying fit and active physically needs to be prioritized to keep up quality of life</t>
  </si>
  <si>
    <t xml:space="preserve">Education programs</t>
  </si>
  <si>
    <t xml:space="preserve">Mobility, sharpness, memory</t>
  </si>
  <si>
    <t xml:space="preserve">Working out, constantly learning</t>
  </si>
  <si>
    <t xml:space="preserve">Using modern science and technology to address aging</t>
  </si>
  <si>
    <t xml:space="preserve">Personal preference</t>
  </si>
  <si>
    <t xml:space="preserve">Democratizing solutions</t>
  </si>
  <si>
    <t xml:space="preserve">Combines science and policy</t>
  </si>
  <si>
    <t xml:space="preserve">G7-054</t>
  </si>
  <si>
    <t xml:space="preserve">the The process of gradual decline in bodily functions</t>
  </si>
  <si>
    <t xml:space="preserve">variety of diseases</t>
  </si>
  <si>
    <t xml:space="preserve">cancer treatment</t>
  </si>
  <si>
    <t xml:space="preserve">physical mobility</t>
  </si>
  <si>
    <t xml:space="preserve">physical exercise and physical examination regularly</t>
  </si>
  <si>
    <t xml:space="preserve">These three topics collectively focus on using science and technology to improve health, extend healthy lifespan, and make these advances accessible to more people</t>
  </si>
  <si>
    <t xml:space="preserve">not sure</t>
  </si>
  <si>
    <t xml:space="preserve">longevity 1</t>
  </si>
  <si>
    <t xml:space="preserve">longevity</t>
  </si>
  <si>
    <t xml:space="preserve">data safety</t>
  </si>
  <si>
    <t xml:space="preserve">G7-055</t>
  </si>
  <si>
    <t xml:space="preserve">Aging is the process of people getting mature both mentally and physically. All the body functions retire gradually but experiences increase gradually as well.</t>
  </si>
  <si>
    <t xml:space="preserve">I think the greatest challenge facing our aging population is living alone. Some elders may need to live alone by themselves when their relatives are living somewhere else. And if they need anything, they cannot help anyone to help them. And living alone is lonely and affect elders' mental health. And the elders may lack the money to hire someone to assist them with housework etc.</t>
  </si>
  <si>
    <t xml:space="preserve">I think the greatest challenge that should be solved in the short term is retirement plan and health insurance plan. Some elders still need to work after retirement because they do not have enough money to pay the bills or need money to prepare for any health issues that may come up. So it should be prioritized as elders should be assured to have health insurance benefits and retirement benefits that would maintain their living after working for all those years.</t>
  </si>
  <si>
    <t xml:space="preserve">Yes, I may see some actions to address this challenge like the change of the health insurance plan or the retirement plan. But I am not sure of any improvement that was acted.</t>
  </si>
  <si>
    <t xml:space="preserve">I want to maintain my relationships, like my friends and relatives connections. I also want to maintain mental sharpness by practicing using my brain and play boardgames. I also what to main my physical mobilities by exercising.</t>
  </si>
  <si>
    <t xml:space="preserve">Yes, I could continue hanging out and talk with my friends and relatives to maintain connections. I also can exercise reguarly and play board games.</t>
  </si>
  <si>
    <t xml:space="preserve">The three topics means to promote solutions that may be enabled by AI to the public for improving longevity and health.</t>
  </si>
  <si>
    <t xml:space="preserve">I think boasting reproductive health and longevity is the most important as it is tested to be effective. And democratizing longevity solution is very important because people need to know the solutions out there and have access to it. And machine learning and AI could be helpful to find out new solution but it have not been tested and it is a long way to go to prove its reliability.</t>
  </si>
  <si>
    <t xml:space="preserve">I am excited about what might happen if people know the longevity solutions and what influences it may lead to when it is democratized.</t>
  </si>
  <si>
    <t xml:space="preserve">I am concerning about AI and Machine Learning models testability and reliability in making solutions.</t>
  </si>
  <si>
    <t xml:space="preserve">Yes, privacy need to be considered and transparancy in how these solutions are being developed is also important. And to what limit AI should participate in developing solution will also need to be considered.</t>
  </si>
  <si>
    <t xml:space="preserve">G7-056</t>
  </si>
  <si>
    <t xml:space="preserve">The effects of time passing on the body.</t>
  </si>
  <si>
    <t xml:space="preserve">It’s rapidly evolving and could be dangerous.</t>
  </si>
  <si>
    <t xml:space="preserve">Some government regulations, but not really overall.</t>
  </si>
  <si>
    <t xml:space="preserve">Physical Mobility, mental sharpness, relationships</t>
  </si>
  <si>
    <t xml:space="preserve">Exercise, stay on top of health, make time for family &amp; friends.</t>
  </si>
  <si>
    <t xml:space="preserve">Using AI to create equitable solutions, boosting the longevity and improving the aging process in humans.</t>
  </si>
  <si>
    <t xml:space="preserve">Accessibility is important to the population. AI is important but accessibility must be thought of first. Boosting reproductive health and longevity sounds to be the overall goal.</t>
  </si>
  <si>
    <t xml:space="preserve">It can make a large impact in society.</t>
  </si>
  <si>
    <t xml:space="preserve">Technology-afraid or -confused elderly may not use these innovations.</t>
  </si>
  <si>
    <t xml:space="preserve">Yes, the age, technology knowledge, and AI privacy need to be considered.</t>
  </si>
  <si>
    <t xml:space="preserve">G7-057</t>
  </si>
  <si>
    <t xml:space="preserve">The loss of collagen, slackening skin, more vulnerable to disease</t>
  </si>
  <si>
    <t xml:space="preserve">Healthcare access</t>
  </si>
  <si>
    <t xml:space="preserve">We should make people understand the importance of preventive care so they are less likely to have serious health problems</t>
  </si>
  <si>
    <t xml:space="preserve">Social or clinical workers can help explain the necessity to people</t>
  </si>
  <si>
    <t xml:space="preserve">Physical mobility, mental sharpness, independence</t>
  </si>
  <si>
    <t xml:space="preserve">Daily exercise, learning new things to keep brain active</t>
  </si>
  <si>
    <t xml:space="preserve">using multiple methods to help people live longer while maintaining functions</t>
  </si>
  <si>
    <t xml:space="preserve">Personally, I would like to have more accessible longevity solutions. For our society, we would like to prioritize the next generation</t>
  </si>
  <si>
    <t xml:space="preserve">Democratizing longevity solutions</t>
  </si>
  <si>
    <t xml:space="preserve">All ethical considerations should be in place</t>
  </si>
  <si>
    <t xml:space="preserve">G7-058</t>
  </si>
  <si>
    <t xml:space="preserve">Cancer</t>
  </si>
  <si>
    <t xml:space="preserve">Loneliness in elderly populations is a big issue and i think that compared to other medical issues, this could be more quickly solved. Psychological factors also have a big impact on physical health</t>
  </si>
  <si>
    <t xml:space="preserve">Implementing more public spaces and programs targeted towards the elderly</t>
  </si>
  <si>
    <t xml:space="preserve">Physical mobility, mental sharpness, memory</t>
  </si>
  <si>
    <t xml:space="preserve">Staying fit from a young age and trying to learn new things</t>
  </si>
  <si>
    <t xml:space="preserve">Solutions to help engineer problems facing elderly individuals</t>
  </si>
  <si>
    <t xml:space="preserve">Just based on how I think these issues play a role in aging</t>
  </si>
  <si>
    <t xml:space="preserve">I think AI has a lot of potential in helping us create more individualized approaches to aging health, which is very important as every individual is affected differently by aging</t>
  </si>
  <si>
    <t xml:space="preserve">New solutions not being accessible and affordable to everyone</t>
  </si>
  <si>
    <t xml:space="preserve">Demographics, socioeconomics</t>
  </si>
  <si>
    <t xml:space="preserve">G7-059</t>
  </si>
  <si>
    <t xml:space="preserve">Diseases and cancer</t>
  </si>
  <si>
    <t xml:space="preserve">Isolation, because psychological factors also have a big effect on health overall</t>
  </si>
  <si>
    <t xml:space="preserve">Implementing new programs for elderly individuals to socialize</t>
  </si>
  <si>
    <t xml:space="preserve">Just the ability to be independent and move around</t>
  </si>
  <si>
    <t xml:space="preserve">Exercising</t>
  </si>
  <si>
    <t xml:space="preserve">Solutions to aging health</t>
  </si>
  <si>
    <t xml:space="preserve">I think accessibility to healthcare is a major barrier to better health for many americans</t>
  </si>
  <si>
    <t xml:space="preserve">topic 3: AI and machine learning</t>
  </si>
  <si>
    <t xml:space="preserve">New solutions not being affordable</t>
  </si>
  <si>
    <t xml:space="preserve">Affordability</t>
  </si>
  <si>
    <t xml:space="preserve">G7-060</t>
  </si>
  <si>
    <t xml:space="preserve">A process that living organisms experience overtime by living</t>
  </si>
  <si>
    <t xml:space="preserve">Body and mental problems that come with age</t>
  </si>
  <si>
    <t xml:space="preserve">Age loneliness, because it can harm their mental and physical well-being</t>
  </si>
  <si>
    <t xml:space="preserve">Organizations like For All Ages are committed to fighting age loneliness</t>
  </si>
  <si>
    <t xml:space="preserve">Physical mobility, mental sharpness, and relationships</t>
  </si>
  <si>
    <t xml:space="preserve">Take good care of my body and mind by paying attention to what i eat and do.</t>
  </si>
  <si>
    <t xml:space="preserve">Applying modern solutions to help solve improve experiences with aging and longevity.</t>
  </si>
  <si>
    <t xml:space="preserve">Reproductive health and longevity has direct impact on quality of life. AI can also help develop better solutions, while accessibility is important to ensure that those solutions reach everyone. They are all important, but i prioritized getting the solutions to work first.</t>
  </si>
  <si>
    <t xml:space="preserve">Reproductive health and longevity has direct impact on quality of life</t>
  </si>
  <si>
    <t xml:space="preserve">AI and ML is expensive, and may not provide good results</t>
  </si>
  <si>
    <t xml:space="preserve">Development of these solutions need to prioritize privacy, accessibility, and safety. AI has also been known to be biassed and discriminate.</t>
  </si>
  <si>
    <t xml:space="preserve">G7-061</t>
  </si>
  <si>
    <t xml:space="preserve">I would define aging as my gain in life experience and maturity as time passes</t>
  </si>
  <si>
    <t xml:space="preserve">As the population ages, there are less young people to fill the gap to take care of them and support society because birth rates are becoming lower.</t>
  </si>
  <si>
    <t xml:space="preserve">I think the greatest problem is a sedentary/boring lifestyle after retirement where the aging population are less physically and mentally stimulated. Creating third spaces for the elderly could keep them active and prevent cognitive decline.</t>
  </si>
  <si>
    <t xml:space="preserve">I think there are a lot of elderly-focused programs or clubs, but it is not a widespread thing, especially in rural areas.</t>
  </si>
  <si>
    <t xml:space="preserve">I would like to maintain my cognitive abilities, my friendships, and physical mobility.</t>
  </si>
  <si>
    <t xml:space="preserve">I think I will probably maintain my cognitive abilities as long as I am working and learning new things, but after retirement will need to pick up hobbies that require mental work like reading/writing or joining discussion clubs. I also should probably exercise more for my future health.</t>
  </si>
  <si>
    <t xml:space="preserve">The three topics use research and new technology to improve the health outcomes and longevity of the elderly population.</t>
  </si>
  <si>
    <t xml:space="preserve">I am passionate about accessibility and affordability of healthcare and believe that it would help our society, so I put it as first in both rankings. After that, I put reproductive health as the second rank because quality of life often depends on reproductive health and boosting it as a society can help boost child birth rates in society.</t>
  </si>
  <si>
    <t xml:space="preserve">Democratizing longevity science/solutions excites me the most because I want everybody to have access to healthcare regardless of their socioeconomic status and believe that everybody would benefit from it.</t>
  </si>
  <si>
    <t xml:space="preserve">My greatest concern is using AI in medicine because these datasets are often trained on skewed data that underrepresents a lot of demographic groups. This may lead to health outcomes that disproportionately benefit certain groups at the detriment of others.</t>
  </si>
  <si>
    <t xml:space="preserve">Yes. This ties in with my concerns about AI in medicine. People who develop machine learning models should be conscious of the data they use to train the models because they should represent all demographics.</t>
  </si>
  <si>
    <t xml:space="preserve">G7-062</t>
  </si>
  <si>
    <t xml:space="preserve">Living longer</t>
  </si>
  <si>
    <t xml:space="preserve">Not enough money past retirement</t>
  </si>
  <si>
    <t xml:space="preserve">Not enough money - it is difficult for old people to work</t>
  </si>
  <si>
    <t xml:space="preserve">More social security</t>
  </si>
  <si>
    <t xml:space="preserve">Providing older people with resources to handle aging.</t>
  </si>
  <si>
    <t xml:space="preserve">I think ensuring that people have access to resources to learn about aging is important</t>
  </si>
  <si>
    <t xml:space="preserve">Helping people learn</t>
  </si>
  <si>
    <t xml:space="preserve">People won't want to learn</t>
  </si>
  <si>
    <t xml:space="preserve">Not forcing people to learn</t>
  </si>
  <si>
    <t xml:space="preserve">G7-063</t>
  </si>
  <si>
    <t xml:space="preserve">Getting Older</t>
  </si>
  <si>
    <t xml:space="preserve">Mobility and independence</t>
  </si>
  <si>
    <t xml:space="preserve">Adequate resources to healthcare</t>
  </si>
  <si>
    <t xml:space="preserve">A policy which sets aside more money for healthcare</t>
  </si>
  <si>
    <t xml:space="preserve">Mobility, mental sharpness, independence</t>
  </si>
  <si>
    <t xml:space="preserve">Eat healthy, weight lift, continue mentally stimulating activities.</t>
  </si>
  <si>
    <t xml:space="preserve">Physical Independence.</t>
  </si>
  <si>
    <t xml:space="preserve">I think AI and increasing reproductive health doesn't mean that much if its benefits are anot accessible to everyone.</t>
  </si>
  <si>
    <t xml:space="preserve">For democratizing longevity, something that excites me most would be the resolutions between the SES and longevity expectancy gap.</t>
  </si>
  <si>
    <t xml:space="preserve">with AI I think my greatest concern is misuse.</t>
  </si>
  <si>
    <t xml:space="preserve">yes, I think there are. An example would be any technologies that have potential to extend peoples lifespan not being offered to everyone.</t>
  </si>
  <si>
    <t xml:space="preserve">G7-064</t>
  </si>
  <si>
    <t xml:space="preserve">Gansu</t>
  </si>
  <si>
    <t xml:space="preserve">Gansu, China</t>
  </si>
  <si>
    <t xml:space="preserve">Aging means my age increases, my body system begin to fade, and my minds become less clear.</t>
  </si>
  <si>
    <t xml:space="preserve">The doctor shortage and high medical cost.</t>
  </si>
  <si>
    <t xml:space="preserve">Health systems should lower its price and make treatment cost more transparent. Government help middle class families afford Healthcare.</t>
  </si>
  <si>
    <t xml:space="preserve">Some states like Indiana seems limits the price medical facilities can charge.</t>
  </si>
  <si>
    <t xml:space="preserve">Mental smartness, relationship and physical mobility</t>
  </si>
  <si>
    <t xml:space="preserve">Daily 30 minutes exercises, reading books and making more friends</t>
  </si>
  <si>
    <t xml:space="preserve">Using science, technology, and AI to improve reproductive health, extend healthy longevity, and make personalized, effective health solutions accessible to everyone.</t>
  </si>
  <si>
    <t xml:space="preserve">Technology can change the world. AI is revolutionary, and it has the potential to unlock the secrets of aging while accelerating progress in the other two areas.</t>
  </si>
  <si>
    <t xml:space="preserve">Topic 2: Democratizing longevity science/solutions (accessible, affordable, and generalizable health solutions)</t>
  </si>
  <si>
    <t xml:space="preserve">Topic 3: Applying machine learning and AI to enable modern solutions for aging and health (e.g., precision medicine, predicting disease trajectories)</t>
  </si>
  <si>
    <t xml:space="preserve">When we use technology and Ai to help improve the other two topics, we need make sure we still keep privacy, safe,equality on human.</t>
  </si>
  <si>
    <t xml:space="preserve">G7-065</t>
  </si>
  <si>
    <t xml:space="preserve">As your body wears to time</t>
  </si>
  <si>
    <t xml:space="preserve">Small workforce trying to sustain a larger population</t>
  </si>
  <si>
    <t xml:space="preserve">Not enough young blood/large work force. Robotics can help alot</t>
  </si>
  <si>
    <t xml:space="preserve">Not actively</t>
  </si>
  <si>
    <t xml:space="preserve">Fitness, Mental ability, and relationships</t>
  </si>
  <si>
    <t xml:space="preserve">Stay active, and keep in touch with friends</t>
  </si>
  <si>
    <t xml:space="preserve">General improvement</t>
  </si>
  <si>
    <t xml:space="preserve">Just my current priority, I'm thinking about self improvement, not really sexual health, while trying to use AI to help improve tech.</t>
  </si>
  <si>
    <t xml:space="preserve">Democratizing longevity, I would love for it to become more accessible</t>
  </si>
  <si>
    <t xml:space="preserve">AI being out of control</t>
  </si>
  <si>
    <t xml:space="preserve">definitely for all topics, cause there's safe science and unethical science</t>
  </si>
  <si>
    <t xml:space="preserve">G7-066</t>
  </si>
  <si>
    <t xml:space="preserve">Physically also psychologically</t>
  </si>
  <si>
    <t xml:space="preserve">Higher cost of healthcare</t>
  </si>
  <si>
    <t xml:space="preserve">Preventive healthcare knowledge learning and training, which would help keep overall aging population healthier with less cost of healthcare</t>
  </si>
  <si>
    <t xml:space="preserve">Yes from healthcare insurance companies’s programs</t>
  </si>
  <si>
    <t xml:space="preserve">Physical mobility, mental sharpness, psychological resilience</t>
  </si>
  <si>
    <t xml:space="preserve">Read good books and maintain good social relationships</t>
  </si>
  <si>
    <t xml:space="preserve">Use technologies including AI to create solutions of democratizing and boosting longevity and reproductive health</t>
  </si>
  <si>
    <t xml:space="preserve">We need to make the solutions available to as many as possible, how the solutions are implemented is as secondary priority</t>
  </si>
  <si>
    <t xml:space="preserve">The data privacy &amp; biological hazards</t>
  </si>
  <si>
    <t xml:space="preserve">G7-067</t>
  </si>
  <si>
    <t xml:space="preserve">The natural biological process of getting older both physically and mentally</t>
  </si>
  <si>
    <t xml:space="preserve">Healthcare and quality of life</t>
  </si>
  <si>
    <t xml:space="preserve">Safety, specifically those who live alone, because they may easily get injured without others noticing, eventually lead to serious incidents or even death.</t>
  </si>
  <si>
    <t xml:space="preserve">Smart technology and promoting a regular and healthy schedule that involves socializing in elderly's lives`</t>
  </si>
  <si>
    <t xml:space="preserve">Health, having a broad perspective to the world and beings, and being able to understand and accept the cycle of life</t>
  </si>
  <si>
    <t xml:space="preserve">Exercise regularly to maintain health</t>
  </si>
  <si>
    <t xml:space="preserve">Promoting solutions to improve longevity and health in humans</t>
  </si>
  <si>
    <t xml:space="preserve">For me individually, longevity and health is the most important as that changes how I treat and view life and how long I last. For society, democratizing longevity is the most important because we would like everyone to be able to equally access these resources. And applying machine learning and AI may not be as important as the other two, though it is a very helpful supplement.</t>
  </si>
  <si>
    <t xml:space="preserve">Boosting longevity</t>
  </si>
  <si>
    <t xml:space="preserve">Negative side effects, such as you are not happy but you live a long life (longevity)</t>
  </si>
  <si>
    <t xml:space="preserve">See 12f answer</t>
  </si>
  <si>
    <t xml:space="preserve">G7-068</t>
  </si>
  <si>
    <t xml:space="preserve">The natural process of life, weaken in body and mind</t>
  </si>
  <si>
    <t xml:space="preserve">Economy</t>
  </si>
  <si>
    <t xml:space="preserve">How they are taken care of</t>
  </si>
  <si>
    <t xml:space="preserve">Maybe 401k</t>
  </si>
  <si>
    <t xml:space="preserve">physical mobility, mental sharpness, dignity</t>
  </si>
  <si>
    <t xml:space="preserve">Health care, technology</t>
  </si>
  <si>
    <t xml:space="preserve">Facing the challenges of aging from different perspectives</t>
  </si>
  <si>
    <t xml:space="preserve">Accessibility should be most important when considering facing the whole society</t>
  </si>
  <si>
    <t xml:space="preserve">To see how technology evolves</t>
  </si>
  <si>
    <t xml:space="preserve">How elderly people are treated</t>
  </si>
  <si>
    <t xml:space="preserve">Regular ethical standards</t>
  </si>
  <si>
    <t xml:space="preserve">G7-069</t>
  </si>
  <si>
    <t xml:space="preserve">Not willing to move or social</t>
  </si>
  <si>
    <t xml:space="preserve">Mental health support</t>
  </si>
  <si>
    <t xml:space="preserve">Garuanteed healthcare</t>
  </si>
  <si>
    <t xml:space="preserve">Governmental and social support</t>
  </si>
  <si>
    <t xml:space="preserve">physical mobility, mental sharpness, relationships</t>
  </si>
  <si>
    <t xml:space="preserve">Good habits, regular exercise, maintain social contacts with friends</t>
  </si>
  <si>
    <t xml:space="preserve">Work collaboratively to help humans live longer and also healthier</t>
  </si>
  <si>
    <t xml:space="preserve">Humans already have high life expectancy right now, having too many solutions may not significantly help the society</t>
  </si>
  <si>
    <t xml:space="preserve">Democratizing longevity science/solutions</t>
  </si>
  <si>
    <t xml:space="preserve">Boosting reproductive health and longevity is related to the health of the next generation</t>
  </si>
  <si>
    <t xml:space="preserve">honest communication of the pros and cons of the solutions</t>
  </si>
  <si>
    <t xml:space="preserve">G7-070</t>
  </si>
  <si>
    <t xml:space="preserve">Disease and cancer</t>
  </si>
  <si>
    <t xml:space="preserve">access to healthcare, because we have good medicines but many individuals can’t afford them</t>
  </si>
  <si>
    <t xml:space="preserve">Physical mobility, relationships and friendships, mental ability</t>
  </si>
  <si>
    <t xml:space="preserve">Yes like exercising</t>
  </si>
  <si>
    <t xml:space="preserve">Potential solutions to some problems in the healthcare and aging industry</t>
  </si>
  <si>
    <t xml:space="preserve">I think the biggest concern should be accessibility of our healthcare, because what’s the point in doing research if no one will have access to it?</t>
  </si>
  <si>
    <t xml:space="preserve">AI and machine learning</t>
  </si>
  <si>
    <t xml:space="preserve">That more advanced technologies will only increase the gap in access to healthcare</t>
  </si>
  <si>
    <t xml:space="preserve">Just general ethics when conducting research</t>
  </si>
  <si>
    <t xml:space="preserve">G7-071</t>
  </si>
  <si>
    <t xml:space="preserve">South Korea</t>
  </si>
  <si>
    <t xml:space="preserve">The process by which you and your body get older (starting from above 60 years old)</t>
  </si>
  <si>
    <t xml:space="preserve">Different diseases and just the body beginning to shut down in general.</t>
  </si>
  <si>
    <t xml:space="preserve">Maybe socialization and loneliness in elderly individuals, because I think this is a problem that can be solved more quickly than many more medical problems, but is also something that has a large health and happiness impact.</t>
  </si>
  <si>
    <t xml:space="preserve">Implementing more programs tailored towards the elderly in public spaces</t>
  </si>
  <si>
    <t xml:space="preserve">Cognitive ability, being able to get out of bed, independence</t>
  </si>
  <si>
    <t xml:space="preserve">Using your brain everyday whether that be through learning new things, or even talking to people</t>
  </si>
  <si>
    <t xml:space="preserve">Different ways to extend life and health</t>
  </si>
  <si>
    <t xml:space="preserve">As a woman, I personally think reproductive health is very understudied despite its importance. I also think that accessibility to healthcare is a huge problem, especially in the USA. That's why I ranked these second adn third. I think that AI is very important and has many potential applications but in my mind they are not as important.</t>
  </si>
  <si>
    <t xml:space="preserve">More individualized and effecitve treatments</t>
  </si>
  <si>
    <t xml:space="preserve">Healthcare prices increasing even more and becoming unaffordable</t>
  </si>
  <si>
    <t xml:space="preserve">General research ethics like letting the patient know how their data will be used</t>
  </si>
  <si>
    <t xml:space="preserve">G7-072</t>
  </si>
  <si>
    <t xml:space="preserve">Growing older, beginning to experience more health complications</t>
  </si>
  <si>
    <t xml:space="preserve">Cancer and neurodegenerative disorders</t>
  </si>
  <si>
    <t xml:space="preserve">High medical costs that make healthcare inaccessible to many elderly individuals</t>
  </si>
  <si>
    <t xml:space="preserve">No, not much legislation or action to help reduce these costs</t>
  </si>
  <si>
    <t xml:space="preserve">Independence, close relationships and friendships, monetary freedom</t>
  </si>
  <si>
    <t xml:space="preserve">Staying social as I age</t>
  </si>
  <si>
    <t xml:space="preserve">Different ways to extend life span</t>
  </si>
  <si>
    <t xml:space="preserve">I think AI has a lot of potential to help us develop more individualized treatments that would be more successful in aging research. Accessibility of medications becomes more important than ever as treatments head towards a more individualized approach. I think reproductive health is also very important and understudied, but don't necessarily think boosting the longevity of it is as important as the other two topics.</t>
  </si>
  <si>
    <t xml:space="preserve">How AI can help us develop more tailored approaches to aging</t>
  </si>
  <si>
    <t xml:space="preserve">Rising healthcare costs</t>
  </si>
  <si>
    <t xml:space="preserve">KEeping medications affordable</t>
  </si>
  <si>
    <t xml:space="preserve">G7-073</t>
  </si>
  <si>
    <t xml:space="preserve">Better access to primary care (like more checkups, etc)</t>
  </si>
  <si>
    <t xml:space="preserve">Some mobile clinics but not much action in general</t>
  </si>
  <si>
    <t xml:space="preserve">Mobility, independence, and memory</t>
  </si>
  <si>
    <t xml:space="preserve">Exercise to help me stay in shape and as mobile as I can, not really sure what I can do to prevent memory loss / neurodegenerative diseases</t>
  </si>
  <si>
    <t xml:space="preserve">Three different approaches to extending lifespan and healthcare</t>
  </si>
  <si>
    <t xml:space="preserve">I think accessibility and affordability of medicines is the most important. Although aI has a lot of potential, we can't actually help anyone if that healthcare is too expensive for most of the population to even use.</t>
  </si>
  <si>
    <t xml:space="preserve">Making healthcare more affordable</t>
  </si>
  <si>
    <t xml:space="preserve">Lack of inclusion of all different races, genders, etc when doing aging research</t>
  </si>
  <si>
    <t xml:space="preserve">G7-074</t>
  </si>
  <si>
    <t xml:space="preserve">being over 65 years old</t>
  </si>
  <si>
    <t xml:space="preserve">cancer and other diseases</t>
  </si>
  <si>
    <t xml:space="preserve">loneliness in elderly communities</t>
  </si>
  <si>
    <t xml:space="preserve">i know there are volunteer groups that will go to senior centers and host activities, but these still don't really promote longitudinal relationships and socialization</t>
  </si>
  <si>
    <t xml:space="preserve">mobility, independence, mental sharpness and my memory</t>
  </si>
  <si>
    <t xml:space="preserve">staying fit</t>
  </si>
  <si>
    <t xml:space="preserve">the three topics describe different facets of aging healthcare that can help prolong lifespan</t>
  </si>
  <si>
    <t xml:space="preserve">i think accessibility is definitely the biggest issue in healthcare in the USA, then i believe AI has a lot of potential for more modern and individualized solutions</t>
  </si>
  <si>
    <t xml:space="preserve">how ai can unlock new treatments and potentially prolong the average human lifespan</t>
  </si>
  <si>
    <t xml:space="preserve">even higher healthcare costs</t>
  </si>
  <si>
    <t xml:space="preserve">G7-075</t>
  </si>
  <si>
    <t xml:space="preserve">getting old</t>
  </si>
  <si>
    <t xml:space="preserve">retirement funds</t>
  </si>
  <si>
    <t xml:space="preserve">better government policies for retirement</t>
  </si>
  <si>
    <t xml:space="preserve">relationship independence mental sharpness</t>
  </si>
  <si>
    <t xml:space="preserve">exercise and take care of my health</t>
  </si>
  <si>
    <t xml:space="preserve">geroengineering</t>
  </si>
  <si>
    <t xml:space="preserve">i think health is still most important</t>
  </si>
  <si>
    <t xml:space="preserve">reproductive health</t>
  </si>
  <si>
    <t xml:space="preserve">sexism</t>
  </si>
  <si>
    <t xml:space="preserve">yes no exploitation of women</t>
  </si>
  <si>
    <t xml:space="preserve">G7-076</t>
  </si>
  <si>
    <t xml:space="preserve">Maine</t>
  </si>
  <si>
    <t xml:space="preserve">Maine, United States</t>
  </si>
  <si>
    <t xml:space="preserve">aging is the process of getting older</t>
  </si>
  <si>
    <t xml:space="preserve">the greatest challenge is how they will be taken care of</t>
  </si>
  <si>
    <t xml:space="preserve">more health initiatives should be prioritized</t>
  </si>
  <si>
    <t xml:space="preserve">more awareness groups and organizations maybe</t>
  </si>
  <si>
    <t xml:space="preserve">my friendships, money, and overall physcial appearrance</t>
  </si>
  <si>
    <t xml:space="preserve">taking care of my bosdy and skin</t>
  </si>
  <si>
    <t xml:space="preserve">these are all ways to help combat aging or contribute to aging research done</t>
  </si>
  <si>
    <t xml:space="preserve">reeproductive health is not focused on enough and should be</t>
  </si>
  <si>
    <t xml:space="preserve">my greatest concern to this topic is the amount of interest other people will take in it</t>
  </si>
  <si>
    <t xml:space="preserve">not that i can think of</t>
  </si>
  <si>
    <t xml:space="preserve">G7-077</t>
  </si>
  <si>
    <t xml:space="preserve">aging is the gradual physical, mental, and social changes that occur throughout a person’s life as they grow older</t>
  </si>
  <si>
    <t xml:space="preserve">i think maintaining independence and still being able to do the things they love</t>
  </si>
  <si>
    <t xml:space="preserve">more afforable healthcare for people</t>
  </si>
  <si>
    <t xml:space="preserve">government and more probono</t>
  </si>
  <si>
    <t xml:space="preserve">appearance, mobility, relationships</t>
  </si>
  <si>
    <t xml:space="preserve">yes, reaching out and staying in touch with old friends and keeping a strong inner circle of support</t>
  </si>
  <si>
    <t xml:space="preserve">different ways to research about aging and the prominent issues in older generations</t>
  </si>
  <si>
    <t xml:space="preserve">i think most people care most about living for longer, aka longevity</t>
  </si>
  <si>
    <t xml:space="preserve">applying machine learning to it because i am a cs major</t>
  </si>
  <si>
    <t xml:space="preserve">how accurate the machine learning is and finding representative and applicable datasets</t>
  </si>
  <si>
    <t xml:space="preserve">yes, HIPPA violations on these datasts that would be used</t>
  </si>
  <si>
    <t xml:space="preserve">G7-078</t>
  </si>
  <si>
    <t xml:space="preserve">Growing older and gradually losing mobility</t>
  </si>
  <si>
    <t xml:space="preserve">Access to healthcare</t>
  </si>
  <si>
    <t xml:space="preserve">Physical mobility and being able to move around, memory, independence</t>
  </si>
  <si>
    <t xml:space="preserve">Some different topics within aging that we can research / study to improve longevity</t>
  </si>
  <si>
    <t xml:space="preserve">I think that accessibility remains a large problem in healthcare. I personally am very interested in boosting reproductive health, but I think that society as a whole would benefit more from using machine learning and AI to develop novel solutions.</t>
  </si>
  <si>
    <t xml:space="preserve">Healthcare accessibility</t>
  </si>
  <si>
    <t xml:space="preserve">Costs of medicine being too high to the point that they're unaffordable for most of the country</t>
  </si>
  <si>
    <t xml:space="preserve">Yes, especially keeping in mind costs of these solutions for the population that will be using them.</t>
  </si>
  <si>
    <t xml:space="preserve">G7-079</t>
  </si>
  <si>
    <t xml:space="preserve">Growing older and experiencing more ailments like body pains</t>
  </si>
  <si>
    <t xml:space="preserve">Cancer and other diseases, especially neurodegenerative diseases such as Alzheimer's</t>
  </si>
  <si>
    <t xml:space="preserve">Loneliness in the elderly, as I think this is a challenge that can most feasibly be solved in a short period. I think that increasing socialization and strength of relationships can also help improve overall health.</t>
  </si>
  <si>
    <t xml:space="preserve">Not much</t>
  </si>
  <si>
    <t xml:space="preserve">Relationships, independence, especially being able to stay mobile and go where I want to go without needing to rely on someone else</t>
  </si>
  <si>
    <t xml:space="preserve">Honestly idk</t>
  </si>
  <si>
    <t xml:space="preserve">A few different methods for improving aging and longevity.</t>
  </si>
  <si>
    <t xml:space="preserve">As a CS major, I believe AI has a lot of potential for modern solutions to different aging problems. Of the remaining two, I would say that accessibility (personally) is more crucial than boosting longevity of reproductive health</t>
  </si>
  <si>
    <t xml:space="preserve">AI in healthcare and longevity research.</t>
  </si>
  <si>
    <t xml:space="preserve">G7-080</t>
  </si>
  <si>
    <t xml:space="preserve">I would define it as your muscles getting weaker.</t>
  </si>
  <si>
    <t xml:space="preserve">I think it is companionship.</t>
  </si>
  <si>
    <t xml:space="preserve">Retirement funds so people over the age of 65 don’t need to be stressed.</t>
  </si>
  <si>
    <t xml:space="preserve">Mental sharpness, relationships, and physical mobility. I would also like to maintain my spark.</t>
  </si>
  <si>
    <t xml:space="preserve">Helpful</t>
  </si>
  <si>
    <t xml:space="preserve">I don’t think ai is the solution to companionship which is the biggest problem right now. We need people working with people.</t>
  </si>
  <si>
    <t xml:space="preserve">Being able to boost help.</t>
  </si>
  <si>
    <t xml:space="preserve">How ai can be a bandage over the real problems.</t>
  </si>
  <si>
    <t xml:space="preserve">G7-081</t>
  </si>
  <si>
    <t xml:space="preserve">For humans? The passage of time, gaining of experience, and increases exposure to all life has to give.</t>
  </si>
  <si>
    <t xml:space="preserve">Maintaining their health/chronic conditions.</t>
  </si>
  <si>
    <t xml:space="preserve">Targeted programs that promote maintaining independence--living &amp; doing things at home, moving about in the world independently. This is a direct way to increase "healthspan" without 'solving' aging. Once someone loses their independence, other issues seem to cascade (falls, frailty, declining health).</t>
  </si>
  <si>
    <t xml:space="preserve">Mental sharpness &amp; physical ability are at the top of the list--thise are prerequisites gor independence. I hope that I will continue to nourish existing relationships &amp; that I will have even more time to cultivate new ones as I get older.</t>
  </si>
  <si>
    <t xml:space="preserve">Keep moving. Keep curious.</t>
  </si>
  <si>
    <t xml:space="preserve">These are all approaches geared towards increasing healthspan.</t>
  </si>
  <si>
    <t xml:space="preserve">Whatever solutions we come up with should be accessible to all. AI is a tool &amp; will be applied in the other cases as well, so it seems to be less a priority as a co-requisite</t>
  </si>
  <si>
    <t xml:space="preserve">A lot of aging research is being funded by private (billionaire) money. A focus on making sure that everyone benefits from these research areas is a must.</t>
  </si>
  <si>
    <t xml:space="preserve">Over-categorization of what it means to be old. There is already A LOT of discrimination against older (&lt;50) workers.</t>
  </si>
  <si>
    <t xml:space="preserve">Protection against leaking personal health information &amp; stereotyping, There will also be a need to understand how aging intersects with gender, socio-economic status, and race/ethnicity.</t>
  </si>
  <si>
    <t xml:space="preserve">G7-082</t>
  </si>
  <si>
    <t xml:space="preserve">The length of time someone has lived</t>
  </si>
  <si>
    <t xml:space="preserve">Health accessibility because it can be considered a short/long term issue</t>
  </si>
  <si>
    <t xml:space="preserve">1. Physical strength/mobility; 2. Mental Clarity; 3. Relationships</t>
  </si>
  <si>
    <t xml:space="preserve">Exercise, Good Diet, Going outside to socialize a lot</t>
  </si>
  <si>
    <t xml:space="preserve">Using technology to improve quality of life in terms of health.</t>
  </si>
  <si>
    <t xml:space="preserve">I think accessibility is a huge issue (for education and healthcare) and want to see it more accessible to the population.</t>
  </si>
  <si>
    <t xml:space="preserve">I think progress in this topic will naturally lead to progress in the other two.</t>
  </si>
  <si>
    <t xml:space="preserve">That not enough people are getting the care they need.</t>
  </si>
  <si>
    <t xml:space="preserve">Yes, consider research ethics.</t>
  </si>
  <si>
    <t xml:space="preserve">G7-083</t>
  </si>
  <si>
    <t xml:space="preserve">an increase in age/years alive</t>
  </si>
  <si>
    <t xml:space="preserve">economic and technological changes that they may not be used to</t>
  </si>
  <si>
    <t xml:space="preserve">economic challenges! Prices have been going up, and a lot of retired people have to seek employment again to make ends meet. They deserve to rest, and their retirement/social security/pension should be able to keep them sustained.</t>
  </si>
  <si>
    <t xml:space="preserve">mental/physical autonomy, relationships, decent health</t>
  </si>
  <si>
    <t xml:space="preserve">eating well, exercise, maintaining relationships and seeking new ones</t>
  </si>
  <si>
    <t xml:space="preserve">bettering health by increasing its accessibility for humans</t>
  </si>
  <si>
    <t xml:space="preserve">Making sure everyone has access to healthcare is very important to me, but by the looks of our country, it doesn't seem that it is their priority</t>
  </si>
  <si>
    <t xml:space="preserve">who doesnt want to boost their longevity and health?</t>
  </si>
  <si>
    <t xml:space="preserve">AI being inaccurate or trusting it too much</t>
  </si>
  <si>
    <t xml:space="preserve">G7-084</t>
  </si>
  <si>
    <t xml:space="preserve">Getting older, measured by years and lowering mental/physical ability</t>
  </si>
  <si>
    <t xml:space="preserve">Chronic heart disease</t>
  </si>
  <si>
    <t xml:space="preserve">Obesity, having a healthy active lifestyle is the easiest way to lower risk factors</t>
  </si>
  <si>
    <t xml:space="preserve">There’s promotion for healthy lifestyles and elderly care and wellness centers have fitness activities for residents</t>
  </si>
  <si>
    <t xml:space="preserve">Physical health, mental acuity, independence</t>
  </si>
  <si>
    <t xml:space="preserve">Stay healthy and active</t>
  </si>
  <si>
    <t xml:space="preserve">Reducing health issues from aging</t>
  </si>
  <si>
    <t xml:space="preserve">I am an advocate for equality in public health first. I think we need to raise the baseline before making new innovations</t>
  </si>
  <si>
    <t xml:space="preserve">The US prefers innovation over equality often</t>
  </si>
  <si>
    <t xml:space="preserve">What is too far? For example if you find something that can stop aging (hypothetically), is that what people really want?</t>
  </si>
  <si>
    <t xml:space="preserve">G7-085</t>
  </si>
  <si>
    <t xml:space="preserve">A process of biological, psychological, and social change when getting older.</t>
  </si>
  <si>
    <t xml:space="preserve">Medical insurance cost and limited medical resources.</t>
  </si>
  <si>
    <t xml:space="preserve">Keep old adults more healthy and independent because of limited medical resources.</t>
  </si>
  <si>
    <t xml:space="preserve">We can use modern technology more efficiently.</t>
  </si>
  <si>
    <t xml:space="preserve">Relationship, good health(both physical and mental), and independence</t>
  </si>
  <si>
    <t xml:space="preserve">Yes. I can help maintain these things by exercising regularly, eating healthy, and having regular health checkups. I also want to spend more quality time with my family and maintain good communication with them.</t>
  </si>
  <si>
    <t xml:space="preserve">Using science, technology, and AI to improve reproductive health and longevity while making personalized, effective healthcare more accessible and affordable to everyone</t>
  </si>
  <si>
    <t xml:space="preserve">because improving reproductive health and longevity has the most direct impact on extending healthy human life, while AI and machine learning can accelerate new discoveries and personalized solutions.</t>
  </si>
  <si>
    <t xml:space="preserve">The chance to extend not just lifespan but healthspan, so people stay healthy, active, and able to start or support families longer.</t>
  </si>
  <si>
    <t xml:space="preserve">Treatments could be rushed to market with limited long-term safety data, especially for interventions affecting future generations.</t>
  </si>
  <si>
    <t xml:space="preserve">G7-086</t>
  </si>
  <si>
    <t xml:space="preserve">A mix of biological decline and personal growth over the years</t>
  </si>
  <si>
    <t xml:space="preserve">avoiding scams and misinformation online</t>
  </si>
  <si>
    <t xml:space="preserve">Teach scam and misinformation awareness because older adults are targeted often.</t>
  </si>
  <si>
    <t xml:space="preserve">Banks and agencies are warning people more about fraud and scams.</t>
  </si>
  <si>
    <t xml:space="preserve">the ability to work on things I care about, exercise, and remember people</t>
  </si>
  <si>
    <t xml:space="preserve">Stay engaged in meaningful work and take care of my body.</t>
  </si>
  <si>
    <t xml:space="preserve">Creating practical tools for healthier aging across different populations.</t>
  </si>
  <si>
    <t xml:space="preserve">I put prevention and health first because they affect people before advanced interventions are needed.</t>
  </si>
  <si>
    <t xml:space="preserve">Improving reproductive and aging health with more individualized care.</t>
  </si>
  <si>
    <t xml:space="preserve">Unequal access between rural and urban communities.</t>
  </si>
  <si>
    <t xml:space="preserve">Research should include people from different backgrounds so results are not too narrow.</t>
  </si>
  <si>
    <t xml:space="preserve">Definitely, from biomaterials to wearable monitoring and assistive devices.</t>
  </si>
  <si>
    <t xml:space="preserve">G7-087</t>
  </si>
  <si>
    <t xml:space="preserve">How the body and brain change as a person moves through life</t>
  </si>
  <si>
    <t xml:space="preserve">getting preventive care before problems become severe</t>
  </si>
  <si>
    <t xml:space="preserve">Make annual screenings easier to access because many problems are manageable when caught early.</t>
  </si>
  <si>
    <t xml:space="preserve">Screening programs exist, but people still need easier ways to use them.</t>
  </si>
  <si>
    <t xml:space="preserve">strength, independence, and staying involved in my community</t>
  </si>
  <si>
    <t xml:space="preserve">Keep moving and participate in community activities instead of becoming isolated.</t>
  </si>
  <si>
    <t xml:space="preserve">Combining prevention, treatment, and technology to support aging well.</t>
  </si>
  <si>
    <t xml:space="preserve">My ranking is mostly about broad benefit and avoiding a system where only wealthy people gain from progress.</t>
  </si>
  <si>
    <t xml:space="preserve">Designing devices that help people stay independent.</t>
  </si>
  <si>
    <t xml:space="preserve">Not knowing the long-term effects of some longevity interventions.</t>
  </si>
  <si>
    <t xml:space="preserve">Access should not depend only on ability to pay.</t>
  </si>
  <si>
    <t xml:space="preserve">Yes, because engineering can help make treatments more precise and accessible.</t>
  </si>
  <si>
    <t xml:space="preserve">G7-088</t>
  </si>
  <si>
    <t xml:space="preserve">A slow change in physical ability, health, and outlook with age</t>
  </si>
  <si>
    <t xml:space="preserve">making healthcare understandable and easier to access</t>
  </si>
  <si>
    <t xml:space="preserve">Simplify insurance and care navigation because the system can be confusing even before health declines.</t>
  </si>
  <si>
    <t xml:space="preserve">Patient navigators can help, but I do not think enough people know about them.</t>
  </si>
  <si>
    <t xml:space="preserve">mental health, physical health, and family relationships</t>
  </si>
  <si>
    <t xml:space="preserve">Make healthy routines realistic enough that I can keep doing them long term.</t>
  </si>
  <si>
    <t xml:space="preserve">Making advances in longevity useful in everyday healthcare.</t>
  </si>
  <si>
    <t xml:space="preserve">I think technology should support care rather than become the main focus of care.</t>
  </si>
  <si>
    <t xml:space="preserve">Combining engineering and medicine to solve practical aging problems.</t>
  </si>
  <si>
    <t xml:space="preserve">Older adults being pressured into treatments they do not fully understand.</t>
  </si>
  <si>
    <t xml:space="preserve">There should be accountability when an automated system gives harmful advice.</t>
  </si>
  <si>
    <t xml:space="preserve">I think so, especially in personalized medicine and medical technology.</t>
  </si>
  <si>
    <t xml:space="preserve">G7-089</t>
  </si>
  <si>
    <t xml:space="preserve">60</t>
  </si>
  <si>
    <t xml:space="preserve">Health issues, financial stability, loneliness</t>
  </si>
  <si>
    <t xml:space="preserve">Health issues, staying healthy is important and critical for an active and happy life</t>
  </si>
  <si>
    <t xml:space="preserve">Physical mobility, mental sharpness, and independence</t>
  </si>
  <si>
    <t xml:space="preserve">Starting doing exercise now and save enough money for retirement</t>
  </si>
  <si>
    <t xml:space="preserve">Leveraging advanced technologies to boost health and longevity and making these solutions widely accessible and affordable</t>
  </si>
  <si>
    <t xml:space="preserve">It’s important to be able to boost reproductive and longevity first. Once the approaches available, we make them accessible to more people. AI can help finding information more easily, but can’t replace creativity and innovations. But AI can be used to make the solutions accessible to more people</t>
  </si>
  <si>
    <t xml:space="preserve">Boosting Longevity</t>
  </si>
  <si>
    <t xml:space="preserve">G7-090</t>
  </si>
  <si>
    <t xml:space="preserve">The body getting older even while knowledge and experience increase</t>
  </si>
  <si>
    <t xml:space="preserve">balancing independence with getting enough support</t>
  </si>
  <si>
    <t xml:space="preserve">Add more in-home support so independence is not an all-or-nothing thing.</t>
  </si>
  <si>
    <t xml:space="preserve">Home health services help, but cost and eligibility can be limiting.</t>
  </si>
  <si>
    <t xml:space="preserve">curiosity, balance, and the ability to take care of myself</t>
  </si>
  <si>
    <t xml:space="preserve">Try new things and maintain both physical and mental flexibility.</t>
  </si>
  <si>
    <t xml:space="preserve">Building healthier aging through science, access, and thoughtful innovation.</t>
  </si>
  <si>
    <t xml:space="preserve">I ranked based on which ideas seem most likely to improve daily life for the most people.</t>
  </si>
  <si>
    <t xml:space="preserve">Seeing whether prevention can become more personalized.</t>
  </si>
  <si>
    <t xml:space="preserve">Medical decisions becoming less transparent as models get more complex.</t>
  </si>
  <si>
    <t xml:space="preserve">Consent needs to stay meaningful even when systems are complicated.</t>
  </si>
  <si>
    <t xml:space="preserve">Yes, there is a large role in devices, data analysis, and tissue-focused research.</t>
  </si>
  <si>
    <t xml:space="preserve">G7-091</t>
  </si>
  <si>
    <t xml:space="preserve">Growing older and declining in physical function</t>
  </si>
  <si>
    <t xml:space="preserve">Care for aging population that’s tailored to their individual day to day needs. Needs to be prioritized because without this daily care, eventually hospitals/emergency rooms become overpopulated and family needs to stay at home instead of contributing to workforce.</t>
  </si>
  <si>
    <t xml:space="preserve">Create more suitable environments for care in places like nursing homes or other skilled nursing facilities, for both for the residents and for caregivers, in order to prevent caregiver burnout and shortages</t>
  </si>
  <si>
    <t xml:space="preserve">Social life, independent physical ability, memory</t>
  </si>
  <si>
    <t xml:space="preserve">Exercise frequently and stay mentally stimulated</t>
  </si>
  <si>
    <t xml:space="preserve">Better health solutions through improved access and technology</t>
  </si>
  <si>
    <t xml:space="preserve">Healthcare access is the top issue because even if there are better solutions such as AI or other tech, if people don’t have access to those solutions, they don’t improve overall societal health. This is especially true because a lot of the challenges with aging populations are more frequent in people of less privileged socioeconomic backgrounds, who also have decreased healthcare access.</t>
  </si>
  <si>
    <t xml:space="preserve">Seems like a very important issue and one that deserves to be addressed</t>
  </si>
  <si>
    <t xml:space="preserve">From a bioengineering standpoint, again, I don’t think better technology will help if there is not better access to care first.</t>
  </si>
  <si>
    <t xml:space="preserve">A lot of aging people prefer independence over being safe I think, and it’s probably best to honor that preference. Also again, I think developing a solution that’s inaccessible widens the healthcare gap.</t>
  </si>
  <si>
    <t xml:space="preserve">G7-092</t>
  </si>
  <si>
    <t xml:space="preserve">Natural changes in cells, strength, and thinking as time passes</t>
  </si>
  <si>
    <t xml:space="preserve">keeping physically active despite pain or disability</t>
  </si>
  <si>
    <t xml:space="preserve">Create affordable exercise and rehab programs because strength affects independence.</t>
  </si>
  <si>
    <t xml:space="preserve">More gyms and programs offer senior classes now, which is a good start.</t>
  </si>
  <si>
    <t xml:space="preserve">mobility, memory, and being able to socialize regularly</t>
  </si>
  <si>
    <t xml:space="preserve">Exercise, do memory or learning activities, and make plans with people.</t>
  </si>
  <si>
    <t xml:space="preserve">Improving lifespan and healthspan without ignoring equity.</t>
  </si>
  <si>
    <t xml:space="preserve">I care about equitable access first, then innovation that makes those solutions better.</t>
  </si>
  <si>
    <t xml:space="preserve">New tools that support caregivers as well as patients.</t>
  </si>
  <si>
    <t xml:space="preserve">Resources shifting toward extending life instead of improving current care.</t>
  </si>
  <si>
    <t xml:space="preserve">The goal should be healthier lives, not simply pushing lifespan as far as possible.</t>
  </si>
  <si>
    <t xml:space="preserve">Absolutely, particularly in creating solutions that preserve mobility and function.</t>
  </si>
  <si>
    <t xml:space="preserve">G7-093</t>
  </si>
  <si>
    <t xml:space="preserve">Aging is the gradual biological process of change over time, shaped by accumulated cellular damage and life experience, that can affect physical function, cognition, and independence.</t>
  </si>
  <si>
    <t xml:space="preserve">Maintaining health and independence while managing chronic disease, loneliness, and the rising cost of care.</t>
  </si>
  <si>
    <t xml:space="preserve">Access to affordable, consistent primary and preventive care should be prioritized. Earlier support can help manage chronic conditions and preserve independence before a health problem becomes an emergency, especially for older adults with limited income or family support.</t>
  </si>
  <si>
    <t xml:space="preserve">Yes. Communities can expand preventive care, home-based services, caregiver support, accessible transportation, and social programs. Better insurance coverage and age-friendly design would also make it easier for people to remain independent.</t>
  </si>
  <si>
    <t xml:space="preserve">Physical mobility and strength, mental sharpness, and close relationships.</t>
  </si>
  <si>
    <t xml:space="preserve">I can exercise regularly, eat well, keep learning, seek preventive care, and make time to stay connected with family and friends.</t>
  </si>
  <si>
    <t xml:space="preserve">Together, these topics aim to extend healthy lives by improving reproductive and aging health, making effective solutions accessible, and using AI responsibly to support research and care.</t>
  </si>
  <si>
    <t xml:space="preserve">For me, reproductive health and longevity matter most personally, while broad access remains essential so advances benefit more than those who can pay the most. AI could accelerate discovery, but it should support carefully validated science rather than become a goal by itself. For society, I would put reproductive health first, access second, and AI third because useful innovations only improve health when they are safe and reachable.</t>
  </si>
  <si>
    <t xml:space="preserve">I’m excited by the possibility of extending healthspan, so people can remain active and independent for more of their lives, while research helps prevent or better manage age-related disease.</t>
  </si>
  <si>
    <t xml:space="preserve">My greatest concern is that promising interventions may be adopted before their long-term safety and effectiveness are well understood, or may only be available to people with greater resources.</t>
  </si>
  <si>
    <t xml:space="preserve">Yes. Research should protect privacy, obtain meaningful informed consent, include diverse participants, monitor long-term risks, and ensure older adults are not pressured or excluded. Solutions should be evaluated for safety, fairness, affordability, and effects on independence.</t>
  </si>
  <si>
    <t xml:space="preserve">G7-094</t>
  </si>
  <si>
    <t xml:space="preserve">Growing older and adapting to changes in your body and daily life</t>
  </si>
  <si>
    <t xml:space="preserve">unequal access to good care between income groups</t>
  </si>
  <si>
    <t xml:space="preserve">Improve access in lower-income communities so new treatments do not widen existing gaps.</t>
  </si>
  <si>
    <t xml:space="preserve">Some public programs target this, but income still affects what people can get.</t>
  </si>
  <si>
    <t xml:space="preserve">health, independence, and enough energy to do things I enjoy</t>
  </si>
  <si>
    <t xml:space="preserve">Take care of health early rather than only reacting when something goes wrong.</t>
  </si>
  <si>
    <t xml:space="preserve">Using bioengineering and healthcare systems together to improve aging.</t>
  </si>
  <si>
    <t xml:space="preserve">The order reflects health impact first, accessibility second, and the specific technology last.</t>
  </si>
  <si>
    <t xml:space="preserve">Reducing the gap between discovering a treatment and people actually receiving it.</t>
  </si>
  <si>
    <t xml:space="preserve">Insurance deciding access based on predictions from algorithms.</t>
  </si>
  <si>
    <t xml:space="preserve">Companies should be transparent about what data trained their systems.</t>
  </si>
  <si>
    <t xml:space="preserve">Yes, bioengineering can connect laboratory discoveries with real patient needs.</t>
  </si>
  <si>
    <t xml:space="preserve">G7-095</t>
  </si>
  <si>
    <t xml:space="preserve">The passage of time reflected in health, function, and experience</t>
  </si>
  <si>
    <t xml:space="preserve">supporting a larger older population with limited resources</t>
  </si>
  <si>
    <t xml:space="preserve">Plan staffing and facilities now because the older population is growing faster than the care workforce.</t>
  </si>
  <si>
    <t xml:space="preserve">There is planning happening, but I think more investment is needed.</t>
  </si>
  <si>
    <t xml:space="preserve">relationships, cognitive function, and physical capability</t>
  </si>
  <si>
    <t xml:space="preserve">Stay connected, keep learning, and maintain strength as much as possible.</t>
  </si>
  <si>
    <t xml:space="preserve">Helping more people reach older age with better function and quality of life.</t>
  </si>
  <si>
    <t xml:space="preserve">I ranked them by usefulness to people rather than by how futuristic each topic seems.</t>
  </si>
  <si>
    <t xml:space="preserve">Learning more about why people age differently and how that can guide care.</t>
  </si>
  <si>
    <t xml:space="preserve">Scientific progress moving faster than ethical rules and oversight.</t>
  </si>
  <si>
    <t xml:space="preserve">Safety, privacy, fairness, and patient choice all need to be built in early.</t>
  </si>
  <si>
    <t xml:space="preserve">Yes, especially in developing practical solutions for long-term health and independence.</t>
  </si>
  <si>
    <t xml:space="preserve">G7-096</t>
  </si>
  <si>
    <t xml:space="preserve">Aging is the process of cells losing the ability to divide due to shortening telomeres. There are potential links between aging and declines in mitochondrial enzyme activity and mitochondrial respiratory activity. The process that usually removes damaged mitochondria, mitophagy, seems to be impaired as one ages.</t>
  </si>
  <si>
    <t xml:space="preserve">I think the greatest challenge for our aging population is access to resources such as stable housing, food and healthcare. The rising cost of living makes it so that what could have helped one retire comfortable a decade or two ago is no longer feasible. Many people are working longer. Those who have already retired are losing the security that they may have once had.</t>
  </si>
  <si>
    <t xml:space="preserve">Short term, there should be more financial assistance for those over 65 to help with rising medical and housing costs. Especially with how the economy has been looking in the last few years and the significant rise in people losing their homes and also health insurance.</t>
  </si>
  <si>
    <t xml:space="preserve">Insurance companies do not tend to be generous with their healthcare policies. There are also the rising costs of living and cuts to funding for programs such as Medicaid.</t>
  </si>
  <si>
    <t xml:space="preserve">I would like to maintain physical mobility, independence, and my mental sharpness.</t>
  </si>
  <si>
    <t xml:space="preserve">I can continue to exercise regularly and maintain a healthy lifestyle (including eating habits). I can do my best to save money and invest it to make sure that I will be okay financially after retirement, which will help with housing and food. I can continue to actively exercise my brain by learning new material and using it to solve problems instead of letting my brain and critical thinking skills stagnate.The previously mentioned things will help with being independent.</t>
  </si>
  <si>
    <t xml:space="preserve">Optimizing ways to help improve longevity and health through making resources more available to the public.</t>
  </si>
  <si>
    <t xml:space="preserve">I ranked democratizing longevity science/solutions first because healthcare should be a universal right. As the United States does not have universal health care as many other countries do, the costs of treatment are reflected in our individual insurance policies. For many people, this is the barrier that prevents them from obtaining needed medical treatment. I ranked boosting reproductive health and longevity second because these are physical things about our health that should be prioritized sooner than later and take a while to show concrete changes. I ranked applying machine learning and AI to enable modern solutions last because it is very likely that the people in charge of hospitals and health care related settings will choose to use these resources to save labor costs and fire health care workers instead of integrating machine learning and AI alongside workers to optimize plans of care for patients.</t>
  </si>
  <si>
    <t xml:space="preserve">I'm most excited about democratizing longevity science/solutions because this has been a goal that many people have been moving towards for a long time, but has gotten much push back due to funding cuts and policy changes. However, if healthcare could become accessible and affordable, it would help a very significant number of people in the U.S. are living pay check to pay check or simply cannot afford housing, food, and/or health care.</t>
  </si>
  <si>
    <t xml:space="preserve">My greatest concern is applying machine learning and AI to enable modern solutions. One of the common trends in the last few years has been the dangers of the general population utilizing AI or other search engines to self-diagnose and seek medical advice while disregarding the advice of trained medical professionals in the process. Other concerns regarding AI being integrated into modern solutions is, as I mentioned above, the removal of trained healthcare professionals in favor of AI to reduce costs instead of having the two work side by side to optimize the patient's plan of care.</t>
  </si>
  <si>
    <t xml:space="preserve">Ethical considerations include the safety and security of personal information (especially information regarding one's health), the misuse of resources, informed consent and decisions and managing misinformation, and women's healthcare (especially in regards to reproductive health).</t>
  </si>
  <si>
    <t xml:space="preserve">G7-097</t>
  </si>
  <si>
    <t xml:space="preserve">important for older people, because there are lots of chance to get disease for older people</t>
  </si>
  <si>
    <t xml:space="preserve">protecting themselves from diseases</t>
  </si>
  <si>
    <t xml:space="preserve">health care system that they can access easily</t>
  </si>
  <si>
    <t xml:space="preserve">physical health, mental health, and independence</t>
  </si>
  <si>
    <t xml:space="preserve">do exercise regularly, try to think positive</t>
  </si>
  <si>
    <t xml:space="preserve">developing affordable and convenient health care system for elderly people.</t>
  </si>
  <si>
    <t xml:space="preserve">I think boosting reproductive health and longevity take lots of time. Democratizing longevity science/solution can be done in shorter time than the first topic and seems doable. Machine learning and AI can be barrier to elder people to use.</t>
  </si>
  <si>
    <t xml:space="preserve">Democratizing longevity science/solutions.</t>
  </si>
  <si>
    <t xml:space="preserve">Machine learning and AI.</t>
  </si>
  <si>
    <t xml:space="preserve">For research about boosting reproductive health and longevity, it can contain some ethical questions for in vivo experiments.</t>
  </si>
  <si>
    <t xml:space="preserve">G7-098</t>
  </si>
  <si>
    <t xml:space="preserve">Process towards death</t>
  </si>
  <si>
    <t xml:space="preserve">Not enough care</t>
  </si>
  <si>
    <t xml:space="preserve">Medical resources</t>
  </si>
  <si>
    <t xml:space="preserve">Independence, physical mobility</t>
  </si>
  <si>
    <t xml:space="preserve">Insurance</t>
  </si>
  <si>
    <t xml:space="preserve">Improving medical care/life span for common people.</t>
  </si>
  <si>
    <t xml:space="preserve">Boosting reproductive health seems more likely to do in short term</t>
  </si>
  <si>
    <t xml:space="preserve">How to implement executable strategy to the topic</t>
  </si>
  <si>
    <t xml:space="preserve">Topic seems a bit broad to me.</t>
  </si>
  <si>
    <t xml:space="preserve">Test subjects welfare?</t>
  </si>
  <si>
    <t xml:space="preserve">G7-099</t>
  </si>
  <si>
    <t xml:space="preserve">Deminish of variety of functions</t>
  </si>
  <si>
    <t xml:space="preserve">Degeneration of their cognitive abilities and lack of social caring</t>
  </si>
  <si>
    <t xml:space="preserve">Making Health care system more accessible to aging people in each community. It’s easier for aging people to see the doctor especially for urgent care</t>
  </si>
  <si>
    <t xml:space="preserve">Yes a lot of community hospitals are built these days</t>
  </si>
  <si>
    <t xml:space="preserve">physical mobility, mental sharpness, independence, relationships</t>
  </si>
  <si>
    <t xml:space="preserve">Work out everyday; continue studying new things, working in academy; social more and make more friends</t>
  </si>
  <si>
    <t xml:space="preserve">Using more advanced technique to help healthy aging</t>
  </si>
  <si>
    <t xml:space="preserve">Hope the longevity solutions could be more generalized to aging people in poverty</t>
  </si>
  <si>
    <t xml:space="preserve">Applying machine learning and AI to enable modern solution</t>
  </si>
  <si>
    <t xml:space="preserve">Yes like human or animal experiments</t>
  </si>
  <si>
    <t xml:space="preserve">G7-100</t>
  </si>
  <si>
    <t xml:space="preserve">Telomere shortening, cell stops dividing</t>
  </si>
  <si>
    <t xml:space="preserve">To live independently, to do things according to one's own will</t>
  </si>
  <si>
    <t xml:space="preserve">we should prioritize affordable and high-quality nursing care because the aging population would need a lot of physical and mental supports</t>
  </si>
  <si>
    <t xml:space="preserve">Money and nursing care workers</t>
  </si>
  <si>
    <t xml:space="preserve">mental sharpness, independence, physical mobility</t>
  </si>
  <si>
    <t xml:space="preserve">Start exercising at early age, sleep on a consistent schedule, not too much tiktok</t>
  </si>
  <si>
    <t xml:space="preserve">Interdisciplinary approaches to help people not only live longer but also healthier</t>
  </si>
  <si>
    <t xml:space="preserve">AI is important, but it is more like a tool to help us speed up finding solutions. The top 2 are equally important in my opinion as it directly set the goal, the bigger picture</t>
  </si>
  <si>
    <t xml:space="preserve">Propagandas related to longevity when trying to democratizing longevity solutions</t>
  </si>
  <si>
    <t xml:space="preserve">All ethical considerations should be taken, especially honest communication, the pros and cons of longevity solutions should be clear</t>
  </si>
  <si>
    <t xml:space="preserve">G8-001</t>
  </si>
  <si>
    <t xml:space="preserve">Senescence</t>
  </si>
  <si>
    <t xml:space="preserve">Adapting to modern technology/trends</t>
  </si>
  <si>
    <t xml:space="preserve">Cardiovascular disease</t>
  </si>
  <si>
    <t xml:space="preserve">Ambition, health, sense of humor</t>
  </si>
  <si>
    <t xml:space="preserve">Sure</t>
  </si>
  <si>
    <t xml:space="preserve">(i) Increasing window of peak fitness; (ii) Equity of healthcare access to expand lifespan; (iii) Implementing modern technology into how we research and manage aging</t>
  </si>
  <si>
    <t xml:space="preserve">Don’t necessarily believe AI is necessary to accomplish these changes</t>
  </si>
  <si>
    <t xml:space="preserve">I am interested in medicine and this is the most direct correlate</t>
  </si>
  <si>
    <t xml:space="preserve">Ethics of machines managing human life</t>
  </si>
  <si>
    <t xml:space="preserve">G8-002</t>
  </si>
  <si>
    <t xml:space="preserve">Losing clarity of thoughts and movement ability.</t>
  </si>
  <si>
    <t xml:space="preserve">Agency and lack of support system</t>
  </si>
  <si>
    <t xml:space="preserve">Media illeteracy . Most solutions to fixing problems created by aging comes down to very basic simple proven things (good diet, decent amount of exercise and community). I think people get mislead by the system into believing they need something new every-time. Aging populations, such as my parents, get easily confused.</t>
  </si>
  <si>
    <t xml:space="preserve">Mostly from conversations but there should be large scale educational initiatives taken to build support system around elderly. Hanging out with them, helping them make friends, group exercises and projects etc.</t>
  </si>
  <si>
    <t xml:space="preserve">ability to learn something new, fearless-ness, health</t>
  </si>
  <si>
    <t xml:space="preserve">Keep doing things that are challenging and find joy in them</t>
  </si>
  <si>
    <t xml:space="preserve">(i) Being able to have sex safely.; (ii) Improving health accessibility across class, race, gender, age etc.; (iii) Using Ai to automate repetitive tasks in diagnostics that improve but don't replace human judgement.</t>
  </si>
  <si>
    <t xml:space="preserve">I think most health issues are solved in a individual basis and the information already exists. On a personal level of course my own reproductive health matters the most. However, if we are accepting that accessibility is the biggest problem in healthcare then I firmly believe democratizing health solutions is the most important thing for society. We already had the tools to solve some of these issues before AI even exists.</t>
  </si>
  <si>
    <t xml:space="preserve">Unlike the the other two category, it feels like a more impactful venture. No one in my age group struggles with first topic and I still have distrust on how much ML and AI can really be used for healthcare.</t>
  </si>
  <si>
    <t xml:space="preserve">Eventually I do think we will head to a future where AI can help solve health problems. Currently though, this is no where near the thing. It seems like its largely used to funnel investor money and the speed at which we are moving is by-passing very important healthcare regulations like HIPPA</t>
  </si>
  <si>
    <t xml:space="preserve">Yes. See above.</t>
  </si>
  <si>
    <t xml:space="preserve">G8-003</t>
  </si>
  <si>
    <t xml:space="preserve">Celebrating birthdays!</t>
  </si>
  <si>
    <t xml:space="preserve">Isolation, depression from living alone, healthcare/treatment access</t>
  </si>
  <si>
    <t xml:space="preserve">Idk less stigma around elderly homes and more funding for them</t>
  </si>
  <si>
    <t xml:space="preserve">Longevity clinics and medication investigations, but longevity is diff from improving quality of life for the elderly</t>
  </si>
  <si>
    <t xml:space="preserve">Physical health, nutrition, friendships/community (send me to a nursing home)</t>
  </si>
  <si>
    <t xml:space="preserve">Going to the gym, touching more grass, putting more effort into maintaining relationships</t>
  </si>
  <si>
    <t xml:space="preserve">(i) Reducing birth complications and extending lifespan; (ii) Making treatments available to everyone and reducing cost burdens; (iii) Accelerating drug discovery to find more therapeutic targets to help certain conditions</t>
  </si>
  <si>
    <t xml:space="preserve">I think its the best for humanity in the short term and can accelerate the other ones</t>
  </si>
  <si>
    <t xml:space="preserve">Means theres actually methods to potentially improve health and quickly</t>
  </si>
  <si>
    <t xml:space="preserve">Idk if longevity is really a good thing</t>
  </si>
  <si>
    <t xml:space="preserve">Idk equity?</t>
  </si>
  <si>
    <t xml:space="preserve">G8-004</t>
  </si>
  <si>
    <t xml:space="preserve">Health worries and declining physical capability</t>
  </si>
  <si>
    <t xml:space="preserve">Their ability to interact with daily life such as accessing places, transportation, or just simply using things in the kitchen</t>
  </si>
  <si>
    <t xml:space="preserve">Some engineering is done in helping develop devices that make it easier for people to do certain tasks and increase accessibility</t>
  </si>
  <si>
    <t xml:space="preserve">1. Walking ability 2. Memory 3. Physical strength</t>
  </si>
  <si>
    <t xml:space="preserve">Exercising while young, healthy diet</t>
  </si>
  <si>
    <t xml:space="preserve">(i) Maintaining organ health for reproduction; (ii) Making accessible solutions and devices more prevelant and reachable; (iii) Use AI to be able to predict and provide advice on a person’s actions while young to prevent poor health when old</t>
  </si>
  <si>
    <t xml:space="preserve">Reproductivity is important for population but caring for people through accessible solutions is more important</t>
  </si>
  <si>
    <t xml:space="preserve">Allows for usage of clever engineering principles to automate and make for better usability</t>
  </si>
  <si>
    <t xml:space="preserve">AI Has a lot of ethical concerns snd we currently as a society place too much trust in its very technically immature state</t>
  </si>
  <si>
    <t xml:space="preserve">Yes, for AI it might include using a lot of peoples personal data which causes privacy issues</t>
  </si>
  <si>
    <t xml:space="preserve">G8-005</t>
  </si>
  <si>
    <t xml:space="preserve">The process of physical decline past the point of reaching maturity</t>
  </si>
  <si>
    <t xml:space="preserve">Disease (heart and cancer)</t>
  </si>
  <si>
    <t xml:space="preserve">Misinformation (from doctors, scam callers, etc)</t>
  </si>
  <si>
    <t xml:space="preserve">Maybe? I have ideas for solutions like libraty services, government mandates etc. but those require long term work without much reward.</t>
  </si>
  <si>
    <t xml:space="preserve">1) memories of places i've been, shows i've seen, and my friends; 2) good health; 3) reasoning supported by my education and staying in touch with new things in society</t>
  </si>
  <si>
    <t xml:space="preserve">Yes -- eat well, journal, research</t>
  </si>
  <si>
    <t xml:space="preserve">(i) Reproductive health can be boosted by maintaining the systems in your body that support those cells' health, including eating well and staying fit to prevent negative DNA methylation effects.; (ii) Getting treatment or solutions for boosting longevity is accesible to all populations; (iii) Machine learning and AI can assist with quick diagnostics and can be a tool to further research the mechanics of aging within the very complex cell.</t>
  </si>
  <si>
    <t xml:space="preserve">I think pushing the cutting edge to imprive solutions is most imoortant, more than ensuring accessibility and democracy because equal healthcare doesn't always ensure good healthcare. I think AI is at the bottom because the topic seems "nice to have rather than need to have"</t>
  </si>
  <si>
    <t xml:space="preserve">I want to know how helpful it can be and what can be done with it</t>
  </si>
  <si>
    <t xml:space="preserve">The ethical considerations with controlling AI to properly learn from and handle input medical data</t>
  </si>
  <si>
    <t xml:space="preserve">There's ethical considerations when involving AI with medical data, especially personal data that can be tracked and having it rely on false information. It may amplify the misinformation problem.</t>
  </si>
  <si>
    <t xml:space="preserve">G8-006</t>
  </si>
  <si>
    <t xml:space="preserve">when you start to have white hairs</t>
  </si>
  <si>
    <t xml:space="preserve">diseases</t>
  </si>
  <si>
    <t xml:space="preserve">cure for cancer</t>
  </si>
  <si>
    <t xml:space="preserve">research</t>
  </si>
  <si>
    <t xml:space="preserve">health, mental peace and money</t>
  </si>
  <si>
    <t xml:space="preserve">Live a peaceful and balanced life</t>
  </si>
  <si>
    <t xml:space="preserve">(i) keeping fertility system strong; (ii) making advanced technologies available to people; (iii) building algorithms to predict health issues</t>
  </si>
  <si>
    <t xml:space="preserve">because reproductive health should be prioritised and then ai-ml is growing currently so it can be used to predict disease and then eventually democratizing longetivity for solutions to cure diseases</t>
  </si>
  <si>
    <t xml:space="preserve">because i love to apply ml skills to build predictable algorithms</t>
  </si>
  <si>
    <t xml:space="preserve">people are maybe being ignorant abt reproductive health.</t>
  </si>
  <si>
    <t xml:space="preserve">yes there maybe some for the reproductive solution</t>
  </si>
  <si>
    <t xml:space="preserve">G8-007</t>
  </si>
  <si>
    <t xml:space="preserve">Aging is the process of growing older</t>
  </si>
  <si>
    <t xml:space="preserve">Inability to keep up with monetary requirements of the current age</t>
  </si>
  <si>
    <t xml:space="preserve">Setting up schemes to provide subsidies for the elders</t>
  </si>
  <si>
    <t xml:space="preserve">Brain function, self sustenance and social connections</t>
  </si>
  <si>
    <t xml:space="preserve">Reading for brain function</t>
  </si>
  <si>
    <t xml:space="preserve">(i) Providing support during pregnancy and childhood; (ii) making longevity solutions equitable; (iii) No clue</t>
  </si>
  <si>
    <t xml:space="preserve">democratizing is super important to ensure equality in resource distribution, i think AI is being used in every sphere now to unleash its potential</t>
  </si>
  <si>
    <t xml:space="preserve">its importance and ability to change the world</t>
  </si>
  <si>
    <t xml:space="preserve">using AI can have privacy concerns especially for the aging population</t>
  </si>
  <si>
    <t xml:space="preserve">Yes, privacy concerns</t>
  </si>
  <si>
    <t xml:space="preserve">G8-008</t>
  </si>
  <si>
    <t xml:space="preserve">District of Columbia</t>
  </si>
  <si>
    <t xml:space="preserve">District of Columbia, United States</t>
  </si>
  <si>
    <t xml:space="preserve">Physically getting older but also losing function and ability to perform activities of daily living.</t>
  </si>
  <si>
    <t xml:space="preserve">Access to approachable preventative healthcare</t>
  </si>
  <si>
    <t xml:space="preserve">Same as above, access to approachable preventative healthcare. I think this type of healthcare allows for people to preserve their lifestyle for as long as possible while reducing the cumulative burden of chronic diseases like cardiovascular disease, osteoarthritis, osteoporosis, etc. on society as a whole</t>
  </si>
  <si>
    <t xml:space="preserve">Medicare/public programs prioritizing preventative appointment reimbursement such as DEXA scans, diet/exercise programs to prevent chronic disease, etc.</t>
  </si>
  <si>
    <t xml:space="preserve">Physical fitness (standing up unassisted, running, climbing stairs, picking up/carrying children), mental acuity (long term/short term memory mainly), open mindedness and empathy to new ideas</t>
  </si>
  <si>
    <t xml:space="preserve">(i) Increasing the times that people are fertile for along with overall lifespan.; (ii) Opening access to healthcare that prevents chronic illness associated with aging.; (iii) Developing personal and societal technology to promote public health.</t>
  </si>
  <si>
    <t xml:space="preserve">Although applying ML/AI is probably a promising method to promote longevity and health, I think the ultimate societal goal is to boost reproductive health and longevity by any means. Personally, I value equal access to those ends more than I value pushing the envelope of what’s possible.</t>
  </si>
  <si>
    <t xml:space="preserve">I think it’s an exciting and novel way to promote public health</t>
  </si>
  <si>
    <t xml:space="preserve">I think there’s a lot of wrong ways to apply ML/AI to aging and health that could result in confusing signals to users and a potential overload of information like “risk scores”.</t>
  </si>
  <si>
    <t xml:space="preserve">G8-009</t>
  </si>
  <si>
    <t xml:space="preserve">The physical development involving growth before transitioning into gradual decline later in life</t>
  </si>
  <si>
    <t xml:space="preserve">accessibility to regular physical activity</t>
  </si>
  <si>
    <t xml:space="preserve">making more walkable routes</t>
  </si>
  <si>
    <t xml:space="preserve">not in particular</t>
  </si>
  <si>
    <t xml:space="preserve">regular physical activity, engagement in creative pursuits, intellectual stimulation through reading and academics</t>
  </si>
  <si>
    <t xml:space="preserve">schedule them into my everyday life and make them habits</t>
  </si>
  <si>
    <t xml:space="preserve">(i) Providing increased accessibility to reproductive healthcare; (ii) Changing the infrastructure to make fitness sustainable and apart of everyday life; (iii) Using newer technologies to assist with solution brainstorming</t>
  </si>
  <si>
    <t xml:space="preserve">Democratizing the solutions will allow for more widespread effects.</t>
  </si>
  <si>
    <t xml:space="preserve">I hope it will help increase accessibility to reproductive healthcare.</t>
  </si>
  <si>
    <t xml:space="preserve">If it can be executed in time for the current older population</t>
  </si>
  <si>
    <t xml:space="preserve">people should not be shamed into engaging with the solutions</t>
  </si>
  <si>
    <t xml:space="preserve">G8-010</t>
  </si>
  <si>
    <t xml:space="preserve">Access to care/mobility</t>
  </si>
  <si>
    <t xml:space="preserve">Social isolation - need to be connected to information and other humans to maintain hope and get help if needed</t>
  </si>
  <si>
    <t xml:space="preserve">No, it's a challenge as older folks might have limited access to/understanding of technology and live in more rural areas</t>
  </si>
  <si>
    <t xml:space="preserve">Bodily function, intelligence, passion</t>
  </si>
  <si>
    <t xml:space="preserve">Exercise, eat well, keep learning new things</t>
  </si>
  <si>
    <t xml:space="preserve">(i) Be able to reproduce and have a good quality of life for longer.; (ii) Making longevity science more accessible.; (iii) Use machine learning to solve problems in aging science.</t>
  </si>
  <si>
    <t xml:space="preserve">I would like to be healthy for longer, but as a society even the basic solutions we have now should be spread to improve quality of life for more people</t>
  </si>
  <si>
    <t xml:space="preserve">Learning the biological mechanisms behind aging is personally fulfilling and can be applied to treatment</t>
  </si>
  <si>
    <t xml:space="preserve">ML "getting the science wrong", unintended health risks</t>
  </si>
  <si>
    <t xml:space="preserve">Informed consent, risk analysis</t>
  </si>
  <si>
    <t xml:space="preserve">G8-011</t>
  </si>
  <si>
    <t xml:space="preserve">global health care bc it costs a lot</t>
  </si>
  <si>
    <t xml:space="preserve">no cancer; no joint pain; staying healthy</t>
  </si>
  <si>
    <t xml:space="preserve">work out</t>
  </si>
  <si>
    <t xml:space="preserve">(i) improving reproductive health; (ii) making longevity science more available; (iii) like literally what it says</t>
  </si>
  <si>
    <t xml:space="preserve">I like AIML</t>
  </si>
  <si>
    <t xml:space="preserve">how to boost health and longevity</t>
  </si>
  <si>
    <t xml:space="preserve">G8-012</t>
  </si>
  <si>
    <t xml:space="preserve">The decline of one’s body with time</t>
  </si>
  <si>
    <t xml:space="preserve">Social Lonliness</t>
  </si>
  <si>
    <t xml:space="preserve">Lonliness, as it can be readily fixed and improves one’s quality of life greatly.</t>
  </si>
  <si>
    <t xml:space="preserve">Not particularly, maybe more community clubs of sorts</t>
  </si>
  <si>
    <t xml:space="preserve">Ability to think, Ability to socialize, Ability to be mobile</t>
  </si>
  <si>
    <t xml:space="preserve">Exercise, try to make friends</t>
  </si>
  <si>
    <t xml:space="preserve">(i) To improve the overall time one is alive as well as the time for which they are fertile.; (ii) To make the methods to achieve longevity affordable to the masses.; (iii) Using AI to aid in solving problems related to aging and health.</t>
  </si>
  <si>
    <t xml:space="preserve">I think reproductive health is most important to me as I don’t want to feel time pressure to start a family during my early career.</t>
  </si>
  <si>
    <t xml:space="preserve">Same as before.</t>
  </si>
  <si>
    <t xml:space="preserve">The achievability of this goal.</t>
  </si>
  <si>
    <t xml:space="preserve">Yes, one must consider who they are aiming the solution towards and how that may affect those who aren’t in the crosshairs.</t>
  </si>
  <si>
    <t xml:space="preserve">G8-013</t>
  </si>
  <si>
    <t xml:space="preserve">the process of the human body and mind getting older, with changes in both</t>
  </si>
  <si>
    <t xml:space="preserve">social security</t>
  </si>
  <si>
    <t xml:space="preserve">healthcare for chronic diseases - to extend quality of life</t>
  </si>
  <si>
    <t xml:space="preserve">not particularly</t>
  </si>
  <si>
    <t xml:space="preserve">a sound mind, a strong body, and friends</t>
  </si>
  <si>
    <t xml:space="preserve">go to the gym, eat well, sleep well, socialize</t>
  </si>
  <si>
    <t xml:space="preserve">(i) Boosting reproductive health and longevity means to extend the period through which women can bear children and through which men can produce sperm.; (ii) Democratizing longevity science/solutions means the prioritization and selection of projects in the longevity science realm should be up to everyone.; (iii) Applying machine learning and AI to aging and health means to use artificial intelligence technology to explore and solve problems associated with aging.</t>
  </si>
  <si>
    <t xml:space="preserve">I think it's important to democratize but i don't think anyone else does. i think society thinks that we need to address declining birth rates with boosting reproductive health and longevity</t>
  </si>
  <si>
    <t xml:space="preserve">social justice</t>
  </si>
  <si>
    <t xml:space="preserve">fair and accessible solutions,</t>
  </si>
  <si>
    <t xml:space="preserve">yes such as serving all populations and demographics equitably and privacy</t>
  </si>
  <si>
    <t xml:space="preserve">G8-014</t>
  </si>
  <si>
    <t xml:space="preserve">Access to healthcare and medical expenses</t>
  </si>
  <si>
    <t xml:space="preserve">Accessibility and being able to do tasks in their daily lives</t>
  </si>
  <si>
    <t xml:space="preserve">bodily function, mental function, and relationships with others</t>
  </si>
  <si>
    <t xml:space="preserve">Being active, doing puzzles, maintaining relationships with my friends/family</t>
  </si>
  <si>
    <t xml:space="preserve">(i) Increasing reproductive health and wellbeing; (ii) Making sure that everyone can have access to things that help with aging; (iii) Using AI to help find solutions to help with aging</t>
  </si>
  <si>
    <t xml:space="preserve">I think that being able to make sure everyone has access to resources in aging is the most important compared to the others</t>
  </si>
  <si>
    <t xml:space="preserve">Being able to apply new technologies to create new solutions to help the aging population and bridge the gaps in the current problems we face</t>
  </si>
  <si>
    <t xml:space="preserve">G8-015</t>
  </si>
  <si>
    <t xml:space="preserve">Getting older, passing by years</t>
  </si>
  <si>
    <t xml:space="preserve">Healthcare support and availability</t>
  </si>
  <si>
    <t xml:space="preserve">Same as above (healthcare support), there is a disproportionately large aging population compared to people that can take care of them and provide adequate medical support. If we can’t solve this, then hospitals + doctors today become congested and further underwater with workload.</t>
  </si>
  <si>
    <t xml:space="preserve">Not directly, there are efforts to bring more people into healthcare field but not sure if they are more successful now than before</t>
  </si>
  <si>
    <t xml:space="preserve">Happiness, financial security, healthiness</t>
  </si>
  <si>
    <t xml:space="preserve">Exercise, work hard, prioritize mental health and wellbeing</t>
  </si>
  <si>
    <t xml:space="preserve">(i) Making it easier for our population to procreate and live longer.; (ii) Making it easier for everyone to access solutions to live longer.; (iii) Making it easier to analyze data and product solutions using AI models.</t>
  </si>
  <si>
    <t xml:space="preserve">Democratization unfortunately doesn’t feel like a priority, AI feels top of mind, longevity solutions are reasonably prioritized but not very accessible.</t>
  </si>
  <si>
    <t xml:space="preserve">Potential to find new solutions</t>
  </si>
  <si>
    <t xml:space="preserve">Access is finance-gated</t>
  </si>
  <si>
    <t xml:space="preserve">Yes, ability to access and influence solutions, taking into account demographic patterns etc</t>
  </si>
  <si>
    <t xml:space="preserve">G8-016</t>
  </si>
  <si>
    <t xml:space="preserve">Aging is the gradual buildup of damage in the body over time that makes it harder to repair itself. It's also a social change in how people live and are seen.</t>
  </si>
  <si>
    <t xml:space="preserve">Keeping people healthy and independent for their whole lives, not just living longer.</t>
  </si>
  <si>
    <t xml:space="preserve">The shortage of caregivers and affordable long-term care. It's already a crisis, and it can be improved now through policy and better support for care workers.</t>
  </si>
  <si>
    <t xml:space="preserve">Some. Home-based care programs and telehealth are growing, but not fast enough to keep up.</t>
  </si>
  <si>
    <t xml:space="preserve">My curiosity, my physical health, and close relationships.</t>
  </si>
  <si>
    <t xml:space="preserve">Yes. Keep taking on new challenges, build good exercise and sleep habits now, and make consistent effort to stay in touch with people.</t>
  </si>
  <si>
    <t xml:space="preserve">(i) Extending how long reproductive organs stay healthy, especially ovaries, which age faster than the rest of the body and affect overall health.; (ii) Making sure longevity treatments and knowledge reach everyone, not just people who can afford them.; (iii) Using data and models to predict disease, track how people age, and tailor care to each person.</t>
  </si>
  <si>
    <t xml:space="preserve">Personally, AI is closest to my background in computer science and biophysics, so it's where I can contribute most. For society, even the best solutions don't matter if most people can't access them.</t>
  </si>
  <si>
    <t xml:space="preserve">It can catch disease earlier and personalize treatment using data we already collect but don't fully use.</t>
  </si>
  <si>
    <t xml:space="preserve">Models trained on biased or narrow data can give worse predictions for underrepresented groups and widen health gaps.</t>
  </si>
  <si>
    <t xml:space="preserve">Yes. Informed consent, data privacy, testing across diverse populations, and making sure benefits are shared fairly.</t>
  </si>
  <si>
    <t xml:space="preserve">G8-017</t>
  </si>
  <si>
    <t xml:space="preserve">as the time from which you born increases</t>
  </si>
  <si>
    <t xml:space="preserve">Dementia/Alzheimers</t>
  </si>
  <si>
    <t xml:space="preserve">Yes lot of money goes to this</t>
  </si>
  <si>
    <t xml:space="preserve">good overall health through diet and exercise</t>
  </si>
  <si>
    <t xml:space="preserve">(i) being healthy; (ii) making it easy to vote on action; (iii) moving with the times</t>
  </si>
  <si>
    <t xml:space="preserve">i really care about democratic processes</t>
  </si>
  <si>
    <t xml:space="preserve">mpost importatn arguably</t>
  </si>
  <si>
    <t xml:space="preserve">G8-018</t>
  </si>
  <si>
    <t xml:space="preserve">Aging is the process through which women lose their beauty</t>
  </si>
  <si>
    <t xml:space="preserve">Wrinkles, looking chopped, age spots</t>
  </si>
  <si>
    <t xml:space="preserve">Wrinkles</t>
  </si>
  <si>
    <t xml:space="preserve">More sun protection; maybe stem cell therapies as well</t>
  </si>
  <si>
    <t xml:space="preserve">Cognitive function, mindset, and health</t>
  </si>
  <si>
    <t xml:space="preserve">Eating well and exercising, regular checkups</t>
  </si>
  <si>
    <t xml:space="preserve">(i) It means that we keep women fertile for longer; (ii) It means making it affordable for everyone; (iii) It means using AI to pre screen drugs.</t>
  </si>
  <si>
    <t xml:space="preserve">I think treatments and preventative care will always be expensive at first.</t>
  </si>
  <si>
    <t xml:space="preserve">Making research more efficient</t>
  </si>
  <si>
    <t xml:space="preserve">That it would lead to mistakes that turn the public against the technology</t>
  </si>
  <si>
    <t xml:space="preserve">G8-019</t>
  </si>
  <si>
    <t xml:space="preserve">The time that's passed since your birth</t>
  </si>
  <si>
    <t xml:space="preserve">The population is growing but their productivity isn't--more people are living for more years and they have to continue finding work when their bodies and minds aren't really as functional as they have been.</t>
  </si>
  <si>
    <t xml:space="preserve">The job hunt--social security is increasingly unaffordable, families as the default safety net are less cohesive, so there's a bunch of old people who need money but they're far less employable in their usual careers. Maybe work as like a crossing guard or grocery store stockers.</t>
  </si>
  <si>
    <t xml:space="preserve">No :/</t>
  </si>
  <si>
    <t xml:space="preserve">Cognitive functions (Alzheimer's runs in my family :/), cholesterol, my hair</t>
  </si>
  <si>
    <t xml:space="preserve">Don't be sedentary, don't drink and pop 1st gen antihistamines, don't develop bad sleep habits,</t>
  </si>
  <si>
    <t xml:space="preserve">(i) Not getting ED; (ii) Making access to services that minutely help aging problems (small things for quality of life that can come off as superfluous, like household helpers or installing a falling bar in the shower) more available.; (iii) Getting medical AI programs to be more discriminative of ailments and diseases based on age</t>
  </si>
  <si>
    <t xml:space="preserve">To be frank neither of these are particularly exciting to me :/</t>
  </si>
  <si>
    <t xml:space="preserve">It's so nice to think I might be able to get a referral to a specialist without having to wait 5 months to even get a PCP appointment</t>
  </si>
  <si>
    <t xml:space="preserve">That medical AI's will be far cheaper, but potentially lower in quality at the highest end, but still outdo the most perceptive doctors</t>
  </si>
  <si>
    <t xml:space="preserve">Widespread access is kind of a concern with all of these, not really its own category.</t>
  </si>
  <si>
    <t xml:space="preserve">G8-020</t>
  </si>
  <si>
    <t xml:space="preserve">I don’t know.</t>
  </si>
  <si>
    <t xml:space="preserve">This nation’s debt. Social security fund will run out.</t>
  </si>
  <si>
    <t xml:space="preserve">The greatest challenge cannot be solved in the short term. Otherwise, it won’t be labeled as the greatest.</t>
  </si>
  <si>
    <t xml:space="preserve">Yes. When the election time is close, a candidate just use his/her lips, and voters read these lips.</t>
  </si>
  <si>
    <t xml:space="preserve">Read, think, play</t>
  </si>
  <si>
    <t xml:space="preserve">Yes. I am in such a profession.</t>
  </si>
  <si>
    <t xml:space="preserve">(i) Modern medicine has capability of slowing aging.; (ii) The humans have kept dreaming that they would be immortal.; (iii) Why do silicon-based human have responsibility to help carbon-based human?</t>
  </si>
  <si>
    <t xml:space="preserve">Because none of these answers are biased to carbon-based lives, not the longevity human civilization.</t>
  </si>
  <si>
    <t xml:space="preserve">Because it continues the dream.</t>
  </si>
  <si>
    <t xml:space="preserve">Why does a carbon-based life deserve an immortality?</t>
  </si>
  <si>
    <t xml:space="preserve">G8-021</t>
  </si>
  <si>
    <t xml:space="preserve">Aging is the set of chronological and phenological changes in organisms associated with the passage of time.</t>
  </si>
  <si>
    <t xml:space="preserve">Boredom — life in assisted living or other institutes is tough on the psyche. Our society is not set up for the ready integration of 65+ adults in most social functions, and it creates a detriment to the enjoyment of life after mobility or cognitive issues start.</t>
  </si>
  <si>
    <t xml:space="preserve">Rising cost of care — the government spends an enormous amount of money on aging care through medicare, and often it is not enough to cover all of the health needs of older individuals. A solution to this problem will help the US meet its debt goals and improve the health of older individuals</t>
  </si>
  <si>
    <t xml:space="preserve">Mobility, cognitive processes, and excitement for life</t>
  </si>
  <si>
    <t xml:space="preserve">(i) Elongating the timeframe for and reducing barriers to reproduction in men and women.; (ii) Allowing for the members of the society that brings about the catalysis of aging interventions to equally access the fruits of these efforts.; (iii) Using ML/AI to enable the individualization of healthcare solutions</t>
  </si>
  <si>
    <t xml:space="preserve">Net utility</t>
  </si>
  <si>
    <t xml:space="preserve">Interesting engineering problem</t>
  </si>
  <si>
    <t xml:space="preserve">It may lead into some rough debates around genetic engineering</t>
  </si>
  <si>
    <t xml:space="preserve">Yes, but they tend to be preventative (no gene editing of human embryos) rather than discretionary (permissions may be granted if these qualifications are satisfied)</t>
  </si>
  <si>
    <t xml:space="preserve">G8-022</t>
  </si>
  <si>
    <t xml:space="preserve">Physical and emotional changes</t>
  </si>
  <si>
    <t xml:space="preserve">Having the money to live out what is now a more extended life. I feel that the priority should be on the aging population, having enough benefits that they don’t need to spend all their money just to stay alive and have a place to live and care.</t>
  </si>
  <si>
    <t xml:space="preserve">No, the opposite</t>
  </si>
  <si>
    <t xml:space="preserve">My values, agility, and always looking forward to more</t>
  </si>
  <si>
    <t xml:space="preserve">Not turn into a bad person bc I’m angry I’m old, excercise and diet, and think that because I’m old, I should act a certain way</t>
  </si>
  <si>
    <t xml:space="preserve">(i) They seem like somewhat different categories, although related, but it sounds like a combination of exercise, diet and healthcare; (ii) Creating a more equitable society where all people have access to excellent care and knowledge; (iii) Create models that use existing data or ones that require new testing to better Predict or find disease earlier</t>
  </si>
  <si>
    <t xml:space="preserve">I believe democratizing solutions and AI models will lead to reproductive health and longevity being better</t>
  </si>
  <si>
    <t xml:space="preserve">Everyone deserves an equal chance, despite socioeconomic differences</t>
  </si>
  <si>
    <t xml:space="preserve">A lot of people with a lot of power want the exact opposite of that</t>
  </si>
  <si>
    <t xml:space="preserve">So so many</t>
  </si>
  <si>
    <t xml:space="preserve">G8-023</t>
  </si>
  <si>
    <t xml:space="preserve">A biological process in which you slowly lose your abilities</t>
  </si>
  <si>
    <t xml:space="preserve">Willingness to learn and change views and access to good healthcare</t>
  </si>
  <si>
    <t xml:space="preserve">Education and it should be prioritized because it is the easiest thing to implement and affects other aspects of their lives</t>
  </si>
  <si>
    <t xml:space="preserve">Not really because the government uses it to their advantage in order to control the population</t>
  </si>
  <si>
    <t xml:space="preserve">An imagination, ability to critically think, and openmindedness</t>
  </si>
  <si>
    <t xml:space="preserve">Just continue doing them and utilizing your brain for that. Also doing puzzles</t>
  </si>
  <si>
    <t xml:space="preserve">(i) Being able to produce children at a later age while being in their lives for as long as possible.; (ii) Adding regulations to those practices to allow it to be equal access for all.; (iii) Using advanced technologies to find a solution to a problem.</t>
  </si>
  <si>
    <t xml:space="preserve">Making something accessible to everyone is important and should always be prioritized. Also, I don’t think boosting, reproductive health, and longevity is a priority right now with the current political climate and the economy as well, making it difficult for people to even fathom the idea of having children and wanting to live long enough. With machine learning and AI it doesn’t matter that much to society if it’s understood that it’s being used in a research context.</t>
  </si>
  <si>
    <t xml:space="preserve">Just figuring out what policies will need to be made in order for it to be accessible for everyone.</t>
  </si>
  <si>
    <t xml:space="preserve">Understanding what the intention behind such a decision specifically with longevity and also recognizing that we are getting close to a max capacity on this planet, so producing more children may not be ideal if we’re thinking of reproductive health in that manner</t>
  </si>
  <si>
    <t xml:space="preserve">Corrupt people can use and be able to maintain power over a country for long periods of time in a dictator like fashion.</t>
  </si>
  <si>
    <t xml:space="preserve">G8-024</t>
  </si>
  <si>
    <t xml:space="preserve">Passing of time, physically growing older</t>
  </si>
  <si>
    <t xml:space="preserve">Either a sedentary lifestyle increasing senile risk or inability to navigate new technology</t>
  </si>
  <si>
    <t xml:space="preserve">Addressing sedentary lifestyles because it directly contributes to rapidly declining health which causes many other issues such as financial stress (medical bills), grief, confusion (can’t understand new things, memory loss, reduced reasoning), and leaves elderly people lonely/unsocialized.</t>
  </si>
  <si>
    <t xml:space="preserve">A community based elderly support system that allows cheaper and consistent medical care/check ups, a public space to relax/spend time outside of the house that still have all the necessities for their care, or bringing the care and socialization to them</t>
  </si>
  <si>
    <t xml:space="preserve">Mobility, intact cognitive function, and a social life</t>
  </si>
  <si>
    <t xml:space="preserve">Take on a hobby/learn something new, exercise, good nutrition, and keep a close group of friends</t>
  </si>
  <si>
    <t xml:space="preserve">(i) There are less complications with pregnancies/giving birth, and less risk of STDs; (ii) Giving everyone access to products and important information about how to stay healthy; (iii) Having an at home assistant to help manage/keep track of your health or having AI help with tasks you can no longer do</t>
  </si>
  <si>
    <t xml:space="preserve">I think everyone should have easy access to health related things which would improve many different aspects of life/health simultaneously. For society, the focus is all on improving men’s reproductive health and trying to control women’s abortion rights/not studying women’s reproductive health enough so that creates a huge inequality gap.</t>
  </si>
  <si>
    <t xml:space="preserve">Getting more information and proper studies on women’s health in general</t>
  </si>
  <si>
    <t xml:space="preserve">Many people see this as having AI do the medical work like diagnosing or prescribing medication, so too many people use ChatGPT as an actual medical source and argue with real doctors</t>
  </si>
  <si>
    <t xml:space="preserve">Yes, like don’t make it all about money</t>
  </si>
  <si>
    <t xml:space="preserve">G8-025</t>
  </si>
  <si>
    <t xml:space="preserve">Running out of social security and Medicare funding.</t>
  </si>
  <si>
    <t xml:space="preserve">People moving to tax havens with their assets</t>
  </si>
  <si>
    <t xml:space="preserve">Money, intelligence, kindness</t>
  </si>
  <si>
    <t xml:space="preserve">Brain puzzles</t>
  </si>
  <si>
    <t xml:space="preserve">(i) Making sure I people can have healthy babies for as long as possible.; (ii) Ensuring many people, not just corporate profits, have access to these.; (iii) Accelerating health with optimized systems.</t>
  </si>
  <si>
    <t xml:space="preserve">Makes sense</t>
  </si>
  <si>
    <t xml:space="preserve">Democracy yay</t>
  </si>
  <si>
    <t xml:space="preserve">G8-026</t>
  </si>
  <si>
    <t xml:space="preserve">Losing physical, psychological, and social deterioration</t>
  </si>
  <si>
    <t xml:space="preserve">Healthcare and cost of living</t>
  </si>
  <si>
    <t xml:space="preserve">Economic and social isolation</t>
  </si>
  <si>
    <t xml:space="preserve">Health, curiosity, and commitment to widespread change</t>
  </si>
  <si>
    <t xml:space="preserve">Read</t>
  </si>
  <si>
    <t xml:space="preserve">(i) Extending reproductive health; (ii) Ensuring everyone has access; (iii) Using data and model to solve problems regarding aging and health</t>
  </si>
  <si>
    <t xml:space="preserve">Making sure everyone gets care is the most important</t>
  </si>
  <si>
    <t xml:space="preserve">AI can be used in a meaningful way</t>
  </si>
  <si>
    <t xml:space="preserve">Data privacy</t>
  </si>
  <si>
    <t xml:space="preserve">Privacy</t>
  </si>
  <si>
    <t xml:space="preserve">G8-027</t>
  </si>
  <si>
    <t xml:space="preserve">France</t>
  </si>
  <si>
    <t xml:space="preserve">Becoming more mature</t>
  </si>
  <si>
    <t xml:space="preserve">Finances, having enough to support themselves</t>
  </si>
  <si>
    <t xml:space="preserve">We need to support people at all stages of their lives so that they have enough saved to retire comfortably</t>
  </si>
  <si>
    <t xml:space="preserve">Raise wages for the middle class</t>
  </si>
  <si>
    <t xml:space="preserve">Energy, happiness, good vibes</t>
  </si>
  <si>
    <t xml:space="preserve">Be healthy: work out, eat well, etc</t>
  </si>
  <si>
    <t xml:space="preserve">(i) Helping people achieve their goals; (ii) Reducing costs; (iii) Innovation while retaining caution</t>
  </si>
  <si>
    <t xml:space="preserve">They seem important in that order</t>
  </si>
  <si>
    <t xml:space="preserve">The possibilities for more access to what we’ve already invented but is out of reach for the low and middle class individuals.</t>
  </si>
  <si>
    <t xml:space="preserve">We might apply AI badly</t>
  </si>
  <si>
    <t xml:space="preserve">Yeah, AI can go wrong easily and even 1% failure rate is really bad</t>
  </si>
  <si>
    <t xml:space="preserve">G8-028</t>
  </si>
  <si>
    <t xml:space="preserve">Lack of sustainable care programs</t>
  </si>
  <si>
    <t xml:space="preserve">Social security is an unsustainable program and the funds are going to run out someone needs to fix it</t>
  </si>
  <si>
    <t xml:space="preserve">No not at all our gov sucks</t>
  </si>
  <si>
    <t xml:space="preserve">Intelligence, personality, physical functioning</t>
  </si>
  <si>
    <t xml:space="preserve">Eat well, sleep well, exercise</t>
  </si>
  <si>
    <t xml:space="preserve">(i) Increasing ability to have babies and live longer; (ii) Making the ability to live longer more accessible to more people; (iii) Using ai to study and improve aging and health</t>
  </si>
  <si>
    <t xml:space="preserve">I honestly don’t think longevity matters that much, people get old and die, we should be maximizing people’s quality of life while they are alive and trying to tackle disease instead of artificially extending life to make health companies more money. Often it’s also just extending suffering.</t>
  </si>
  <si>
    <t xml:space="preserve">Relevant to helping people live better lives while they are alive instead of just extending life</t>
  </si>
  <si>
    <t xml:space="preserve">AI has a lot of biases and I don’t know what it would do with that data</t>
  </si>
  <si>
    <t xml:space="preserve">Keeping in mind we have limited funding and resources and should be focusing on topics that will do the most good for the most people rather than what seems the most “cutting edge” or extends “longevity”. I want people to not die from preventable causes and fatal diseases and live healthier happier lives, extending the lifespan of likely realistically wealthy people seems like such a waste of resources when we could be investing in treatment of chronic disease, cancer, education, maternal healthcare, etc etc.</t>
  </si>
  <si>
    <t xml:space="preserve">G8-029</t>
  </si>
  <si>
    <t xml:space="preserve">Alzheimer’s</t>
  </si>
  <si>
    <t xml:space="preserve">Some</t>
  </si>
  <si>
    <t xml:space="preserve">Mental capacities, autonomy, dignity</t>
  </si>
  <si>
    <t xml:space="preserve">Yea prolly</t>
  </si>
  <si>
    <t xml:space="preserve">(i) Being able to have intercourss longer; (ii) Making everyone able to get old; (iii) Buzzword filled sentence</t>
  </si>
  <si>
    <t xml:space="preserve">AI has the potential for massive gains in all other areas of longevity</t>
  </si>
  <si>
    <t xml:space="preserve">Solving intelligence solves a lot of other problems</t>
  </si>
  <si>
    <t xml:space="preserve">That the benefits of AI will be reaped by a select few</t>
  </si>
  <si>
    <t xml:space="preserve">Yes, for example, forcing people to stay alive</t>
  </si>
  <si>
    <t xml:space="preserve">G8-030</t>
  </si>
  <si>
    <t xml:space="preserve">Getting older, going up in the conceptual time we as humans created.</t>
  </si>
  <si>
    <t xml:space="preserve">That they still lead in the government.</t>
  </si>
  <si>
    <t xml:space="preserve">Loneliness, because that’s how they die, without anyone to help them.</t>
  </si>
  <si>
    <t xml:space="preserve">Programs for buddy systems.</t>
  </si>
  <si>
    <t xml:space="preserve">Coherency, mobility, happiness</t>
  </si>
  <si>
    <t xml:space="preserve">Be myself</t>
  </si>
  <si>
    <t xml:space="preserve">(i) Having kids and making sure they live long.; (ii) People voting to study how to make people live longer.; (iii) Using systems to figure out how to how to prioritize aging and health.</t>
  </si>
  <si>
    <t xml:space="preserve">That’s how I feel, versus what should be important in society</t>
  </si>
  <si>
    <t xml:space="preserve">Talking about it.</t>
  </si>
  <si>
    <t xml:space="preserve">Are we using AI appropriately</t>
  </si>
  <si>
    <t xml:space="preserve">How is AI being used.</t>
  </si>
  <si>
    <t xml:space="preserve">G8-031</t>
  </si>
  <si>
    <t xml:space="preserve">Ukraine</t>
  </si>
  <si>
    <t xml:space="preserve">Slowly growing older over time, where the body slowly loses the ability to regenerate and maintain itself</t>
  </si>
  <si>
    <t xml:space="preserve">Young labor force does not have enough resources to support it, lack of proper care and resources</t>
  </si>
  <si>
    <t xml:space="preserve">Geriatric care facilities because the aging population needs proper care as they cannot care for themselves as well as youth</t>
  </si>
  <si>
    <t xml:space="preserve">Incentives to become geriatric care providers, like grants or scholarships</t>
  </si>
  <si>
    <t xml:space="preserve">Mindset, clarity of thought, physical health</t>
  </si>
  <si>
    <t xml:space="preserve">Mental and physical health exercises, like meditation and fitness</t>
  </si>
  <si>
    <t xml:space="preserve">(i) Increasing and prolonging fertility.; (ii) Increasing healthcare accessibility to limited populations.; (iii) Using artificial intelligence to discover patterns in health data and offer innovative solutions to health problems.</t>
  </si>
  <si>
    <t xml:space="preserve">Health must be equitable as a priority, and AI should be directed at achieving this goal</t>
  </si>
  <si>
    <t xml:space="preserve">More individuals would be able to increase their life expectancy</t>
  </si>
  <si>
    <t xml:space="preserve">Health data privacy</t>
  </si>
  <si>
    <t xml:space="preserve">Health privacy, limits on experimental practices</t>
  </si>
  <si>
    <t xml:space="preserve">G8-032</t>
  </si>
  <si>
    <t xml:space="preserve">healthcare access, financial concerns, living longer with chronic illnesses.</t>
  </si>
  <si>
    <t xml:space="preserve">i think from a government / tax payer perspective we need to come up with a way for aging people to be able to afford their lives.</t>
  </si>
  <si>
    <t xml:space="preserve">no.</t>
  </si>
  <si>
    <t xml:space="preserve">my health, my cognitive strength, my independence.</t>
  </si>
  <si>
    <t xml:space="preserve">start healthy habits now and build connections with people</t>
  </si>
  <si>
    <t xml:space="preserve">(i) Addressing fertility in aging maternal populations.; (ii) prioritizing longevity for all people rather than the elite.; (iii) using ai to come up with solutions to issues with aging populations.</t>
  </si>
  <si>
    <t xml:space="preserve">i think reproductive health is the most impoetant to me personally i am not sure it’s the most important to society as having more people without addressing the people we have is not a good solution.</t>
  </si>
  <si>
    <t xml:space="preserve">I think it is impoetant and there is a lot of science and research in this topic.</t>
  </si>
  <si>
    <t xml:space="preserve">I don’t really know.</t>
  </si>
  <si>
    <t xml:space="preserve">There are many - concerns about AI usage.</t>
  </si>
  <si>
    <t xml:space="preserve">G8-033</t>
  </si>
  <si>
    <t xml:space="preserve">Body and mind getting older. Having more experiences and memories.</t>
  </si>
  <si>
    <t xml:space="preserve">healthcare services, since people living longer but necessarily healthier</t>
  </si>
  <si>
    <t xml:space="preserve">social connection, purpose, health</t>
  </si>
  <si>
    <t xml:space="preserve">Stay connected in social groups and regular exercise</t>
  </si>
  <si>
    <t xml:space="preserve">(i) Increasing the age of which women can be fertile and have healthy viable pregnancies; (ii) Allowing people to choose and vote on health services they desire and make it accessible for all; (iii) incorporating telehealth and other services to make healthcare more accessible to the aging population</t>
  </si>
  <si>
    <t xml:space="preserve">Making healthcare more accessible is most important and most feasible w AI</t>
  </si>
  <si>
    <t xml:space="preserve">Endless potential</t>
  </si>
  <si>
    <t xml:space="preserve">Lots of polarizing politics around reproductive health</t>
  </si>
  <si>
    <t xml:space="preserve">G8-034</t>
  </si>
  <si>
    <t xml:space="preserve">Aging is a progressive, natural process that occurs until death</t>
  </si>
  <si>
    <t xml:space="preserve">Loneliness and isolation - loss of friends, partners, etc.</t>
  </si>
  <si>
    <t xml:space="preserve">Access to mental health services for aging population, as this can directly impact physical health and well-being in the long term.</t>
  </si>
  <si>
    <t xml:space="preserve">Investing in community programs for the aging population</t>
  </si>
  <si>
    <t xml:space="preserve">(1) relationships with friends and family, (2) seeking new experiences, (3) exercise</t>
  </si>
  <si>
    <t xml:space="preserve">Make these a priority now, and continue to check-in on these goals</t>
  </si>
  <si>
    <t xml:space="preserve">(i) Ensuring fertility and reproductive function is preserved for as long as possible; (ii) Increasing access to different things that have been researched and are supported by scientific evidence; (iii) Using technology and devices to support individuals as they age and through different health conditions</t>
  </si>
  <si>
    <t xml:space="preserve">I think machine learning and AI is highly discussed right now as important for disease prevention and better health care, so I chose this as most important.</t>
  </si>
  <si>
    <t xml:space="preserve">I think there are great advances that could be made for the treatment of certain health conditions through the application of AI</t>
  </si>
  <si>
    <t xml:space="preserve">While I’m excited about this topic most, I’m also most concerned about it as more work needs to be done to ensure the application of machine learning and AI is equitable and ethical.</t>
  </si>
  <si>
    <t xml:space="preserve">Yes, as stated above, there are definitely ethical considerations that should be in place.</t>
  </si>
  <si>
    <t xml:space="preserve">G8-035</t>
  </si>
  <si>
    <t xml:space="preserve">Growing older over time</t>
  </si>
  <si>
    <t xml:space="preserve">Affordable assisted living facilities</t>
  </si>
  <si>
    <t xml:space="preserve">Yes accessibility around buildings but not built to get everywhere in buildings</t>
  </si>
  <si>
    <t xml:space="preserve">Memory, physical activity, safety</t>
  </si>
  <si>
    <t xml:space="preserve">Lifting weights for bone density, puzzles for the brain, self defense</t>
  </si>
  <si>
    <t xml:space="preserve">(i) Health deteriorates slower; (ii) Freedom of speech; (iii) Helpful</t>
  </si>
  <si>
    <t xml:space="preserve">I think AI is helpful but will be used anyways so it’s last</t>
  </si>
  <si>
    <t xml:space="preserve">As a women reproductive health is important</t>
  </si>
  <si>
    <t xml:space="preserve">Not sure if the public will have a say</t>
  </si>
  <si>
    <t xml:space="preserve">Yes especially AI</t>
  </si>
  <si>
    <t xml:space="preserve">G8-036</t>
  </si>
  <si>
    <t xml:space="preserve">Biological process of cellular damage or change over time</t>
  </si>
  <si>
    <t xml:space="preserve">Mental health decline as it contributes to other aspects of health and wellness. And it is a more controllable factor we can tackle in a short time.</t>
  </si>
  <si>
    <t xml:space="preserve">Yes but not enough</t>
  </si>
  <si>
    <t xml:space="preserve">Exercise routine, routine blood work and solving brain teasers</t>
  </si>
  <si>
    <t xml:space="preserve">Setting rewards so I actually stick to a routine and involve people in things I do to feel less lonely</t>
  </si>
  <si>
    <t xml:space="preserve">(i) Being more aware and prepared; (ii) Making resources more known and accessible; (iii) Leveraging technology to make resources available to everyone and making sure the resources they refer to are accurate</t>
  </si>
  <si>
    <t xml:space="preserve">Based of experience working in biotech and personal analysis</t>
  </si>
  <si>
    <t xml:space="preserve">How cool and fascinating the human body is</t>
  </si>
  <si>
    <t xml:space="preserve">How AI can go rogue or can be misleading</t>
  </si>
  <si>
    <t xml:space="preserve">G8-037</t>
  </si>
  <si>
    <t xml:space="preserve">The process of getting older and all of the metabolic processes that come with it</t>
  </si>
  <si>
    <t xml:space="preserve">Access to proper healthcare and dental care needs! Shortage of medical professionals</t>
  </si>
  <si>
    <t xml:space="preserve">Shortage of medical professionals- we need more healthcare professionals to care for this older population and all of their healthcare needs (65+ population usually has a lot of complex medical needs)</t>
  </si>
  <si>
    <t xml:space="preserve">paying them more and treating them better so they retain their jobs and also accepting more people into medical schools/ creating more schools</t>
  </si>
  <si>
    <t xml:space="preserve">1. Fitness/ ability to move my body and exercise; 2. Intellect and memory (overall brain function); 3. Overall good state of health</t>
  </si>
  <si>
    <t xml:space="preserve">Yes! Regular doctors visits, regular exercise and strength training, reading and constantly using my brain</t>
  </si>
  <si>
    <t xml:space="preserve">(i) Increasing fertility and our ability to live longer; (ii) Making the science/ solutions for people to live longer available to everyone (not just the wealthy); (iii) Utilizing AI to help us better understand the aging process and potential solutions for letting people live healthy lives for longer.</t>
  </si>
  <si>
    <t xml:space="preserve">I think boosting reproductive health and longevity is the most pertinent to me and i think it would help everyone worldwide. I think overtime everything gets democratized and made cheaper it just takes a bit. And AI is helpful for these things but I don't think it's the most important.</t>
  </si>
  <si>
    <t xml:space="preserve">It has direct impact on me and my life</t>
  </si>
  <si>
    <t xml:space="preserve">AI has a lot of pitfalls- everything it says is not 100% accurate and we cannot rely on it.</t>
  </si>
  <si>
    <t xml:space="preserve">G8-038</t>
  </si>
  <si>
    <t xml:space="preserve">Cellular decline in function.</t>
  </si>
  <si>
    <t xml:space="preserve">Cognitive decline and lack of prognosis in early stages</t>
  </si>
  <si>
    <t xml:space="preserve">Access and emphasis of early treatment in cognitive health.</t>
  </si>
  <si>
    <t xml:space="preserve">Not really no. Medical advancements in cognitive health and prognosis has been pushed to the side by the government</t>
  </si>
  <si>
    <t xml:space="preserve">Health, Mental capabilities, My personality lol</t>
  </si>
  <si>
    <t xml:space="preserve">Early action from mid 20s in health areas, starting with good eating and exercise habits and regular doctor check ups</t>
  </si>
  <si>
    <t xml:space="preserve">(i) Retaining normal, early age reproductive health throughout aging and combatting reproductive issues.; (ii) Increasing accessibility of long term health care solutions to the population regardless of socioeconomic status; (iii) Using technological advancements such as ML and AI to boost productivity of research and development of innovative and long term health care solutions for humans</t>
  </si>
  <si>
    <t xml:space="preserve">I ranked them in order of short term efficacy and impact towards a greater health baseline for the general public.</t>
  </si>
  <si>
    <t xml:space="preserve">New avenues of research can be explored with data collection and solutions to help guide us forward in evolution.</t>
  </si>
  <si>
    <t xml:space="preserve">In the government we now live with, conservation of money within the upper class is a priority and there is an absurd lack of concern regarding the lower class's health and well being.</t>
  </si>
  <si>
    <t xml:space="preserve">Yes, but I can't think of any specifics off the top of my head. Maybe general AI ethics should be regarded.</t>
  </si>
  <si>
    <t xml:space="preserve">G8-039</t>
  </si>
  <si>
    <t xml:space="preserve">Twofold: the decline of your body and mind, and your perspective on it. There are the inevitable declines, then the things you have control over.</t>
  </si>
  <si>
    <t xml:space="preserve">Loneliness!</t>
  </si>
  <si>
    <t xml:space="preserve">Care for aging populations should be prioritized and made more equal. I know a couple who pays $12k a month on rent for assisted/independent living and it seems there isn’t much support for those who cannot afford it.</t>
  </si>
  <si>
    <t xml:space="preserve">Some people try to fill those gaps, but it’s an overwhelming problem.</t>
  </si>
  <si>
    <t xml:space="preserve">Strength, mobility, and brain capacity (as much as I can. There’s only so much you can control, but to keep my brain sharp I want to stay actively engaged in puzzles, problem solving, etc)</t>
  </si>
  <si>
    <t xml:space="preserve">Yes! Everyone should go to the gym and do strength training, especially women. The best thing you can do to combat osteoporosis (more common in aging women) is resistance and strength training.</t>
  </si>
  <si>
    <t xml:space="preserve">(i) Use of IVF, HRT, and other interventions to maintain the ability to have children when you’re older, or if you choose not to have children to maintain safe levels of hormones to avoid adverse menopause side effects.; (ii) Making longevity and solutions accessible to all, not just the wealthy who can afford boutique doctors.; (iii) Using AI to diagnose, look over imaging, etc.</t>
  </si>
  <si>
    <t xml:space="preserve">I think that women will always come second to using AI. Unfortunately.</t>
  </si>
  <si>
    <t xml:space="preserve">It’s becoming more accessible! Through word of mouth and doctors willing to work with patients, I’ve seen more people able to access HRT and taking out the stigma even in the last 5 years more than previously.</t>
  </si>
  <si>
    <t xml:space="preserve">We’re going to continue to be able to keep ourselves alive longer, but if we don’t make institutional changes people will have horrible quality of life as they age.</t>
  </si>
  <si>
    <t xml:space="preserve">Definitely! Especially with the use of AI.</t>
  </si>
  <si>
    <t xml:space="preserve">G8-040</t>
  </si>
  <si>
    <t xml:space="preserve">The degeneration of the body over time.</t>
  </si>
  <si>
    <t xml:space="preserve">Health issues, maybe most significantly heart disease and other cardiovascular issues.</t>
  </si>
  <si>
    <t xml:space="preserve">Repairing social infrastructure and building community. How can crest spaces for older people to socialize amongst themselves and also younger generations.</t>
  </si>
  <si>
    <t xml:space="preserve">Some local initiatives, like through church groups or other volunteer groups but I think more could be done to loop in others who might not intentionally seek out community.</t>
  </si>
  <si>
    <t xml:space="preserve">Mobility, belief that I can always learn new things, engagement in my community</t>
  </si>
  <si>
    <t xml:space="preserve">Surround yourself with people that would like to maintain the same things, spend time with people across generations, and practice consistency in building habits now.</t>
  </si>
  <si>
    <t xml:space="preserve">(i) It means to support the organs and bodily functions involved in reproduction, and extend the window in which humans can successfully reproduce.; (ii) Solutions for promoting longevity should be available to people equally, not just the elite few who can pay for it.; (iii) Using machine learning and AI tools to support scientific research into aging and health and to increase access to relevant prevention, treatment, and information to support an aging population.</t>
  </si>
  <si>
    <t xml:space="preserve">The first two options to me have clear missions to advance populations. Applying machine learning and AI tools health and aging is more vague, and perhaps there’s a general wariness associated with machine learning and AI.</t>
  </si>
  <si>
    <t xml:space="preserve">I would excited by science and solutions that specifically support women in their reproductive years and provide relief from this urgent notion of a biological clock, if reproducing can be successful at slightly older ages.</t>
  </si>
  <si>
    <t xml:space="preserve">I think my fear is that it would be applied before the consequences are fully understood.</t>
  </si>
  <si>
    <t xml:space="preserve">I think there need to be clear regulations and rules of the road. I don’t think people like the bureaucratic process, but something like the FDA approval process is essential to protecting potential consumers.</t>
  </si>
  <si>
    <t xml:space="preserve">G8-041</t>
  </si>
  <si>
    <t xml:space="preserve">The process of getting older, physically and mentally.</t>
  </si>
  <si>
    <t xml:space="preserve">There are a lot of challenges facing our aging population, but specifically in the US, I think one of the biggest is financial security in retirement, especially with the rising costs of healthcare and long-term care.</t>
  </si>
  <si>
    <t xml:space="preserve">Improving financial literacy and retirement planning is something that could realistically be addressed in the short term. A lot of people don't fully understand how much they need to save for retirement or how expensive healthcare can become as they get older. Making financial education and retirement planning more accessible could help people make better decisions earlier in life.</t>
  </si>
  <si>
    <t xml:space="preserve">There are retirement savings programs like 401(k)s and IRAs, and many employers offer financial planning resources. However, I think financial education should start much earlier, ideally in school. A lot of young people enter the workforce without fully understanding the resources available to them or the long-term benefits of taking advantage of them. So, a lot of times they miss out on opportunities that could have a huge impact on their financial future. While there are resources available later in life, they aren't always accessible to everyone, and it's much harder to make up for lost time. I think education is something we could realistically improve in the short term. Making healthcare more affordable and accessible would obviously help too, but that's a much larger issue to tackle.</t>
  </si>
  <si>
    <t xml:space="preserve">I'd like to maintain relationships with the people I love, my physical/mental health, and a sense of purpose</t>
  </si>
  <si>
    <t xml:space="preserve">Being intentional about making time for the people I love, continuing to pursue new experiences and interests, and setting goals for myself throughout my life will help. I don't ever want to feel like I've stopped growing and have nothing left to look forward to.</t>
  </si>
  <si>
    <t xml:space="preserve">(i) Improving reproductive healthcare and finding ways to help people live longer lives.; (ii) making longevity research and solutions available and affordable for everyone; (iii) Using AI/Machine learning to analyze data, patters, and risks in regard to aging and health to develop more effective and personalized solutions and treatments.</t>
  </si>
  <si>
    <t xml:space="preserve">I personally think we should focus more on improving people's quality of life rather than simply trying to extend their lifespans or increase reproduction. I think there is good potential for AI to improve preventative healthcare, identify diseases earlier, and make treatments more effective. From a societal perspective, I think making existing and future healthcare advancements more accessible should be the priority. I also think AI could play a huge role in this by giving people greater access to information and the ability to research and better understand their own health. While it obviously shouldn't replace medical professionals, it could help people make more informed decisions about their healthcare. I'm less concerned with increasing longevity or reproduction when we already face so many challenges supporting our existing population.</t>
  </si>
  <si>
    <t xml:space="preserve">I think AI has enormous potential to change how we approach healthcare. The ability to analyze large amounts of data and identify patterns that humans might miss could help us catch problems earlier, develop more effective treatments, and ultimately improve people's quality of life. The advancements we've made in machine learning over just the past five years have been incredible, and I think we're only beginning to understand what this technology is capable of. It's exciting to imagine what we could accomplish over the next 100 years with such a powerful tool. Obviously, AI has its limitations and risks, but I think the possibilities for advancing healthcare, scientific research, and human knowledge as a whole are practically limitless.</t>
  </si>
  <si>
    <t xml:space="preserve">I think there's an important distinction between helping people live healthier lives and simply helping them live longer. With the challenges we already face with healthcare, housing, and limited resources, I'm not convinced that extending human lifespans and increasing reproductive health should be a priority. I'd rather see research focused on improving people's health and quality of life throughout the years they already have.</t>
  </si>
  <si>
    <t xml:space="preserve">Yes. I think accessibility, affordability, privacy, and safety should all be major ethical considerations. We should also be considering the broader societal implications of these advancements rather than assuming that every technological breakthrough is inherently beneficial.</t>
  </si>
  <si>
    <t xml:space="preserve">G8-042</t>
  </si>
  <si>
    <t xml:space="preserve">The depletion of telomeres</t>
  </si>
  <si>
    <t xml:space="preserve">funding and healthcare</t>
  </si>
  <si>
    <t xml:space="preserve">Social Security benefits, so they don't become homeless</t>
  </si>
  <si>
    <t xml:space="preserve">Better bills passing to improve social safety nets and allocation of funds</t>
  </si>
  <si>
    <t xml:space="preserve">physical autonomy</t>
  </si>
  <si>
    <t xml:space="preserve">eat healthy and ave daily physical activity</t>
  </si>
  <si>
    <t xml:space="preserve">(i) Improving the ability to replace a population.; (ii) Making sure everyone can access health tools.; (iii) Use new tech in new ways</t>
  </si>
  <si>
    <t xml:space="preserve">Certain things are more important than other things</t>
  </si>
  <si>
    <t xml:space="preserve">I like universal healthcare</t>
  </si>
  <si>
    <t xml:space="preserve">Can we do it with our current political landscape</t>
  </si>
  <si>
    <t xml:space="preserve">Yes, everything should be equitable</t>
  </si>
  <si>
    <t xml:space="preserve">G8-043</t>
  </si>
  <si>
    <t xml:space="preserve">Vermont</t>
  </si>
  <si>
    <t xml:space="preserve">Vermont, United States</t>
  </si>
  <si>
    <t xml:space="preserve">(i) Increasing ability to produce children and live long prosperous lives; (ii) Making systems to help people age slower; (iii) Using tech to support healthy practices while aging</t>
  </si>
  <si>
    <t xml:space="preserve">Health is wealth. The fatsos in the top government won’t help longevity but maybe city/state reps can help. AI will regurgitate what exists already.</t>
  </si>
  <si>
    <t xml:space="preserve">I’d hope that people would like to live healthy for longer.</t>
  </si>
  <si>
    <t xml:space="preserve">I believe that any government official that is visually and BMI scale obese should not be allowed to run for a health position. I’d say our food, drinks, and information that is given to us is harming long-term health.</t>
  </si>
  <si>
    <t xml:space="preserve">Nothing I can think of</t>
  </si>
  <si>
    <t xml:space="preserve">G8-044</t>
  </si>
  <si>
    <t xml:space="preserve">(i) Increasing life expectancy and reducing mortality during and immediately Post-pregnancy; (ii) Allowing people or small units the freedom of choice and open discussion surrounding the implementation of the above definition; (iii) Honestly I do not know other than applications in pursuit of exploratory data analysis</t>
  </si>
  <si>
    <t xml:space="preserve">I think people are more aversive nowadays to having machine learning applied to every part of their life but at least for those I talk to they tend to care about their health and then only defending freedom and choice</t>
  </si>
  <si>
    <t xml:space="preserve">The health implications and tackling potential health inequity that western medicine tends to overlook in favor of the more fancy solutions that are less accessible</t>
  </si>
  <si>
    <t xml:space="preserve">With so much of science under scrutiny and politics it’s becoming more hard to communicate important findings from the sea of knowledge.</t>
  </si>
  <si>
    <t xml:space="preserve">Generally not playing with people’s psyche unintentionally or exposing them to physical harm.</t>
  </si>
  <si>
    <t xml:space="preserve">G8-045</t>
  </si>
  <si>
    <t xml:space="preserve">deterioration of both physical and mental health</t>
  </si>
  <si>
    <t xml:space="preserve">I think the greatest challenge facing our aging population is access to affordable and quality healthcare.</t>
  </si>
  <si>
    <t xml:space="preserve">Accessible healthcare, as well as programs for the aging population—such as free physical activity classes—that help support people in their later years and foster social engagement, all of which help prevent many diseases.</t>
  </si>
  <si>
    <t xml:space="preserve">unfortunately no</t>
  </si>
  <si>
    <t xml:space="preserve">health, mental well-being, physical activity</t>
  </si>
  <si>
    <t xml:space="preserve">(i) mental + physical health = health; (ii) I believe that everything should start with information on how to maintain one's health; therefore, the most accessible approach—spanning from kindergarten through school—is to teach people how to do this by providing the right information and proper instruction.; (iii) Using AI to analyze health data, predict disease risks, and develop personalized approaches to healthier aging</t>
  </si>
  <si>
    <t xml:space="preserve">Because I think it would be more useful for people to learn with AI.</t>
  </si>
  <si>
    <t xml:space="preserve">My greatest concern is making sure AI is used safely and responsibly, with accurate data and without replacing the human side of healthcare.</t>
  </si>
  <si>
    <t xml:space="preserve">Yes. Solutions should prioritize safety, privacy, equal access, transparency, and responsible use of technology, especially when dealing with sensitive health and personal data.</t>
  </si>
  <si>
    <t xml:space="preserve">G8-046</t>
  </si>
  <si>
    <t xml:space="preserve">(i) Increasing healthy habits for the purposes of supporting your reproductive organs and life span; (ii) Creating resources that are accessible and affordable for all; (iii) Using technology as a tool to support treatment of patients</t>
  </si>
  <si>
    <t xml:space="preserve">Democratizing first because all people deserve access to healthcare. Boosting reproductive health second because it is an important aspect of life that is different at every stage in life. Applying ML and AI last because there needs to be regulations in place before this can be done</t>
  </si>
  <si>
    <t xml:space="preserve">I believe in reproductive freedom and support for all</t>
  </si>
  <si>
    <t xml:space="preserve">There is not enough being done to regulate this in healthcare</t>
  </si>
  <si>
    <t xml:space="preserve">G8-047</t>
  </si>
  <si>
    <t xml:space="preserve">(i) Increasing the length of time in which they are able to conceive/bear children, and simultaneously addressing diseases that affect the reproductive system.; (ii) Making sure that resources meant to increase their lifespan and quality of life are low-cost and easy to access.; (iii) Doing the same science we have been doing but with different tools, which perhaps could make it more efficient.</t>
  </si>
  <si>
    <t xml:space="preserve">If you understand the topics the way that I did, then "democratizing longevity science/solutions" is a public health intervention, whereas the other two don't specify whom they benefit. My understanding is that our ability to boost reproductive health/longevity is actually quite good, and if you can access the care, you can bear children for a long time. (But also I'm not confident I understood the phrase correctly. I assumed "reproductive" modified both "health" and "longevity," but maybe it didn't.) Generally I am more interested in outcomes that benefit more people.</t>
  </si>
  <si>
    <t xml:space="preserve">It offers more benefits to more people. I think that healthcare is an area in which there is a lot of inequality so I am in favor of things that try to fix that situation.</t>
  </si>
  <si>
    <t xml:space="preserve">I'm not that concerned about any of these, because I trust medical researchers to do research well. I chose the AI topic because I don't trust AI systems to recognize their own biases.</t>
  </si>
  <si>
    <t xml:space="preserve">Yes: the issue of AI bias/using systems that are not transparent in terms of who they benefit and where the information comes from.</t>
  </si>
  <si>
    <t xml:space="preserve">G8-048</t>
  </si>
  <si>
    <t xml:space="preserve">Getting older and losing bodily functions</t>
  </si>
  <si>
    <t xml:space="preserve">Funding and social security</t>
  </si>
  <si>
    <t xml:space="preserve">Budgeting and retirement planning since many people don't have enough funds saved to support themselves in the long term</t>
  </si>
  <si>
    <t xml:space="preserve">Financial education and better support from the government</t>
  </si>
  <si>
    <t xml:space="preserve">Health, mobility, cognition</t>
  </si>
  <si>
    <t xml:space="preserve">Exercising and staying mentally active</t>
  </si>
  <si>
    <t xml:space="preserve">(i) Extending reproductive health and wellbeing; (ii) Increasing access to healthcare; (iii) Integrating AI into health systems so people can get better results quicker</t>
  </si>
  <si>
    <t xml:space="preserve">Accessibility and reproductive health have affected me more and I know people who are affected by it as well. AI is good but I would like to see the others fixed first</t>
  </si>
  <si>
    <t xml:space="preserve">I am getting older so increasing accessibility would help me in the future</t>
  </si>
  <si>
    <t xml:space="preserve">Privacy issues</t>
  </si>
  <si>
    <t xml:space="preserve">G8-049</t>
  </si>
  <si>
    <t xml:space="preserve">physical, mental, and emotional changes over time</t>
  </si>
  <si>
    <t xml:space="preserve">lack of support</t>
  </si>
  <si>
    <t xml:space="preserve">isolation - creating programs that combat this issue</t>
  </si>
  <si>
    <t xml:space="preserve">some but not enough</t>
  </si>
  <si>
    <t xml:space="preserve">physical health, mental health, relationships,</t>
  </si>
  <si>
    <t xml:space="preserve">exercising, healthy eating, being proactive with friends, trying new activities</t>
  </si>
  <si>
    <t xml:space="preserve">(i) taking care of reproductive health; (ii) improving accessibility and decreasing costs; (iii) using ai to help understand aging and improve treatments</t>
  </si>
  <si>
    <t xml:space="preserve">ai is cool but is not a priority because it might not be able to help as many people as the other two in the short term</t>
  </si>
  <si>
    <t xml:space="preserve">ai is an developing field that can be beneficial in the development of the other two</t>
  </si>
  <si>
    <t xml:space="preserve">access and privacy</t>
  </si>
  <si>
    <t xml:space="preserve">G8-050</t>
  </si>
  <si>
    <t xml:space="preserve">Time moving through us as if it was a fourth dimension.</t>
  </si>
  <si>
    <t xml:space="preserve">Supporting them all and for them, letting those in charge stay in power as they get demenia.</t>
  </si>
  <si>
    <t xml:space="preserve">Those in power (i.e. government) are in power, while they can't think. I don't care if they are republican, democrat, or independent, but if they are not even aware of their own surrounds and who they are due to some sort of neuro degenerative disease, then they should not be in power as they are making laws and bills that can change the direction of America. It wasn't a problem back in the day because people would generally die before that time.</t>
  </si>
  <si>
    <t xml:space="preserve">Have a max age that people in power can serve just like how we have a minimum age requirement.</t>
  </si>
  <si>
    <t xml:space="preserve">1. Always try for my goal: Be Happy; 2. Always get enough sleep and a warm bed to sleep in; 3. Always have enough for the little things in life like musicals and movies</t>
  </si>
  <si>
    <t xml:space="preserve">Life is constantly changing and unpredictable, which makes it fun, but impossible to maintain anything 100%.</t>
  </si>
  <si>
    <t xml:space="preserve">(i) It means to make people live longer and more fertile.; (ii) I think that means that the solutions go to what the people need/want and not just out of personal interest.; (iii) I think this one is self explanatory as we are using this new technology, AI, to help innovate and create new products/solutions to help with aging and health.</t>
  </si>
  <si>
    <t xml:space="preserve">Just what I believe lollll</t>
  </si>
  <si>
    <t xml:space="preserve">AI is growing at an extremely fast rate, so maybe new health solutions will grow with it.</t>
  </si>
  <si>
    <t xml:space="preserve">Machines will replace humans.</t>
  </si>
  <si>
    <t xml:space="preserve">Yes as who is responsible if a pt. is killed due to a machine.</t>
  </si>
  <si>
    <t xml:space="preserve">G8-051</t>
  </si>
  <si>
    <t xml:space="preserve">Kentucky</t>
  </si>
  <si>
    <t xml:space="preserve">Kentucky, United States</t>
  </si>
  <si>
    <t xml:space="preserve">Process of growing older</t>
  </si>
  <si>
    <t xml:space="preserve">healthcare costs</t>
  </si>
  <si>
    <t xml:space="preserve">retirement</t>
  </si>
  <si>
    <t xml:space="preserve">not with the current administration</t>
  </si>
  <si>
    <t xml:space="preserve">Physical ability, mental ability, family and friendship</t>
  </si>
  <si>
    <t xml:space="preserve">be active with my mind and body everyday</t>
  </si>
  <si>
    <t xml:space="preserve">(i) Spending money towards genealogical research; (ii) Researching as a collective; (iii) Researching genetic sequences to eliminate diseases and syndromes</t>
  </si>
  <si>
    <t xml:space="preserve">The AI craze puts machine learning and AI solutions above all others currently</t>
  </si>
  <si>
    <t xml:space="preserve">Identifying and removing dna sequences that are unfavorable seems the easiest for removal of common diseases</t>
  </si>
  <si>
    <t xml:space="preserve">The AI bubble will pop or the use of AI will cause more problems than it will solve</t>
  </si>
  <si>
    <t xml:space="preserve">G8-052</t>
  </si>
  <si>
    <t xml:space="preserve">Aging is the age-related changes in physical and mental health.</t>
  </si>
  <si>
    <t xml:space="preserve">health problems</t>
  </si>
  <si>
    <t xml:space="preserve">Supporting the health of the aging population and preventing health problems</t>
  </si>
  <si>
    <t xml:space="preserve">In America, there is no such thing as prevention—only treatment once the problem has become significant enough—so I don't see...</t>
  </si>
  <si>
    <t xml:space="preserve">good eyesight, excellent physical condition, mental health</t>
  </si>
  <si>
    <t xml:space="preserve">I think physical activity is the best thing.</t>
  </si>
  <si>
    <t xml:space="preserve">(i) It involves maintaining excellent physical health and a healthy weight.; (ii) Making the latest science, technologies, and healthy-aging solutions accessible and affordable to everyone—not just wealthy people or those with access to elite healthcare.; (iii) Using AI and machine learning to better understand aging, predict health risks, personalize prevention and treatment, and help people live longer, healthier lives.</t>
  </si>
  <si>
    <t xml:space="preserve">I think that longevity is important for older people, whereas artificial intelligence is important for younger ones.</t>
  </si>
  <si>
    <t xml:space="preserve">Because I’m at an age where I’d like to preserve my health and longevity.</t>
  </si>
  <si>
    <t xml:space="preserve">Because age-related changes bring about many chronic conditions that one needs to know how to manage.</t>
  </si>
  <si>
    <t xml:space="preserve">Yes. We should make sure these technologies are safe, protect people’s privacy, are affordable and accessible to everyone, and don’t create more inequality or discrimination.</t>
  </si>
  <si>
    <t xml:space="preserve">G8-053</t>
  </si>
  <si>
    <t xml:space="preserve">Physical and mental changes</t>
  </si>
  <si>
    <t xml:space="preserve">Mental supports</t>
  </si>
  <si>
    <t xml:space="preserve">Social connections</t>
  </si>
  <si>
    <t xml:space="preserve">Reading, exercising and eating</t>
  </si>
  <si>
    <t xml:space="preserve">Establishing a habit of reading and exercising</t>
  </si>
  <si>
    <t xml:space="preserve">(i) Keeping the reproductive organs healthy; (ii) Affordable health resources for everyone; (iii) More advanced health care</t>
  </si>
  <si>
    <t xml:space="preserve">Intuition</t>
  </si>
  <si>
    <t xml:space="preserve">Preventive diagnostic and care</t>
  </si>
  <si>
    <t xml:space="preserve">Population</t>
  </si>
  <si>
    <t xml:space="preserve">Human rule the world, not AI</t>
  </si>
  <si>
    <t xml:space="preserve">G8-054</t>
  </si>
  <si>
    <t xml:space="preserve">For my age, this is a change in my physical health.</t>
  </si>
  <si>
    <t xml:space="preserve">preservation of health and longevity</t>
  </si>
  <si>
    <t xml:space="preserve">to teach people how to prevent chronic diseases</t>
  </si>
  <si>
    <t xml:space="preserve">Personally, I don't see it.</t>
  </si>
  <si>
    <t xml:space="preserve">mental health, prevalence of chronic diseases, healthy eating</t>
  </si>
  <si>
    <t xml:space="preserve">I believe that people can be taught, starting from a young age, how to maintain their health and prolong an active life into old age.</t>
  </si>
  <si>
    <t xml:space="preserve">(i) A healthy body, a healthy mind; (ii) Making longevity science and healthy-aging solutions accessible and affordable to everyone; (iii) Using AI and technology to help people stay healthier and live longer.</t>
  </si>
  <si>
    <t xml:space="preserve">I think longevity is important for older people, while for young people, the use of artificial intelligence could be helpful.</t>
  </si>
  <si>
    <t xml:space="preserve">I am interested in how to extend longevity while maintaining active health and avoiding chronic diseases.</t>
  </si>
  <si>
    <t xml:space="preserve">How to avoid chronic diseases</t>
  </si>
  <si>
    <t xml:space="preserve">Yes. People’s privacy, safety, and equal access should be protected.</t>
  </si>
  <si>
    <t xml:space="preserve">G8-055</t>
  </si>
  <si>
    <t xml:space="preserve">Challenging</t>
  </si>
  <si>
    <t xml:space="preserve">Aging (dealing with weakness illness and anticipating death)</t>
  </si>
  <si>
    <t xml:space="preserve">Learning how to age well, how to age with minimal regrets, how to meditate on the purpose and meaning of life, etc.</t>
  </si>
  <si>
    <t xml:space="preserve">I believe that God is real and that knowing Him is the answer to this challenge.</t>
  </si>
  <si>
    <t xml:space="preserve">1. My mind and memory; 2. My senses (sight and hearing and talking); 3. Mobility</t>
  </si>
  <si>
    <t xml:space="preserve">In limited ways. Healthy diet, exercise, social engagement, et.</t>
  </si>
  <si>
    <t xml:space="preserve">(i) It means valuing human life and family values; encouraging families to grow and thrive interdependently through multiple generations.; (ii) I really don’t know. Your parenthetical explanation above (making health care accessible to all) seems reasonable.; (iii) It might mean asking AI to help inspire solutions in this area that we have not yet imagined.</t>
  </si>
  <si>
    <t xml:space="preserve">They are all very closely related, so prioritizing them is very difficult.</t>
  </si>
  <si>
    <t xml:space="preserve">Valuing life.</t>
  </si>
  <si>
    <t xml:space="preserve">The perceived lack of desire for larger families.</t>
  </si>
  <si>
    <t xml:space="preserve">Perhaps.</t>
  </si>
  <si>
    <t xml:space="preserve">G8-056</t>
  </si>
  <si>
    <t xml:space="preserve">Your cells dying and it reflecting everywhere in you</t>
  </si>
  <si>
    <t xml:space="preserve">Isolation because</t>
  </si>
  <si>
    <t xml:space="preserve">Create more affordable yet highly comfortable community compounds</t>
  </si>
  <si>
    <t xml:space="preserve">Relationships happiness creativity</t>
  </si>
  <si>
    <t xml:space="preserve">Mental and physical exercise</t>
  </si>
  <si>
    <t xml:space="preserve">(i) Finding hospitals and planned parenthood; (ii) Idk; (iii) Idk I don’t rly support ai</t>
  </si>
  <si>
    <t xml:space="preserve">Reproductive health is most important</t>
  </si>
  <si>
    <t xml:space="preserve">It’s not more exciting than important</t>
  </si>
  <si>
    <t xml:space="preserve">There isn’t as much support research and funding for it as there should be</t>
  </si>
  <si>
    <t xml:space="preserve">No idk</t>
  </si>
  <si>
    <t xml:space="preserve">G8-057</t>
  </si>
  <si>
    <t xml:space="preserve">Getting older.</t>
  </si>
  <si>
    <t xml:space="preserve">Working past retirement age.</t>
  </si>
  <si>
    <t xml:space="preserve">Retirement funding.</t>
  </si>
  <si>
    <t xml:space="preserve">My morals, passion, and love.</t>
  </si>
  <si>
    <t xml:space="preserve">Be optimistic</t>
  </si>
  <si>
    <t xml:space="preserve">(i) Educating more on reproductive health and informing ways to stay healthy.; (ii) I have no idea.; (iii) Accepting a new way of living.</t>
  </si>
  <si>
    <t xml:space="preserve">I think people don’t care about reproductive health as much as they should and that everyone is so focused on AI now and what it is doing to our future that people aren’t focusing on things that have been problems even prior to AI.</t>
  </si>
  <si>
    <t xml:space="preserve">It’s a problem that still occurs and applies to everyone.</t>
  </si>
  <si>
    <t xml:space="preserve">People are so focused on AI.</t>
  </si>
  <si>
    <t xml:space="preserve">Accessibility to all ages, genders, races, etc.</t>
  </si>
  <si>
    <t xml:space="preserve">G8-058</t>
  </si>
  <si>
    <t xml:space="preserve">Decline of peak function over time</t>
  </si>
  <si>
    <t xml:space="preserve">lack of community, lack of activity/engaging work to do</t>
  </si>
  <si>
    <t xml:space="preserve">destigmatizing aging and creating community for older populations to spend time together in</t>
  </si>
  <si>
    <t xml:space="preserve">no, but i haven't looked much</t>
  </si>
  <si>
    <t xml:space="preserve">independently taking care of myself (getting up, putting on shoes, take a shower, etc), memory, continuous hobbies (knitting, reading, etc)</t>
  </si>
  <si>
    <t xml:space="preserve">maintining physical fitness, building routines to get my body used to taking care of itself</t>
  </si>
  <si>
    <t xml:space="preserve">(i) being able to conceive/give birth safely through an older age, expanding the healthspan of one's life; (ii) Capitalizing on and organizing aging solutions in a way that fits the economy and global market; (iii) Utilizing LLMs to assist aging therapies/treatments, or just using AI as a person replacement in elder care</t>
  </si>
  <si>
    <t xml:space="preserve">I think money drives research in the united states, and not necessarily a concern for patient care. Companies are likely to fund something that will have a larger return, and if AI is incorporated, chances are the product is 'efficient' and 'cost effective' and will also be priorities.</t>
  </si>
  <si>
    <t xml:space="preserve">Someone has to care about global health and longevity, and if our governments can't do it, it is a scientists responsibility to do so.</t>
  </si>
  <si>
    <t xml:space="preserve">Healthy dose of skepticism when it comes to AI; where are the checks and balances, who is overseeing it, will it make humans less empathetic and dumber in general?</t>
  </si>
  <si>
    <t xml:space="preserve">G8-059</t>
  </si>
  <si>
    <t xml:space="preserve">the shortening of telomeres causing dna damage, resulting in physical deterioration</t>
  </si>
  <si>
    <t xml:space="preserve">the decreasing workforce</t>
  </si>
  <si>
    <t xml:space="preserve">higher medical costs and demand from an aging population could cause reduced access to healthcare for many, which is already a criss we face. We need to ensure that everyone has access to healthcare</t>
  </si>
  <si>
    <t xml:space="preserve">Medical professionals should be paid more, and students should be incentivized to enter healthcare by offering reduced tuition or tuition reimbursement.</t>
  </si>
  <si>
    <t xml:space="preserve">My happiness, my drive, and my intelligence</t>
  </si>
  <si>
    <t xml:space="preserve">I can make sure to exercise my brain as much as possible and do what I can to avoid burnout.</t>
  </si>
  <si>
    <t xml:space="preserve">(i) Making the fertility window longer, especially for women.; (ii) Putting these topics to a vote; (iii) Using AI and other technology to develop strategies that lead to longer lifespan and slower aging</t>
  </si>
  <si>
    <t xml:space="preserve">I boosting reproductive health and longevity is not important for my personally, but I understand that this may help solve the aging population problem.</t>
  </si>
  <si>
    <t xml:space="preserve">I would be interested to see what kinds of experiments and techniques would be used to research this topic.</t>
  </si>
  <si>
    <t xml:space="preserve">The USA has a bad habit of polarizing everything, so I am worried this would create divide.</t>
  </si>
  <si>
    <t xml:space="preserve">I think it is important to explore the implications of having older parents, and what that could mean for the development of a child. We should also ensure that AI is used carefully.</t>
  </si>
  <si>
    <t xml:space="preserve">G8-060</t>
  </si>
  <si>
    <t xml:space="preserve">They’re too old to understand technology</t>
  </si>
  <si>
    <t xml:space="preserve">No more technology</t>
  </si>
  <si>
    <t xml:space="preserve">My wisdom my memories my intelligence</t>
  </si>
  <si>
    <t xml:space="preserve">Stop ppl from getting old</t>
  </si>
  <si>
    <t xml:space="preserve">(i) Not dying; (ii) Fertilizer; (iii) Replace old ppl with ai</t>
  </si>
  <si>
    <t xml:space="preserve">Cause I don’t like ai</t>
  </si>
  <si>
    <t xml:space="preserve">Longevity</t>
  </si>
  <si>
    <t xml:space="preserve">Ai uses up the water</t>
  </si>
  <si>
    <t xml:space="preserve">Yes it uses up water</t>
  </si>
  <si>
    <t xml:space="preserve">G8-061</t>
  </si>
  <si>
    <t xml:space="preserve">the progressive loss of an organism's ability to maintain and restore its own function</t>
  </si>
  <si>
    <t xml:space="preserve">social isolation and financial insecurity</t>
  </si>
  <si>
    <t xml:space="preserve">social isolation because it is associated with a higher risk of death and other deadly diseases</t>
  </si>
  <si>
    <t xml:space="preserve">some action but there needs to be more</t>
  </si>
  <si>
    <t xml:space="preserve">cognition, physical independence, and close relationships</t>
  </si>
  <si>
    <t xml:space="preserve">yes, activities such as regular exercise can help in maintaining them</t>
  </si>
  <si>
    <t xml:space="preserve">(i) slowing down the aging of the reproductive system so that fertility and hormone function last longer; (ii) making the knowledge, tools, and interventions that extend healthy lifespan affordable and available to everyone; (iii) using algorithms that learn from large biological and medical datasets to measure how fast someone is aging, predict disease, and speed up discovery and testing of treatments</t>
  </si>
  <si>
    <t xml:space="preserve">"democratizing longevity science/solutions" is ranked first because many resources already exist but not all reach the entire population so it should be the most urgent.</t>
  </si>
  <si>
    <t xml:space="preserve">the ongoing advancement of machine learning and AI has produced opportunities that did not exist before</t>
  </si>
  <si>
    <t xml:space="preserve">reproductive health affects more than half the population and there should be more resources for it</t>
  </si>
  <si>
    <t xml:space="preserve">yes especially with the use of machine learning and AI</t>
  </si>
  <si>
    <t xml:space="preserve">G8-062</t>
  </si>
  <si>
    <t xml:space="preserve">Growing old and gaining more life experiences</t>
  </si>
  <si>
    <t xml:space="preserve">Secure healthcare</t>
  </si>
  <si>
    <t xml:space="preserve">Healthcare since health matters the most for older people</t>
  </si>
  <si>
    <t xml:space="preserve">More affordability</t>
  </si>
  <si>
    <t xml:space="preserve">1. Friends 2. Knowledge 3. Purpose</t>
  </si>
  <si>
    <t xml:space="preserve">Self-reflection</t>
  </si>
  <si>
    <t xml:space="preserve">(i) Taking measures to promote sexual education and health; (ii) Making discussions and decisions more transparent to the public; (iii) Advancing current technologies to provide new insights into uniquely human issues</t>
  </si>
  <si>
    <t xml:space="preserve">I think a society should prioritize its living constituents over future ones</t>
  </si>
  <si>
    <t xml:space="preserve">There is a lot of potential and possibilities in new work</t>
  </si>
  <si>
    <t xml:space="preserve">I worry about how likely it is</t>
  </si>
  <si>
    <t xml:space="preserve">Making sure we avoid eugenics and other biased systems</t>
  </si>
  <si>
    <t xml:space="preserve">G8-063</t>
  </si>
  <si>
    <t xml:space="preserve">Physical, mental, and social changes as someone grows older</t>
  </si>
  <si>
    <t xml:space="preserve">healthcare costs and access to quality care</t>
  </si>
  <si>
    <t xml:space="preserve">affordable healthcare should be prioritized since older people are more likely to need regular care, medications, and assistance</t>
  </si>
  <si>
    <t xml:space="preserve">physical independence, relationships with friends and family, cognitive ability</t>
  </si>
  <si>
    <t xml:space="preserve">exercising, eating healthy, sleeping well</t>
  </si>
  <si>
    <t xml:space="preserve">(i) improving reproductive health while helping people live longer and healthier lives; (ii) making advances in longevity affordable and accessible to everyone; (iii) using ai to better predict, prevent, and treat disease and personalize healthcare</t>
  </si>
  <si>
    <t xml:space="preserve">accessibility is most important because scientific breakthroughs don't help society if only a small percent of people can afford them</t>
  </si>
  <si>
    <t xml:space="preserve">being able to prevent diseases before they become serious and helping people stay healthy for longer</t>
  </si>
  <si>
    <t xml:space="preserve">inequality</t>
  </si>
  <si>
    <t xml:space="preserve">G8-064</t>
  </si>
  <si>
    <t xml:space="preserve">Natural process of getting older that affects the body and mind</t>
  </si>
  <si>
    <t xml:space="preserve">Maintaining independence and mobility</t>
  </si>
  <si>
    <t xml:space="preserve">Shortage and cost of long-term care</t>
  </si>
  <si>
    <t xml:space="preserve">Independence, mobility, spending time iwth family</t>
  </si>
  <si>
    <t xml:space="preserve">Being financially prepared</t>
  </si>
  <si>
    <t xml:space="preserve">(i) Improving reproductive health and extending the number of healthy years people have; (ii) Making longevity treatments and knowledge available to everyone; (iii) Using computers and AI to identify health risks and help doctors make better decisions</t>
  </si>
  <si>
    <t xml:space="preserve">AI can make healthcare more efficient and identify problems earlier</t>
  </si>
  <si>
    <t xml:space="preserve">Being able to predict diseases earlier and potentially prevent serious health problems before they happen</t>
  </si>
  <si>
    <t xml:space="preserve">Yes - clear rules about ownership about health data</t>
  </si>
  <si>
    <t xml:space="preserve">G8-065</t>
  </si>
  <si>
    <t xml:space="preserve">A lifelong process that includes physical changes, changes in health, and changes in relationships</t>
  </si>
  <si>
    <t xml:space="preserve">Loneliness and loss of independence</t>
  </si>
  <si>
    <t xml:space="preserve">Maintaining independence and preventing isolation</t>
  </si>
  <si>
    <t xml:space="preserve">Yes - programs for older adults</t>
  </si>
  <si>
    <t xml:space="preserve">Independence, cognitive health, relationships</t>
  </si>
  <si>
    <t xml:space="preserve">Yes - socializing, learning new things, regular checkups</t>
  </si>
  <si>
    <t xml:space="preserve">(i) Improving reproductive health and understanding how it connects to long-term health and longevity; (ii) Making discoveries that help people age better accessible to people of different backgrounds; (iii) Using AI to understand individual health risks and develop more personalized approaches</t>
  </si>
  <si>
    <t xml:space="preserve">Everyone should be able to benefit from scientific progress</t>
  </si>
  <si>
    <t xml:space="preserve">Being able to increase the number of years people can live independently and in good health</t>
  </si>
  <si>
    <t xml:space="preserve">People would become too focused on extending life rather than improving quality of life</t>
  </si>
  <si>
    <t xml:space="preserve">Protections against discrimination based on age or genetic information</t>
  </si>
  <si>
    <t xml:space="preserve">G8-066</t>
  </si>
  <si>
    <t xml:space="preserve">Losing innocence</t>
  </si>
  <si>
    <t xml:space="preserve">Lack of transitioning into that age, society focuses on the younger generation more than elderly people</t>
  </si>
  <si>
    <t xml:space="preserve">Transportation for elderly people can be solved easily with more accessible walk ways, ramps, elevators and escalators. This should be prioritized because it benefits everyone</t>
  </si>
  <si>
    <t xml:space="preserve">Yes urban planning can change to make cities more accessible for transportation</t>
  </si>
  <si>
    <t xml:space="preserve">My memory, my friends and family, my excitement and passion for life</t>
  </si>
  <si>
    <t xml:space="preserve">I think being around a stable loving community definitely helps sustain my values</t>
  </si>
  <si>
    <t xml:space="preserve">(i) Taking care of your body and not overworking or feeding bad toxins into your system; (ii) Available healthcare for all people regardless of class, race, age, gender, or sexuality; (iii) Technology can help research and restore information that can lead to new developments in health</t>
  </si>
  <si>
    <t xml:space="preserve">This is what I believe people think</t>
  </si>
  <si>
    <t xml:space="preserve">The exciting part is finding the solution to this problem which would benefit everyone</t>
  </si>
  <si>
    <t xml:space="preserve">I’m not sure if I trust AI to make accurate predictions about health</t>
  </si>
  <si>
    <t xml:space="preserve">Yes, regarding if technical advancements are made who will be allowed to receive these benefits.</t>
  </si>
  <si>
    <t xml:space="preserve">G8-067</t>
  </si>
  <si>
    <t xml:space="preserve">getting older, above the age of 65 and being able to retire</t>
  </si>
  <si>
    <t xml:space="preserve">not enough in savings, too far from family, stuck in nursing homes</t>
  </si>
  <si>
    <t xml:space="preserve">stuck in nursing homes and it really isolates them and probably makes them more depressed</t>
  </si>
  <si>
    <t xml:space="preserve">encourage help aids for families</t>
  </si>
  <si>
    <t xml:space="preserve">friends, finances and the ability to be social</t>
  </si>
  <si>
    <t xml:space="preserve">(i) keeping peoples romantic life safe; (ii) health solutions that are more affordable for the aging population; (iii) use ai to try and prevent longterm diseases</t>
  </si>
  <si>
    <t xml:space="preserve">if i was old i would want those things prioritized</t>
  </si>
  <si>
    <t xml:space="preserve">trying to live longer seems cool</t>
  </si>
  <si>
    <t xml:space="preserve">i do find it important but not sure how society would find it compared to other things</t>
  </si>
  <si>
    <t xml:space="preserve">make sure that it would not do more harm overall than good</t>
  </si>
  <si>
    <t xml:space="preserve">G8-068</t>
  </si>
  <si>
    <t xml:space="preserve">Getting older, seen by physicality and by maturity</t>
  </si>
  <si>
    <t xml:space="preserve">Loneliness or accessible supportive healthcare</t>
  </si>
  <si>
    <t xml:space="preserve">Stigma against aging, prioritized so aging people feel less isolated and less resistant to aging</t>
  </si>
  <si>
    <t xml:space="preserve">Motivational talks, inspiring speeches from older people about the beauty of aging, ads that shine light on aging</t>
  </si>
  <si>
    <t xml:space="preserve">Happiness, memories, liveliness</t>
  </si>
  <si>
    <t xml:space="preserve">Puzzles and learning languages to maintain memory, reducing stress levels by planning or not overthinking to maintain memory and happiness</t>
  </si>
  <si>
    <t xml:space="preserve">(i) (i ) reproductive health is supported in later stages of life; (ii) (II) creating solutions that most elderly, with different conditions or from different areas, can access, afford, and benefit from; (iii) (III) using AI and machine learning to more accurately predict health trends</t>
  </si>
  <si>
    <t xml:space="preserve">Based off of news, politics</t>
  </si>
  <si>
    <t xml:space="preserve">Important to make these solutions accessible to everyone from all walks of life</t>
  </si>
  <si>
    <t xml:space="preserve">Accuracy, based on biased or nonbiased data</t>
  </si>
  <si>
    <t xml:space="preserve">G8-069</t>
  </si>
  <si>
    <t xml:space="preserve">Not dying fast enough</t>
  </si>
  <si>
    <t xml:space="preserve">Too many old people. Either kill them all or give them better resources.</t>
  </si>
  <si>
    <t xml:space="preserve">Money, Money, Money</t>
  </si>
  <si>
    <t xml:space="preserve">Become a nepo baby</t>
  </si>
  <si>
    <t xml:space="preserve">(i) Preserve the old; (ii) Preserve the old; (iii) Preserve the old</t>
  </si>
  <si>
    <t xml:space="preserve">Society loves ai</t>
  </si>
  <si>
    <t xml:space="preserve">It just does</t>
  </si>
  <si>
    <t xml:space="preserve">Ai sucks</t>
  </si>
  <si>
    <t xml:space="preserve">G8-070</t>
  </si>
  <si>
    <t xml:space="preserve">A natural, unstoppable process</t>
  </si>
  <si>
    <t xml:space="preserve">Lack of space in elderly homes</t>
  </si>
  <si>
    <t xml:space="preserve">Health deteriorates quickly as we age, and breaking something when youâ€™re old will put you in bed for a long time, which makes your health even worse. I think we should work on figuring out how to make our older population avoid health complications.</t>
  </si>
  <si>
    <t xml:space="preserve">More encouragement to do light exercise in senior homes</t>
  </si>
  <si>
    <t xml:space="preserve">Brain clarity, immune health, passion</t>
  </si>
  <si>
    <t xml:space="preserve">Stay healthy while Iâ€™m young</t>
  </si>
  <si>
    <t xml:space="preserve">(i) Improving the quality of life and how long people live for.; (ii) Providing equal access to the health knowledge we learn.; (iii) Using AI as a tool to benefit all to quickly learn the best ways to maintain health.</t>
  </si>
  <si>
    <t xml:space="preserve">I think that AI is what we can do quickly and do now. Longevity studies take extended periods of time. Democratizing information is important but not profitable, which is why itâ€™s currently ranked last in the society viewpoint</t>
  </si>
  <si>
    <t xml:space="preserve">Itâ€™s what can be done here and now</t>
  </si>
  <si>
    <t xml:space="preserve">I think that living long requires starting early</t>
  </si>
  <si>
    <t xml:space="preserve">Longevity studies that intentionally cause suffering to patients/test subjects (mice?) should be avoided</t>
  </si>
  <si>
    <t xml:space="preserve">G8-071</t>
  </si>
  <si>
    <t xml:space="preserve">The process of getting older mentally and physically.</t>
  </si>
  <si>
    <t xml:space="preserve">Finding cures or treatments to degenerative diseases that cause social and psychological impact on the elderly and their family (Alzheimerâ€™s, dementia, etc)</t>
  </si>
  <si>
    <t xml:space="preserve">The challenge to be solved is how to support people who need end-of-life care. It is a problem that most directly and immediately impacts people.</t>
  </si>
  <si>
    <t xml:space="preserve">Iâ€™m sure there are efforts to address this challenge through nursing homes or senior living facilities. I am not aware of any</t>
  </si>
  <si>
    <t xml:space="preserve">My independence, ability to learn/adapt, emotional intelligence</t>
  </si>
  <si>
    <t xml:space="preserve">(i) Each of those topics falls under the idea that we want to create the best experience for people as they age and doing that requires prioritizing health and technology.; (ii) Each of those topics falls under the idea that we want to create the best experience for people as they age and doing that requires prioritizing health and technology.; (iii) Each of those topics falls under the idea that we want to create the best experience for people as they age and doing that requires prioritizing health and technology.</t>
  </si>
  <si>
    <t xml:space="preserve">I think that my priorities as a woman and someone who cares for elders in my family differs from the ways that others might feel society would benefit</t>
  </si>
  <si>
    <t xml:space="preserve">I think I have more connection to reproductive health and longevity because I know people who struggle with problems in this area.</t>
  </si>
  <si>
    <t xml:space="preserve">How would we mitigate AI technology in a helpful way? Instead of creating solutions that are impersonal and isolating.</t>
  </si>
  <si>
    <t xml:space="preserve">G8-072</t>
  </si>
  <si>
    <t xml:space="preserve">Loss of functionality over time</t>
  </si>
  <si>
    <t xml:space="preserve">Morbidity and lack of affordable accesible health care and isolation (lack care taking or community activities)</t>
  </si>
  <si>
    <t xml:space="preserve">Caretaking to improve quality of life</t>
  </si>
  <si>
    <t xml:space="preserve">Better pay for caretakers and improved/increased programming funds</t>
  </si>
  <si>
    <t xml:space="preserve">Health, sense of community (family + friends), experience new things</t>
  </si>
  <si>
    <t xml:space="preserve">Healthy diet and exercise (mobility, strength, build/maintain bone density), maintain ties with friends and family, get our of confort zone to keep meeting new people and add to my experience</t>
  </si>
  <si>
    <t xml:space="preserve">(i) Proactive vs reactive approach to health; (ii) Proactive vs reactive approach to health; (iii) Proactive vs reactive approach to health</t>
  </si>
  <si>
    <t xml:space="preserve">Lots of people already have health are problems that could be easier to solve if they could afford solutions</t>
  </si>
  <si>
    <t xml:space="preserve">It resonates more with my current lifestyle. Donâ€™t have any major issues and would like to keep learning about ways i can maintain good health and promote it in the future</t>
  </si>
  <si>
    <t xml:space="preserve">Itâ€™s great if we could better diagnose but what use is it if people canâ€™t afford it or access it. AI is also a topic of debate with energy consumotion and impact or nearby communities which also affects public healthâ€¦</t>
  </si>
  <si>
    <t xml:space="preserve">Being equitable.</t>
  </si>
  <si>
    <t xml:space="preserve">G8-073</t>
  </si>
  <si>
    <t xml:space="preserve">Cellular senescence</t>
  </si>
  <si>
    <t xml:space="preserve">Heart Disease</t>
  </si>
  <si>
    <t xml:space="preserve">Heart Disease due to increased risk factors towards multiple diseases</t>
  </si>
  <si>
    <t xml:space="preserve">Hip mobility, joint strength, neuro plasticity</t>
  </si>
  <si>
    <t xml:space="preserve">Stretching/nutrition/stem cell therapy</t>
  </si>
  <si>
    <t xml:space="preserve">(i) Anti-aging + ai; (ii) Anti-aging + ai; (iii) Anti-aging + ai</t>
  </si>
  <si>
    <t xml:space="preserve">Just how I thought about it</t>
  </si>
  <si>
    <t xml:space="preserve">Seems the most exciting out of the three due to possibilities</t>
  </si>
  <si>
    <t xml:space="preserve">Secure data</t>
  </si>
  <si>
    <t xml:space="preserve">G8-074</t>
  </si>
  <si>
    <t xml:space="preserve">Getting older and gaining more experiences in life.</t>
  </si>
  <si>
    <t xml:space="preserve">Difficulty with adapting to changing technologies and environments</t>
  </si>
  <si>
    <t xml:space="preserve">Helping aging people learn how to use basic technology</t>
  </si>
  <si>
    <t xml:space="preserve">Local classes to help the community</t>
  </si>
  <si>
    <t xml:space="preserve">my knowledge, skills, and personality</t>
  </si>
  <si>
    <t xml:space="preserve">Keep using these skills so I donâ€™t forget them</t>
  </si>
  <si>
    <t xml:space="preserve">(i) The topics mean that the way the world works is changing rapidly and there are many aspects that need to be adopted.; (ii) The topics mean that the way the world works is changing rapidly and there are many aspects that need to be adopted.; (iii) The topics mean that the way the world works is changing rapidly and there are many aspects that need to be adopted.</t>
  </si>
  <si>
    <t xml:space="preserve">Making lives longer will in turn allow us to do the other two options mpre since our science will be more advanced.</t>
  </si>
  <si>
    <t xml:space="preserve">It is something that I have always been interested in.</t>
  </si>
  <si>
    <t xml:space="preserve">AI can be used in wrong ways if people do not think for themselves when using AI</t>
  </si>
  <si>
    <t xml:space="preserve">People who use AI for healthcare must go through trainings to ensure that they do not entirely rely on AI.</t>
  </si>
  <si>
    <t xml:space="preserve">G8-075</t>
  </si>
  <si>
    <t xml:space="preserve">Natural</t>
  </si>
  <si>
    <t xml:space="preserve">Lack of subsidized care means they work longer than they need to and experience healthcare issues</t>
  </si>
  <si>
    <t xml:space="preserve">Change the entire system which js impossible</t>
  </si>
  <si>
    <t xml:space="preserve">Happiness, wealth, love</t>
  </si>
  <si>
    <t xml:space="preserve">Work hard and surround myself with good people</t>
  </si>
  <si>
    <t xml:space="preserve">(i) Itâ€™s the future; (ii) Itâ€™s the future; (iii) Itâ€™s the future</t>
  </si>
  <si>
    <t xml:space="preserve">Progress means nothing if society doesnâ€™t benefit</t>
  </si>
  <si>
    <t xml:space="preserve">Improving health outcomes is more important</t>
  </si>
  <si>
    <t xml:space="preserve">Great possiblity for abuse</t>
  </si>
  <si>
    <t xml:space="preserve">G8-076</t>
  </si>
  <si>
    <t xml:space="preserve">growing old</t>
  </si>
  <si>
    <t xml:space="preserve">decrease in healthspan</t>
  </si>
  <si>
    <t xml:space="preserve">extending their healthspan because it'll eventually extend their lifespan</t>
  </si>
  <si>
    <t xml:space="preserve">my mobility, freedom, and mind</t>
  </si>
  <si>
    <t xml:space="preserve">live a healthy lifestyle</t>
  </si>
  <si>
    <t xml:space="preserve">(i) i have no idea lol; (ii) i have no idea lol; (iii) i have no idea lol</t>
  </si>
  <si>
    <t xml:space="preserve">because</t>
  </si>
  <si>
    <t xml:space="preserve">I think this topic is the most important</t>
  </si>
  <si>
    <t xml:space="preserve">I'm weary of Ai</t>
  </si>
  <si>
    <t xml:space="preserve">yes definitely</t>
  </si>
  <si>
    <t xml:space="preserve">G8-077</t>
  </si>
  <si>
    <t xml:space="preserve">Systematic decline in function and increased likehood of disease resulting from deterioration caused accumulated damage on the physical and molecular damage</t>
  </si>
  <si>
    <t xml:space="preserve">Maintaining health and mobility and maintaining independent access to health resources with age</t>
  </si>
  <si>
    <t xml:space="preserve">Democratizing healthcare access; it plays a big role in the quality of life of the aging populations, and is much more feasible in short term than anti-aging therapies reliant on long-term research work</t>
  </si>
  <si>
    <t xml:space="preserve">Healthcare reforms and initiatives to promote healthcare access for aging populations.</t>
  </si>
  <si>
    <t xml:space="preserve">Social circle, mobility, energy</t>
  </si>
  <si>
    <t xml:space="preserve">Exercise regularly, engage in activities with my community</t>
  </si>
  <si>
    <t xml:space="preserve">(i) I) initiatives focused on actionable steps to improve longevity; (ii) Ii) improving access to healthcare which will ultimately improve longevity for those who would not be able to access these resources otherwise; (iii) Iii) Developing forecasting capabilities in medicine through AI initiatives to catch disease risk early.</t>
  </si>
  <si>
    <t xml:space="preserve">Democratization is most feasible and will make the most impact in the world, developing new longevity solutions is importantly in the long term perspective, applying AI to everything may not be the most appropriate solution all the time, and forecasting may not mean that we are able to combat the forecasted aging progression;</t>
  </si>
  <si>
    <t xml:space="preserve">Because longevity research is an exciting topic that may change our approach to aging from passive acceptance to active â€œcustomizationâ€, additionally many other exciting prospects may result from this research</t>
  </si>
  <si>
    <t xml:space="preserve">In the era of AI craze, applying AI to everything may not prove the best or most appropriate in the long term. Developing thoughtful, interpretable AI prediction models is a problem of a large set of unbiased data and thoughtful meticulous network design. Bias, even if thought non-existent at the time of model creation, may come up later on, as seen with many earlier and current AI solutions.</t>
  </si>
  <si>
    <t xml:space="preserve">Gatekeeping longevity solutions based on socioeconomic status; access to thaw solutions; ethical considerations when it comes to preventing something as natural as death;</t>
  </si>
  <si>
    <t xml:space="preserve">Q5 Definition of aging – response</t>
  </si>
  <si>
    <t xml:space="preserve">Q5 Definition of aging – themes</t>
  </si>
  <si>
    <t xml:space="preserve">Q7 Greatest challenge – response</t>
  </si>
  <si>
    <t xml:space="preserve">Q7 Greatest challenge – themes</t>
  </si>
  <si>
    <t xml:space="preserve">Q8 Short-term priority – response</t>
  </si>
  <si>
    <t xml:space="preserve">Q8 Short-term priority – themes</t>
  </si>
  <si>
    <t xml:space="preserve">Q9 Is action being taken? – response</t>
  </si>
  <si>
    <t xml:space="preserve">Q9 Is action being taken? – status</t>
  </si>
  <si>
    <t xml:space="preserve">Q10 Things to maintain – response</t>
  </si>
  <si>
    <t xml:space="preserve">Q10 Things to maintain – themes</t>
  </si>
  <si>
    <t xml:space="preserve">Q11 What you can do – response</t>
  </si>
  <si>
    <t xml:space="preserve">Q11 What you can do – themes</t>
  </si>
  <si>
    <t xml:space="preserve">Reason for topic ranking – response</t>
  </si>
  <si>
    <t xml:space="preserve">Reason for topic ranking – themes</t>
  </si>
  <si>
    <t xml:space="preserve">What excites you – response</t>
  </si>
  <si>
    <t xml:space="preserve">What excites you – themes</t>
  </si>
  <si>
    <t xml:space="preserve">Greatest concern – response</t>
  </si>
  <si>
    <t xml:space="preserve">Greatest concern – themes</t>
  </si>
  <si>
    <t xml:space="preserve">Ethical considerations – response</t>
  </si>
  <si>
    <t xml:space="preserve">Ethical considerations – themes</t>
  </si>
  <si>
    <t xml:space="preserve">Biological / cellular process; Passage of time / getting older; Physical &amp; bodily change</t>
  </si>
  <si>
    <t xml:space="preserve">Access, cost &amp; equity; Healthcare system &amp; caregiving</t>
  </si>
  <si>
    <t xml:space="preserve">Healthcare system &amp; caregiving</t>
  </si>
  <si>
    <t xml:space="preserve">Names an action or idea</t>
  </si>
  <si>
    <t xml:space="preserve">Physical health &amp; mobility; Memory &amp; cognitive sharpness; Relationships &amp; social life</t>
  </si>
  <si>
    <t xml:space="preserve">Exercise &amp; physical activity; Social engagement; Learning &amp; mental stimulation</t>
  </si>
  <si>
    <t xml:space="preserve">Access, cost &amp; equity; Reproductive health &amp; fertility</t>
  </si>
  <si>
    <t xml:space="preserve">Decline &amp; change in function; Biological / cellular process; Physical &amp; bodily change; Cognitive &amp; mental change; Growth, experience &amp; wisdom</t>
  </si>
  <si>
    <t xml:space="preserve">Social connection &amp; isolation</t>
  </si>
  <si>
    <t xml:space="preserve">Little or none</t>
  </si>
  <si>
    <t xml:space="preserve">Physical health &amp; mobility; Memory &amp; cognitive sharpness; Mental &amp; emotional well-being</t>
  </si>
  <si>
    <t xml:space="preserve">Exercise &amp; physical activity; Diet &amp; nutrition; Sleep &amp; rest; Social engagement</t>
  </si>
  <si>
    <t xml:space="preserve">Cognitive decline &amp; dementia</t>
  </si>
  <si>
    <t xml:space="preserve">Mindset / "just a number"</t>
  </si>
  <si>
    <t xml:space="preserve">Chronic disease &amp; physical health; Research, science &amp; treatments; Prevention &amp; early detection</t>
  </si>
  <si>
    <t xml:space="preserve">Access, cost &amp; equity; Chronic disease &amp; physical health; Research, science &amp; treatments; Prevention &amp; early detection</t>
  </si>
  <si>
    <t xml:space="preserve">Physical health &amp; mobility; Mental &amp; emotional well-being; Relationships &amp; social life</t>
  </si>
  <si>
    <t xml:space="preserve">Healthy lifestyle &amp; habits (general); Exercise &amp; physical activity; Diet &amp; nutrition; Social engagement; Preventive &amp; medical care</t>
  </si>
  <si>
    <t xml:space="preserve">Access, cost &amp; equity; Healthcare system &amp; caregiving; Technology &amp; AI</t>
  </si>
  <si>
    <t xml:space="preserve">Biological / cellular process</t>
  </si>
  <si>
    <t xml:space="preserve">Technology &amp; AI; Research, science &amp; treatments</t>
  </si>
  <si>
    <t xml:space="preserve">Chronic disease &amp; physical health; Financial security, work &amp; basic needs</t>
  </si>
  <si>
    <t xml:space="preserve">Some, but insufficient</t>
  </si>
  <si>
    <t xml:space="preserve">Physical health &amp; mobility; Mental &amp; emotional well-being; Hobbies, curiosity &amp; purpose; Values &amp; identity</t>
  </si>
  <si>
    <t xml:space="preserve">Learning &amp; mental stimulation</t>
  </si>
  <si>
    <t xml:space="preserve">Technology &amp; AI; Research, science &amp; treatments; Prevention &amp; early detection</t>
  </si>
  <si>
    <t xml:space="preserve">Ageism &amp; how society treats older adults</t>
  </si>
  <si>
    <t xml:space="preserve">Healthcare system &amp; caregiving; Financial security, work &amp; basic needs</t>
  </si>
  <si>
    <t xml:space="preserve">Physical health &amp; mobility; Memory &amp; cognitive sharpness; Financial security</t>
  </si>
  <si>
    <t xml:space="preserve">Healthy lifestyle &amp; habits (general)</t>
  </si>
  <si>
    <t xml:space="preserve">No answer / unsure</t>
  </si>
  <si>
    <t xml:space="preserve">Passage of time / getting older</t>
  </si>
  <si>
    <t xml:space="preserve">Chronic disease &amp; physical health</t>
  </si>
  <si>
    <t xml:space="preserve">Chronic disease &amp; physical health; Prevention &amp; early detection</t>
  </si>
  <si>
    <t xml:space="preserve">Physical health &amp; mobility; Memory &amp; cognitive sharpness</t>
  </si>
  <si>
    <t xml:space="preserve">Exercise &amp; physical activity; Learning &amp; mental stimulation; Preventive &amp; medical care</t>
  </si>
  <si>
    <t xml:space="preserve">Personal relevance; Chronic disease &amp; physical health</t>
  </si>
  <si>
    <t xml:space="preserve">Technology &amp; AI</t>
  </si>
  <si>
    <t xml:space="preserve">Biological / cellular process; Passage of time / getting older</t>
  </si>
  <si>
    <t xml:space="preserve">Healthcare system &amp; caregiving; Population &amp; societal burden</t>
  </si>
  <si>
    <t xml:space="preserve">Access, cost &amp; equity; Financial security, work &amp; basic needs</t>
  </si>
  <si>
    <t xml:space="preserve">Healthy lifestyle &amp; habits (general); Exercise &amp; physical activity</t>
  </si>
  <si>
    <t xml:space="preserve">Broad benefit to society; Chronic disease &amp; physical health</t>
  </si>
  <si>
    <t xml:space="preserve">Other</t>
  </si>
  <si>
    <t xml:space="preserve">Healthy lifestyle &amp; habits (general); Learning &amp; mental stimulation</t>
  </si>
  <si>
    <t xml:space="preserve">Personal relevance; Broad benefit to society; Access, cost &amp; equity; Chronic disease &amp; physical health; Research, science &amp; treatments; Longevity &amp; lifespan</t>
  </si>
  <si>
    <t xml:space="preserve">Technology &amp; AI; Safety, accuracy &amp; misuse; Research, science &amp; treatments</t>
  </si>
  <si>
    <t xml:space="preserve">Growth, experience &amp; wisdom</t>
  </si>
  <si>
    <t xml:space="preserve">Access, cost &amp; equity; Healthcare system &amp; caregiving; Social connection &amp; isolation</t>
  </si>
  <si>
    <t xml:space="preserve">Healthcare system &amp; caregiving; Social connection &amp; isolation</t>
  </si>
  <si>
    <t xml:space="preserve">Broad benefit to society; Access, cost &amp; equity; Chronic disease &amp; physical health; Technology &amp; AI; Research, science &amp; treatments</t>
  </si>
  <si>
    <t xml:space="preserve">Financial security, work &amp; basic needs; Population &amp; societal burden</t>
  </si>
  <si>
    <t xml:space="preserve">Physical health &amp; mobility; Relationships &amp; social life; Financial security</t>
  </si>
  <si>
    <t xml:space="preserve">Social engagement; Financial planning</t>
  </si>
  <si>
    <t xml:space="preserve">Access, cost &amp; equity; Chronic disease &amp; physical health; Financial security, work &amp; basic needs; Longevity &amp; lifespan; Reproductive health &amp; fertility</t>
  </si>
  <si>
    <t xml:space="preserve">Biological / cellular process; Physical &amp; bodily change</t>
  </si>
  <si>
    <t xml:space="preserve">Population &amp; societal burden</t>
  </si>
  <si>
    <t xml:space="preserve">Chronic disease &amp; physical health; Mental &amp; emotional health; Population &amp; societal burden</t>
  </si>
  <si>
    <t xml:space="preserve">Mental &amp; emotional well-being; Hobbies, curiosity &amp; purpose</t>
  </si>
  <si>
    <t xml:space="preserve">Healthy lifestyle &amp; habits (general); Exercise &amp; physical activity; Social engagement</t>
  </si>
  <si>
    <t xml:space="preserve">Access, cost &amp; equity</t>
  </si>
  <si>
    <t xml:space="preserve">Financial security, work &amp; basic needs</t>
  </si>
  <si>
    <t xml:space="preserve">Financial security, work &amp; basic needs; Reproductive health &amp; fertility; Population &amp; societal burden</t>
  </si>
  <si>
    <t xml:space="preserve">Physical health &amp; mobility; Financial security</t>
  </si>
  <si>
    <t xml:space="preserve">Exercise &amp; physical activity; Financial planning</t>
  </si>
  <si>
    <t xml:space="preserve">Broad benefit to society; Access, cost &amp; equity; Technology &amp; AI; Research, science &amp; treatments</t>
  </si>
  <si>
    <t xml:space="preserve">Access, cost &amp; equity; Longevity &amp; lifespan</t>
  </si>
  <si>
    <t xml:space="preserve">Relationships &amp; social life; Financial security</t>
  </si>
  <si>
    <t xml:space="preserve">Personal relevance; Healthcare system &amp; caregiving; Technology &amp; AI</t>
  </si>
  <si>
    <t xml:space="preserve">Physical health &amp; mobility; Relationships &amp; social life</t>
  </si>
  <si>
    <t xml:space="preserve">Healthy lifestyle &amp; habits (general); Exercise &amp; physical activity; Diet &amp; nutrition</t>
  </si>
  <si>
    <t xml:space="preserve">Chronic disease &amp; physical health; Financial security, work &amp; basic needs; Technology &amp; AI; Reproductive health &amp; fertility</t>
  </si>
  <si>
    <t xml:space="preserve">Physical health &amp; mobility</t>
  </si>
  <si>
    <t xml:space="preserve">Exercise &amp; physical activity</t>
  </si>
  <si>
    <t xml:space="preserve">Personal relevance; Technology &amp; AI</t>
  </si>
  <si>
    <t xml:space="preserve">Decline &amp; change in function; Biological / cellular process; Passage of time / getting older; Physical &amp; bodily change; Cognitive &amp; mental change; Growth, experience &amp; wisdom</t>
  </si>
  <si>
    <t xml:space="preserve">Chronic disease &amp; physical health; Cognitive decline &amp; dementia</t>
  </si>
  <si>
    <t xml:space="preserve">Social engagement; Stress &amp; emotional well-being</t>
  </si>
  <si>
    <t xml:space="preserve">Personal relevance; Broad benefit to society</t>
  </si>
  <si>
    <t xml:space="preserve">Decline &amp; change in function; Physical &amp; bodily change; Cognitive &amp; mental change; Growth, experience &amp; wisdom</t>
  </si>
  <si>
    <t xml:space="preserve">Broad benefit to society; Access, cost &amp; equity; Reproductive health &amp; fertility; Population &amp; societal burden</t>
  </si>
  <si>
    <t xml:space="preserve">Chronic disease &amp; physical health; Research, science &amp; treatments; Longevity &amp; lifespan</t>
  </si>
  <si>
    <t xml:space="preserve">Chronic disease &amp; physical health; Social connection &amp; isolation; Financial security, work &amp; basic needs; Technology &amp; AI; Population &amp; societal burden</t>
  </si>
  <si>
    <t xml:space="preserve">Broad benefit to society; Access, cost &amp; equity; Healthcare system &amp; caregiving; Technology &amp; AI; Research, science &amp; treatments</t>
  </si>
  <si>
    <t xml:space="preserve">Social connection &amp; isolation; Technology &amp; AI</t>
  </si>
  <si>
    <t xml:space="preserve">Chronic disease &amp; physical health; Social connection &amp; isolation; Technology &amp; AI; Quality of life</t>
  </si>
  <si>
    <t xml:space="preserve">Physical health &amp; mobility; Relationships &amp; social life; Hobbies, curiosity &amp; purpose</t>
  </si>
  <si>
    <t xml:space="preserve">Social engagement</t>
  </si>
  <si>
    <t xml:space="preserve">Personal relevance; Broad benefit to society; Technology &amp; AI; Research, science &amp; treatments</t>
  </si>
  <si>
    <t xml:space="preserve">Technology &amp; AI; Ethics, regulation &amp; policy; Research, science &amp; treatments</t>
  </si>
  <si>
    <t xml:space="preserve">Passage of time / getting older; Growth, experience &amp; wisdom</t>
  </si>
  <si>
    <t xml:space="preserve">Independence &amp; autonomy; Technology &amp; AI</t>
  </si>
  <si>
    <t xml:space="preserve">Relationships &amp; social life; Independence</t>
  </si>
  <si>
    <t xml:space="preserve">Broad benefit to society; Access, cost &amp; equity</t>
  </si>
  <si>
    <t xml:space="preserve">Access, cost &amp; equity; Technology &amp; AI</t>
  </si>
  <si>
    <t xml:space="preserve">Decline &amp; change in function; Passage of time / getting older</t>
  </si>
  <si>
    <t xml:space="preserve">Social connection &amp; isolation; Financial security, work &amp; basic needs; Population &amp; societal burden</t>
  </si>
  <si>
    <t xml:space="preserve">Exercise &amp; physical activity; Diet &amp; nutrition; Social engagement; Preventive &amp; medical care</t>
  </si>
  <si>
    <t xml:space="preserve">Personal relevance; Broad benefit to society; Access, cost &amp; equity; Financial security, work &amp; basic needs; Technology &amp; AI; Research, science &amp; treatments; Longevity &amp; lifespan</t>
  </si>
  <si>
    <t xml:space="preserve">Access, cost &amp; equity; Research, science &amp; treatments; Longevity &amp; lifespan; Quality of life</t>
  </si>
  <si>
    <t xml:space="preserve">Decline &amp; change in function; Passage of time / getting older; Physical &amp; bodily change</t>
  </si>
  <si>
    <t xml:space="preserve">Physical health &amp; mobility; Independence</t>
  </si>
  <si>
    <t xml:space="preserve">Technology &amp; AI; Population &amp; societal burden</t>
  </si>
  <si>
    <t xml:space="preserve">Research, science &amp; treatments</t>
  </si>
  <si>
    <t xml:space="preserve">Hobbies, curiosity &amp; purpose</t>
  </si>
  <si>
    <t xml:space="preserve">Exercise &amp; physical activity; Sleep &amp; rest; Learning &amp; mental stimulation</t>
  </si>
  <si>
    <t xml:space="preserve">Access, cost &amp; equity; Healthcare system &amp; caregiving; Financial security, work &amp; basic needs; Technology &amp; AI</t>
  </si>
  <si>
    <t xml:space="preserve">Access, cost &amp; equity; Healthcare system &amp; caregiving; Mental &amp; emotional health; Social connection &amp; isolation</t>
  </si>
  <si>
    <t xml:space="preserve">Growth, experience &amp; wisdom; Natural stage of life</t>
  </si>
  <si>
    <t xml:space="preserve">Cognitive decline &amp; dementia; Safety, accuracy &amp; misuse</t>
  </si>
  <si>
    <t xml:space="preserve">Memory &amp; cognitive sharpness; Relationships &amp; social life; Values &amp; identity</t>
  </si>
  <si>
    <t xml:space="preserve">Social engagement; Learning &amp; mental stimulation</t>
  </si>
  <si>
    <t xml:space="preserve">Chronic disease &amp; physical health; Technology &amp; AI; Research, science &amp; treatments</t>
  </si>
  <si>
    <t xml:space="preserve">Preventive &amp; medical care</t>
  </si>
  <si>
    <t xml:space="preserve">Broad benefit to society; Reproductive health &amp; fertility</t>
  </si>
  <si>
    <t xml:space="preserve">Decline &amp; change in function; Physical &amp; bodily change</t>
  </si>
  <si>
    <t xml:space="preserve">Biological / cellular process; Passage of time / getting older; Cognitive &amp; mental change; Social &amp; role change</t>
  </si>
  <si>
    <t xml:space="preserve">Healthcare system &amp; caregiving; Chronic disease &amp; physical health; Social connection &amp; isolation; Population &amp; societal burden</t>
  </si>
  <si>
    <t xml:space="preserve">Healthcare system &amp; caregiving; Financial security, work &amp; basic needs; Longevity &amp; lifespan; Population &amp; societal burden</t>
  </si>
  <si>
    <t xml:space="preserve">Memory &amp; cognitive sharpness; Relationships &amp; social life; Financial security</t>
  </si>
  <si>
    <t xml:space="preserve">Exercise &amp; physical activity; Diet &amp; nutrition; Social engagement</t>
  </si>
  <si>
    <t xml:space="preserve">Personal relevance; Broad benefit to society; Access, cost &amp; equity; Chronic disease &amp; physical health; Technology &amp; AI; Longevity &amp; lifespan; Population &amp; societal burden; Quality of life</t>
  </si>
  <si>
    <t xml:space="preserve">Access, cost &amp; equity; Healthcare system &amp; caregiving; Social connection &amp; isolation; Research, science &amp; treatments; Population &amp; societal burden</t>
  </si>
  <si>
    <t xml:space="preserve">Healthcare system &amp; caregiving; Longevity &amp; lifespan; Population &amp; societal burden</t>
  </si>
  <si>
    <t xml:space="preserve">Exercise &amp; physical activity; Social engagement</t>
  </si>
  <si>
    <t xml:space="preserve">Personal relevance; Broad benefit to society; Ethics, regulation &amp; policy</t>
  </si>
  <si>
    <t xml:space="preserve">Physical health &amp; mobility; Mental &amp; emotional well-being; Financial security</t>
  </si>
  <si>
    <t xml:space="preserve">Access, cost &amp; equity; Research, science &amp; treatments</t>
  </si>
  <si>
    <t xml:space="preserve">Access, cost &amp; equity; Technology &amp; AI; Research, science &amp; treatments</t>
  </si>
  <si>
    <t xml:space="preserve">Passage of time / getting older; Physical &amp; bodily change</t>
  </si>
  <si>
    <t xml:space="preserve">Access, cost &amp; equity; Healthcare system &amp; caregiving; Cognitive decline &amp; dementia</t>
  </si>
  <si>
    <t xml:space="preserve">Access, cost &amp; equity; Healthcare system &amp; caregiving; Social connection &amp; isolation; Financial security, work &amp; basic needs; Population &amp; societal burden; Quality of life</t>
  </si>
  <si>
    <t xml:space="preserve">Physical health &amp; mobility; Memory &amp; cognitive sharpness; Independence</t>
  </si>
  <si>
    <t xml:space="preserve">Personal relevance; Broad benefit to society; Access, cost &amp; equity; Healthcare system &amp; caregiving; Chronic disease &amp; physical health; Prevention &amp; early detection; Longevity &amp; lifespan; Population &amp; societal burden</t>
  </si>
  <si>
    <t xml:space="preserve">Access, cost &amp; equity; Healthcare system &amp; caregiving; Chronic disease &amp; physical health; Technology &amp; AI; Prevention &amp; early detection</t>
  </si>
  <si>
    <t xml:space="preserve">Broad benefit to society; Access, cost &amp; equity; Chronic disease &amp; physical health; Technology &amp; AI; Research, science &amp; treatments; Longevity &amp; lifespan</t>
  </si>
  <si>
    <t xml:space="preserve">All connected / equally important</t>
  </si>
  <si>
    <t xml:space="preserve">Social connection &amp; isolation; Safety, accuracy &amp; misuse</t>
  </si>
  <si>
    <t xml:space="preserve">Safety, accuracy &amp; misuse</t>
  </si>
  <si>
    <t xml:space="preserve">General / no specifics</t>
  </si>
  <si>
    <t xml:space="preserve">Personal relevance; Broad benefit to society; Chronic disease &amp; physical health</t>
  </si>
  <si>
    <t xml:space="preserve">Technology &amp; AI; Privacy &amp; data protection</t>
  </si>
  <si>
    <t xml:space="preserve">Access, cost &amp; equity; Chronic disease &amp; physical health</t>
  </si>
  <si>
    <t xml:space="preserve">Technology &amp; AI; Safety, accuracy &amp; misuse</t>
  </si>
  <si>
    <t xml:space="preserve">Healthcare system &amp; caregiving; Technology &amp; AI; Research, science &amp; treatments; Longevity &amp; lifespan</t>
  </si>
  <si>
    <t xml:space="preserve">Passage of time / getting older; Physical &amp; bodily change; Cognitive &amp; mental change; Natural stage of life</t>
  </si>
  <si>
    <t xml:space="preserve">Healthcare system &amp; caregiving; Chronic disease &amp; physical health; Social connection &amp; isolation; Research, science &amp; treatments; Prevention &amp; early detection; Population &amp; societal burden</t>
  </si>
  <si>
    <t xml:space="preserve">Physical health &amp; mobility; Mental &amp; emotional well-being; Values &amp; identity</t>
  </si>
  <si>
    <t xml:space="preserve">Personal relevance; Broad benefit to society; Access, cost &amp; equity; Chronic disease &amp; physical health; Technology &amp; AI; Population &amp; societal burden</t>
  </si>
  <si>
    <t xml:space="preserve">Mental &amp; emotional health; Technology &amp; AI; Research, science &amp; treatments; Longevity &amp; lifespan</t>
  </si>
  <si>
    <t xml:space="preserve">Healthcare system &amp; caregiving; Social connection &amp; isolation; Technology &amp; AI; Ethics, regulation &amp; policy; Research, science &amp; treatments</t>
  </si>
  <si>
    <t xml:space="preserve">All connected / equally important; Access, cost &amp; equity; Technology &amp; AI</t>
  </si>
  <si>
    <t xml:space="preserve">Healthcare system &amp; caregiving; Chronic disease &amp; physical health; Financial security, work &amp; basic needs; Independence &amp; autonomy</t>
  </si>
  <si>
    <t xml:space="preserve">Personal relevance; Longevity &amp; lifespan</t>
  </si>
  <si>
    <t xml:space="preserve">Technology &amp; AI; Longevity &amp; lifespan</t>
  </si>
  <si>
    <t xml:space="preserve">Social connection &amp; isolation; Ethics, regulation &amp; policy; Ageism &amp; how society treats older adults</t>
  </si>
  <si>
    <t xml:space="preserve">Broad benefit to society; Access, cost &amp; equity; Chronic disease &amp; physical health; Technology &amp; AI; Longevity &amp; lifespan; Reproductive health &amp; fertility; Population &amp; societal burden</t>
  </si>
  <si>
    <t xml:space="preserve">Chronic disease &amp; physical health; Technology &amp; AI; Longevity &amp; lifespan; Population &amp; societal burden</t>
  </si>
  <si>
    <t xml:space="preserve">Decline &amp; change in function; Passage of time / getting older; Physical &amp; bodily change; Natural stage of life</t>
  </si>
  <si>
    <t xml:space="preserve">Memory &amp; cognitive sharpness; Independence</t>
  </si>
  <si>
    <t xml:space="preserve">Exercise &amp; physical activity; Sleep &amp; rest</t>
  </si>
  <si>
    <t xml:space="preserve">Broad benefit to society; Access, cost &amp; equity; Chronic disease &amp; physical health; Technology &amp; AI; Safety, accuracy &amp; misuse; Research, science &amp; treatments</t>
  </si>
  <si>
    <t xml:space="preserve">Chronic disease &amp; physical health; Technology &amp; AI; Ethics, regulation &amp; policy; Prevention &amp; early detection</t>
  </si>
  <si>
    <t xml:space="preserve">Biological / cellular process; Physical &amp; bodily change; Cognitive &amp; mental change</t>
  </si>
  <si>
    <t xml:space="preserve">Access, cost &amp; equity; Healthcare system &amp; caregiving; Social connection &amp; isolation; Financial security, work &amp; basic needs; Independence &amp; autonomy</t>
  </si>
  <si>
    <t xml:space="preserve">Healthcare system &amp; caregiving; Chronic disease &amp; physical health; Financial security, work &amp; basic needs; Longevity &amp; lifespan; Reproductive health &amp; fertility; Population &amp; societal burden</t>
  </si>
  <si>
    <t xml:space="preserve">Healthcare system &amp; caregiving; Technology &amp; AI; Ethics, regulation &amp; policy; Population &amp; societal burden</t>
  </si>
  <si>
    <t xml:space="preserve">Decline &amp; change in function; Biological / cellular process</t>
  </si>
  <si>
    <t xml:space="preserve">Access, cost &amp; equity; Healthcare system &amp; caregiving; Financial security, work &amp; basic needs; Population &amp; societal burden</t>
  </si>
  <si>
    <t xml:space="preserve">Access, cost &amp; equity; Research, science &amp; treatments; Population &amp; societal burden</t>
  </si>
  <si>
    <t xml:space="preserve">Chronic disease &amp; physical health; Independence &amp; autonomy; Quality of life</t>
  </si>
  <si>
    <t xml:space="preserve">Not doing anything yet</t>
  </si>
  <si>
    <t xml:space="preserve">Broad benefit to society; Access, cost &amp; equity; Technology &amp; AI; Longevity &amp; lifespan; Reproductive health &amp; fertility</t>
  </si>
  <si>
    <t xml:space="preserve">Passage of time / getting older; Natural stage of life</t>
  </si>
  <si>
    <t xml:space="preserve">Healthy lifestyle &amp; habits (general); Not doing anything yet</t>
  </si>
  <si>
    <t xml:space="preserve">Personal relevance; Broad benefit to society; Access, cost &amp; equity; Technology &amp; AI</t>
  </si>
  <si>
    <t xml:space="preserve">Access, cost &amp; equity; Healthcare system &amp; caregiving; Chronic disease &amp; physical health; Population &amp; societal burden</t>
  </si>
  <si>
    <t xml:space="preserve">Financial planning</t>
  </si>
  <si>
    <t xml:space="preserve">Personal relevance; Broad benefit to society; Healthcare system &amp; caregiving; Chronic disease &amp; physical health; Population &amp; societal burden</t>
  </si>
  <si>
    <t xml:space="preserve">Access, cost &amp; equity; Healthcare system &amp; caregiving; Technology &amp; AI; Population &amp; societal burden</t>
  </si>
  <si>
    <t xml:space="preserve">Personal relevance</t>
  </si>
  <si>
    <t xml:space="preserve">Physical health &amp; mobility; Appearance</t>
  </si>
  <si>
    <t xml:space="preserve">Diet &amp; nutrition</t>
  </si>
  <si>
    <t xml:space="preserve">Physical &amp; bodily change</t>
  </si>
  <si>
    <t xml:space="preserve">Mental &amp; emotional well-being</t>
  </si>
  <si>
    <t xml:space="preserve">Broad benefit to society</t>
  </si>
  <si>
    <t xml:space="preserve">Healthcare system &amp; caregiving; Research, science &amp; treatments; Reproductive health &amp; fertility</t>
  </si>
  <si>
    <t xml:space="preserve">Physical &amp; bodily change; Cognitive &amp; mental change; Growth, experience &amp; wisdom</t>
  </si>
  <si>
    <t xml:space="preserve">Broad benefit to society; Access, cost &amp; equity; Chronic disease &amp; physical health; Technology &amp; AI; Safety, accuracy &amp; misuse; Longevity &amp; lifespan; Reproductive health &amp; fertility</t>
  </si>
  <si>
    <t xml:space="preserve">Access, cost &amp; equity; Chronic disease &amp; physical health; Technology &amp; AI; Prevention &amp; early detection; Quality of life</t>
  </si>
  <si>
    <t xml:space="preserve">Broad benefit to society; Healthcare system &amp; caregiving; Financial security, work &amp; basic needs; Reproductive health &amp; fertility</t>
  </si>
  <si>
    <t xml:space="preserve">Chronic disease &amp; physical health; Longevity &amp; lifespan</t>
  </si>
  <si>
    <t xml:space="preserve">Hobbies, curiosity &amp; purpose; Appearance</t>
  </si>
  <si>
    <t xml:space="preserve">Exercise &amp; physical activity; Diet &amp; nutrition</t>
  </si>
  <si>
    <t xml:space="preserve">Financial security, work &amp; basic needs; Independence &amp; autonomy; Technology &amp; AI</t>
  </si>
  <si>
    <t xml:space="preserve">Decline &amp; change in function; Biological / cellular process; Passage of time / getting older; Physical &amp; bodily change</t>
  </si>
  <si>
    <t xml:space="preserve">Access, cost &amp; equity; Social connection &amp; isolation; Technology &amp; AI</t>
  </si>
  <si>
    <t xml:space="preserve">Access, cost &amp; equity; Technology &amp; AI; Population &amp; societal burden</t>
  </si>
  <si>
    <t xml:space="preserve">Broad benefit to society; Access, cost &amp; equity; Technology &amp; AI</t>
  </si>
  <si>
    <t xml:space="preserve">Access, cost &amp; equity; Chronic disease &amp; physical health; Social connection &amp; isolation; Research, science &amp; treatments; Prevention &amp; early detection; Population &amp; societal burden</t>
  </si>
  <si>
    <t xml:space="preserve">Chronic disease &amp; physical health; Cognitive decline &amp; dementia; Social connection &amp; isolation; Reproductive health &amp; fertility; Population &amp; societal burden</t>
  </si>
  <si>
    <t xml:space="preserve">Healthy lifestyle &amp; habits (general); Exercise &amp; physical activity; Diet &amp; nutrition; Social engagement</t>
  </si>
  <si>
    <t xml:space="preserve">Chronic disease &amp; physical health; Technology &amp; AI; Longevity &amp; lifespan; Quality of life</t>
  </si>
  <si>
    <t xml:space="preserve">Physical health &amp; mobility; Mental &amp; emotional well-being; Hobbies, curiosity &amp; purpose</t>
  </si>
  <si>
    <t xml:space="preserve">Diet &amp; nutrition; Social engagement; Learning &amp; mental stimulation</t>
  </si>
  <si>
    <t xml:space="preserve">Broad benefit to society; Access, cost &amp; equity; Technology &amp; AI; Longevity &amp; lifespan</t>
  </si>
  <si>
    <t xml:space="preserve">Technology &amp; AI; Safety, accuracy &amp; misuse; Longevity &amp; lifespan</t>
  </si>
  <si>
    <t xml:space="preserve">Access, cost &amp; equity; Chronic disease &amp; physical health; Longevity &amp; lifespan</t>
  </si>
  <si>
    <t xml:space="preserve">Healthcare system &amp; caregiving; Chronic disease &amp; physical health; Social connection &amp; isolation</t>
  </si>
  <si>
    <t xml:space="preserve">Physical health &amp; mobility; Mental &amp; emotional well-being</t>
  </si>
  <si>
    <t xml:space="preserve">Social connection &amp; isolation; Independence &amp; autonomy; Quality of life</t>
  </si>
  <si>
    <t xml:space="preserve">Access, cost &amp; equity; Chronic disease &amp; physical health; Technology &amp; AI; Research, science &amp; treatments; Prevention &amp; early detection; Quality of life</t>
  </si>
  <si>
    <t xml:space="preserve">Chronic disease &amp; physical health; Independence &amp; autonomy; Prevention &amp; early detection</t>
  </si>
  <si>
    <t xml:space="preserve">Exercise &amp; physical activity; Learning &amp; mental stimulation</t>
  </si>
  <si>
    <t xml:space="preserve">Broad benefit to society; Access, cost &amp; equity; Chronic disease &amp; physical health; Technology &amp; AI; Prevention &amp; early detection</t>
  </si>
  <si>
    <t xml:space="preserve">Chronic disease &amp; physical health; Population &amp; societal burden</t>
  </si>
  <si>
    <t xml:space="preserve">Independence &amp; autonomy; Prevention &amp; early detection; Longevity &amp; lifespan; Quality of life</t>
  </si>
  <si>
    <t xml:space="preserve">Healthy lifestyle &amp; habits (general); Exercise &amp; physical activity; Diet &amp; nutrition; Social engagement; Learning &amp; mental stimulation; Preventive &amp; medical care</t>
  </si>
  <si>
    <t xml:space="preserve">Personal relevance; Broad benefit to society; Access, cost &amp; equity; Technology &amp; AI; Research, science &amp; treatments; Prevention &amp; early detection</t>
  </si>
  <si>
    <t xml:space="preserve">Access, cost &amp; equity; Chronic disease &amp; physical health; Technology &amp; AI; Prevention &amp; early detection</t>
  </si>
  <si>
    <t xml:space="preserve">Access, cost &amp; equity; Healthcare system &amp; caregiving; Social connection &amp; isolation; Population &amp; societal burden</t>
  </si>
  <si>
    <t xml:space="preserve">Chronic disease &amp; physical health; Mental &amp; emotional health; Social connection &amp; isolation</t>
  </si>
  <si>
    <t xml:space="preserve">Physical health &amp; mobility; Relationships &amp; social life; Independence</t>
  </si>
  <si>
    <t xml:space="preserve">Broad benefit to society; Chronic disease &amp; physical health; Research, science &amp; treatments; Population &amp; societal burden</t>
  </si>
  <si>
    <t xml:space="preserve">Chronic disease &amp; physical health; Technology &amp; AI; Safety, accuracy &amp; misuse; Ageism &amp; how society treats older adults; Population &amp; societal burden</t>
  </si>
  <si>
    <t xml:space="preserve">Natural stage of life</t>
  </si>
  <si>
    <t xml:space="preserve">Independence &amp; autonomy; Safety, accuracy &amp; misuse</t>
  </si>
  <si>
    <t xml:space="preserve">Access, cost &amp; equity; Prevention &amp; early detection</t>
  </si>
  <si>
    <t xml:space="preserve">Broad benefit to society; Access, cost &amp; equity; Chronic disease &amp; physical health; Population &amp; societal burden</t>
  </si>
  <si>
    <t xml:space="preserve">Chronic disease &amp; physical health; Technology &amp; AI; Research, science &amp; treatments; Prevention &amp; early detection; Population &amp; societal burden</t>
  </si>
  <si>
    <t xml:space="preserve">Access, cost &amp; equity; Healthcare system &amp; caregiving; Chronic disease &amp; physical health</t>
  </si>
  <si>
    <t xml:space="preserve">Access, cost &amp; equity; Healthcare system &amp; caregiving; Chronic disease &amp; physical health; Financial security, work &amp; basic needs; Independence &amp; autonomy; Research, science &amp; treatments; Prevention &amp; early detection; Population &amp; societal burden; Quality of life</t>
  </si>
  <si>
    <t xml:space="preserve">Physical health &amp; mobility; Mental &amp; emotional well-being; Relationships &amp; social life; Independence</t>
  </si>
  <si>
    <t xml:space="preserve">Exercise &amp; physical activity; Social engagement; Learning &amp; mental stimulation; Preventive &amp; medical care; Financial planning</t>
  </si>
  <si>
    <t xml:space="preserve">Personal relevance; Broad benefit to society; Access, cost &amp; equity; Chronic disease &amp; physical health; Technology &amp; AI; Research, science &amp; treatments; Longevity &amp; lifespan; Reproductive health &amp; fertility</t>
  </si>
  <si>
    <t xml:space="preserve">Access, cost &amp; equity; Healthcare system &amp; caregiving; Chronic disease &amp; physical health; Technology &amp; AI; Safety, accuracy &amp; misuse; Ethics, regulation &amp; policy; Prevention &amp; early detection</t>
  </si>
  <si>
    <t xml:space="preserve">Diet &amp; nutrition; Learning &amp; mental stimulation</t>
  </si>
  <si>
    <t xml:space="preserve">Financial security, work &amp; basic needs; Ethics, regulation &amp; policy; Longevity &amp; lifespan</t>
  </si>
  <si>
    <t xml:space="preserve">Physical &amp; bodily change; Natural stage of life</t>
  </si>
  <si>
    <t xml:space="preserve">Chronic disease &amp; physical health; Quality of life</t>
  </si>
  <si>
    <t xml:space="preserve">Exercise &amp; physical activity; Diet &amp; nutrition; Learning &amp; mental stimulation; Preventive &amp; medical care</t>
  </si>
  <si>
    <t xml:space="preserve">Broad benefit to society; Chronic disease &amp; physical health; Technology &amp; AI; Research, science &amp; treatments; Prevention &amp; early detection; Population &amp; societal burden; Quality of life</t>
  </si>
  <si>
    <t xml:space="preserve">Chronic disease &amp; physical health; Technology &amp; AI; Privacy &amp; data protection; Safety, accuracy &amp; misuse; Ethics, regulation &amp; policy; Prevention &amp; early detection</t>
  </si>
  <si>
    <t xml:space="preserve">Chronic disease &amp; physical health; Safety, accuracy &amp; misuse; Prevention &amp; early detection</t>
  </si>
  <si>
    <t xml:space="preserve">Chronic disease &amp; physical health; Privacy &amp; data protection; Safety, accuracy &amp; misuse; Prevention &amp; early detection</t>
  </si>
  <si>
    <t xml:space="preserve">Healthy lifestyle &amp; habits (general); Exercise &amp; physical activity; Learning &amp; mental stimulation</t>
  </si>
  <si>
    <t xml:space="preserve">Broad benefit to society; Access, cost &amp; equity; Technology &amp; AI; Population &amp; societal burden</t>
  </si>
  <si>
    <t xml:space="preserve">Passage of time / getting older; Physical &amp; bodily change; Cognitive &amp; mental change; Natural stage of life; Social &amp; role change</t>
  </si>
  <si>
    <t xml:space="preserve">Chronic disease &amp; physical health; Prevention &amp; early detection; Longevity &amp; lifespan</t>
  </si>
  <si>
    <t xml:space="preserve">Access, cost &amp; equity; Research, science &amp; treatments; Quality of life</t>
  </si>
  <si>
    <t xml:space="preserve">Access, cost &amp; equity; Research, science &amp; treatments; Longevity &amp; lifespan</t>
  </si>
  <si>
    <t xml:space="preserve">Passage of time / getting older; Physical &amp; bodily change; Cognitive &amp; mental change</t>
  </si>
  <si>
    <t xml:space="preserve">Exercise &amp; physical activity; Social engagement; Preventive &amp; medical care; Stress &amp; emotional well-being</t>
  </si>
  <si>
    <t xml:space="preserve">Broad benefit to society; Healthcare system &amp; caregiving; Research, science &amp; treatments; Longevity &amp; lifespan</t>
  </si>
  <si>
    <t xml:space="preserve">Chronic disease &amp; physical health; Prevention &amp; early detection; Longevity &amp; lifespan; Quality of life</t>
  </si>
  <si>
    <t xml:space="preserve">Decline &amp; change in function; Biological / cellular process; Physical &amp; bodily change</t>
  </si>
  <si>
    <t xml:space="preserve">Chronic disease &amp; physical health; Independence &amp; autonomy</t>
  </si>
  <si>
    <t xml:space="preserve">Prevention &amp; early detection</t>
  </si>
  <si>
    <t xml:space="preserve">Exercise &amp; physical activity; Diet &amp; nutrition; Social engagement; Learning &amp; mental stimulation; Preventive &amp; medical care</t>
  </si>
  <si>
    <t xml:space="preserve">Access, cost &amp; equity; Healthcare system &amp; caregiving; Research, science &amp; treatments; Longevity &amp; lifespan; Quality of life</t>
  </si>
  <si>
    <t xml:space="preserve">Chronic disease &amp; physical health; Research, science &amp; treatments; Prevention &amp; early detection; Longevity &amp; lifespan; Quality of life</t>
  </si>
  <si>
    <t xml:space="preserve">Decline &amp; change in function; Passage of time / getting older; Physical &amp; bodily change; Cognitive &amp; mental change</t>
  </si>
  <si>
    <t xml:space="preserve">Independence &amp; autonomy</t>
  </si>
  <si>
    <t xml:space="preserve">Exercise &amp; physical activity; Preventive &amp; medical care</t>
  </si>
  <si>
    <t xml:space="preserve">Privacy &amp; data protection; Prevention &amp; early detection</t>
  </si>
  <si>
    <t xml:space="preserve">Social connection &amp; isolation; Prevention &amp; early detection</t>
  </si>
  <si>
    <t xml:space="preserve">Technology &amp; AI; Safety, accuracy &amp; misuse; Prevention &amp; early detection</t>
  </si>
  <si>
    <t xml:space="preserve">Healthy lifestyle &amp; habits (general); Exercise &amp; physical activity; Diet &amp; nutrition; Learning &amp; mental stimulation</t>
  </si>
  <si>
    <t xml:space="preserve">Access, cost &amp; equity; Chronic disease &amp; physical health; Research, science &amp; treatments</t>
  </si>
  <si>
    <t xml:space="preserve">Healthy lifestyle &amp; habits (general); Social engagement</t>
  </si>
  <si>
    <t xml:space="preserve">Longevity &amp; lifespan; Quality of life</t>
  </si>
  <si>
    <t xml:space="preserve">Social engagement; Preventive &amp; medical care; Financial planning</t>
  </si>
  <si>
    <t xml:space="preserve">All connected / equally important; Access, cost &amp; equity; Healthcare system &amp; caregiving; Technology &amp; AI; Research, science &amp; treatments</t>
  </si>
  <si>
    <t xml:space="preserve">Access, cost &amp; equity; Healthcare system &amp; caregiving; Longevity &amp; lifespan; Population &amp; societal burden</t>
  </si>
  <si>
    <t xml:space="preserve">Personal relevance; Broad benefit to society; Chronic disease &amp; physical health; Ageism &amp; how society treats older adults</t>
  </si>
  <si>
    <t xml:space="preserve">Safety, accuracy &amp; misuse; Research, science &amp; treatments</t>
  </si>
  <si>
    <t xml:space="preserve">Broad benefit to society; All connected / equally important; Technology &amp; AI</t>
  </si>
  <si>
    <t xml:space="preserve">Technology &amp; AI; Ethics, regulation &amp; policy; Reproductive health &amp; fertility</t>
  </si>
  <si>
    <t xml:space="preserve">Decline &amp; change in function; Passage of time / getting older; Physical &amp; bodily change; Cognitive &amp; mental change; Social &amp; role change</t>
  </si>
  <si>
    <t xml:space="preserve">Mental &amp; emotional health; Social connection &amp; isolation; Financial security, work &amp; basic needs; Population &amp; societal burden</t>
  </si>
  <si>
    <t xml:space="preserve">Access, cost &amp; equity; Technology &amp; AI; Research, science &amp; treatments; Prevention &amp; early detection</t>
  </si>
  <si>
    <t xml:space="preserve">Access, cost &amp; equity; Technology &amp; AI; Ethics, regulation &amp; policy; Prevention &amp; early detection</t>
  </si>
  <si>
    <t xml:space="preserve">Access, cost &amp; equity; Population &amp; societal burden</t>
  </si>
  <si>
    <t xml:space="preserve">Access, cost &amp; equity; Technology &amp; AI; Ethics, regulation &amp; policy; Longevity &amp; lifespan</t>
  </si>
  <si>
    <t xml:space="preserve">Access, cost &amp; equity; Healthcare system &amp; caregiving; Financial security, work &amp; basic needs; Privacy &amp; data protection</t>
  </si>
  <si>
    <t xml:space="preserve">Memory &amp; cognitive sharpness; Appearance</t>
  </si>
  <si>
    <t xml:space="preserve">Broad benefit to society; Access, cost &amp; equity; Healthcare system &amp; caregiving; Longevity &amp; lifespan; Reproductive health &amp; fertility</t>
  </si>
  <si>
    <t xml:space="preserve">Access, cost &amp; equity; Healthcare system &amp; caregiving; Financial security, work &amp; basic needs; Independence &amp; autonomy; Technology &amp; AI; Privacy &amp; data protection; Safety, accuracy &amp; misuse; Ethics, regulation &amp; policy; Longevity &amp; lifespan; Reproductive health &amp; fertility; Population &amp; societal burden</t>
  </si>
  <si>
    <t xml:space="preserve">Broad benefit to society; Technology &amp; AI</t>
  </si>
  <si>
    <t xml:space="preserve">Social connection &amp; isolation; Technology &amp; AI; Safety, accuracy &amp; misuse; Ethics, regulation &amp; policy</t>
  </si>
  <si>
    <t xml:space="preserve">Biological / cellular process; Growth, experience &amp; wisdom</t>
  </si>
  <si>
    <t xml:space="preserve">Social connection &amp; isolation; Population &amp; societal burden</t>
  </si>
  <si>
    <t xml:space="preserve">Healthy lifestyle &amp; habits (general); Diet &amp; nutrition; Social engagement</t>
  </si>
  <si>
    <t xml:space="preserve">Access, cost &amp; equity; Healthcare system &amp; caregiving; Technology &amp; AI; Privacy &amp; data protection; Reproductive health &amp; fertility</t>
  </si>
  <si>
    <t xml:space="preserve">Financial security, work &amp; basic needs; Technology &amp; AI; Privacy &amp; data protection; Ethics, regulation &amp; policy</t>
  </si>
  <si>
    <t xml:space="preserve">Decline &amp; change in function</t>
  </si>
  <si>
    <t xml:space="preserve">Chronic disease &amp; physical health; Technology &amp; AI; Privacy &amp; data protection; Ethics, regulation &amp; policy</t>
  </si>
  <si>
    <t xml:space="preserve">Passage of time / getting older; Social &amp; role change</t>
  </si>
  <si>
    <t xml:space="preserve">Social connection &amp; isolation; Financial security, work &amp; basic needs; Quality of life</t>
  </si>
  <si>
    <t xml:space="preserve">Chronic disease &amp; physical health; Social connection &amp; isolation; Financial security, work &amp; basic needs; Population &amp; societal burden</t>
  </si>
  <si>
    <t xml:space="preserve">Mental &amp; emotional well-being; Hobbies, curiosity &amp; purpose; Values &amp; identity</t>
  </si>
  <si>
    <t xml:space="preserve">Broad benefit to society; Access, cost &amp; equity; Chronic disease &amp; physical health; Technology &amp; AI; Longevity &amp; lifespan</t>
  </si>
  <si>
    <t xml:space="preserve">Healthy lifestyle &amp; habits (general); Social engagement; Learning &amp; mental stimulation</t>
  </si>
  <si>
    <t xml:space="preserve">All connected / equally important; Access, cost &amp; equity; Chronic disease &amp; physical health; Technology &amp; AI; Safety, accuracy &amp; misuse; Ethics, regulation &amp; policy; Reproductive health &amp; fertility</t>
  </si>
  <si>
    <t xml:space="preserve">Chronic disease &amp; physical health; Ethics, regulation &amp; policy</t>
  </si>
  <si>
    <t xml:space="preserve">Decline &amp; change in function; Physical &amp; bodily change; Cognitive &amp; mental change</t>
  </si>
  <si>
    <t xml:space="preserve">Healthcare system &amp; caregiving; Research, science &amp; treatments</t>
  </si>
  <si>
    <t xml:space="preserve">Memory &amp; cognitive sharpness; Hobbies, curiosity &amp; purpose</t>
  </si>
  <si>
    <t xml:space="preserve">Healthcare system &amp; caregiving; Technology &amp; AI; Reproductive health &amp; fertility</t>
  </si>
  <si>
    <t xml:space="preserve">Healthcare system &amp; caregiving; Financial security, work &amp; basic needs; Population &amp; societal burden</t>
  </si>
  <si>
    <t xml:space="preserve">Physical health &amp; mobility; Financial security; Values &amp; identity</t>
  </si>
  <si>
    <t xml:space="preserve">Access, cost &amp; equity; Healthcare system &amp; caregiving; Financial security, work &amp; basic needs; Independence &amp; autonomy</t>
  </si>
  <si>
    <t xml:space="preserve">Ethics, regulation &amp; policy</t>
  </si>
  <si>
    <t xml:space="preserve">Chronic disease &amp; physical health; Technology &amp; AI; Privacy &amp; data protection; Safety, accuracy &amp; misuse; Ethics, regulation &amp; policy</t>
  </si>
  <si>
    <t xml:space="preserve">Broad benefit to society; Access, cost &amp; equity; Chronic disease &amp; physical health; Technology &amp; AI; Safety, accuracy &amp; misuse; Ethics, regulation &amp; policy; Reproductive health &amp; fertility</t>
  </si>
  <si>
    <t xml:space="preserve">Physical &amp; bodily change; Growth, experience &amp; wisdom</t>
  </si>
  <si>
    <t xml:space="preserve">Healthcare system &amp; caregiving; Mental &amp; emotional health</t>
  </si>
  <si>
    <t xml:space="preserve">Exercise &amp; physical activity; Social engagement; Learning &amp; mental stimulation; Stress &amp; emotional well-being</t>
  </si>
  <si>
    <t xml:space="preserve">Privacy &amp; data protection; Ethics, regulation &amp; policy</t>
  </si>
  <si>
    <t xml:space="preserve">Cognitive &amp; mental change</t>
  </si>
  <si>
    <t xml:space="preserve">Longevity &amp; lifespan</t>
  </si>
  <si>
    <t xml:space="preserve">Broad benefit to society; Access, cost &amp; equity; Population &amp; societal burden</t>
  </si>
  <si>
    <t xml:space="preserve">Physical health &amp; mobility; Mental &amp; emotional well-being; Independence</t>
  </si>
  <si>
    <t xml:space="preserve">Exercise &amp; physical activity; Diet &amp; nutrition; Sleep &amp; rest; Avoiding harmful habits; Preventive &amp; medical care</t>
  </si>
  <si>
    <t xml:space="preserve">Access, cost &amp; equity; Healthcare system &amp; caregiving; Technology &amp; AI; Reproductive health &amp; fertility</t>
  </si>
  <si>
    <t xml:space="preserve">Healthcare system &amp; caregiving; Mental &amp; emotional health; Social connection &amp; isolation</t>
  </si>
  <si>
    <t xml:space="preserve">Mental &amp; emotional health; Social connection &amp; isolation; Population &amp; societal burden</t>
  </si>
  <si>
    <t xml:space="preserve">Access, cost &amp; equity; Social connection &amp; isolation</t>
  </si>
  <si>
    <t xml:space="preserve">Access, cost &amp; equity; Healthcare system &amp; caregiving; Social connection &amp; isolation; Financial security, work &amp; basic needs</t>
  </si>
  <si>
    <t xml:space="preserve">Mental &amp; emotional well-being; Relationships &amp; social life; Independence</t>
  </si>
  <si>
    <t xml:space="preserve">Broad benefit to society; All connected / equally important; Healthcare system &amp; caregiving; Technology &amp; AI; Longevity &amp; lifespan; Reproductive health &amp; fertility</t>
  </si>
  <si>
    <t xml:space="preserve">Access, cost &amp; equity; Chronic disease &amp; physical health; Cognitive decline &amp; dementia</t>
  </si>
  <si>
    <t xml:space="preserve">Access, cost &amp; equity; Healthcare system &amp; caregiving; Technology &amp; AI; Longevity &amp; lifespan; Reproductive health &amp; fertility</t>
  </si>
  <si>
    <t xml:space="preserve">Broad benefit to society; Quality of life</t>
  </si>
  <si>
    <t xml:space="preserve">Decline &amp; change in function; Biological / cellular process; Passage of time / getting older</t>
  </si>
  <si>
    <t xml:space="preserve">Access, cost &amp; equity; Healthcare system &amp; caregiving; Chronic disease &amp; physical health; Mental &amp; emotional health; Social connection &amp; isolation; Population &amp; societal burden</t>
  </si>
  <si>
    <t xml:space="preserve">Physical health &amp; mobility; Relationships &amp; social life; Values &amp; identity</t>
  </si>
  <si>
    <t xml:space="preserve">Healthy lifestyle &amp; habits (general); Social engagement; Preventive &amp; medical care</t>
  </si>
  <si>
    <t xml:space="preserve">Broad benefit to society; Chronic disease &amp; physical health; Ethics, regulation &amp; policy; Prevention &amp; early detection; Longevity &amp; lifespan</t>
  </si>
  <si>
    <t xml:space="preserve">Technology &amp; AI; Ethics, regulation &amp; policy</t>
  </si>
  <si>
    <t xml:space="preserve">Chronic disease &amp; physical health; Social connection &amp; isolation</t>
  </si>
  <si>
    <t xml:space="preserve">Memory &amp; cognitive sharpness; Relationships &amp; social life; Independence</t>
  </si>
  <si>
    <t xml:space="preserve">Prevention &amp; early detection; Longevity &amp; lifespan</t>
  </si>
  <si>
    <t xml:space="preserve">Broad benefit to society; Chronic disease &amp; physical health; Social connection &amp; isolation; Financial security, work &amp; basic needs; Prevention &amp; early detection; Population &amp; societal burden</t>
  </si>
  <si>
    <t xml:space="preserve">Access, cost &amp; equity; Healthcare system &amp; caregiving; Chronic disease &amp; physical health; Technology &amp; AI; Safety, accuracy &amp; misuse; Prevention &amp; early detection</t>
  </si>
  <si>
    <t xml:space="preserve">Broad benefit to society; Technology &amp; AI; Reproductive health &amp; fertility</t>
  </si>
  <si>
    <t xml:space="preserve">Chronic disease &amp; physical health; Privacy &amp; data protection; Ethics, regulation &amp; policy; Research, science &amp; treatments; Population &amp; societal burden</t>
  </si>
  <si>
    <t xml:space="preserve">Broad benefit to society; Access, cost &amp; equity; Healthcare system &amp; caregiving; Technology &amp; AI; Research, science &amp; treatments; Longevity &amp; lifespan; Reproductive health &amp; fertility</t>
  </si>
  <si>
    <t xml:space="preserve">Decline &amp; change in function; Biological / cellular process; Passage of time / getting older; Growth, experience &amp; wisdom</t>
  </si>
  <si>
    <t xml:space="preserve">Healthy lifestyle &amp; habits (general); Exercise &amp; physical activity; Diet &amp; nutrition; Preventive &amp; medical care</t>
  </si>
  <si>
    <t xml:space="preserve">Personal relevance; Broad benefit to society; Access, cost &amp; equity; Technology &amp; AI; Prevention &amp; early detection</t>
  </si>
  <si>
    <t xml:space="preserve">Access, cost &amp; equity; Healthcare system &amp; caregiving; Chronic disease &amp; physical health; Prevention &amp; early detection</t>
  </si>
  <si>
    <t xml:space="preserve">Access, cost &amp; equity; Healthcare system &amp; caregiving; Safety, accuracy &amp; misuse; Longevity &amp; lifespan; Quality of life</t>
  </si>
  <si>
    <t xml:space="preserve">Independence &amp; autonomy; Technology &amp; AI; Safety, accuracy &amp; misuse; Research, science &amp; treatments</t>
  </si>
  <si>
    <t xml:space="preserve">Decline &amp; change in function; Biological / cellular process; Physical &amp; bodily change; Cognitive &amp; mental change</t>
  </si>
  <si>
    <t xml:space="preserve">Chronic disease &amp; physical health; Mental &amp; emotional health</t>
  </si>
  <si>
    <t xml:space="preserve">Mental &amp; emotional health</t>
  </si>
  <si>
    <t xml:space="preserve">Access, cost &amp; equity; Healthcare system &amp; caregiving; Chronic disease &amp; physical health; Social connection &amp; isolation</t>
  </si>
  <si>
    <t xml:space="preserve">Access, cost &amp; equity; Healthcare system &amp; caregiving; Social connection &amp; isolation; Independence &amp; autonomy; Population &amp; societal burden; Quality of life</t>
  </si>
  <si>
    <t xml:space="preserve">Healthy lifestyle &amp; habits (general); Exercise &amp; physical activity; Social engagement; Learning &amp; mental stimulation</t>
  </si>
  <si>
    <t xml:space="preserve">Broad benefit to society; Access, cost &amp; equity; Healthcare system &amp; caregiving; Chronic disease &amp; physical health; Technology &amp; AI; Ethics, regulation &amp; policy; Research, science &amp; treatments; Population &amp; societal burden</t>
  </si>
  <si>
    <t xml:space="preserve">Access, cost &amp; equity; Technology &amp; AI; Ethics, regulation &amp; policy; Research, science &amp; treatments</t>
  </si>
  <si>
    <t xml:space="preserve">Biological / cellular process; Natural stage of life</t>
  </si>
  <si>
    <t xml:space="preserve">Chronic disease &amp; physical health; Cognitive decline &amp; dementia; Ethics, regulation &amp; policy; Research, science &amp; treatments; Population &amp; societal burden</t>
  </si>
  <si>
    <t xml:space="preserve">Personal relevance; Broad benefit to society; Healthcare system &amp; caregiving; Chronic disease &amp; physical health; Technology &amp; AI; Ethics, regulation &amp; policy; Reproductive health &amp; fertility</t>
  </si>
  <si>
    <t xml:space="preserve">Healthcare system &amp; caregiving; Technology &amp; AI; Privacy &amp; data protection; Ethics, regulation &amp; policy</t>
  </si>
  <si>
    <t xml:space="preserve">Decline &amp; change in function; Passage of time / getting older; Physical &amp; bodily change; Cognitive &amp; mental change; Growth, experience &amp; wisdom</t>
  </si>
  <si>
    <t xml:space="preserve">Access, cost &amp; equity; Cognitive decline &amp; dementia; Social connection &amp; isolation; Independence &amp; autonomy; Research, science &amp; treatments</t>
  </si>
  <si>
    <t xml:space="preserve">Social connection &amp; isolation; Independence &amp; autonomy; Technology &amp; AI; Quality of life</t>
  </si>
  <si>
    <t xml:space="preserve">Personal relevance; Broad benefit to society; Access, cost &amp; equity; Chronic disease &amp; physical health; Social connection &amp; isolation; Technology &amp; AI; Research, science &amp; treatments; Quality of life</t>
  </si>
  <si>
    <t xml:space="preserve">Privacy &amp; data protection; Safety, accuracy &amp; misuse; Ethics, regulation &amp; policy</t>
  </si>
  <si>
    <t xml:space="preserve">Decline &amp; change in function; Biological / cellular process; Passage of time / getting older; Cognitive &amp; mental change</t>
  </si>
  <si>
    <t xml:space="preserve">Chronic disease &amp; physical health; Social connection &amp; isolation; Financial security, work &amp; basic needs</t>
  </si>
  <si>
    <t xml:space="preserve">Mental &amp; emotional well-being; Relationships &amp; social life</t>
  </si>
  <si>
    <t xml:space="preserve">Technology &amp; AI; Privacy &amp; data protection; Ethics, regulation &amp; policy</t>
  </si>
  <si>
    <t xml:space="preserve">Decline &amp; change in function; Passage of time / getting older; Cognitive &amp; mental change; Natural stage of life</t>
  </si>
  <si>
    <t xml:space="preserve">Access, cost &amp; equity; Healthcare system &amp; caregiving; Chronic disease &amp; physical health; Independence &amp; autonomy</t>
  </si>
  <si>
    <t xml:space="preserve">Exercise &amp; physical activity; Diet &amp; nutrition; Preventive &amp; medical care</t>
  </si>
  <si>
    <t xml:space="preserve">Access, cost &amp; equity; Chronic disease &amp; physical health; Privacy &amp; data protection</t>
  </si>
  <si>
    <t xml:space="preserve">Healthcare system &amp; caregiving; Chronic disease &amp; physical health; Cognitive decline &amp; dementia; Population &amp; societal burden</t>
  </si>
  <si>
    <t xml:space="preserve">Chronic disease &amp; physical health; Cognitive decline &amp; dementia; Safety, accuracy &amp; misuse; Prevention &amp; early detection; Longevity &amp; lifespan; Quality of life</t>
  </si>
  <si>
    <t xml:space="preserve">Healthy lifestyle &amp; habits (general); Not doing anything yet; Exercise &amp; physical activity; Diet &amp; nutrition; Learning &amp; mental stimulation; Preventive &amp; medical care</t>
  </si>
  <si>
    <t xml:space="preserve">Personal relevance; Broad benefit to society; Access, cost &amp; equity; Chronic disease &amp; physical health; Technology &amp; AI; Prevention &amp; early detection; Population &amp; societal burden</t>
  </si>
  <si>
    <t xml:space="preserve">Technology &amp; AI; Privacy &amp; data protection; Safety, accuracy &amp; misuse; Ethics, regulation &amp; policy; Prevention &amp; early detection</t>
  </si>
  <si>
    <t xml:space="preserve">Healthcare system &amp; caregiving; Ageism &amp; how society treats older adults</t>
  </si>
  <si>
    <t xml:space="preserve">Physical health &amp; mobility; Memory &amp; cognitive sharpness; Mental &amp; emotional well-being; Hobbies, curiosity &amp; purpose</t>
  </si>
  <si>
    <t xml:space="preserve">Broad benefit to society; Access, cost &amp; equity; Healthcare system &amp; caregiving; Chronic disease &amp; physical health; Cognitive decline &amp; dementia; Technology &amp; AI</t>
  </si>
  <si>
    <t xml:space="preserve">Financial security, work &amp; basic needs; Safety, accuracy &amp; misuse; Longevity &amp; lifespan</t>
  </si>
  <si>
    <t xml:space="preserve">Healthcare system &amp; caregiving; Chronic disease &amp; physical health</t>
  </si>
  <si>
    <t xml:space="preserve">Broad benefit to society; Access, cost &amp; equity; Technology &amp; AI; Longevity &amp; lifespan; Quality of life</t>
  </si>
  <si>
    <t xml:space="preserve">Chronic disease &amp; physical health; Social connection &amp; isolation; Financial security, work &amp; basic needs; Privacy &amp; data protection; Longevity &amp; lifespan; Quality of life</t>
  </si>
  <si>
    <t xml:space="preserve">Healthcare system &amp; caregiving; Financial security, work &amp; basic needs; Prevention &amp; early detection; Population &amp; societal burden</t>
  </si>
  <si>
    <t xml:space="preserve">Reproductive health &amp; fertility</t>
  </si>
  <si>
    <t xml:space="preserve">Access, cost &amp; equity; Healthcare system &amp; caregiving; Ethics, regulation &amp; policy</t>
  </si>
  <si>
    <t xml:space="preserve">Healthy lifestyle &amp; habits (general); Sleep &amp; rest; Social engagement</t>
  </si>
  <si>
    <t xml:space="preserve">Access, cost &amp; equity; Privacy &amp; data protection</t>
  </si>
  <si>
    <t xml:space="preserve">Access, cost &amp; equity; Reproductive health &amp; fertility; Quality of life</t>
  </si>
  <si>
    <t xml:space="preserve">Healthy lifestyle &amp; habits (general); Diet &amp; nutrition; Learning &amp; mental stimulation</t>
  </si>
  <si>
    <t xml:space="preserve">Ethics, regulation &amp; policy; Research, science &amp; treatments</t>
  </si>
  <si>
    <t xml:space="preserve">Access, cost &amp; equity; Chronic disease &amp; physical health; Technology &amp; AI</t>
  </si>
  <si>
    <t xml:space="preserve">Financial security, work &amp; basic needs; Technology &amp; AI; Prevention &amp; early detection; Quality of life</t>
  </si>
  <si>
    <t xml:space="preserve">Access, cost &amp; equity; Healthcare system &amp; caregiving; Chronic disease &amp; physical health; Mental &amp; emotional health</t>
  </si>
  <si>
    <t xml:space="preserve">Access, cost &amp; equity; Ethics, regulation &amp; policy</t>
  </si>
  <si>
    <t xml:space="preserve">Exercise &amp; physical activity; Diet &amp; nutrition; Learning &amp; mental stimulation</t>
  </si>
  <si>
    <t xml:space="preserve">Personal relevance; Broad benefit to society; Access, cost &amp; equity; Chronic disease &amp; physical health; Technology &amp; AI; Longevity &amp; lifespan; Quality of life</t>
  </si>
  <si>
    <t xml:space="preserve">Access, cost &amp; equity; Chronic disease &amp; physical health; Research, science &amp; treatments; Population &amp; societal burden</t>
  </si>
  <si>
    <t xml:space="preserve">Physical health &amp; mobility; Memory &amp; cognitive sharpness; Hobbies, curiosity &amp; purpose</t>
  </si>
  <si>
    <t xml:space="preserve">Personal relevance; Access, cost &amp; equity; Healthcare system &amp; caregiving; Chronic disease &amp; physical health; Reproductive health &amp; fertility</t>
  </si>
  <si>
    <t xml:space="preserve">Prevention &amp; early detection; Population &amp; societal burden</t>
  </si>
  <si>
    <t xml:space="preserve">Broad benefit to society; Access, cost &amp; equity; Healthcare system &amp; caregiving; Chronic disease &amp; physical health</t>
  </si>
  <si>
    <t xml:space="preserve">Privacy &amp; data protection</t>
  </si>
  <si>
    <t xml:space="preserve">Decline &amp; change in function; Biological / cellular process; Passage of time / getting older; Physical &amp; bodily change; Growth, experience &amp; wisdom</t>
  </si>
  <si>
    <t xml:space="preserve">Research, science &amp; treatments; Prevention &amp; early detection</t>
  </si>
  <si>
    <t xml:space="preserve">Technology &amp; AI; Quality of life</t>
  </si>
  <si>
    <t xml:space="preserve">Physical health &amp; mobility; Independence; Financial security</t>
  </si>
  <si>
    <t xml:space="preserve">Broad benefit to society; Access, cost &amp; equity; Chronic disease &amp; physical health; Research, science &amp; treatments</t>
  </si>
  <si>
    <t xml:space="preserve">Chronic disease &amp; physical health; Research, science &amp; treatments</t>
  </si>
  <si>
    <t xml:space="preserve">Broad benefit to society; Access, cost &amp; equity; Healthcare system &amp; caregiving</t>
  </si>
  <si>
    <t xml:space="preserve">Technology &amp; AI; Safety, accuracy &amp; misuse; Quality of life</t>
  </si>
  <si>
    <t xml:space="preserve">Decline &amp; change in function; Cognitive &amp; mental change</t>
  </si>
  <si>
    <t xml:space="preserve">Healthy lifestyle &amp; habits (general); Diet &amp; nutrition</t>
  </si>
  <si>
    <t xml:space="preserve">Financial security, work &amp; basic needs; Technology &amp; AI</t>
  </si>
  <si>
    <t xml:space="preserve">Technology &amp; AI; Prevention &amp; early detection</t>
  </si>
  <si>
    <t xml:space="preserve">Financial security, work &amp; basic needs; Longevity &amp; lifespan</t>
  </si>
  <si>
    <t xml:space="preserve">Physical health &amp; mobility; Memory &amp; cognitive sharpness; Relationships &amp; social life; Hobbies, curiosity &amp; purpose</t>
  </si>
  <si>
    <t xml:space="preserve">Access, cost &amp; equity; Healthcare system &amp; caregiving; Chronic disease &amp; physical health; Social connection &amp; isolation; Financial security, work &amp; basic needs; Prevention &amp; early detection</t>
  </si>
  <si>
    <t xml:space="preserve">Relationships &amp; social life; Independence; Hobbies, curiosity &amp; purpose</t>
  </si>
  <si>
    <t xml:space="preserve">Research, science &amp; treatments; Quality of life</t>
  </si>
  <si>
    <t xml:space="preserve">Personal relevance; Access, cost &amp; equity; Technology &amp; AI; Safety, accuracy &amp; misuse; Longevity &amp; lifespan</t>
  </si>
  <si>
    <t xml:space="preserve">Access, cost &amp; equity; Healthcare system &amp; caregiving; Financial security, work &amp; basic needs; Prevention &amp; early detection</t>
  </si>
  <si>
    <t xml:space="preserve">Access, cost &amp; equity; Chronic disease &amp; physical health; Mental &amp; emotional health</t>
  </si>
  <si>
    <t xml:space="preserve">Access, cost &amp; equity; Healthcare system &amp; caregiving; Quality of life</t>
  </si>
  <si>
    <t xml:space="preserve">Healthcare system &amp; caregiving; Technology &amp; AI; Privacy &amp; data protection; Safety, accuracy &amp; misuse</t>
  </si>
  <si>
    <t xml:space="preserve">Healthcare system &amp; caregiving; Technology &amp; AI</t>
  </si>
  <si>
    <t xml:space="preserve">Access, cost &amp; equity; Healthcare system &amp; caregiving; Financial security, work &amp; basic needs</t>
  </si>
  <si>
    <t xml:space="preserve">Exercise &amp; physical activity; Diet &amp; nutrition; Stress &amp; emotional well-being</t>
  </si>
  <si>
    <t xml:space="preserve">Access, cost &amp; equity; Chronic disease &amp; physical health; Technology &amp; AI; Research, science &amp; treatments; Prevention &amp; early detection</t>
  </si>
  <si>
    <t xml:space="preserve">Healthcare system &amp; caregiving; Chronic disease &amp; physical health; Technology &amp; AI; Research, science &amp; treatments</t>
  </si>
  <si>
    <t xml:space="preserve">Decline &amp; change in function; Growth, experience &amp; wisdom</t>
  </si>
  <si>
    <t xml:space="preserve">Access, cost &amp; equity; Social connection &amp; isolation; Financial security, work &amp; basic needs; Population &amp; societal burden</t>
  </si>
  <si>
    <t xml:space="preserve">Access, cost &amp; equity; Technology &amp; AI; Prevention &amp; early detection</t>
  </si>
  <si>
    <t xml:space="preserve">Healthy lifestyle &amp; habits (general); Exercise &amp; physical activity; Diet &amp; nutrition; Financial planning</t>
  </si>
  <si>
    <t xml:space="preserve">Access, cost &amp; equity; Healthcare system &amp; caregiving; Chronic disease &amp; physical health; Cognitive decline &amp; dementia; Technology &amp; AI; Prevention &amp; early detection; Longevity &amp; lifespan</t>
  </si>
  <si>
    <t xml:space="preserve">Cognitive decline &amp; dementia; Longevity &amp; lifespan</t>
  </si>
  <si>
    <t xml:space="preserve">Access, cost &amp; equity; Technology &amp; AI; Privacy &amp; data protection; Ethics, regulation &amp; policy; Prevention &amp; early detection</t>
  </si>
  <si>
    <t xml:space="preserve">Access, cost &amp; equity; Healthcare system &amp; caregiving; Chronic disease &amp; physical health; Research, science &amp; treatments; Prevention &amp; early detection; Population &amp; societal burden</t>
  </si>
  <si>
    <t xml:space="preserve">Passage of time / getting older; Physical &amp; bodily change; Growth, experience &amp; wisdom</t>
  </si>
  <si>
    <t xml:space="preserve">Healthcare system &amp; caregiving; Financial security, work &amp; basic needs; Ethics, regulation &amp; policy; Reproductive health &amp; fertility; Population &amp; societal burden</t>
  </si>
  <si>
    <t xml:space="preserve">Financial security, work &amp; basic needs; Ethics, regulation &amp; policy</t>
  </si>
  <si>
    <t xml:space="preserve">Chronic disease &amp; physical health; Independence &amp; autonomy; Population &amp; societal burden</t>
  </si>
  <si>
    <t xml:space="preserve">Physical health &amp; mobility; Memory &amp; cognitive sharpness; Appearance</t>
  </si>
  <si>
    <t xml:space="preserve">Access, cost &amp; equity; Chronic disease &amp; physical health; Financial security, work &amp; basic needs; Longevity &amp; lifespan</t>
  </si>
  <si>
    <t xml:space="preserve">Access, cost &amp; equity; Financial security, work &amp; basic needs; Research, science &amp; treatments; Longevity &amp; lifespan; Population &amp; societal burden</t>
  </si>
  <si>
    <t xml:space="preserve">Access, cost &amp; equity; Mental &amp; emotional health; Research, science &amp; treatments; Longevity &amp; lifespan; Population &amp; societal burden; Quality of life</t>
  </si>
  <si>
    <t xml:space="preserve">Healthcare system &amp; caregiving; Cognitive decline &amp; dementia; Reproductive health &amp; fertility</t>
  </si>
  <si>
    <t xml:space="preserve">Healthy lifestyle &amp; habits (general); Exercise &amp; physical activity; Preventive &amp; medical care</t>
  </si>
  <si>
    <t xml:space="preserve">Chronic disease &amp; physical health; Technology &amp; AI; Research, science &amp; treatments; Longevity &amp; lifespan</t>
  </si>
  <si>
    <t xml:space="preserve">Technology &amp; AI; Reproductive health &amp; fertility</t>
  </si>
  <si>
    <t xml:space="preserve">Cognitive decline &amp; dementia; Quality of life</t>
  </si>
  <si>
    <t xml:space="preserve">Chronic disease &amp; physical health; Cognitive decline &amp; dementia; Ethics, regulation &amp; policy</t>
  </si>
  <si>
    <t xml:space="preserve">Physical health &amp; mobility; Hobbies, curiosity &amp; purpose</t>
  </si>
  <si>
    <t xml:space="preserve">Healthy lifestyle &amp; habits (general); Not doing anything yet; Learning &amp; mental stimulation</t>
  </si>
  <si>
    <t xml:space="preserve">Personal relevance; Access, cost &amp; equity; Financial security, work &amp; basic needs; Technology &amp; AI; Research, science &amp; treatments; Reproductive health &amp; fertility</t>
  </si>
  <si>
    <t xml:space="preserve">Cognitive decline &amp; dementia; Technology &amp; AI; Ethics, regulation &amp; policy; Research, science &amp; treatments</t>
  </si>
  <si>
    <t xml:space="preserve">Chronic disease &amp; physical health; Technology &amp; AI; Privacy &amp; data protection; Safety, accuracy &amp; misuse; Ethics, regulation &amp; policy; Research, science &amp; treatments</t>
  </si>
  <si>
    <t xml:space="preserve">Technology &amp; AI; Privacy &amp; data protection; Ethics, regulation &amp; policy; Research, science &amp; treatments</t>
  </si>
  <si>
    <t xml:space="preserve">Technology &amp; AI; Research, science &amp; treatments; Population &amp; societal burden</t>
  </si>
  <si>
    <t xml:space="preserve">Relationships &amp; social life; Hobbies, curiosity &amp; purpose</t>
  </si>
  <si>
    <t xml:space="preserve">Broad benefit to society; Access, cost &amp; equity; Technology &amp; AI; Research, science &amp; treatments; Longevity &amp; lifespan</t>
  </si>
  <si>
    <t xml:space="preserve">Access, cost &amp; equity; Chronic disease &amp; physical health; Population &amp; societal burden</t>
  </si>
  <si>
    <t xml:space="preserve">Access, cost &amp; equity; Healthcare system &amp; caregiving; Population &amp; societal burden</t>
  </si>
  <si>
    <t xml:space="preserve">Physical health &amp; mobility; Financial security; Hobbies, curiosity &amp; purpose</t>
  </si>
  <si>
    <t xml:space="preserve">Chronic disease &amp; physical health; Financial security, work &amp; basic needs; Prevention &amp; early detection</t>
  </si>
  <si>
    <t xml:space="preserve">Chronic disease &amp; physical health; Population &amp; societal burden; Quality of life</t>
  </si>
  <si>
    <t xml:space="preserve">Healthy lifestyle &amp; habits (general); Exercise &amp; physical activity; Diet &amp; nutrition; Sleep &amp; rest; Preventive &amp; medical care</t>
  </si>
  <si>
    <t xml:space="preserve">Broad benefit to society; Access, cost &amp; equity; Healthcare system &amp; caregiving; Chronic disease &amp; physical health; Technology &amp; AI; Research, science &amp; treatments; Longevity &amp; lifespan; Population &amp; societal burden</t>
  </si>
  <si>
    <t xml:space="preserve">Chronic disease &amp; physical health; Reproductive health &amp; fertility</t>
  </si>
  <si>
    <t xml:space="preserve">Access, cost &amp; equity; Healthcare system &amp; caregiving; Social connection &amp; isolation; Financial security, work &amp; basic needs; Ethics, regulation &amp; policy</t>
  </si>
  <si>
    <t xml:space="preserve">Healthcare system &amp; caregiving; Technology &amp; AI; Safety, accuracy &amp; misuse; Research, science &amp; treatments</t>
  </si>
  <si>
    <t xml:space="preserve">Healthy lifestyle &amp; habits (general); Exercise &amp; physical activity; Diet &amp; nutrition; Avoiding harmful habits; Social engagement; Learning &amp; mental stimulation</t>
  </si>
  <si>
    <t xml:space="preserve">Personal relevance; Access, cost &amp; equity; Technology &amp; AI</t>
  </si>
  <si>
    <t xml:space="preserve">Access, cost &amp; equity; Chronic disease &amp; physical health; Research, science &amp; treatments; Longevity &amp; lifespan</t>
  </si>
  <si>
    <t xml:space="preserve">Technology &amp; AI; Ethics, regulation &amp; policy; Ageism &amp; how society treats older adults</t>
  </si>
  <si>
    <t xml:space="preserve">Safety, accuracy &amp; misuse; Population &amp; societal burden</t>
  </si>
  <si>
    <t xml:space="preserve">Memory &amp; cognitive sharpness; Mental &amp; emotional well-being</t>
  </si>
  <si>
    <t xml:space="preserve">Passage of time / getting older; Physical &amp; bodily change; Cognitive &amp; mental change; Social &amp; role change</t>
  </si>
  <si>
    <t xml:space="preserve">Access, cost &amp; equity; Social connection &amp; isolation; Financial security, work &amp; basic needs; Independence &amp; autonomy; Technology &amp; AI; Research, science &amp; treatments; Longevity &amp; lifespan; Ageism &amp; how society treats older adults; Quality of life</t>
  </si>
  <si>
    <t xml:space="preserve">Access, cost &amp; equity; Healthcare system &amp; caregiving; Chronic disease &amp; physical health; Social connection &amp; isolation; Independence &amp; autonomy; Ageism &amp; how society treats older adults</t>
  </si>
  <si>
    <t xml:space="preserve">Access, cost &amp; equity; Longevity &amp; lifespan; Population &amp; societal burden</t>
  </si>
  <si>
    <t xml:space="preserve">Mental &amp; emotional well-being; Relationships &amp; social life; Hobbies, curiosity &amp; purpose</t>
  </si>
  <si>
    <t xml:space="preserve">Broad benefit to society; Access, cost &amp; equity; Healthcare system &amp; caregiving; Technology &amp; AI; Reproductive health &amp; fertility</t>
  </si>
  <si>
    <t xml:space="preserve">Access, cost &amp; equity; Healthcare system &amp; caregiving; Financial security, work &amp; basic needs; Reproductive health &amp; fertility; Population &amp; societal burden</t>
  </si>
  <si>
    <t xml:space="preserve">Physical health &amp; mobility; Independence; Hobbies, curiosity &amp; purpose</t>
  </si>
  <si>
    <t xml:space="preserve">Broad benefit to society; Access, cost &amp; equity; Healthcare system &amp; caregiving; Chronic disease &amp; physical health; Prevention &amp; early detection; Population &amp; societal burden</t>
  </si>
  <si>
    <t xml:space="preserve">Financial security, work &amp; basic needs; Research, science &amp; treatments</t>
  </si>
  <si>
    <t xml:space="preserve">Chronic disease &amp; physical health; Cognitive decline &amp; dementia; Mental &amp; emotional health; Safety, accuracy &amp; misuse</t>
  </si>
  <si>
    <t xml:space="preserve">Healthcare system &amp; caregiving; Mental &amp; emotional health; Ethics, regulation &amp; policy; Research, science &amp; treatments</t>
  </si>
  <si>
    <t xml:space="preserve">Reproductive health &amp; fertility; Population &amp; societal burden</t>
  </si>
  <si>
    <t xml:space="preserve">Physical health &amp; mobility; Values &amp; identity</t>
  </si>
  <si>
    <t xml:space="preserve">Independence; Hobbies, curiosity &amp; purpose</t>
  </si>
  <si>
    <t xml:space="preserve">Healthcare system &amp; caregiving; Chronic disease &amp; physical health; Technology &amp; AI; Reproductive health &amp; fertility</t>
  </si>
  <si>
    <t xml:space="preserve">Research, science &amp; treatments; Ageism &amp; how society treats older adults</t>
  </si>
  <si>
    <t xml:space="preserve">Social connection &amp; isolation; Financial security, work &amp; basic needs; Longevity &amp; lifespan</t>
  </si>
  <si>
    <t xml:space="preserve">Relationships &amp; social life</t>
  </si>
  <si>
    <t xml:space="preserve">Mindset / "just a number"; Physical &amp; bodily change</t>
  </si>
  <si>
    <t xml:space="preserve">Physical health &amp; mobility; Memory &amp; cognitive sharpness; Values &amp; identity</t>
  </si>
  <si>
    <t xml:space="preserve">Exercise &amp; physical activity; Diet &amp; nutrition; Sleep &amp; rest; Preventive &amp; medical care</t>
  </si>
  <si>
    <t xml:space="preserve">Personal relevance; Access, cost &amp; equity; Chronic disease &amp; physical health; Reproductive health &amp; fertility</t>
  </si>
  <si>
    <t xml:space="preserve">Technology &amp; AI; Privacy &amp; data protection; Safety, accuracy &amp; misuse</t>
  </si>
  <si>
    <t xml:space="preserve">Memory &amp; cognitive sharpness; Independence; Values &amp; identity</t>
  </si>
  <si>
    <t xml:space="preserve">Personal relevance; Broad benefit to society; All connected / equally important; Access, cost &amp; equity; Healthcare system &amp; caregiving; Technology &amp; AI</t>
  </si>
  <si>
    <t xml:space="preserve">Access, cost &amp; equity; Healthcare system &amp; caregiving; Chronic disease &amp; physical health; Research, science &amp; treatments; Population &amp; societal burden</t>
  </si>
  <si>
    <t xml:space="preserve">Healthcare system &amp; caregiving; Financial security, work &amp; basic needs; Technology &amp; AI</t>
  </si>
  <si>
    <t xml:space="preserve">Healthcare system &amp; caregiving; Chronic disease &amp; physical health; Population &amp; societal burden</t>
  </si>
  <si>
    <t xml:space="preserve">Healthy lifestyle &amp; habits (general); Exercise &amp; physical activity; Diet &amp; nutrition; Sleep &amp; rest; Social engagement; Learning &amp; mental stimulation; Preventive &amp; medical care; Stress &amp; emotional well-being</t>
  </si>
  <si>
    <t xml:space="preserve">Personal relevance; Broad benefit to society; Access, cost &amp; equity; Technology &amp; AI; Prevention &amp; early detection; Longevity &amp; lifespan; Reproductive health &amp; fertility</t>
  </si>
  <si>
    <t xml:space="preserve">Access, cost &amp; equity; Technology &amp; AI; Prevention &amp; early detection; Longevity &amp; lifespan</t>
  </si>
  <si>
    <t xml:space="preserve">Access, cost &amp; equity; Healthcare system &amp; caregiving; Chronic disease &amp; physical health; Financial security, work &amp; basic needs</t>
  </si>
  <si>
    <t xml:space="preserve">Broad benefit to society; Chronic disease &amp; physical health; Mental &amp; emotional health; Reproductive health &amp; fertility; Population &amp; societal burden</t>
  </si>
  <si>
    <t xml:space="preserve">Safety, accuracy &amp; misuse; Prevention &amp; early detection</t>
  </si>
  <si>
    <t xml:space="preserve">Access, cost &amp; equity; Technology &amp; AI; Safety, accuracy &amp; misuse; Prevention &amp; early detection</t>
  </si>
  <si>
    <t xml:space="preserve">Healthcare system &amp; caregiving; Chronic disease &amp; physical health; Cognitive decline &amp; dementia; Social connection &amp; isolation</t>
  </si>
  <si>
    <t xml:space="preserve">Chronic disease &amp; physical health; Technology &amp; AI</t>
  </si>
  <si>
    <t xml:space="preserve">Ageism &amp; how society treats older adults; Population &amp; societal burden; Quality of life</t>
  </si>
  <si>
    <t xml:space="preserve">Stress &amp; emotional well-being</t>
  </si>
  <si>
    <t xml:space="preserve">Broad benefit to society; Access, cost &amp; equity; Healthcare system &amp; caregiving; Chronic disease &amp; physical health; Financial security, work &amp; basic needs; Prevention &amp; early detection</t>
  </si>
  <si>
    <t xml:space="preserve">Broad benefit to society; Access, cost &amp; equity; Healthcare system &amp; caregiving; Technology &amp; AI; Ethics, regulation &amp; policy; Reproductive health &amp; fertility</t>
  </si>
  <si>
    <t xml:space="preserve">Healthcare system &amp; caregiving; Social connection &amp; isolation; Financial security, work &amp; basic needs</t>
  </si>
  <si>
    <t xml:space="preserve">Personal relevance; Access, cost &amp; equity; Healthcare system &amp; caregiving; Population &amp; societal burden</t>
  </si>
  <si>
    <t xml:space="preserve">Access, cost &amp; equity; Healthcare system &amp; caregiving; Mental &amp; emotional health</t>
  </si>
  <si>
    <t xml:space="preserve">Cognitive decline &amp; dementia; Mental &amp; emotional health; Social connection &amp; isolation</t>
  </si>
  <si>
    <t xml:space="preserve">Mental &amp; emotional health; Quality of life</t>
  </si>
  <si>
    <t xml:space="preserve">Healthy lifestyle &amp; habits (general); Exercise &amp; physical activity; Diet &amp; nutrition; Learning &amp; mental stimulation; Stress &amp; emotional well-being</t>
  </si>
  <si>
    <t xml:space="preserve">Personal relevance; Broad benefit to society; Longevity &amp; lifespan; Quality of life</t>
  </si>
  <si>
    <t xml:space="preserve">Chronic disease &amp; physical health; Research, science &amp; treatments; Longevity &amp; lifespan; Reproductive health &amp; fertility; Quality of life</t>
  </si>
  <si>
    <t xml:space="preserve">Longevity &amp; lifespan; Reproductive health &amp; fertility; Quality of life</t>
  </si>
  <si>
    <t xml:space="preserve">Access, cost &amp; equity; Technology &amp; AI; Privacy &amp; data protection; Ethics, regulation &amp; policy; Quality of life</t>
  </si>
  <si>
    <t xml:space="preserve">Access, cost &amp; equity; Social connection &amp; isolation; Technology &amp; AI; Safety, accuracy &amp; misuse</t>
  </si>
  <si>
    <t xml:space="preserve">Memory &amp; cognitive sharpness; Financial security; Values &amp; identity</t>
  </si>
  <si>
    <t xml:space="preserve">Access, cost &amp; equity; Social connection &amp; isolation; Technology &amp; AI; Quality of life</t>
  </si>
  <si>
    <t xml:space="preserve">Access, cost &amp; equity; Healthcare system &amp; caregiving; Social connection &amp; isolation; Financial security, work &amp; basic needs; Technology &amp; AI; Safety, accuracy &amp; misuse; Quality of life</t>
  </si>
  <si>
    <t xml:space="preserve">Biological / cellular process; Passage of time / getting older; Cognitive &amp; mental change; Growth, experience &amp; wisdom</t>
  </si>
  <si>
    <t xml:space="preserve">Chronic disease &amp; physical health; Cognitive decline &amp; dementia; Independence &amp; autonomy; Quality of life</t>
  </si>
  <si>
    <t xml:space="preserve">Physical health &amp; mobility; Memory &amp; cognitive sharpness; Relationships &amp; social life; Independence; Hobbies, curiosity &amp; purpose</t>
  </si>
  <si>
    <t xml:space="preserve">Exercise &amp; physical activity; Sleep &amp; rest; Social engagement; Learning &amp; mental stimulation; Preventive &amp; medical care; Financial planning</t>
  </si>
  <si>
    <t xml:space="preserve">Chronic disease &amp; physical health; Longevity &amp; lifespan; Reproductive health &amp; fertility</t>
  </si>
  <si>
    <t xml:space="preserve">Access, cost &amp; equity; Chronic disease &amp; physical health; Safety, accuracy &amp; misuse; Ethics, regulation &amp; policy; Reproductive health &amp; fertility; Quality of life</t>
  </si>
  <si>
    <t xml:space="preserve">Access, cost &amp; equity; Healthcare system &amp; caregiving; Chronic disease &amp; physical health; Financial security, work &amp; basic needs; Technology &amp; AI; Population &amp; societal burden</t>
  </si>
  <si>
    <t xml:space="preserve">Relationships &amp; social life; Independence; Financial security</t>
  </si>
  <si>
    <t xml:space="preserve">Ethics, regulation &amp; policy; Longevity &amp; lifespan; Reproductive health &amp; fertility</t>
  </si>
  <si>
    <t xml:space="preserve">Access, cost &amp; equity; Technology &amp; AI; Ethics, regulation &amp; policy; Longevity &amp; lifespan; Reproductive health &amp; fertility</t>
  </si>
  <si>
    <t xml:space="preserve">Chronic disease &amp; physical health; Technology &amp; AI; Ethics, regulation &amp; policy</t>
  </si>
  <si>
    <t xml:space="preserve">Broad benefit to society; All connected / equally important; Access, cost &amp; equity; Healthcare system &amp; caregiving; Chronic disease &amp; physical health; Prevention &amp; early detection</t>
  </si>
  <si>
    <t xml:space="preserve">Personal relevance; Reproductive health &amp; fertility</t>
  </si>
  <si>
    <t xml:space="preserve">Healthcare system &amp; caregiving; Technology &amp; AI; Ethics, regulation &amp; policy</t>
  </si>
  <si>
    <t xml:space="preserve">Social connection &amp; isolation; Technology &amp; AI; Ethics, regulation &amp; policy; Research, science &amp; treatments; Reproductive health &amp; fertility; Population &amp; societal burden</t>
  </si>
  <si>
    <t xml:space="preserve">Access, cost &amp; equity; Healthcare system &amp; caregiving; Ethics, regulation &amp; policy; Ageism &amp; how society treats older adults</t>
  </si>
  <si>
    <t xml:space="preserve">Memory &amp; cognitive sharpness; Mental &amp; emotional well-being; Values &amp; identity</t>
  </si>
  <si>
    <t xml:space="preserve">Broad benefit to society; Access, cost &amp; equity; Chronic disease &amp; physical health; Technology &amp; AI; Longevity &amp; lifespan; Reproductive health &amp; fertility</t>
  </si>
  <si>
    <t xml:space="preserve">Technology &amp; AI; Safety, accuracy &amp; misuse; Ethics, regulation &amp; policy</t>
  </si>
  <si>
    <t xml:space="preserve">Biological / cellular process; Passage of time / getting older; Physical &amp; bodily change; Growth, experience &amp; wisdom</t>
  </si>
  <si>
    <t xml:space="preserve">Access, cost &amp; equity; Quality of life</t>
  </si>
  <si>
    <t xml:space="preserve">Personal relevance; Broad benefit to society; Access, cost &amp; equity; Healthcare system &amp; caregiving; Chronic disease &amp; physical health; Technology &amp; AI; Ethics, regulation &amp; policy; Research, science &amp; treatments; Prevention &amp; early detection</t>
  </si>
  <si>
    <t xml:space="preserve">Access, cost &amp; equity; Ethics, regulation &amp; policy; Research, science &amp; treatments; Prevention &amp; early detection; Population &amp; societal burden</t>
  </si>
  <si>
    <t xml:space="preserve">Safety, accuracy &amp; misuse; Ethics, regulation &amp; policy; Research, science &amp; treatments; Longevity &amp; lifespan</t>
  </si>
  <si>
    <t xml:space="preserve">Personal relevance; Broad benefit to society; Access, cost &amp; equity; Healthcare system &amp; caregiving; Social connection &amp; isolation; Technology &amp; AI; Reproductive health &amp; fertility</t>
  </si>
  <si>
    <t xml:space="preserve">Access, cost &amp; equity; Healthcare system &amp; caregiving; Chronic disease &amp; physical health; Longevity &amp; lifespan</t>
  </si>
  <si>
    <t xml:space="preserve">Healthcare system &amp; caregiving; Ethics, regulation &amp; policy; Population &amp; societal burden</t>
  </si>
  <si>
    <t xml:space="preserve">Memory &amp; cognitive sharpness; Relationships &amp; social life; Hobbies, curiosity &amp; purpose</t>
  </si>
  <si>
    <t xml:space="preserve">Access, cost &amp; equity; Healthcare system &amp; caregiving; Safety, accuracy &amp; misuse</t>
  </si>
  <si>
    <t xml:space="preserve">Access, cost &amp; equity; Healthcare system &amp; caregiving; Mental &amp; emotional health; Social connection &amp; isolation; Financial security, work &amp; basic needs; Population &amp; societal burden</t>
  </si>
  <si>
    <t xml:space="preserve">Exercise &amp; physical activity; Social engagement; Preventive &amp; medical care</t>
  </si>
  <si>
    <t xml:space="preserve">Privacy &amp; data protection; Safety, accuracy &amp; misuse</t>
  </si>
  <si>
    <t xml:space="preserve">Decline &amp; change in function; Biological / cellular process; Passage of time / getting older; Physical &amp; bodily change; Cognitive &amp; mental change; Natural stage of life</t>
  </si>
  <si>
    <t xml:space="preserve">Chronic disease &amp; physical health; Longevity &amp; lifespan; Quality of life</t>
  </si>
  <si>
    <t xml:space="preserve">Healthcare system &amp; caregiving; Independence &amp; autonomy; Quality of life</t>
  </si>
  <si>
    <t xml:space="preserve">Memory &amp; cognitive sharpness; Relationships &amp; social life; Independence; Hobbies, curiosity &amp; purpose</t>
  </si>
  <si>
    <t xml:space="preserve">Exercise &amp; physical activity; Sleep &amp; rest; Social engagement; Learning &amp; mental stimulation; Stress &amp; emotional well-being</t>
  </si>
  <si>
    <t xml:space="preserve">Broad benefit to society; Access, cost &amp; equity; Reproductive health &amp; fertility</t>
  </si>
  <si>
    <t xml:space="preserve">Access, cost &amp; equity; Technology &amp; AI; Reproductive health &amp; fertility</t>
  </si>
  <si>
    <t xml:space="preserve">Access, cost &amp; equity; Healthcare system &amp; caregiving; Technology &amp; AI; Privacy &amp; data protection; Safety, accuracy &amp; misuse; Ethics, regulation &amp; policy</t>
  </si>
  <si>
    <t xml:space="preserve">Personal relevance; Broad benefit to society; Access, cost &amp; equity; Financial security, work &amp; basic needs; Technology &amp; AI; Reproductive health &amp; fertility</t>
  </si>
  <si>
    <t xml:space="preserve">Mental &amp; emotional well-being; Financial security</t>
  </si>
  <si>
    <t xml:space="preserve">Healthcare system &amp; caregiving; Technology &amp; AI; Safety, accuracy &amp; misuse; Prevention &amp; early detection</t>
  </si>
  <si>
    <t xml:space="preserve">Personal relevance; Research, science &amp; treatments</t>
  </si>
  <si>
    <t xml:space="preserve">Research, science &amp; treatments; Longevity &amp; lifespan</t>
  </si>
  <si>
    <t xml:space="preserve">Ethics, regulation &amp; policy; Population &amp; societal burden</t>
  </si>
  <si>
    <t xml:space="preserve">Personal relevance; Access, cost &amp; equity</t>
  </si>
  <si>
    <t xml:space="preserve">Technology &amp; AI; Research, science &amp; treatments; Ageism &amp; how society treats older adults; Quality of life</t>
  </si>
  <si>
    <t xml:space="preserve">Safety, accuracy &amp; misuse; Ethics, regulation &amp; policy; Reproductive health &amp; fertility; Population &amp; societal burden</t>
  </si>
  <si>
    <t xml:space="preserve">Access, cost &amp; equity; Healthcare system &amp; caregiving; Chronic disease &amp; physical health; Mental &amp; emotional health; Social connection &amp; isolation; Financial security, work &amp; basic needs; Technology &amp; AI; Safety, accuracy &amp; misuse; Reproductive health &amp; fertility; Population &amp; societal burden</t>
  </si>
  <si>
    <t xml:space="preserve">Access, cost &amp; equity; Healthcare system &amp; caregiving; Chronic disease &amp; physical health; Social connection &amp; isolation; Financial security, work &amp; basic needs; Ethics, regulation &amp; policy</t>
  </si>
  <si>
    <t xml:space="preserve">Healthy lifestyle &amp; habits (general); Stress &amp; emotional well-being</t>
  </si>
  <si>
    <t xml:space="preserve">Chronic disease &amp; physical health; Technology &amp; AI; Safety, accuracy &amp; misuse; Research, science &amp; treatments; Prevention &amp; early detection; Population &amp; societal burden</t>
  </si>
  <si>
    <t xml:space="preserve">Access, cost &amp; equity; Healthcare system &amp; caregiving; Chronic disease &amp; physical health; Technology &amp; AI; Safety, accuracy &amp; misuse; Research, science &amp; treatments; Prevention &amp; early detection; Longevity &amp; lifespan</t>
  </si>
  <si>
    <t xml:space="preserve">Access, cost &amp; equity; Healthcare system &amp; caregiving; Chronic disease &amp; physical health; Financial security, work &amp; basic needs; Technology &amp; AI; Safety, accuracy &amp; misuse; Ethics, regulation &amp; policy; Research, science &amp; treatments; Prevention &amp; early detection; Ageism &amp; how society treats older adults</t>
  </si>
  <si>
    <t xml:space="preserve">Physical &amp; bodily change; Cognitive &amp; mental change</t>
  </si>
  <si>
    <t xml:space="preserve">Mental &amp; emotional well-being; Hobbies, curiosity &amp; purpose; Appearance</t>
  </si>
  <si>
    <t xml:space="preserve">Exercise &amp; physical activity; Diet &amp; nutrition; Sleep &amp; rest; Learning &amp; mental stimulation</t>
  </si>
  <si>
    <t xml:space="preserve">Broad benefit to society; Technology &amp; AI; Ethics, regulation &amp; policy; Population &amp; societal burden</t>
  </si>
  <si>
    <t xml:space="preserve">Technology &amp; AI; Safety, accuracy &amp; misuse; Ethics, regulation &amp; policy; Research, science &amp; treatments; Prevention &amp; early detection</t>
  </si>
  <si>
    <t xml:space="preserve">Ethics, regulation &amp; policy; Reproductive health &amp; fertility</t>
  </si>
  <si>
    <t xml:space="preserve">Decline &amp; change in function; Passage of time / getting older; Physical &amp; bodily change; Cognitive &amp; mental change; Growth, experience &amp; wisdom; Natural stage of life</t>
  </si>
  <si>
    <t xml:space="preserve">Healthcare system &amp; caregiving; Social connection &amp; isolation; Population &amp; societal burden</t>
  </si>
  <si>
    <t xml:space="preserve">Social connection &amp; isolation; Safety, accuracy &amp; misuse; Reproductive health &amp; fertility; Population &amp; societal burden; Quality of life</t>
  </si>
  <si>
    <t xml:space="preserve">Healthy lifestyle &amp; habits (general); Exercise &amp; physical activity; Diet &amp; nutrition; Avoiding harmful habits; Social engagement; Financial planning</t>
  </si>
  <si>
    <t xml:space="preserve">Access, cost &amp; equity; Chronic disease &amp; physical health; Technology &amp; AI; Reproductive health &amp; fertility; Quality of life</t>
  </si>
  <si>
    <t xml:space="preserve">Access, cost &amp; equity; Chronic disease &amp; physical health; Technology &amp; AI; Quality of life</t>
  </si>
  <si>
    <t xml:space="preserve">Access, cost &amp; equity; Privacy &amp; data protection; Ethics, regulation &amp; policy; Longevity &amp; lifespan</t>
  </si>
  <si>
    <t xml:space="preserve">Independence &amp; autonomy; Technology &amp; AI; Research, science &amp; treatments</t>
  </si>
  <si>
    <t xml:space="preserve">Healthcare system &amp; caregiving; Social connection &amp; isolation; Financial security, work &amp; basic needs; Population &amp; societal burden</t>
  </si>
  <si>
    <t xml:space="preserve">Learning &amp; mental stimulation; Stress &amp; emotional well-being; Financial planning</t>
  </si>
  <si>
    <t xml:space="preserve">Chronic disease &amp; physical health; Technology &amp; AI; Research, science &amp; treatments; Prevention &amp; early detection</t>
  </si>
  <si>
    <t xml:space="preserve">Chronic disease &amp; physical health; Technology &amp; AI; Prevention &amp; early detection</t>
  </si>
  <si>
    <t xml:space="preserve">Social connection &amp; isolation; Financial security, work &amp; basic needs; Research, science &amp; treatments; Population &amp; societal burden</t>
  </si>
  <si>
    <t xml:space="preserve">Chronic disease &amp; physical health; Social connection &amp; isolation; Population &amp; societal burden</t>
  </si>
  <si>
    <t xml:space="preserve">Chronic disease &amp; physical health; Technology &amp; AI; Safety, accuracy &amp; misuse; Prevention &amp; early detection</t>
  </si>
  <si>
    <t xml:space="preserve">Social connection &amp; isolation; Financial security, work &amp; basic needs</t>
  </si>
  <si>
    <t xml:space="preserve">Healthcare system &amp; caregiving; Longevity &amp; lifespan</t>
  </si>
  <si>
    <t xml:space="preserve">Personal relevance; Broad benefit to society; Ethics, regulation &amp; policy; Longevity &amp; lifespan</t>
  </si>
  <si>
    <t xml:space="preserve">Financial security, work &amp; basic needs; Technology &amp; AI; Research, science &amp; treatments</t>
  </si>
  <si>
    <t xml:space="preserve">Access, cost &amp; equity; Technology &amp; AI; Privacy &amp; data protection</t>
  </si>
  <si>
    <t xml:space="preserve">Memory &amp; cognitive sharpness; Values &amp; identity</t>
  </si>
  <si>
    <t xml:space="preserve">Access, cost &amp; equity; Chronic disease &amp; physical health; Financial security, work &amp; basic needs</t>
  </si>
  <si>
    <t xml:space="preserve">Mental &amp; emotional health; Financial security, work &amp; basic needs</t>
  </si>
  <si>
    <t xml:space="preserve">Technology &amp; AI; Research, science &amp; treatments; Reproductive health &amp; fertility</t>
  </si>
  <si>
    <t xml:space="preserve">Healthcare system &amp; caregiving; Mental &amp; emotional health; Population &amp; societal burden</t>
  </si>
  <si>
    <t xml:space="preserve">Access, cost &amp; equity; Chronic disease &amp; physical health; Ethics, regulation &amp; policy; Longevity &amp; lifespan</t>
  </si>
  <si>
    <t xml:space="preserve">Decline &amp; change in function; Biological / cellular process; Cognitive &amp; mental change</t>
  </si>
  <si>
    <t xml:space="preserve">Healthy lifestyle &amp; habits (general); Exercise &amp; physical activity; Diet &amp; nutrition; Stress &amp; emotional well-being</t>
  </si>
  <si>
    <t xml:space="preserve">Access, cost &amp; equity; Safety, accuracy &amp; misuse</t>
  </si>
  <si>
    <t xml:space="preserve">Healthcare system &amp; caregiving; Chronic disease &amp; physical health; Mental &amp; emotional health; Social connection &amp; isolation; Quality of life</t>
  </si>
  <si>
    <t xml:space="preserve">Healthy lifestyle &amp; habits (general); Avoiding harmful habits</t>
  </si>
  <si>
    <t xml:space="preserve">Personal relevance; Broad benefit to society; Access, cost &amp; equity; Healthcare system &amp; caregiving; Chronic disease &amp; physical health; Technology &amp; AI; Prevention &amp; early detection; Reproductive health &amp; fertility; Population &amp; societal burden</t>
  </si>
  <si>
    <t xml:space="preserve">Access, cost &amp; equity; Healthcare system &amp; caregiving; Social connection &amp; isolation; Technology &amp; AI; Safety, accuracy &amp; misuse; Research, science &amp; treatments; Prevention &amp; early detection</t>
  </si>
  <si>
    <t xml:space="preserve">Physical health &amp; mobility; Memory &amp; cognitive sharpness; Mental &amp; emotional well-being; Financial security</t>
  </si>
  <si>
    <t xml:space="preserve">Personal relevance; Broad benefit to society; Chronic disease &amp; physical health; Prevention &amp; early detection; Quality of life</t>
  </si>
  <si>
    <t xml:space="preserve">Physical health &amp; mobility; Memory &amp; cognitive sharpness; Mental &amp; emotional well-being; Independence</t>
  </si>
  <si>
    <t xml:space="preserve">Physical health &amp; mobility; Memory &amp; cognitive sharpness; Mental &amp; emotional well-being; Relationships &amp; social life</t>
  </si>
  <si>
    <t xml:space="preserve">Personal relevance; Broad benefit to society; Quality of life</t>
  </si>
  <si>
    <t xml:space="preserve">Access, cost &amp; equity; Technology &amp; AI; Longevity &amp; lifespan</t>
  </si>
  <si>
    <t xml:space="preserve">Memory &amp; cognitive sharpness; Mental &amp; emotional well-being; Relationships &amp; social life; Financial security</t>
  </si>
  <si>
    <t xml:space="preserve">Personal relevance; Broad benefit to society; Access, cost &amp; equity; Healthcare system &amp; caregiving; Quality of life</t>
  </si>
  <si>
    <t xml:space="preserve">Personal relevance; Broad benefit to society; Access, cost &amp; equity; Healthcare system &amp; caregiving; Technology &amp; AI; Research, science &amp; treatments; Quality of life</t>
  </si>
  <si>
    <t xml:space="preserve">Personal relevance; Broad benefit to society; Access, cost &amp; equity; Healthcare system &amp; caregiving; Chronic disease &amp; physical health; Technology &amp; AI; Research, science &amp; treatments; Prevention &amp; early detection; Quality of life</t>
  </si>
  <si>
    <t xml:space="preserve">Personal relevance; Broad benefit to society; Chronic disease &amp; physical health; Technology &amp; AI; Research, science &amp; treatments; Prevention &amp; early detection; Quality of life</t>
  </si>
  <si>
    <t xml:space="preserve">Personal relevance; Broad benefit to society; Chronic disease &amp; physical health; Prevention &amp; early detection</t>
  </si>
  <si>
    <t xml:space="preserve">Personal relevance; Broad benefit to society; Technology &amp; AI; Research, science &amp; treatments; Quality of life</t>
  </si>
  <si>
    <t xml:space="preserve">Memory &amp; cognitive sharpness; Mental &amp; emotional well-being; Financial security; Appearance</t>
  </si>
  <si>
    <t xml:space="preserve">Physical health &amp; mobility; Memory &amp; cognitive sharpness; Mental &amp; emotional well-being; Financial security; Hobbies, curiosity &amp; purpose</t>
  </si>
  <si>
    <t xml:space="preserve">Personal relevance; Broad benefit to society; Access, cost &amp; equity; Healthcare system &amp; caregiving; Chronic disease &amp; physical health; Prevention &amp; early detection</t>
  </si>
  <si>
    <t xml:space="preserve">Physical health &amp; mobility; Financial security; Appearance</t>
  </si>
  <si>
    <t xml:space="preserve">Personal relevance; Broad benefit to society; Access, cost &amp; equity; Healthcare system &amp; caregiving; Chronic disease &amp; physical health; Prevention &amp; early detection; Quality of life</t>
  </si>
  <si>
    <t xml:space="preserve">Physical health &amp; mobility; Memory &amp; cognitive sharpness; Mental &amp; emotional well-being; Appearance</t>
  </si>
  <si>
    <t xml:space="preserve">Personal relevance; Broad benefit to society; Access, cost &amp; equity; Healthcare system &amp; caregiving</t>
  </si>
  <si>
    <t xml:space="preserve">Memory &amp; cognitive sharpness; Mental &amp; emotional well-being; Independence; Financial security</t>
  </si>
  <si>
    <t xml:space="preserve">Personal relevance; Broad benefit to society; Chronic disease &amp; physical health; Technology &amp; AI; Research, science &amp; treatments; Prevention &amp; early detection</t>
  </si>
  <si>
    <t xml:space="preserve">Personal relevance; Quality of life</t>
  </si>
  <si>
    <t xml:space="preserve">Memory &amp; cognitive sharpness; Mental &amp; emotional well-being; Financial security; Hobbies, curiosity &amp; purpose; Appearance</t>
  </si>
  <si>
    <t xml:space="preserve">Relationships &amp; social life; Financial security; Hobbies, curiosity &amp; purpose; Appearance</t>
  </si>
  <si>
    <t xml:space="preserve">Independence; Financial security; Appearance</t>
  </si>
  <si>
    <t xml:space="preserve">Physical health &amp; mobility; Independence; Financial security; Hobbies, curiosity &amp; purpose</t>
  </si>
  <si>
    <t xml:space="preserve">Memory &amp; cognitive sharpness; Mental &amp; emotional well-being; Relationships &amp; social life; Independence</t>
  </si>
  <si>
    <t xml:space="preserve">Memory &amp; cognitive sharpness; Mental &amp; emotional well-being; Financial security; Hobbies, curiosity &amp; purpose</t>
  </si>
  <si>
    <t xml:space="preserve">Memory &amp; cognitive sharpness; Mental &amp; emotional well-being; Independence</t>
  </si>
  <si>
    <t xml:space="preserve">Personal relevance; Broad benefit to society; Access, cost &amp; equity; Healthcare system &amp; caregiving; Technology &amp; AI; Research, science &amp; treatments</t>
  </si>
  <si>
    <t xml:space="preserve">Relationships &amp; social life; Independence; Financial security; Hobbies, curiosity &amp; purpose</t>
  </si>
  <si>
    <t xml:space="preserve">Physical health &amp; mobility; Memory &amp; cognitive sharpness; Mental &amp; emotional well-being; Relationships &amp; social life; Independence</t>
  </si>
  <si>
    <t xml:space="preserve">Physical health &amp; mobility; Relationships &amp; social life; Appearance</t>
  </si>
  <si>
    <t xml:space="preserve">Healthcare system &amp; caregiving; Mental &amp; emotional health; Independence &amp; autonomy</t>
  </si>
  <si>
    <t xml:space="preserve">Chronic disease &amp; physical health; Safety, accuracy &amp; misuse; Longevity &amp; lifespan; Population &amp; societal burden</t>
  </si>
  <si>
    <t xml:space="preserve">Healthcare system &amp; caregiving; Prevention &amp; early detection; Population &amp; societal burden</t>
  </si>
  <si>
    <t xml:space="preserve">Chronic disease &amp; physical health; Social connection &amp; isolation; Research, science &amp; treatments</t>
  </si>
  <si>
    <t xml:space="preserve">Chronic disease &amp; physical health; Mental &amp; emotional health; Social connection &amp; isolation; Technology &amp; AI; Population &amp; societal burden</t>
  </si>
  <si>
    <t xml:space="preserve">Access, cost &amp; equity; Technology &amp; AI; Reproductive health &amp; fertility; Quality of life</t>
  </si>
  <si>
    <t xml:space="preserve">Broad benefit to society; Access, cost &amp; equity; Healthcare system &amp; caregiving; Chronic disease &amp; physical health; Financial security, work &amp; basic needs; Research, science &amp; treatments</t>
  </si>
  <si>
    <t xml:space="preserve">Access, cost &amp; equity; Healthcare system &amp; caregiving; Privacy &amp; data protection</t>
  </si>
  <si>
    <t xml:space="preserve">Access, cost &amp; equity; Safety, accuracy &amp; misuse; Ageism &amp; how society treats older adults</t>
  </si>
  <si>
    <t xml:space="preserve">Chronic disease &amp; physical health; Mental &amp; emotional health; Financial security, work &amp; basic needs</t>
  </si>
  <si>
    <t xml:space="preserve">Mental &amp; emotional well-being; Appearance</t>
  </si>
  <si>
    <t xml:space="preserve">Technology &amp; AI; Reproductive health &amp; fertility; Quality of life</t>
  </si>
  <si>
    <t xml:space="preserve">Cognitive decline &amp; dementia; Technology &amp; AI</t>
  </si>
  <si>
    <t xml:space="preserve">Access, cost &amp; equity; Reproductive health &amp; fertility; Population &amp; societal burden</t>
  </si>
  <si>
    <t xml:space="preserve">Values &amp; identity</t>
  </si>
  <si>
    <t xml:space="preserve">Broad benefit to society; Access, cost &amp; equity; Chronic disease &amp; physical health; Technology &amp; AI; Research, science &amp; treatments; Longevity &amp; lifespan; Population &amp; societal burden; Quality of life</t>
  </si>
  <si>
    <t xml:space="preserve">Decline &amp; change in function; Biological / cellular process; Passage of time / getting older; Physical &amp; bodily change; Cognitive &amp; mental change</t>
  </si>
  <si>
    <t xml:space="preserve">Personal relevance; Healthcare system &amp; caregiving; Chronic disease &amp; physical health; Mental &amp; emotional health; Technology &amp; AI; Reproductive health &amp; fertility</t>
  </si>
  <si>
    <t xml:space="preserve">Access, cost &amp; equity; Healthcare system &amp; caregiving; Chronic disease &amp; physical health; Ethics, regulation &amp; policy</t>
  </si>
  <si>
    <t xml:space="preserve">Privacy &amp; data protection; Safety, accuracy &amp; misuse; Ageism &amp; how society treats older adults</t>
  </si>
  <si>
    <t xml:space="preserve">Access, cost &amp; equity; Social connection &amp; isolation; Financial security, work &amp; basic needs; Safety, accuracy &amp; misuse; Research, science &amp; treatments</t>
  </si>
  <si>
    <t xml:space="preserve">Physical health &amp; mobility; Mental &amp; emotional well-being; Relationships &amp; social life; Financial security</t>
  </si>
  <si>
    <t xml:space="preserve">Independence; Financial security</t>
  </si>
  <si>
    <t xml:space="preserve">Privacy &amp; data protection; Ethics, regulation &amp; policy; Prevention &amp; early detection</t>
  </si>
  <si>
    <t xml:space="preserve">Financial security, work &amp; basic needs; Quality of life</t>
  </si>
  <si>
    <t xml:space="preserve">Social engagement; Stress &amp; emotional well-being; Financial planning</t>
  </si>
  <si>
    <t xml:space="preserve">Chronic disease &amp; physical health; Safety, accuracy &amp; misuse; Prevention &amp; early detection; Population &amp; societal burden</t>
  </si>
  <si>
    <t xml:space="preserve">Independence</t>
  </si>
  <si>
    <t xml:space="preserve">Personal relevance; Broad benefit to society; Access, cost &amp; equity; Chronic disease &amp; physical health; Technology &amp; AI; Longevity &amp; lifespan</t>
  </si>
  <si>
    <t xml:space="preserve">Personal relevance; Broad benefit to society; Chronic disease &amp; physical health; Longevity &amp; lifespan; Ageism &amp; how society treats older adults; Population &amp; societal burden</t>
  </si>
  <si>
    <t xml:space="preserve">Decline &amp; change in function; Physical &amp; bodily change; Natural stage of life</t>
  </si>
  <si>
    <t xml:space="preserve">Healthcare system &amp; caregiving; Ethics, regulation &amp; policy</t>
  </si>
  <si>
    <t xml:space="preserve">Personal relevance; Broad benefit to society; Access, cost &amp; equity; Research, science &amp; treatments</t>
  </si>
  <si>
    <t xml:space="preserve">Technology &amp; AI; Research, science &amp; treatments; Longevity &amp; lifespan</t>
  </si>
  <si>
    <t xml:space="preserve">Mental &amp; emotional health; Population &amp; societal burden</t>
  </si>
  <si>
    <t xml:space="preserve">Physical health &amp; mobility; Mental &amp; emotional well-being; Appearance</t>
  </si>
  <si>
    <t xml:space="preserve">Exercise &amp; physical activity; Diet &amp; nutrition; Social engagement; Stress &amp; emotional well-being</t>
  </si>
  <si>
    <t xml:space="preserve">Personal relevance; Broad benefit to society; Access, cost &amp; equity; Chronic disease &amp; physical health; Technology &amp; AI; Research, science &amp; treatments; Prevention &amp; early detection; Longevity &amp; lifespan; Reproductive health &amp; fertility; Population &amp; societal burden; Quality of life</t>
  </si>
  <si>
    <t xml:space="preserve">Access, cost &amp; equity; Research, science &amp; treatments; Longevity &amp; lifespan; Population &amp; societal burden</t>
  </si>
  <si>
    <t xml:space="preserve">Personal relevance; Broad benefit to society; Chronic disease &amp; physical health; Longevity &amp; lifespan</t>
  </si>
  <si>
    <t xml:space="preserve">Healthcare system &amp; caregiving; Chronic disease &amp; physical health; Cognitive decline &amp; dementia; Social connection &amp; isolation; Prevention &amp; early detection; Population &amp; societal burden; Quality of life</t>
  </si>
  <si>
    <t xml:space="preserve">Physical health &amp; mobility; Memory &amp; cognitive sharpness; Relationships &amp; social life; Independence</t>
  </si>
  <si>
    <t xml:space="preserve">Broad benefit to society; Access, cost &amp; equity; Healthcare system &amp; caregiving; Chronic disease &amp; physical health; Technology &amp; AI; Prevention &amp; early detection; Longevity &amp; lifespan; Reproductive health &amp; fertility; Population &amp; societal burden</t>
  </si>
  <si>
    <t xml:space="preserve">Chronic disease &amp; physical health; Independence &amp; autonomy; Technology &amp; AI; Safety, accuracy &amp; misuse; Prevention &amp; early detection; Quality of life</t>
  </si>
  <si>
    <t xml:space="preserve">Access, cost &amp; equity; Chronic disease &amp; physical health; Technology &amp; AI; Privacy &amp; data protection; Ethics, regulation &amp; policy; Ageism &amp; how society treats older adults</t>
  </si>
  <si>
    <t xml:space="preserve">Access, cost &amp; equity; Chronic disease &amp; physical health; Financial security, work &amp; basic needs; Technology &amp; AI; Privacy &amp; data protection; Ethics, regulation &amp; policy; Prevention &amp; early detection; Longevity &amp; lifespan</t>
  </si>
  <si>
    <t xml:space="preserve">Independence &amp; autonomy; Quality of life</t>
  </si>
  <si>
    <t xml:space="preserve">Personal relevance; Broad benefit to society; Chronic disease &amp; physical health; Technology &amp; AI; Prevention &amp; early detection; Population &amp; societal burden</t>
  </si>
  <si>
    <t xml:space="preserve">Healthcare system &amp; caregiving; Chronic disease &amp; physical health; Social connection &amp; isolation; Longevity &amp; lifespan</t>
  </si>
  <si>
    <t xml:space="preserve">Access, cost &amp; equity; Chronic disease &amp; physical health; Social connection &amp; isolation; Financial security, work &amp; basic needs; Technology &amp; AI; Safety, accuracy &amp; misuse; Research, science &amp; treatments; Prevention &amp; early detection; Quality of life</t>
  </si>
  <si>
    <t xml:space="preserve">Broad benefit to society; Population &amp; societal burden</t>
  </si>
  <si>
    <t xml:space="preserve">Access, cost &amp; equity; Technology &amp; AI; Safety, accuracy &amp; misuse; Ethics, regulation &amp; policy; Research, science &amp; treatments; Prevention &amp; early detection; Reproductive health &amp; fertility</t>
  </si>
  <si>
    <t xml:space="preserve">Decline &amp; change in function; Physical &amp; bodily change; Growth, experience &amp; wisdom</t>
  </si>
  <si>
    <t xml:space="preserve">Access, cost &amp; equity; Healthcare system &amp; caregiving; Financial security, work &amp; basic needs; Quality of life</t>
  </si>
  <si>
    <t xml:space="preserve">Healthy lifestyle &amp; habits (general); Exercise &amp; physical activity; Social engagement; Financial planning</t>
  </si>
  <si>
    <t xml:space="preserve">Access, cost &amp; equity; Healthcare system &amp; caregiving; Research, science &amp; treatments; Longevity &amp; lifespan</t>
  </si>
  <si>
    <t xml:space="preserve">Healthcare system &amp; caregiving; Technology &amp; AI; Safety, accuracy &amp; misuse</t>
  </si>
  <si>
    <t xml:space="preserve">Healthcare system &amp; caregiving; Technology &amp; AI; Privacy &amp; data protection; Safety, accuracy &amp; misuse; Ethics, regulation &amp; policy</t>
  </si>
  <si>
    <t xml:space="preserve">Access, cost &amp; equity; Healthcare system &amp; caregiving; Chronic disease &amp; physical health; Financial security, work &amp; basic needs; Population &amp; societal burden</t>
  </si>
  <si>
    <t xml:space="preserve">Broad benefit to society; Access, cost &amp; equity; Chronic disease &amp; physical health; Ethics, regulation &amp; policy; Research, science &amp; treatments; Prevention &amp; early detection; Longevity &amp; lifespan; Reproductive health &amp; fertility; Population &amp; societal burden</t>
  </si>
  <si>
    <t xml:space="preserve">Chronic disease &amp; physical health; Technology &amp; AI; Safety, accuracy &amp; misuse; Research, science &amp; treatments; Prevention &amp; early detection</t>
  </si>
  <si>
    <t xml:space="preserve">Healthcare system &amp; caregiving; Chronic disease &amp; physical health; Independence &amp; autonomy; Prevention &amp; early detection; Population &amp; societal burden; Quality of life</t>
  </si>
  <si>
    <t xml:space="preserve">Exercise &amp; physical activity; Social engagement; Learning &amp; mental stimulation; Preventive &amp; medical care</t>
  </si>
  <si>
    <t xml:space="preserve">Access, cost &amp; equity; Technology &amp; AI; Safety, accuracy &amp; misuse</t>
  </si>
  <si>
    <t xml:space="preserve">Broad benefit to society; Research, science &amp; treatments</t>
  </si>
  <si>
    <t xml:space="preserve">Access, cost &amp; equity; Social connection &amp; isolation; Financial security, work &amp; basic needs; Privacy &amp; data protection; Ethics, regulation &amp; policy; Population &amp; societal burden</t>
  </si>
  <si>
    <t xml:space="preserve">Broad benefit to society; Longevity &amp; lifespan</t>
  </si>
  <si>
    <t xml:space="preserve">Mindset / "just a number"; Decline &amp; change in function; Passage of time / getting older; Physical &amp; bodily change; Cognitive &amp; mental change; Growth, experience &amp; wisdom</t>
  </si>
  <si>
    <t xml:space="preserve">Access, cost &amp; equity; Financial security, work &amp; basic needs; Population &amp; societal burden</t>
  </si>
  <si>
    <t xml:space="preserve">Financial security, work &amp; basic needs; Population &amp; societal burden; Quality of life</t>
  </si>
  <si>
    <t xml:space="preserve">Mindset / "just a number"; Cognitive &amp; mental change</t>
  </si>
  <si>
    <t xml:space="preserve">Personal relevance; Broad benefit to society; Longevity &amp; lifespan</t>
  </si>
  <si>
    <t xml:space="preserve">Mental &amp; emotional health; Social connection &amp; isolation; Technology &amp; AI</t>
  </si>
  <si>
    <t xml:space="preserve">Relationships &amp; social life; Financial security; Hobbies, curiosity &amp; purpose</t>
  </si>
  <si>
    <t xml:space="preserve">Personal relevance; Technology &amp; AI; Longevity &amp; lifespan</t>
  </si>
  <si>
    <t xml:space="preserve">Personal relevance; Technology &amp; AI; Research, science &amp; treatments</t>
  </si>
  <si>
    <t xml:space="preserve">Access, cost &amp; equity; Chronic disease &amp; physical health; Prevention &amp; early detection</t>
  </si>
  <si>
    <t xml:space="preserve">Mental &amp; emotional well-being; Values &amp; identity</t>
  </si>
  <si>
    <t xml:space="preserve">Mindset / "just a number"; Passage of time / getting older; Cognitive &amp; mental change</t>
  </si>
  <si>
    <t xml:space="preserve">Social connection &amp; isolation; Independence &amp; autonomy</t>
  </si>
  <si>
    <t xml:space="preserve">Personal relevance; Access, cost &amp; equity; Chronic disease &amp; physical health; Technology &amp; AI; Research, science &amp; treatments; Longevity &amp; lifespan; Reproductive health &amp; fertility</t>
  </si>
  <si>
    <t xml:space="preserve">Hobbies, curiosity &amp; purpose; Values &amp; identity</t>
  </si>
  <si>
    <t xml:space="preserve">Personal relevance; Broad benefit to society; Access, cost &amp; equity; Chronic disease &amp; physical health; Technology &amp; AI; Prevention &amp; early detection</t>
  </si>
  <si>
    <t xml:space="preserve">Research, science &amp; treatments; Reproductive health &amp; fertility</t>
  </si>
  <si>
    <t xml:space="preserve">Healthcare system &amp; caregiving; Technology &amp; AI; Research, science &amp; treatments</t>
  </si>
  <si>
    <t xml:space="preserve">Access, cost &amp; equity; Chronic disease &amp; physical health; Privacy &amp; data protection; Safety, accuracy &amp; misuse; Ethics, regulation &amp; policy</t>
  </si>
  <si>
    <t xml:space="preserve">Healthcare system &amp; caregiving; Chronic disease &amp; physical health; Independence &amp; autonomy</t>
  </si>
  <si>
    <t xml:space="preserve">Social engagement; Preventive &amp; medical care</t>
  </si>
  <si>
    <t xml:space="preserve">Broad benefit to society; Access, cost &amp; equity; Chronic disease &amp; physical health; Social connection &amp; isolation; Technology &amp; AI; Reproductive health &amp; fertility</t>
  </si>
  <si>
    <t xml:space="preserve">Social connection &amp; isolation; Financial security, work &amp; basic needs; Research, science &amp; treatments</t>
  </si>
  <si>
    <t xml:space="preserve">Access, cost &amp; equity; Financial security, work &amp; basic needs; Research, science &amp; treatments</t>
  </si>
  <si>
    <t xml:space="preserve">Personal relevance; Broad benefit to society; Access, cost &amp; equity; Social connection &amp; isolation; Independence &amp; autonomy; Technology &amp; AI</t>
  </si>
  <si>
    <t xml:space="preserve">Personal relevance; Broad benefit to society; Independence &amp; autonomy; Technology &amp; AI; Research, science &amp; treatments; Longevity &amp; lifespan</t>
  </si>
  <si>
    <t xml:space="preserve">Chronic disease &amp; physical health; Independence &amp; autonomy; Technology &amp; AI; Prevention &amp; early detection</t>
  </si>
  <si>
    <t xml:space="preserve">Healthcare system &amp; caregiving; Financial security, work &amp; basic needs; Ethics, regulation &amp; policy; Population &amp; societal burden</t>
  </si>
  <si>
    <t xml:space="preserve">Healthcare system &amp; caregiving; Chronic disease &amp; physical health; Financial security, work &amp; basic needs; Population &amp; societal burden</t>
  </si>
  <si>
    <t xml:space="preserve">Personal relevance; Broad benefit to society; Access, cost &amp; equity</t>
  </si>
  <si>
    <t xml:space="preserve">Healthy lifestyle &amp; habits (general); Exercise &amp; physical activity; Diet &amp; nutrition; Sleep &amp; rest; Social engagement; Learning &amp; mental stimulation; Preventive &amp; medical care</t>
  </si>
  <si>
    <t xml:space="preserve">Personal relevance; Broad benefit to society; Chronic disease &amp; physical health; Technology &amp; AI; Quality of life</t>
  </si>
  <si>
    <t xml:space="preserve">Access, cost &amp; equity; Healthcare system &amp; caregiving; Chronic disease &amp; physical health; Technology &amp; AI; Research, science &amp; treatments; Longevity &amp; lifespan</t>
  </si>
  <si>
    <t xml:space="preserve">Access, cost &amp; equity; Healthcare system &amp; caregiving; Chronic disease &amp; physical health; Technology &amp; AI; Privacy &amp; data protection; Safety, accuracy &amp; misuse; Ethics, regulation &amp; policy; Longevity &amp; lifespan</t>
  </si>
  <si>
    <t xml:space="preserve">Personal relevance; Broad benefit to society; Chronic disease &amp; physical health; Technology &amp; AI; Research, science &amp; treatments; Longevity &amp; lifespan</t>
  </si>
  <si>
    <t xml:space="preserve">Personal relevance; Broad benefit to society; Access, cost &amp; equity; Healthcare system &amp; caregiving; Chronic disease &amp; physical health; Social connection &amp; isolation; Technology &amp; AI</t>
  </si>
  <si>
    <t xml:space="preserve">Exercise &amp; physical activity; Stress &amp; emotional well-being</t>
  </si>
  <si>
    <t xml:space="preserve">Access, cost &amp; equity; Safety, accuracy &amp; misuse; Ethics, regulation &amp; policy</t>
  </si>
  <si>
    <t xml:space="preserve">Exercise &amp; physical activity; Social engagement; Financial planning</t>
  </si>
  <si>
    <t xml:space="preserve">Technology &amp; AI; Longevity &amp; lifespan; Reproductive health &amp; fertility</t>
  </si>
  <si>
    <t xml:space="preserve">Personal relevance; Broad benefit to society; Prevention &amp; early detection; Population &amp; societal burden</t>
  </si>
  <si>
    <t xml:space="preserve">Social connection &amp; isolation; Reproductive health &amp; fertility</t>
  </si>
  <si>
    <t xml:space="preserve">Broad benefit to society; Access, cost &amp; equity; Healthcare system &amp; caregiving; Longevity &amp; lifespan; Quality of life</t>
  </si>
  <si>
    <t xml:space="preserve">Appearance</t>
  </si>
  <si>
    <t xml:space="preserve">Cognitive decline &amp; dementia; Independence &amp; autonomy</t>
  </si>
  <si>
    <t xml:space="preserve">Healthcare system &amp; caregiving; Independence &amp; autonomy</t>
  </si>
  <si>
    <t xml:space="preserve">Personal relevance; Broad benefit to society; Population &amp; societal burden</t>
  </si>
  <si>
    <t xml:space="preserve">Chronic disease &amp; physical health; Technology &amp; AI; Safety, accuracy &amp; misuse</t>
  </si>
  <si>
    <t xml:space="preserve">Access, cost &amp; equity; Healthcare system &amp; caregiving; Research, science &amp; treatments; Longevity &amp; lifespan; Population &amp; societal burden</t>
  </si>
  <si>
    <t xml:space="preserve">Healthcare system &amp; caregiving; Chronic disease &amp; physical health; Social connection &amp; isolation; Independence &amp; autonomy</t>
  </si>
  <si>
    <t xml:space="preserve">Access, cost &amp; equity; Healthcare system &amp; caregiving; Research, science &amp; treatments</t>
  </si>
  <si>
    <t xml:space="preserve">Decline &amp; change in function; Biological / cellular process; Physical &amp; bodily change; Natural stage of life</t>
  </si>
  <si>
    <t xml:space="preserve">Access, cost &amp; equity; Mental &amp; emotional health; Social connection &amp; isolation; Ageism &amp; how society treats older adults</t>
  </si>
  <si>
    <t xml:space="preserve">Broad benefit to society; Technology &amp; AI; Population &amp; societal burden</t>
  </si>
  <si>
    <t xml:space="preserve">Access, cost &amp; equity; Financial security, work &amp; basic needs; Technology &amp; AI; Privacy &amp; data protection; Ethics, regulation &amp; policy</t>
  </si>
  <si>
    <t xml:space="preserve">Relationships &amp; social life; Hobbies, curiosity &amp; purpose; Values &amp; identity</t>
  </si>
  <si>
    <t xml:space="preserve">Access, cost &amp; equity; Healthcare system &amp; caregiving; Prevention &amp; early detection</t>
  </si>
  <si>
    <t xml:space="preserve">Healthy lifestyle &amp; habits (general); Exercise &amp; physical activity; Financial planning</t>
  </si>
  <si>
    <t xml:space="preserve">Personal relevance; Broad benefit to society; Chronic disease &amp; physical health; Technology &amp; AI; Prevention &amp; early detection; Longevity &amp; lifespan; Reproductive health &amp; fertility; Population &amp; societal burden</t>
  </si>
  <si>
    <t xml:space="preserve">Healthcare system &amp; caregiving; Mental &amp; emotional health; Financial security, work &amp; basic needs</t>
  </si>
  <si>
    <t xml:space="preserve">Exercise &amp; physical activity; Diet &amp; nutrition; Avoiding harmful habits; Social engagement</t>
  </si>
  <si>
    <t xml:space="preserve">Broad benefit to society; Access, cost &amp; equity; Chronic disease &amp; physical health; Technology &amp; AI; Reproductive health &amp; fertility</t>
  </si>
  <si>
    <t xml:space="preserve">Chronic disease &amp; physical health; Financial security, work &amp; basic needs; Population &amp; societal burden</t>
  </si>
  <si>
    <t xml:space="preserve">Access, cost &amp; equity; Chronic disease &amp; physical health; Social connection &amp; isolation; Financial security, work &amp; basic needs</t>
  </si>
  <si>
    <t xml:space="preserve">Access, cost &amp; equity; Healthcare system &amp; caregiving; Social connection &amp; isolation; Independence &amp; autonomy; Population &amp; societal burden</t>
  </si>
  <si>
    <t xml:space="preserve">Exercise &amp; physical activity; Diet &amp; nutrition; Avoiding harmful habits</t>
  </si>
  <si>
    <t xml:space="preserve">Technology &amp; AI; Safety, accuracy &amp; misuse; Ethics, regulation &amp; policy; Population &amp; societal burden</t>
  </si>
  <si>
    <t xml:space="preserve">Access, cost &amp; equity; Chronic disease &amp; physical health; Population &amp; societal burden; Quality of life</t>
  </si>
  <si>
    <t xml:space="preserve">Access, cost &amp; equity; Chronic disease &amp; physical health; Social connection &amp; isolation; Technology &amp; AI</t>
  </si>
  <si>
    <t xml:space="preserve">Access, cost &amp; equity; Healthcare system &amp; caregiving; Chronic disease &amp; physical health; Ethics, regulation &amp; policy; Population &amp; societal burden</t>
  </si>
  <si>
    <t xml:space="preserve">Physical health &amp; mobility; Mental &amp; emotional well-being; Financial security; Values &amp; identity</t>
  </si>
  <si>
    <t xml:space="preserve">Access, cost &amp; equity; Chronic disease &amp; physical health; Technology &amp; AI; Research, science &amp; treatments; Prevention &amp; early detection; Reproductive health &amp; fertility</t>
  </si>
  <si>
    <t xml:space="preserve">Access, cost &amp; equity; Technology &amp; AI; Privacy &amp; data protection; Research, science &amp; treatments</t>
  </si>
  <si>
    <t xml:space="preserve">Decline &amp; change in function; Biological / cellular process; Passage of time / getting older; Physical &amp; bodily change; Natural stage of life</t>
  </si>
  <si>
    <t xml:space="preserve">Healthcare system &amp; caregiving; Independence &amp; autonomy; Population &amp; societal burden</t>
  </si>
  <si>
    <t xml:space="preserve">Exercise &amp; physical activity; Avoiding harmful habits; Preventive &amp; medical care</t>
  </si>
  <si>
    <t xml:space="preserve">Personal relevance; Chronic disease &amp; physical health; Social connection &amp; isolation</t>
  </si>
  <si>
    <t xml:space="preserve">Chronic disease &amp; physical health; Privacy &amp; data protection; Safety, accuracy &amp; misuse; Research, science &amp; treatments</t>
  </si>
  <si>
    <t xml:space="preserve">Access, cost &amp; equity; Chronic disease &amp; physical health; Technology &amp; AI; Population &amp; societal burden</t>
  </si>
  <si>
    <t xml:space="preserve">Mental &amp; emotional health; Social connection &amp; isolation</t>
  </si>
  <si>
    <t xml:space="preserve">Exercise &amp; physical activity; Preventive &amp; medical care; Stress &amp; emotional well-being</t>
  </si>
  <si>
    <t xml:space="preserve">Safety, accuracy &amp; misuse; Ethics, regulation &amp; policy</t>
  </si>
  <si>
    <t xml:space="preserve">Access, cost &amp; equity; Chronic disease &amp; physical health; Privacy &amp; data protection; Safety, accuracy &amp; misuse; Research, science &amp; treatments</t>
  </si>
  <si>
    <t xml:space="preserve">Physical &amp; bodily change; Cognitive &amp; mental change; Natural stage of life; Social &amp; role change</t>
  </si>
  <si>
    <t xml:space="preserve">Physical health &amp; mobility; Memory &amp; cognitive sharpness; Independence; Hobbies, curiosity &amp; purpose</t>
  </si>
  <si>
    <t xml:space="preserve">Personal relevance; Social connection &amp; isolation; Technology &amp; AI; Research, science &amp; treatments</t>
  </si>
  <si>
    <t xml:space="preserve">Healthy lifestyle &amp; habits (general); Diet &amp; nutrition; Learning &amp; mental stimulation; Preventive &amp; medical care</t>
  </si>
  <si>
    <t xml:space="preserve">Safety, accuracy &amp; misuse; Ethics, regulation &amp; policy; Research, science &amp; treatments; Reproductive health &amp; fertility</t>
  </si>
  <si>
    <t xml:space="preserve">Healthy lifestyle &amp; habits (general); Exercise &amp; physical activity; Diet &amp; nutrition; Avoiding harmful habits</t>
  </si>
  <si>
    <t xml:space="preserve">Healthy lifestyle &amp; habits (general); Exercise &amp; physical activity; Diet &amp; nutrition; Sleep &amp; rest</t>
  </si>
  <si>
    <t xml:space="preserve">Personal relevance; Broad benefit to society; Chronic disease &amp; physical health; Social connection &amp; isolation</t>
  </si>
  <si>
    <t xml:space="preserve">Access, cost &amp; equity; Independence &amp; autonomy; Ethics, regulation &amp; policy; Longevity &amp; lifespan</t>
  </si>
  <si>
    <t xml:space="preserve">Physical health &amp; mobility; Mental &amp; emotional well-being; Independence; Hobbies, curiosity &amp; purpose</t>
  </si>
  <si>
    <t xml:space="preserve">Healthy lifestyle &amp; habits (general); Diet &amp; nutrition; Sleep &amp; rest; Preventive &amp; medical care</t>
  </si>
  <si>
    <t xml:space="preserve">Access, cost &amp; equity; Technology &amp; AI; Ethics, regulation &amp; policy; Population &amp; societal burden</t>
  </si>
  <si>
    <t xml:space="preserve">Exercise &amp; physical activity; Stress &amp; emotional well-being; Financial planning</t>
  </si>
  <si>
    <t xml:space="preserve">Access, cost &amp; equity; Chronic disease &amp; physical health; Technology &amp; AI; Privacy &amp; data protection; Ethics, regulation &amp; policy</t>
  </si>
  <si>
    <t xml:space="preserve">Memory &amp; cognitive sharpness; Independence; Hobbies, curiosity &amp; purpose; Values &amp; identity</t>
  </si>
  <si>
    <t xml:space="preserve">Exercise &amp; physical activity; Sleep &amp; rest; Avoiding harmful habits</t>
  </si>
  <si>
    <t xml:space="preserve">Personal relevance; Access, cost &amp; equity; Chronic disease &amp; physical health; Social connection &amp; isolation</t>
  </si>
  <si>
    <t xml:space="preserve">Memory &amp; cognitive sharpness; Mental &amp; emotional well-being; Independence; Hobbies, curiosity &amp; purpose</t>
  </si>
  <si>
    <t xml:space="preserve">Access, cost &amp; equity; Chronic disease &amp; physical health; Independence &amp; autonomy; Privacy &amp; data protection; Ethics, regulation &amp; policy</t>
  </si>
  <si>
    <t xml:space="preserve">Chronic disease &amp; physical health; Privacy &amp; data protection</t>
  </si>
  <si>
    <t xml:space="preserve">Independence &amp; autonomy; Technology &amp; AI; Ethics, regulation &amp; policy; Research, science &amp; treatments; Reproductive health &amp; fertility</t>
  </si>
  <si>
    <t xml:space="preserve">Personal relevance; Access, cost &amp; equity; Healthcare system &amp; caregiving; Chronic disease &amp; physical health; Social connection &amp; isolation</t>
  </si>
  <si>
    <t xml:space="preserve">Exercise &amp; physical activity; Preventive &amp; medical care; Financial planning</t>
  </si>
  <si>
    <t xml:space="preserve">Chronic disease &amp; physical health; Independence &amp; autonomy; Privacy &amp; data protection; Ethics, regulation &amp; policy; Longevity &amp; lifespan</t>
  </si>
  <si>
    <t xml:space="preserve">Memory &amp; cognitive sharpness; Independence; Financial security; Hobbies, curiosity &amp; purpose</t>
  </si>
  <si>
    <t xml:space="preserve">Preventive &amp; medical care; Financial planning</t>
  </si>
  <si>
    <t xml:space="preserve">Social connection &amp; isolation; Ageism &amp; how society treats older adults</t>
  </si>
  <si>
    <t xml:space="preserve">Exercise &amp; physical activity; Sleep &amp; rest; Financial planning</t>
  </si>
  <si>
    <t xml:space="preserve">Access, cost &amp; equity; Chronic disease &amp; physical health; Technology &amp; AI; Privacy &amp; data protection; Ethics, regulation &amp; policy; Research, science &amp; treatments</t>
  </si>
  <si>
    <t xml:space="preserve">Exercise &amp; physical activity; Sleep &amp; rest; Preventive &amp; medical care</t>
  </si>
  <si>
    <t xml:space="preserve">Chronic disease &amp; physical health; Independence &amp; autonomy; Privacy &amp; data protection; Ethics, regulation &amp; policy; Research, science &amp; treatments</t>
  </si>
  <si>
    <t xml:space="preserve">Personal relevance; Chronic disease &amp; physical health; Social connection &amp; isolation; Safety, accuracy &amp; misuse; Ethics, regulation &amp; policy</t>
  </si>
  <si>
    <t xml:space="preserve">Sleep &amp; rest; Learning &amp; mental stimulation; Preventive &amp; medical care</t>
  </si>
  <si>
    <t xml:space="preserve">Mental &amp; emotional well-being; Financial security; Values &amp; identity</t>
  </si>
  <si>
    <t xml:space="preserve">Avoiding harmful habits; Social engagement; Financial planning</t>
  </si>
  <si>
    <t xml:space="preserve">Chronic disease &amp; physical health; Independence &amp; autonomy; Privacy &amp; data protection; Safety, accuracy &amp; misuse; Ethics, regulation &amp; policy; Research, science &amp; treatments</t>
  </si>
  <si>
    <t xml:space="preserve">Physical health &amp; mobility; Independence; Values &amp; identity</t>
  </si>
  <si>
    <t xml:space="preserve">Access, cost &amp; equity; Independence &amp; autonomy; Safety, accuracy &amp; misuse; Ethics, regulation &amp; policy; Research, science &amp; treatments</t>
  </si>
  <si>
    <t xml:space="preserve">Exercise &amp; physical activity; Avoiding harmful habits; Learning &amp; mental stimulation</t>
  </si>
  <si>
    <t xml:space="preserve">Access, cost &amp; equity; Independence &amp; autonomy; Ethics, regulation &amp; policy; Research, science &amp; treatments; Longevity &amp; lifespan</t>
  </si>
  <si>
    <t xml:space="preserve">Memory &amp; cognitive sharpness; Financial security; Hobbies, curiosity &amp; purpose</t>
  </si>
  <si>
    <t xml:space="preserve">Exercise &amp; physical activity; Learning &amp; mental stimulation; Financial planning</t>
  </si>
  <si>
    <t xml:space="preserve">Healthy lifestyle &amp; habits (general); Diet &amp; nutrition; Sleep &amp; rest; Financial planning</t>
  </si>
  <si>
    <t xml:space="preserve">Access, cost &amp; equity; Independence &amp; autonomy; Technology &amp; AI; Ethics, regulation &amp; policy</t>
  </si>
  <si>
    <t xml:space="preserve">Physical health &amp; mobility; Memory &amp; cognitive sharpness; Financial security; Hobbies, curiosity &amp; purpose</t>
  </si>
  <si>
    <t xml:space="preserve">Access, cost &amp; equity; Independence &amp; autonomy; Technology &amp; AI; Ethics, regulation &amp; policy; Research, science &amp; treatments</t>
  </si>
  <si>
    <t xml:space="preserve">Chronic disease &amp; physical health; Privacy &amp; data protection; Research, science &amp; treatments</t>
  </si>
  <si>
    <t xml:space="preserve">Healthy lifestyle &amp; habits (general); Diet &amp; nutrition; Avoiding harmful habits; Social engagement</t>
  </si>
  <si>
    <t xml:space="preserve">Chronic disease &amp; physical health; Privacy &amp; data protection; Ethics, regulation &amp; policy; Research, science &amp; treatments; Longevity &amp; lifespan; Reproductive health &amp; fertility</t>
  </si>
  <si>
    <t xml:space="preserve">Access, cost &amp; equity; Healthcare system &amp; caregiving; Technology &amp; AI; Research, science &amp; treatments</t>
  </si>
  <si>
    <t xml:space="preserve">Access, cost &amp; equity; Ethics, regulation &amp; policy; Research, science &amp; treatments</t>
  </si>
  <si>
    <t xml:space="preserve">Avoiding harmful habits</t>
  </si>
  <si>
    <t xml:space="preserve">Technology &amp; AI; Safety, accuracy &amp; misuse; Ethics, regulation &amp; policy; Research, science &amp; treatments; Reproductive health &amp; fertility</t>
  </si>
  <si>
    <t xml:space="preserve">Social engagement; Learning &amp; mental stimulation; Stress &amp; emotional well-being</t>
  </si>
  <si>
    <t xml:space="preserve">Personal relevance; Chronic disease &amp; physical health; Social connection &amp; isolation; Technology &amp; AI; Research, science &amp; treatments</t>
  </si>
  <si>
    <t xml:space="preserve">Access, cost &amp; equity; Safety, accuracy &amp; misuse; Ethics, regulation &amp; policy; Research, science &amp; treatments</t>
  </si>
  <si>
    <t xml:space="preserve">Access, cost &amp; equity; Chronic disease &amp; physical health; Independence &amp; autonomy; Privacy &amp; data protection; Ethics, regulation &amp; policy; Research, science &amp; treatments</t>
  </si>
  <si>
    <t xml:space="preserve">Chronic disease &amp; physical health; Independence &amp; autonomy; Technology &amp; AI; Privacy &amp; data protection; Ethics, regulation &amp; policy</t>
  </si>
  <si>
    <t xml:space="preserve">Physical health &amp; mobility; Memory &amp; cognitive sharpness; Hobbies, curiosity &amp; purpose; Values &amp; identity</t>
  </si>
  <si>
    <t xml:space="preserve">Broad benefit to society; Technology &amp; AI; Research, science &amp; treatments</t>
  </si>
  <si>
    <t xml:space="preserve">Learning &amp; mental stimulation; Preventive &amp; medical care</t>
  </si>
  <si>
    <t xml:space="preserve">Learning &amp; mental stimulation; Preventive &amp; medical care; Financial planning</t>
  </si>
  <si>
    <t xml:space="preserve">Access, cost &amp; equity; Independence &amp; autonomy; Ethics, regulation &amp; policy</t>
  </si>
  <si>
    <t xml:space="preserve">Sleep &amp; rest; Social engagement; Stress &amp; emotional well-being</t>
  </si>
  <si>
    <t xml:space="preserve">Independence &amp; autonomy; Technology &amp; AI; Safety, accuracy &amp; misuse; Ethics, regulation &amp; policy; Research, science &amp; treatments</t>
  </si>
  <si>
    <t xml:space="preserve">Exercise &amp; physical activity; Learning &amp; mental stimulation; Stress &amp; emotional well-being</t>
  </si>
  <si>
    <t xml:space="preserve">Independence &amp; autonomy; Safety, accuracy &amp; misuse; Ethics, regulation &amp; policy; Research, science &amp; treatments; Longevity &amp; lifespan</t>
  </si>
  <si>
    <t xml:space="preserve">Chronic disease &amp; physical health; Independence &amp; autonomy; Privacy &amp; data protection; Ethics, regulation &amp; policy</t>
  </si>
  <si>
    <t xml:space="preserve">Access, cost &amp; equity; Safety, accuracy &amp; misuse; Ethics, regulation &amp; policy; Research, science &amp; treatments; Reproductive health &amp; fertility</t>
  </si>
  <si>
    <t xml:space="preserve">Preventive &amp; medical care; Stress &amp; emotional well-being; Financial planning</t>
  </si>
  <si>
    <t xml:space="preserve">Independence &amp; autonomy; Technology &amp; AI; Ethics, regulation &amp; policy</t>
  </si>
  <si>
    <t xml:space="preserve">Independence &amp; autonomy; Ethics, regulation &amp; policy; Research, science &amp; treatments; Longevity &amp; lifespan</t>
  </si>
  <si>
    <t xml:space="preserve">Access, cost &amp; equity; Chronic disease &amp; physical health; Privacy &amp; data protection; Longevity &amp; lifespan</t>
  </si>
  <si>
    <t xml:space="preserve">Access, cost &amp; equity; Chronic disease &amp; physical health; Privacy &amp; data protection; Ethics, regulation &amp; policy; Reproductive health &amp; fertility</t>
  </si>
  <si>
    <t xml:space="preserve">Access, cost &amp; equity; Safety, accuracy &amp; misuse; Research, science &amp; treatments; Longevity &amp; lifespan</t>
  </si>
  <si>
    <t xml:space="preserve">Independence &amp; autonomy; Safety, accuracy &amp; misuse; Ethics, regulation &amp; policy; Research, science &amp; treatments</t>
  </si>
  <si>
    <t xml:space="preserve">Mental &amp; emotional well-being; Independence; Values &amp; identity</t>
  </si>
  <si>
    <t xml:space="preserve">Independence &amp; autonomy; Technology &amp; AI; Ethics, regulation &amp; policy; Research, science &amp; treatments; Longevity &amp; lifespan</t>
  </si>
  <si>
    <t xml:space="preserve">Exercise &amp; physical activity; Sleep &amp; rest; Stress &amp; emotional well-being</t>
  </si>
  <si>
    <t xml:space="preserve">Mental &amp; emotional well-being; Independence; Financial security; Hobbies, curiosity &amp; purpose</t>
  </si>
  <si>
    <t xml:space="preserve">Sleep &amp; rest; Preventive &amp; medical care; Financial planning</t>
  </si>
  <si>
    <t xml:space="preserve">Avoiding harmful habits; Social engagement; Learning &amp; mental stimulation</t>
  </si>
  <si>
    <t xml:space="preserve">Memory &amp; cognitive sharpness; Mental &amp; emotional well-being; Hobbies, curiosity &amp; purpose</t>
  </si>
  <si>
    <t xml:space="preserve">Independence &amp; autonomy; Ethics, regulation &amp; policy</t>
  </si>
  <si>
    <t xml:space="preserve">Chronic disease &amp; physical health; Independence &amp; autonomy; Privacy &amp; data protection; Ethics, regulation &amp; policy; Research, science &amp; treatments; Reproductive health &amp; fertility</t>
  </si>
  <si>
    <t xml:space="preserve">Chronic disease &amp; physical health; Technology &amp; AI; Privacy &amp; data protection; Ethics, regulation &amp; policy; Reproductive health &amp; fertility</t>
  </si>
  <si>
    <t xml:space="preserve">Chronic disease &amp; physical health; Privacy &amp; data protection; Safety, accuracy &amp; misuse; Research, science &amp; treatments; Longevity &amp; lifespan</t>
  </si>
  <si>
    <t xml:space="preserve">Healthy lifestyle &amp; habits (general); Diet &amp; nutrition; Social engagement; Preventive &amp; medical care</t>
  </si>
  <si>
    <t xml:space="preserve">Independence &amp; autonomy; Ethics, regulation &amp; policy; Research, science &amp; treatments; Longevity &amp; lifespan; Reproductive health &amp; fertility</t>
  </si>
  <si>
    <t xml:space="preserve">Chronic disease &amp; physical health; Privacy &amp; data protection; Safety, accuracy &amp; misuse; Ethics, regulation &amp; policy; Research, science &amp; treatments</t>
  </si>
  <si>
    <t xml:space="preserve">Access, cost &amp; equity; Chronic disease &amp; physical health; Privacy &amp; data protection; Ethics, regulation &amp; policy; Research, science &amp; treatments; Reproductive health &amp; fertility</t>
  </si>
  <si>
    <t xml:space="preserve">Healthy lifestyle &amp; habits (general); Diet &amp; nutrition; Sleep &amp; rest; Social engagement</t>
  </si>
  <si>
    <t xml:space="preserve">Chronic disease &amp; physical health; Independence &amp; autonomy; Privacy &amp; data protection; Ethics, regulation &amp; policy; Reproductive health &amp; fertility</t>
  </si>
  <si>
    <t xml:space="preserve">Access, cost &amp; equity; Chronic disease &amp; physical health; Privacy &amp; data protection; Ethics, regulation &amp; policy; Research, science &amp; treatments</t>
  </si>
  <si>
    <t xml:space="preserve">Access, cost &amp; equity; Technology &amp; AI; Safety, accuracy &amp; misuse; Ethics, regulation &amp; policy; Research, science &amp; treatments</t>
  </si>
  <si>
    <t xml:space="preserve">Learning &amp; mental stimulation; Preventive &amp; medical care; Stress &amp; emotional well-being</t>
  </si>
  <si>
    <t xml:space="preserve">Personal relevance; Broad benefit to society; Chronic disease &amp; physical health; Social connection &amp; isolation; Technology &amp; AI; Research, science &amp; treatments</t>
  </si>
  <si>
    <t xml:space="preserve">Technology &amp; AI; Safety, accuracy &amp; misuse; Ethics, regulation &amp; policy; Research, science &amp; treatments</t>
  </si>
  <si>
    <t xml:space="preserve">Physical health &amp; mobility; Memory &amp; cognitive sharpness; Independence; Financial security; Hobbies, curiosity &amp; purpose; Values &amp; identity</t>
  </si>
  <si>
    <t xml:space="preserve">Exercise &amp; physical activity; Learning &amp; mental stimulation; Preventive &amp; medical care; Financial planning</t>
  </si>
  <si>
    <t xml:space="preserve">Independence &amp; autonomy; Safety, accuracy &amp; misuse; Ethics, regulation &amp; policy; Research, science &amp; treatments; Reproductive health &amp; fertility</t>
  </si>
  <si>
    <t xml:space="preserve">Healthy lifestyle &amp; habits (general); Exercise &amp; physical activity; Diet &amp; nutrition; Sleep &amp; rest; Avoiding harmful habits; Social engagement; Learning &amp; mental stimulation; Preventive &amp; medical care; Stress &amp; emotional well-being; Financial planning</t>
  </si>
  <si>
    <t xml:space="preserve">Memory &amp; cognitive sharpness; Mental &amp; emotional well-being; Relationships &amp; social life; Hobbies, curiosity &amp; purpose</t>
  </si>
  <si>
    <t xml:space="preserve">Exercise &amp; physical activity; Sleep &amp; rest; Social engagement</t>
  </si>
  <si>
    <t xml:space="preserve">Broad benefit to society; Chronic disease &amp; physical health; Research, science &amp; treatments</t>
  </si>
  <si>
    <t xml:space="preserve">Independence &amp; autonomy; Technology &amp; AI; Ethics, regulation &amp; policy; Reproductive health &amp; fertility</t>
  </si>
  <si>
    <t xml:space="preserve">Independence &amp; autonomy; Ethics, regulation &amp; policy; Research, science &amp; treatments; Longevity &amp; lifespan; Reproductive health &amp; fertility; Population &amp; societal burden</t>
  </si>
  <si>
    <t xml:space="preserve">Sleep &amp; rest; Learning &amp; mental stimulation; Stress &amp; emotional well-being</t>
  </si>
  <si>
    <t xml:space="preserve">Access, cost &amp; equity; Safety, accuracy &amp; misuse; Research, science &amp; treatments</t>
  </si>
  <si>
    <t xml:space="preserve">Sleep &amp; rest; Social engagement; Preventive &amp; medical care</t>
  </si>
  <si>
    <t xml:space="preserve">Healthy lifestyle &amp; habits (general); Exercise &amp; physical activity; Social engagement; Preventive &amp; medical care</t>
  </si>
  <si>
    <t xml:space="preserve">Personal relevance; Access, cost &amp; equity; Research, science &amp; treatments</t>
  </si>
  <si>
    <t xml:space="preserve">Access, cost &amp; equity; Chronic disease &amp; physical health; Ageism &amp; how society treats older adults</t>
  </si>
  <si>
    <t xml:space="preserve">Learning &amp; mental stimulation; Stress &amp; emotional well-being</t>
  </si>
  <si>
    <t xml:space="preserve">Technology &amp; AI; Safety, accuracy &amp; misuse; Research, science &amp; treatments; Population &amp; societal burden</t>
  </si>
  <si>
    <t xml:space="preserve">Access, cost &amp; equity; Healthcare system &amp; caregiving; Financial security, work &amp; basic needs; Research, science &amp; treatments; Prevention &amp; early detection; Population &amp; societal burden</t>
  </si>
  <si>
    <t xml:space="preserve">Access, cost &amp; equity; Healthcare system &amp; caregiving; Mental &amp; emotional health; Social connection &amp; isolation; Population &amp; societal burden</t>
  </si>
  <si>
    <t xml:space="preserve">Personal relevance; Broad benefit to society; Access, cost &amp; equity; Technology &amp; AI; Ethics, regulation &amp; policy; Research, science &amp; treatments; Reproductive health &amp; fertility</t>
  </si>
  <si>
    <t xml:space="preserve">Cognitive decline &amp; dementia; Technology &amp; AI; Safety, accuracy &amp; misuse; Population &amp; societal burden</t>
  </si>
  <si>
    <t xml:space="preserve">Access, cost &amp; equity; Ethics, regulation &amp; policy; Ageism &amp; how society treats older adults; Population &amp; societal burden</t>
  </si>
  <si>
    <t xml:space="preserve">Access, cost &amp; equity; Independence &amp; autonomy</t>
  </si>
  <si>
    <t xml:space="preserve">Broad benefit to society; Chronic disease &amp; physical health; Technology &amp; AI</t>
  </si>
  <si>
    <t xml:space="preserve">Access, cost &amp; equity; Privacy &amp; data protection; Ethics, regulation &amp; policy</t>
  </si>
  <si>
    <t xml:space="preserve">Access, cost &amp; equity; Healthcare system &amp; caregiving; Prevention &amp; early detection; Population &amp; societal burden</t>
  </si>
  <si>
    <t xml:space="preserve">Longevity &amp; lifespan; Reproductive health &amp; fertility</t>
  </si>
  <si>
    <t xml:space="preserve">Personal relevance; Chronic disease &amp; physical health; Technology &amp; AI</t>
  </si>
  <si>
    <t xml:space="preserve">Social connection &amp; isolation; Population &amp; societal burden; Quality of life</t>
  </si>
  <si>
    <t xml:space="preserve">Broad benefit to society; Access, cost &amp; equity; Healthcare system &amp; caregiving; Technology &amp; AI; Population &amp; societal burden</t>
  </si>
  <si>
    <t xml:space="preserve">Access, cost &amp; equity; Technology &amp; AI; Quality of life</t>
  </si>
  <si>
    <t xml:space="preserve">Research, science &amp; treatments; Longevity &amp; lifespan; Quality of life</t>
  </si>
  <si>
    <t xml:space="preserve">Passage of time / getting older; Physical &amp; bodily change; Cognitive &amp; mental change; Growth, experience &amp; wisdom</t>
  </si>
  <si>
    <t xml:space="preserve">Healthcare system &amp; caregiving; Cognitive decline &amp; dementia; Social connection &amp; isolation; Prevention &amp; early detection</t>
  </si>
  <si>
    <t xml:space="preserve">Healthcare system &amp; caregiving; Chronic disease &amp; physical health; Longevity &amp; lifespan</t>
  </si>
  <si>
    <t xml:space="preserve">Exercise &amp; physical activity; Social engagement; Stress &amp; emotional well-being</t>
  </si>
  <si>
    <t xml:space="preserve">Personal relevance; Broad benefit to society; Access, cost &amp; equity; Ethics, regulation &amp; policy; Longevity &amp; lifespan; Population &amp; societal burden</t>
  </si>
  <si>
    <t xml:space="preserve">Ethics, regulation &amp; policy; Research, science &amp; treatments; Longevity &amp; lifespan</t>
  </si>
  <si>
    <t xml:space="preserve">All connected / equally important; Access, cost &amp; equity; Technology &amp; AI; Research, science &amp; treatments</t>
  </si>
  <si>
    <t xml:space="preserve">Access, cost &amp; equity; Financial security, work &amp; basic needs; Technology &amp; AI; Safety, accuracy &amp; misuse; Ethics, regulation &amp; policy; Prevention &amp; early detection</t>
  </si>
  <si>
    <t xml:space="preserve">Chronic disease &amp; physical health; Mental &amp; emotional health; Social connection &amp; isolation; Population &amp; societal burden</t>
  </si>
  <si>
    <t xml:space="preserve">Healthy lifestyle &amp; habits (general); Exercise &amp; physical activity; Learning &amp; mental stimulation; Preventive &amp; medical care</t>
  </si>
  <si>
    <t xml:space="preserve">Personal relevance; Broad benefit to society; Access, cost &amp; equity; Healthcare system &amp; caregiving; Technology &amp; AI; Prevention &amp; early detection; Reproductive health &amp; fertility</t>
  </si>
  <si>
    <t xml:space="preserve">Access, cost &amp; equity; Financial security, work &amp; basic needs; Ageism &amp; how society treats older adults</t>
  </si>
  <si>
    <t xml:space="preserve">Access, cost &amp; equity; Healthcare system &amp; caregiving; Technology &amp; AI; Privacy &amp; data protection; Research, science &amp; treatments</t>
  </si>
  <si>
    <t xml:space="preserve">Personal relevance; Broad benefit to society; Social connection &amp; isolation; Longevity &amp; lifespan; Population &amp; societal burden</t>
  </si>
  <si>
    <t xml:space="preserve">Healthy lifestyle &amp; habits (general); Learning &amp; mental stimulation; Financial planning</t>
  </si>
  <si>
    <t xml:space="preserve">Personal relevance; Broad benefit to society; Access, cost &amp; equity; Chronic disease &amp; physical health; Technology &amp; AI; Research, science &amp; treatments</t>
  </si>
  <si>
    <t xml:space="preserve">Personal relevance; Broad benefit to society; Access, cost &amp; equity; Healthcare system &amp; caregiving; Chronic disease &amp; physical health; Technology &amp; AI; Prevention &amp; early detection; Reproductive health &amp; fertility</t>
  </si>
  <si>
    <t xml:space="preserve">Access, cost &amp; equity; Healthcare system &amp; caregiving; Financial security, work &amp; basic needs; Safety, accuracy &amp; misuse; Research, science &amp; treatments</t>
  </si>
  <si>
    <t xml:space="preserve">Healthcare system &amp; caregiving; Technology &amp; AI; Privacy &amp; data protection</t>
  </si>
  <si>
    <t xml:space="preserve">Broad benefit to society; Access, cost &amp; equity; Healthcare system &amp; caregiving; Technology &amp; AI; Research, science &amp; treatments; Reproductive health &amp; fertility; Population &amp; societal burden</t>
  </si>
  <si>
    <t xml:space="preserve">Decline &amp; change in function; Passage of time / getting older; Growth, experience &amp; wisdom; Natural stage of life</t>
  </si>
  <si>
    <t xml:space="preserve">Decline &amp; change in function; Biological / cellular process; Passage of time / getting older; Cognitive &amp; mental change; Growth, experience &amp; wisdom</t>
  </si>
  <si>
    <t xml:space="preserve">Access, cost &amp; equity; Mental &amp; emotional health; Social connection &amp; isolation; Safety, accuracy &amp; misuse</t>
  </si>
  <si>
    <t xml:space="preserve">Healthy lifestyle &amp; habits (general); Exercise &amp; physical activity; Social engagement; Stress &amp; emotional well-being</t>
  </si>
  <si>
    <t xml:space="preserve">Personal relevance; Access, cost &amp; equity; Healthcare system &amp; caregiving; Technology &amp; AI; Ethics, regulation &amp; policy; Longevity &amp; lifespan; Reproductive health &amp; fertility</t>
  </si>
  <si>
    <t xml:space="preserve">Cognitive decline &amp; dementia; Technology &amp; AI; Research, science &amp; treatments</t>
  </si>
  <si>
    <t xml:space="preserve">Healthcare system &amp; caregiving; Ethics, regulation &amp; policy; Reproductive health &amp; fertility; Population &amp; societal burden</t>
  </si>
  <si>
    <t xml:space="preserve">Chronic disease &amp; physical health; Cognitive decline &amp; dementia; Research, science &amp; treatments</t>
  </si>
  <si>
    <t xml:space="preserve">Access, cost &amp; equity; Healthcare system &amp; caregiving; Chronic disease &amp; physical health; Social connection &amp; isolation; Financial security, work &amp; basic needs</t>
  </si>
  <si>
    <t xml:space="preserve">Memory &amp; cognitive sharpness; Mental &amp; emotional well-being; Relationships &amp; social life</t>
  </si>
  <si>
    <t xml:space="preserve">Personal relevance; Broad benefit to society; Access, cost &amp; equity; Healthcare system &amp; caregiving; Chronic disease &amp; physical health; Technology &amp; AI; Research, science &amp; treatments; Reproductive health &amp; fertility; Population &amp; societal burden</t>
  </si>
  <si>
    <t xml:space="preserve">Technology &amp; AI; Prevention &amp; early detection; Longevity &amp; lifespan</t>
  </si>
  <si>
    <t xml:space="preserve">Healthcare system &amp; caregiving; Chronic disease &amp; physical health; Technology &amp; AI; Ethics, regulation &amp; policy; Research, science &amp; treatments</t>
  </si>
  <si>
    <t xml:space="preserve">Independence &amp; autonomy; Technology &amp; AI; Ethics, regulation &amp; policy; Research, science &amp; treatments</t>
  </si>
  <si>
    <t xml:space="preserve">Broad benefit to society; Access, cost &amp; equity; Chronic disease &amp; physical health; Technology &amp; AI; Research, science &amp; treatments; Longevity &amp; lifespan; Reproductive health &amp; fertility; Quality of life</t>
  </si>
  <si>
    <t xml:space="preserve">Access, cost &amp; equity; Technology &amp; AI; Privacy &amp; data protection; Safety, accuracy &amp; misuse; Ethics, regulation &amp; policy</t>
  </si>
  <si>
    <t xml:space="preserve">Personal relevance; Broad benefit to society; Access, cost &amp; equity; Research, science &amp; treatments; Population &amp; societal burden</t>
  </si>
  <si>
    <t xml:space="preserve">Healthcare system &amp; caregiving; Privacy &amp; data protection; Research, science &amp; treatments</t>
  </si>
  <si>
    <t xml:space="preserve">Broad benefit to society; Healthcare system &amp; caregiving; Mental &amp; emotional health; Longevity &amp; lifespan</t>
  </si>
  <si>
    <t xml:space="preserve">Chronic disease &amp; physical health; Financial security, work &amp; basic needs; Quality of life</t>
  </si>
  <si>
    <t xml:space="preserve">Broad benefit to society; Access, cost &amp; equity; Healthcare system &amp; caregiving; Chronic disease &amp; physical health; Technology &amp; AI; Longevity &amp; lifespan</t>
  </si>
  <si>
    <t xml:space="preserve">Decline &amp; change in function; Passage of time / getting older; Natural stage of life</t>
  </si>
  <si>
    <t xml:space="preserve">Financial security, work &amp; basic needs; Safety, accuracy &amp; misuse</t>
  </si>
  <si>
    <t xml:space="preserve">Broad benefit to society; Technology &amp; AI; Research, science &amp; treatments; Quality of life</t>
  </si>
  <si>
    <t xml:space="preserve">Broad benefit to society; Access, cost &amp; equity; Financial security, work &amp; basic needs; Research, science &amp; treatments; Quality of life</t>
  </si>
  <si>
    <t xml:space="preserve">Access, cost &amp; equity; Healthcare system &amp; caregiving; Chronic disease &amp; physical health; Ethics, regulation &amp; policy; Population &amp; societal burden; Quality of life</t>
  </si>
  <si>
    <t xml:space="preserve">Broad benefit to society; Access, cost &amp; equity; Healthcare system &amp; caregiving; Financial security, work &amp; basic needs; Technology &amp; AI; Reproductive health &amp; fertility; Population &amp; societal burden</t>
  </si>
  <si>
    <t xml:space="preserve">Chronic disease &amp; physical health; Technology &amp; AI; Ethics, regulation &amp; policy; Research, science &amp; treatments; Population &amp; societal burden</t>
  </si>
  <si>
    <t xml:space="preserve">Memory &amp; cognitive sharpness; Relationships &amp; social life</t>
  </si>
  <si>
    <t xml:space="preserve">Personal relevance; Access, cost &amp; equity; Chronic disease &amp; physical health; Technology &amp; AI</t>
  </si>
  <si>
    <t xml:space="preserve">Access, cost &amp; equity; Financial security, work &amp; basic needs; Technology &amp; AI</t>
  </si>
  <si>
    <t xml:space="preserve">Healthcare system &amp; caregiving; Prevention &amp; early detection</t>
  </si>
  <si>
    <t xml:space="preserve">Chronic disease &amp; physical health; Prevention &amp; early detection; Quality of life</t>
  </si>
  <si>
    <t xml:space="preserve">Access, cost &amp; equity; Chronic disease &amp; physical health; Longevity &amp; lifespan; Quality of life</t>
  </si>
  <si>
    <t xml:space="preserve">Safety, accuracy &amp; misuse; Research, science &amp; treatments; Longevity &amp; lifespan</t>
  </si>
  <si>
    <t xml:space="preserve">Decline &amp; change in function; Biological / cellular process; Passage of time / getting older; Natural stage of life</t>
  </si>
  <si>
    <t xml:space="preserve">Chronic disease &amp; physical health; Cognitive decline &amp; dementia; Social connection &amp; isolation</t>
  </si>
  <si>
    <t xml:space="preserve">Chronic disease &amp; physical health; Social connection &amp; isolation; Quality of life</t>
  </si>
  <si>
    <t xml:space="preserve">Personal relevance; Access, cost &amp; equity; Healthcare system &amp; caregiving; Technology &amp; AI; Safety, accuracy &amp; misuse; Research, science &amp; treatments; Longevity &amp; lifespan; Reproductive health &amp; fertility</t>
  </si>
  <si>
    <t xml:space="preserve">Broad benefit to society; Access, cost &amp; equity; Research, science &amp; treatments</t>
  </si>
  <si>
    <t xml:space="preserve">Research, science &amp; treatments; Population &amp; societal burden</t>
  </si>
  <si>
    <t xml:space="preserve">Access, cost &amp; equity; Research, science &amp; treatments; Prevention &amp; early detection</t>
  </si>
  <si>
    <t xml:space="preserve">Physical health &amp; mobility; Mental &amp; emotional well-being; Independence; Financial security</t>
  </si>
  <si>
    <t xml:space="preserve">Stress &amp; emotional well-being; Financial planning</t>
  </si>
  <si>
    <t xml:space="preserve">Broad benefit to society; Access, cost &amp; equity; Chronic disease &amp; physical health; Mental &amp; emotional health; Technology &amp; AI; Ethics, regulation &amp; policy; Reproductive health &amp; fertility</t>
  </si>
  <si>
    <t xml:space="preserve">Broad benefit to society; All connected / equally important; Access, cost &amp; equity; Chronic disease &amp; physical health</t>
  </si>
  <si>
    <t xml:space="preserve">Access, cost &amp; equity; Healthcare system &amp; caregiving; Chronic disease &amp; physical health; Social connection &amp; isolation; Technology &amp; AI; Research, science &amp; treatments</t>
  </si>
  <si>
    <t xml:space="preserve">Social connection &amp; isolation; Quality of life</t>
  </si>
  <si>
    <t xml:space="preserve">Access, cost &amp; equity; Healthcare system &amp; caregiving; Social connection &amp; isolation; Financial security, work &amp; basic needs; Population &amp; societal burden</t>
  </si>
  <si>
    <t xml:space="preserve">Access, cost &amp; equity; Healthcare system &amp; caregiving; Social connection &amp; isolation; Reproductive health &amp; fertility</t>
  </si>
  <si>
    <t xml:space="preserve">Healthcare system &amp; caregiving; Technology &amp; AI; Prevention &amp; early detection</t>
  </si>
  <si>
    <t xml:space="preserve">Access, cost &amp; equity; Healthcare system &amp; caregiving; Social connection &amp; isolation; Financial security, work &amp; basic needs; Independence &amp; autonomy; Population &amp; societal burden</t>
  </si>
  <si>
    <t xml:space="preserve">Exercise &amp; physical activity; Diet &amp; nutrition; Social engagement; Learning &amp; mental stimulation; Preventive &amp; medical care; Financial planning</t>
  </si>
  <si>
    <t xml:space="preserve">Access, cost &amp; equity; Healthcare system &amp; caregiving; Chronic disease &amp; physical health; Mental &amp; emotional health; Social connection &amp; isolation; Technology &amp; AI; Research, science &amp; treatments; Reproductive health &amp; fertility; Quality of life</t>
  </si>
  <si>
    <t xml:space="preserve">Access, cost &amp; equity; Chronic disease &amp; physical health; Financial security, work &amp; basic needs; Research, science &amp; treatments; Longevity &amp; lifespan</t>
  </si>
  <si>
    <t xml:space="preserve">Access, cost &amp; equity; Chronic disease &amp; physical health; Financial security, work &amp; basic needs; Technology &amp; AI; Research, science &amp; treatments; Longevity &amp; lifespan</t>
  </si>
  <si>
    <t xml:space="preserve">Access, cost &amp; equity; Chronic disease &amp; physical health; Independence &amp; autonomy; Technology &amp; AI; Privacy &amp; data protection; Safety, accuracy &amp; misuse; Ethics, regulation &amp; policy; Prevention &amp; early detection; Reproductive health &amp; fertility; Population &amp; societal burden</t>
  </si>
  <si>
    <t xml:space="preserve">Decline &amp; change in function; Physical &amp; bodily change; Cognitive &amp; mental change; Growth, experience &amp; wisdom; Social &amp; role change</t>
  </si>
  <si>
    <t xml:space="preserve">Access, cost &amp; equity; Technology &amp; AI; Safety, accuracy &amp; misuse; Longevity &amp; lifespan; Reproductive health &amp; fertility</t>
  </si>
  <si>
    <t xml:space="preserve">Broad benefit to society; Access, cost &amp; equity; Technology &amp; AI; Longevity &amp; lifespan; Reproductive health &amp; fertility; Population &amp; societal burden</t>
  </si>
  <si>
    <t xml:space="preserve">Personal relevance; Broad benefit to society; Access, cost &amp; equity; Longevity &amp; lifespan</t>
  </si>
  <si>
    <t xml:space="preserve">Chronic disease &amp; physical health; Mental &amp; emotional health; Social connection &amp; isolation; Safety, accuracy &amp; misuse</t>
  </si>
  <si>
    <t xml:space="preserve">Broad benefit to society; All connected / equally important; Access, cost &amp; equity; Technology &amp; AI; Longevity &amp; lifespan; Reproductive health &amp; fertility; Quality of life</t>
  </si>
  <si>
    <t xml:space="preserve">Access, cost &amp; equity; Healthcare system &amp; caregiving; Reproductive health &amp; fertility; Population &amp; societal burden</t>
  </si>
  <si>
    <t xml:space="preserve">Chronic disease &amp; physical health; Cognitive decline &amp; dementia; Mental &amp; emotional health; Financial security, work &amp; basic needs; Prevention &amp; early detection; Population &amp; societal burden</t>
  </si>
  <si>
    <t xml:space="preserve">Healthy lifestyle &amp; habits (general); Exercise &amp; physical activity; Learning &amp; mental stimulation; Financial planning</t>
  </si>
  <si>
    <t xml:space="preserve">Broad benefit to society; Access, cost &amp; equity; Healthcare system &amp; caregiving; Reproductive health &amp; fertility; Population &amp; societal burden; Quality of life</t>
  </si>
  <si>
    <t xml:space="preserve">Access, cost &amp; equity; Healthcare system &amp; caregiving; Chronic disease &amp; physical health; Financial security, work &amp; basic needs; Research, science &amp; treatments; Longevity &amp; lifespan</t>
  </si>
  <si>
    <t xml:space="preserve">Chronic disease &amp; physical health; Technology &amp; AI; Research, science &amp; treatments; Population &amp; societal burden</t>
  </si>
  <si>
    <t xml:space="preserve">Broad benefit to society; Access, cost &amp; equity; Technology &amp; AI; Reproductive health &amp; fertility</t>
  </si>
  <si>
    <t xml:space="preserve">Access, cost &amp; equity; Healthcare system &amp; caregiving; Chronic disease &amp; physical health; Social connection &amp; isolation; Ethics, regulation &amp; policy; Research, science &amp; treatments</t>
  </si>
  <si>
    <t xml:space="preserve">Biological / cellular process; Passage of time / getting older; Physical &amp; bodily change; Cognitive &amp; mental change; Natural stage of life</t>
  </si>
  <si>
    <t xml:space="preserve">Healthcare system &amp; caregiving; Quality of life</t>
  </si>
  <si>
    <t xml:space="preserve">Chronic disease &amp; physical health; Safety, accuracy &amp; misuse</t>
  </si>
  <si>
    <t xml:space="preserve">Personal relevance; Broad benefit to society; All connected / equally important; Access, cost &amp; equity; Chronic disease &amp; physical health; Technology &amp; AI; Longevity &amp; lifespan; Population &amp; societal burden</t>
  </si>
  <si>
    <t xml:space="preserve">Safety, accuracy &amp; misuse; Longevity &amp; lifespan</t>
  </si>
  <si>
    <t xml:space="preserve">Decline &amp; change in function; Physical &amp; bodily change; Cognitive &amp; mental change; Natural stage of life</t>
  </si>
  <si>
    <t xml:space="preserve">Social &amp; role change</t>
  </si>
  <si>
    <t xml:space="preserve">Personal relevance; Access, cost &amp; equity; Healthcare system &amp; caregiving; Technology &amp; AI; Reproductive health &amp; fertility</t>
  </si>
  <si>
    <t xml:space="preserve">Access, cost &amp; equity; Technology &amp; AI; Research, science &amp; treatments; Longevity &amp; lifespan; Reproductive health &amp; fertility</t>
  </si>
  <si>
    <t xml:space="preserve">Broad benefit to society; Access, cost &amp; equity; Healthcare system &amp; caregiving; Technology &amp; AI; Research, science &amp; treatments; Population &amp; societal burden</t>
  </si>
  <si>
    <t xml:space="preserve">Personal relevance; Broad benefit to society; Access, cost &amp; equity; Healthcare system &amp; caregiving; Technology &amp; AI; Reproductive health &amp; fertility</t>
  </si>
  <si>
    <t xml:space="preserve">Personal relevance; Access, cost &amp; equity; Technology &amp; AI; Research, science &amp; treatments; Longevity &amp; lifespan; Reproductive health &amp; fertility</t>
  </si>
  <si>
    <t xml:space="preserve">Chronic disease &amp; physical health; Independence &amp; autonomy; Longevity &amp; lifespan</t>
  </si>
  <si>
    <t xml:space="preserve">Access, cost &amp; equity; Financial security, work &amp; basic needs; Privacy &amp; data protection; Research, science &amp; treatments</t>
  </si>
  <si>
    <t xml:space="preserve">Broad benefit to society; Access, cost &amp; equity; Healthcare system &amp; caregiving; Population &amp; societal burden</t>
  </si>
  <si>
    <t xml:space="preserve">Healthcare system &amp; caregiving; Chronic disease &amp; physical health; Independence &amp; autonomy; Population &amp; societal burden</t>
  </si>
  <si>
    <t xml:space="preserve">Personal relevance; Broad benefit to society; Chronic disease &amp; physical health; Technology &amp; AI; Research, science &amp; treatments; Prevention &amp; early detection; Longevity &amp; lifespan; Reproductive health &amp; fertility</t>
  </si>
  <si>
    <t xml:space="preserve">Chronic disease &amp; physical health; Social connection &amp; isolation; Longevity &amp; lifespan</t>
  </si>
  <si>
    <t xml:space="preserve">Broad benefit to society; Access, cost &amp; equity; Technology &amp; AI; Research, science &amp; treatments; Longevity &amp; lifespan; Reproductive health &amp; fertility</t>
  </si>
  <si>
    <t xml:space="preserve">Broad benefit to society; Independence &amp; autonomy</t>
  </si>
  <si>
    <t xml:space="preserve">Ethics, regulation &amp; policy; Quality of life</t>
  </si>
  <si>
    <t xml:space="preserve">Broad benefit to society; Access, cost &amp; equity; Healthcare system &amp; caregiving; Chronic disease &amp; physical health; Financial security, work &amp; basic needs; Technology &amp; AI; Population &amp; societal burden</t>
  </si>
  <si>
    <t xml:space="preserve">Access, cost &amp; equity; Healthcare system &amp; caregiving; Independence &amp; autonomy; Safety, accuracy &amp; misuse</t>
  </si>
  <si>
    <t xml:space="preserve">Biological / cellular process; Passage of time / getting older; Physical &amp; bodily change; Natural stage of life</t>
  </si>
  <si>
    <t xml:space="preserve">Access, cost &amp; equity; Chronic disease &amp; physical health; Independence &amp; autonomy</t>
  </si>
  <si>
    <t xml:space="preserve">Longevity &amp; lifespan; Population &amp; societal burden</t>
  </si>
  <si>
    <t xml:space="preserve">Access, cost &amp; equity; Chronic disease &amp; physical health; Social connection &amp; isolation; Independence &amp; autonomy</t>
  </si>
  <si>
    <t xml:space="preserve">Access, cost &amp; equity; Chronic disease &amp; physical health; Social connection &amp; isolation; Financial security, work &amp; basic needs; Independence &amp; autonomy; Prevention &amp; early detection</t>
  </si>
  <si>
    <t xml:space="preserve">Personal relevance; Broad benefit to society; Access, cost &amp; equity; Chronic disease &amp; physical health; Technology &amp; AI; Safety, accuracy &amp; misuse; Research, science &amp; treatments; Longevity &amp; lifespan; Reproductive health &amp; fertility</t>
  </si>
  <si>
    <t xml:space="preserve">Chronic disease &amp; physical health; Independence &amp; autonomy; Research, science &amp; treatments; Prevention &amp; early detection; Longevity &amp; lifespan</t>
  </si>
  <si>
    <t xml:space="preserve">Access, cost &amp; equity; Independence &amp; autonomy; Privacy &amp; data protection; Safety, accuracy &amp; misuse; Ethics, regulation &amp; policy; Research, science &amp; treatments; Prevention &amp; early detection; Quality of life</t>
  </si>
  <si>
    <t xml:space="preserve">Broad benefit to society; Access, cost &amp; equity; Chronic disease &amp; physical health; Technology &amp; AI</t>
  </si>
  <si>
    <t xml:space="preserve">Decline &amp; change in function; Passage of time / getting older; Growth, experience &amp; wisdom</t>
  </si>
  <si>
    <t xml:space="preserve">Access, cost &amp; equity; Privacy &amp; data protection; Safety, accuracy &amp; misuse; Prevention &amp; early detection</t>
  </si>
  <si>
    <t xml:space="preserve">Access, cost &amp; equity; Healthcare system &amp; caregiving; Financial security, work &amp; basic needs; Population &amp; societal burden; Quality of life</t>
  </si>
  <si>
    <t xml:space="preserve">Healthy lifestyle &amp; habits (general); Exercise &amp; physical activity; Diet &amp; nutrition; Learning &amp; mental stimulation; Financial planning</t>
  </si>
  <si>
    <t xml:space="preserve">Personal relevance; Access, cost &amp; equity; Healthcare system &amp; caregiving; Chronic disease &amp; physical health; Technology &amp; AI; Ethics, regulation &amp; policy; Research, science &amp; treatments; Prevention &amp; early detection; Longevity &amp; lifespan; Reproductive health &amp; fertility; Population &amp; societal burden</t>
  </si>
  <si>
    <t xml:space="preserve">Access, cost &amp; equity; Healthcare system &amp; caregiving; Financial security, work &amp; basic needs; Ethics, regulation &amp; policy; Research, science &amp; treatments; Longevity &amp; lifespan</t>
  </si>
  <si>
    <t xml:space="preserve">Access, cost &amp; equity; Healthcare system &amp; caregiving; Technology &amp; AI; Safety, accuracy &amp; misuse; Research, science &amp; treatments; Prevention &amp; early detection; Population &amp; societal burden</t>
  </si>
  <si>
    <t xml:space="preserve">Healthcare system &amp; caregiving; Chronic disease &amp; physical health; Privacy &amp; data protection; Safety, accuracy &amp; misuse; Ethics, regulation &amp; policy; Reproductive health &amp; fertility; Population &amp; societal burden</t>
  </si>
  <si>
    <t xml:space="preserve">Ethics, regulation &amp; policy; Research, science &amp; treatments; Longevity &amp; lifespan; Reproductive health &amp; fertility</t>
  </si>
  <si>
    <t xml:space="preserve">Cognitive decline &amp; dementia; Social connection &amp; isolation</t>
  </si>
  <si>
    <t xml:space="preserve">Access, cost &amp; equity; Healthcare system &amp; caregiving; Chronic disease &amp; physical health; Mental &amp; emotional health; Population &amp; societal burden</t>
  </si>
  <si>
    <t xml:space="preserve">Healthy lifestyle &amp; habits (general); Exercise &amp; physical activity; Sleep &amp; rest</t>
  </si>
  <si>
    <t xml:space="preserve">All connected / equally important; Technology &amp; AI</t>
  </si>
  <si>
    <t xml:space="preserve">Ethics, regulation &amp; policy; Longevity &amp; lifespan</t>
  </si>
  <si>
    <t xml:space="preserve">Chronic disease &amp; physical health; Social connection &amp; isolation; Safety, accuracy &amp; misuse; Population &amp; societal burden</t>
  </si>
  <si>
    <t xml:space="preserve">Personal relevance; Broad benefit to society; Access, cost &amp; equity; Healthcare system &amp; caregiving; Chronic disease &amp; physical health; Technology &amp; AI; Reproductive health &amp; fertility</t>
  </si>
  <si>
    <t xml:space="preserve">Healthcare system &amp; caregiving; Chronic disease &amp; physical health; Financial security, work &amp; basic needs; Technology &amp; AI; Ethics, regulation &amp; policy</t>
  </si>
  <si>
    <t xml:space="preserve">Access, cost &amp; equity; Healthcare system &amp; caregiving; Mental &amp; emotional health; Social connection &amp; isolation; Research, science &amp; treatments</t>
  </si>
  <si>
    <t xml:space="preserve">Ethics, regulation &amp; policy; Ageism &amp; how society treats older adults</t>
  </si>
  <si>
    <t xml:space="preserve">Broad benefit to society; Ethics, regulation &amp; policy</t>
  </si>
  <si>
    <t xml:space="preserve">Healthcare system &amp; caregiving; Safety, accuracy &amp; misuse</t>
  </si>
  <si>
    <t xml:space="preserve">Technology &amp; AI; Privacy &amp; data protection; Safety, accuracy &amp; misuse; Ethics, regulation &amp; policy</t>
  </si>
  <si>
    <t xml:space="preserve">Technology &amp; AI; Privacy &amp; data protection; Population &amp; societal burden</t>
  </si>
  <si>
    <t xml:space="preserve">Access, cost &amp; equity; Healthcare system &amp; caregiving; Chronic disease &amp; physical health; Prevention &amp; early detection; Population &amp; societal burden</t>
  </si>
  <si>
    <t xml:space="preserve">Physical health &amp; mobility; Memory &amp; cognitive sharpness; Relationships &amp; social life; Values &amp; identity</t>
  </si>
  <si>
    <t xml:space="preserve">Personal relevance; Access, cost &amp; equity; Chronic disease &amp; physical health; Technology &amp; AI; Longevity &amp; lifespan; Reproductive health &amp; fertility</t>
  </si>
  <si>
    <t xml:space="preserve">Access, cost &amp; equity; Healthcare system &amp; caregiving; Reproductive health &amp; fertility</t>
  </si>
  <si>
    <t xml:space="preserve">Personal relevance; Broad benefit to society; Chronic disease &amp; physical health; Quality of life</t>
  </si>
  <si>
    <t xml:space="preserve">Chronic disease &amp; physical health; Technology &amp; AI; Safety, accuracy &amp; misuse; Research, science &amp; treatments</t>
  </si>
  <si>
    <t xml:space="preserve">Personal relevance; Social connection &amp; isolation; Prevention &amp; early detection; Reproductive health &amp; fertility</t>
  </si>
  <si>
    <t xml:space="preserve">Healthcare system &amp; caregiving; Chronic disease &amp; physical health; Quality of life</t>
  </si>
  <si>
    <t xml:space="preserve">Broad benefit to society; Access, cost &amp; equity; Longevity &amp; lifespan; Reproductive health &amp; fertility; Population &amp; societal burden</t>
  </si>
  <si>
    <t xml:space="preserve">Access, cost &amp; equity; Privacy &amp; data protection; Population &amp; societal burden</t>
  </si>
  <si>
    <t xml:space="preserve">Passage of time / getting older; Physical &amp; bodily change; Social &amp; role change</t>
  </si>
  <si>
    <t xml:space="preserve">Healthy lifestyle &amp; habits (general); Exercise &amp; physical activity; Sleep &amp; rest; Social engagement</t>
  </si>
  <si>
    <t xml:space="preserve">Personal relevance; Broad benefit to society; Access, cost &amp; equity; Technology &amp; AI; Research, science &amp; treatments</t>
  </si>
  <si>
    <t xml:space="preserve">Access, cost &amp; equity; Privacy &amp; data protection; Ethics, regulation &amp; policy; Research, science &amp; treatments; Population &amp; societal burden</t>
  </si>
  <si>
    <t xml:space="preserve">Access, cost &amp; equity; Social connection &amp; isolation; Financial security, work &amp; basic needs; Safety, accuracy &amp; misuse</t>
  </si>
  <si>
    <t xml:space="preserve">Memory &amp; cognitive sharpness; Relationships &amp; social life; Appearance</t>
  </si>
  <si>
    <t xml:space="preserve">Healthy lifestyle &amp; habits (general); Exercise &amp; physical activity; Sleep &amp; rest; Avoiding harmful habits</t>
  </si>
  <si>
    <t xml:space="preserve">Healthcare system &amp; caregiving; Chronic disease &amp; physical health; Cognitive decline &amp; dementia; Social connection &amp; isolation; Quality of life</t>
  </si>
  <si>
    <t xml:space="preserve">Access, cost &amp; equity; Chronic disease &amp; physical health; Financial security, work &amp; basic needs; Ethics, regulation &amp; policy</t>
  </si>
  <si>
    <t xml:space="preserve">Access, cost &amp; equity; Technology &amp; AI; Longevity &amp; lifespan; Reproductive health &amp; fertility</t>
  </si>
  <si>
    <t xml:space="preserve">Memory &amp; cognitive sharpness</t>
  </si>
  <si>
    <t xml:space="preserve">Broad benefit to society; Access, cost &amp; equity; Technology &amp; AI; Ethics, regulation &amp; policy; Research, science &amp; treatments; Longevity &amp; lifespan; Reproductive health &amp; fertility; Population &amp; societal burden</t>
  </si>
  <si>
    <t xml:space="preserve">Access, cost &amp; equity; Chronic disease &amp; physical health; Cognitive decline &amp; dementia; Mental &amp; emotional health; Social connection &amp; isolation; Financial security, work &amp; basic needs</t>
  </si>
  <si>
    <t xml:space="preserve">Exercise &amp; physical activity; Diet &amp; nutrition; Social engagement; Learning &amp; mental stimulation</t>
  </si>
  <si>
    <t xml:space="preserve">Broad benefit to society; Access, cost &amp; equity; Chronic disease &amp; physical health; Research, science &amp; treatments; Reproductive health &amp; fertility</t>
  </si>
  <si>
    <t xml:space="preserve">Access, cost &amp; equity; Financial security, work &amp; basic needs; Ethics, regulation &amp; policy</t>
  </si>
  <si>
    <t xml:space="preserve">Decline &amp; change in function; Physical &amp; bodily change; Cognitive &amp; mental change; Social &amp; role change</t>
  </si>
  <si>
    <t xml:space="preserve">Exercise &amp; physical activity; Diet &amp; nutrition; Sleep &amp; rest</t>
  </si>
  <si>
    <t xml:space="preserve">Chronic disease &amp; physical health; Financial security, work &amp; basic needs; Longevity &amp; lifespan; Quality of life</t>
  </si>
  <si>
    <t xml:space="preserve">Access, cost &amp; equity; Healthcare system &amp; caregiving; Chronic disease &amp; physical health; Ethics, regulation &amp; policy; Research, science &amp; treatments; Prevention &amp; early detection; Longevity &amp; lifespan; Population &amp; societal burden; Quality of life</t>
  </si>
  <si>
    <t xml:space="preserve">Access, cost &amp; equity; Healthcare system &amp; caregiving; Chronic disease &amp; physical health; Financial security, work &amp; basic needs; Longevity &amp; lifespan</t>
  </si>
  <si>
    <t xml:space="preserve">Personal relevance; Broad benefit to society; Reproductive health &amp; fertility</t>
  </si>
  <si>
    <t xml:space="preserve">Access, cost &amp; equity; Chronic disease &amp; physical health; Mental &amp; emotional health; Population &amp; societal burden</t>
  </si>
  <si>
    <t xml:space="preserve">Healthcare system &amp; caregiving; Chronic disease &amp; physical health; Technology &amp; AI; Prevention &amp; early detection</t>
  </si>
  <si>
    <t xml:space="preserve">Access, cost &amp; equity; Technology &amp; AI; Ethics, regulation &amp; policy</t>
  </si>
  <si>
    <t xml:space="preserve">Chronic disease &amp; physical health; Mental &amp; emotional health; Quality of life</t>
  </si>
  <si>
    <t xml:space="preserve">Personal relevance; Broad benefit to society; Access, cost &amp; equity; Technology &amp; AI; Longevity &amp; lifespan; Reproductive health &amp; fertility</t>
  </si>
  <si>
    <t xml:space="preserve">Cognitive decline &amp; dementia; Prevention &amp; early detection</t>
  </si>
  <si>
    <t xml:space="preserve">Access, cost &amp; equity; Chronic disease &amp; physical health; Cognitive decline &amp; dementia; Research, science &amp; treatments; Prevention &amp; early detection</t>
  </si>
  <si>
    <t xml:space="preserve">Chronic disease &amp; physical health; Financial security, work &amp; basic needs; Ethics, regulation &amp; policy</t>
  </si>
  <si>
    <t xml:space="preserve">Access, cost &amp; equity; Financial security, work &amp; basic needs; Independence &amp; autonomy; Population &amp; societal burden</t>
  </si>
  <si>
    <t xml:space="preserve">Access, cost &amp; equity; Healthcare system &amp; caregiving; Ageism &amp; how society treats older adults</t>
  </si>
  <si>
    <t xml:space="preserve">Personal relevance; Broad benefit to society; Chronic disease &amp; physical health; Technology &amp; AI; Research, science &amp; treatments; Population &amp; societal burden</t>
  </si>
  <si>
    <t xml:space="preserve">Physical health &amp; mobility; Mental &amp; emotional well-being; Relationships &amp; social life; Hobbies, curiosity &amp; purpose</t>
  </si>
  <si>
    <t xml:space="preserve">Personal relevance; Broad benefit to society; Access, cost &amp; equity; Healthcare system &amp; caregiving; Chronic disease &amp; physical health; Technology &amp; AI; Research, science &amp; treatments; Prevention &amp; early detection; Longevity &amp; lifespan; Reproductive health &amp; fertility; Population &amp; societal burden; Quality of life</t>
  </si>
  <si>
    <t xml:space="preserve">Healthcare system &amp; caregiving; Technology &amp; AI; Safety, accuracy &amp; misuse; Research, science &amp; treatments; Quality of life</t>
  </si>
  <si>
    <t xml:space="preserve">Healthcare system &amp; caregiving; Chronic disease &amp; physical health; Financial security, work &amp; basic needs; Research, science &amp; treatments; Longevity &amp; lifespan; Reproductive health &amp; fertility; Population &amp; societal burden; Quality of life</t>
  </si>
  <si>
    <t xml:space="preserve">Access, cost &amp; equity; Technology &amp; AI; Privacy &amp; data protection; Safety, accuracy &amp; misuse; Ethics, regulation &amp; policy; Research, science &amp; treatments</t>
  </si>
  <si>
    <t xml:space="preserve">Access, cost &amp; equity; Chronic disease &amp; physical health; Technology &amp; AI; Ethics, regulation &amp; policy; Longevity &amp; lifespan</t>
  </si>
  <si>
    <t xml:space="preserve">Chronic disease &amp; physical health; Safety, accuracy &amp; misuse; Ethics, regulation &amp; policy</t>
  </si>
  <si>
    <t xml:space="preserve">Access, cost &amp; equity; Healthcare system &amp; caregiving; Chronic disease &amp; physical health; Social connection &amp; isolation; Prevention &amp; early detection; Population &amp; societal burden</t>
  </si>
  <si>
    <t xml:space="preserve">Access, cost &amp; equity; Chronic disease &amp; physical health; Technology &amp; AI; Privacy &amp; data protection; Safety, accuracy &amp; misuse; Ethics, regulation &amp; policy</t>
  </si>
  <si>
    <t xml:space="preserve">Broad benefit to society; Access, cost &amp; equity; Chronic disease &amp; physical health; Research, science &amp; treatments; Longevity &amp; lifespan; Reproductive health &amp; fertility</t>
  </si>
  <si>
    <t xml:space="preserve">Personal relevance; Access, cost &amp; equity; Technology &amp; AI; Reproductive health &amp; fertility</t>
  </si>
  <si>
    <t xml:space="preserve">Access, cost &amp; equity; Chronic disease &amp; physical health; Cognitive decline &amp; dementia; Independence &amp; autonomy; Ethics, regulation &amp; policy</t>
  </si>
  <si>
    <t xml:space="preserve">Chronic disease &amp; physical health; Prevention &amp; early detection; Population &amp; societal burden</t>
  </si>
  <si>
    <t xml:space="preserve">Technology &amp; AI; Longevity &amp; lifespan; Population &amp; societal burden</t>
  </si>
  <si>
    <t xml:space="preserve">Access, cost &amp; equity; Privacy &amp; data protection; Safety, accuracy &amp; misuse</t>
  </si>
  <si>
    <t xml:space="preserve">Healthy lifestyle &amp; habits (general); Exercise &amp; physical activity; Diet &amp; nutrition; Social engagement; Learning &amp; mental stimulation</t>
  </si>
  <si>
    <t xml:space="preserve">Social connection &amp; isolation; Ageism &amp; how society treats older adults; Population &amp; societal burden</t>
  </si>
  <si>
    <t xml:space="preserve">Memory &amp; cognitive sharpness; Independence; Hobbies, curiosity &amp; purpose</t>
  </si>
  <si>
    <t xml:space="preserve">Access, cost &amp; equity; Financial security, work &amp; basic needs; Technology &amp; AI; Research, science &amp; treatments</t>
  </si>
  <si>
    <t xml:space="preserve">Chronic disease &amp; physical health; Ethics, regulation &amp; policy; Research, science &amp; treatments; Longevity &amp; lifespan</t>
  </si>
  <si>
    <t xml:space="preserve">Personal relevance; Broad benefit to society; Longevity &amp; lifespan; Reproductive health &amp; fertility; Population &amp; societal burden</t>
  </si>
  <si>
    <t xml:space="preserve">Chronic disease &amp; physical health; Social connection &amp; isolation; Safety, accuracy &amp; misuse</t>
  </si>
  <si>
    <t xml:space="preserve">Broad benefit to society; Access, cost &amp; equity; Research, science &amp; treatments; Longevity &amp; lifespan; Population &amp; societal burden</t>
  </si>
  <si>
    <t xml:space="preserve">Chronic disease &amp; physical health; Privacy &amp; data protection; Ethics, regulation &amp; policy</t>
  </si>
  <si>
    <t xml:space="preserve">Social connection &amp; isolation; Independence &amp; autonomy; Prevention &amp; early detection</t>
  </si>
  <si>
    <t xml:space="preserve">Social engagement; Learning &amp; mental stimulation; Preventive &amp; medical care</t>
  </si>
  <si>
    <t xml:space="preserve">Healthcare system &amp; caregiving; Social connection &amp; isolation; Financial security, work &amp; basic needs; Safety, accuracy &amp; misuse</t>
  </si>
  <si>
    <t xml:space="preserve">Chronic disease &amp; physical health; Cognitive decline &amp; dementia; Mental &amp; emotional health; Social connection &amp; isolation; Research, science &amp; treatments</t>
  </si>
  <si>
    <t xml:space="preserve">Personal relevance; Broad benefit to society; Social connection &amp; isolation</t>
  </si>
  <si>
    <t xml:space="preserve">Social connection &amp; isolation; Longevity &amp; lifespan; Reproductive health &amp; fertility</t>
  </si>
  <si>
    <t xml:space="preserve">Access, cost &amp; equity; Chronic disease &amp; physical health; Independence &amp; autonomy; Population &amp; societal burden</t>
  </si>
  <si>
    <t xml:space="preserve">Access, cost &amp; equity; Healthcare system &amp; caregiving; Research, science &amp; treatments; Longevity &amp; lifespan; Population &amp; societal burden; Quality of life</t>
  </si>
  <si>
    <t xml:space="preserve">Technology &amp; AI; Ethics, regulation &amp; policy; Prevention &amp; early detection</t>
  </si>
  <si>
    <t xml:space="preserve">Access, cost &amp; equity; Financial security, work &amp; basic needs; Ethics, regulation &amp; policy; Prevention &amp; early detection; Longevity &amp; lifespan</t>
  </si>
  <si>
    <t xml:space="preserve">Theme summary – share of respondents whose answer mentions each theme</t>
  </si>
  <si>
    <t xml:space="preserve">Each answer can carry several themes, so shares in a block can add up to more than 100%. Percent = respondents in that column whose answer has the theme ÷ respondents in that column who answered the question. Themes come from keyword codebooks (see the Tagged Responses sheet to check any answer).</t>
  </si>
  <si>
    <t xml:space="preserve">Q5 Definition of aging</t>
  </si>
  <si>
    <t xml:space="preserve">Theme</t>
  </si>
  <si>
    <t xml:space="preserve">Responses (all)</t>
  </si>
  <si>
    <t xml:space="preserve">All respondents</t>
  </si>
  <si>
    <t xml:space="preserve">Lives in US</t>
  </si>
  <si>
    <t xml:space="preserve">Lives in China</t>
  </si>
  <si>
    <t xml:space="preserve">Answered (n)</t>
  </si>
  <si>
    <t xml:space="preserve">Q7 Greatest challenge</t>
  </si>
  <si>
    <t xml:space="preserve">Q8 Short-term priority</t>
  </si>
  <si>
    <t xml:space="preserve">Q9 Is action being taken?</t>
  </si>
  <si>
    <t xml:space="preserve">Q10 Things to maintain</t>
  </si>
  <si>
    <t xml:space="preserve">Q11 What you can do</t>
  </si>
  <si>
    <t xml:space="preserve">Sleep &amp; rest</t>
  </si>
  <si>
    <t xml:space="preserve">Reason for topic ranking</t>
  </si>
  <si>
    <t xml:space="preserve">Ethical considerations</t>
  </si>
  <si>
    <t xml:space="preserve">Combined survey dataset – notes</t>
  </si>
  <si>
    <t xml:space="preserve">Age category cutoffs (edit the blue cells; the Combined sheet updates)</t>
  </si>
  <si>
    <t xml:space="preserve">Student age: age at or below</t>
  </si>
  <si>
    <t xml:space="preserve">Elderly: age at or above</t>
  </si>
  <si>
    <t xml:space="preserve">Middle-aged</t>
  </si>
  <si>
    <t xml:space="preserve">everyone between the two cutoffs</t>
  </si>
  <si>
    <t xml:space="preserve">Respondents by group and age category</t>
  </si>
  <si>
    <t xml:space="preserve">Age missing</t>
  </si>
  <si>
    <t xml:space="preserve">Total</t>
  </si>
  <si>
    <t xml:space="preserve">How the data was combined</t>
  </si>
  <si>
    <t xml:space="preserve">• One row per respondent from all 8 group sheets (original sheets are kept unchanged after this tab). "Source row" is the row in the original group sheet.</t>
  </si>
  <si>
    <t xml:space="preserve">• Multi-line answers that had spilled onto extra rows in the originals (rows with no age/gender/location) were folded back into the respondent above, joined with "; ".</t>
  </si>
  <si>
    <t xml:space="preserve">• Header overflow rows at the top of Group 2 (topic list and example) were dropped.</t>
  </si>
  <si>
    <t xml:space="preserve">• Questions were aligned by meaning; where a group asked a question as two parts (e.g., Q8 challenge + why), the second part fills the matching column or is appended with "; ".</t>
  </si>
  <si>
    <t xml:space="preserve">• Group 6 multiple-choice letter prefixes (e.g., "B. ") were removed.</t>
  </si>
  <si>
    <t xml:space="preserve">Locations</t>
  </si>
  <si>
    <t xml:space="preserve">• Each location is split into State/Province and Country, with a combined "State, Country" column. Abbreviations (MD, Ca, NYC…) were expanded; cities were mapped to their state/province (Baltimore → Maryland, Suzhou → Jiangsu, London → England).</t>
  </si>
  <si>
    <t xml:space="preserve">• Answers giving only a country (e.g., "China", "USA") have a blank state. "Asia" could not be placed. Hong Kong is recorded as Hong Kong, China; Taiwan / Chinese Taipei as Taiwan.</t>
  </si>
  <si>
    <t xml:space="preserve">Standardized answers</t>
  </si>
  <si>
    <t xml:space="preserve">• Q6: answers given as fractions (0.25) were converted to percent (25). Q6 Estimate (range) puts every group on common bins so Groups 4 and 6 (range choices) are comparable with the numeric answers.</t>
  </si>
  <si>
    <t xml:space="preserve">• Ranks: 1 = most important, 3 = least important, for every group. Group 2 and Group 5 typed an ordered list (e.g., "ii, i, iii" or "2,1,3"); both were read as the topics listed from most to least important. Group 3 "Most/Medium/Least important" became 1/2/3; Group 4 rank-position grids were inverted to per-topic ranks. Answers that were not a valid order are blank and flagged in Data notes. Repeated ranks in grid questions (Groups 1, 7, 8) are kept as answered and flagged.</t>
  </si>
  <si>
    <t xml:space="preserve">• Yes/No columns are derived from the answer's opening word (Yes / No / Unsure); any answer longer than a bare yes/no is kept in the matching comment/details column. Groups 3, 4, 6, 7 used 1–5 rating scales, which go in the rating columns.</t>
  </si>
  <si>
    <t xml:space="preserve">• Group 1 Q16 asked for one excitement and one fear together; those answers are in "What excites you".</t>
  </si>
  <si>
    <t xml:space="preserve">• Gender: Man/Woman/M/F and spelling variants mapped to Male/Female; non-binary and genderqueer grouped as "Non-binary / gender diverse".</t>
  </si>
  <si>
    <t xml:space="preserve">• Interviewer names and the group roster are removed from this public copy.</t>
  </si>
  <si>
    <t xml:space="preserve">Theme tagging (Tagged Responses and Theme Summary sheets)</t>
  </si>
  <si>
    <t xml:space="preserve">• Open-ended answers were tagged with keyword codebooks, one per kind of question: a shared set of themes for challenges, priorities, ranking reasons, excitement, concerns and ethics; separate sets for Q5 (definition of aging), Q10 (things to maintain) and Q11 (what you can do).</t>
  </si>
  <si>
    <t xml:space="preserve">• An answer can carry several themes. "Other" = answer given but no theme keyword matched; "General / no specifics" = a bare yes/always/definitely; "No answer / unsure" = none, idk, not sure.</t>
  </si>
  <si>
    <t xml:space="preserve">• Q9 is coded as a status instead of themes: Yes / Some, but insufficient / Little or none / Unsure / Names an action or idea (the respondent suggested a solution rather than saying whether action is happening).</t>
  </si>
  <si>
    <t xml:space="preserve">• Answers that only name a topic number ("Topic 3", "iii") are tagged with that topic's theme (1 = Reproductive health &amp; fertility, 2 = Access, cost &amp; equity, 3 = Technology &amp; AI).</t>
  </si>
  <si>
    <t xml:space="preserve">• Keyword tagging is approximate. Long answers can pick up extra themes from incidental words; spot-check the Tagged Responses sheet before quoting a specific number.</t>
  </si>
  <si>
    <t xml:space="preserve">3. What state/country are you from?</t>
  </si>
  <si>
    <t xml:space="preserve">4. What state or country do you currently reside?</t>
  </si>
  <si>
    <t xml:space="preserve">5. How would you define aging?</t>
  </si>
  <si>
    <t xml:space="preserve">6. If you had to guess, what percent of the population in the United States is above 65 years old?</t>
  </si>
  <si>
    <t xml:space="preserve">7. What do you think is the greatest challenge facing our aging population?</t>
  </si>
  <si>
    <t xml:space="preserve">8. What do you think is the greatest challenge facing our aging population that should be solved in the short term, and why should it be prioritized?</t>
  </si>
  <si>
    <t xml:space="preserve">9. Do you see any action to address this challenge?</t>
  </si>
  <si>
    <t xml:space="preserve">10. What are the three things that you would like to maintain/retain throughout your life (from young to older)?</t>
  </si>
  <si>
    <t xml:space="preserve">11. Are there things that you can do to help ensure that you do maintain them?</t>
  </si>
  <si>
    <t xml:space="preserve">12. How would you describe what they mean in one sentence?</t>
  </si>
  <si>
    <t xml:space="preserve">13. Rank these in order of importance to you as an individual [Boosting reproductive health and longevity]</t>
  </si>
  <si>
    <t xml:space="preserve">13. Rank these in order of importance to you as an individual [Democratizing longevity science/solutions (having longevity and health solutions that are accessible, affordable, and generalizable)]</t>
  </si>
  <si>
    <t xml:space="preserve">13. Rank these in order of importance to you as an individual [Applying machine learning and artificial intelligence (AI) to enable modern solutions for aging and health (e.g., predicting disease risk or disease trajectories, precision health, solutions for aging and health etc.)]</t>
  </si>
  <si>
    <t xml:space="preserve">14. Rank these in order of importance to society [Boosting reproductive health and longevity]</t>
  </si>
  <si>
    <t xml:space="preserve">14. Rank these in order of importance to society [Democratizing longevity science/solutions (having longevity and health solutions that are accessible, affordable, and generalizable)]</t>
  </si>
  <si>
    <t xml:space="preserve">14. Rank these in order of importance to society [Applying machine learning and artificial intelligence (AI) to enable modern solutions for aging and health (e.g., predicting disease risk or disease trajectories, precision health, solutions for aging and health etc.)]</t>
  </si>
  <si>
    <t xml:space="preserve">15. Why did you rank them this way?</t>
  </si>
  <si>
    <t xml:space="preserve">16. List one thing that excites you and one thing that frightens you about one of these topics.</t>
  </si>
  <si>
    <t xml:space="preserve">17. Are there ethical considerations that should be in place when developing solutions for these topics?</t>
  </si>
  <si>
    <t xml:space="preserve">18. Are you excited about the future of aging research?</t>
  </si>
  <si>
    <t xml:space="preserve">19. Do you think Bioengineers can play a role in developing solutions?</t>
  </si>
  <si>
    <t xml:space="preserve">Florida, USA</t>
  </si>
  <si>
    <t xml:space="preserve">Maryland, USA</t>
  </si>
  <si>
    <t xml:space="preserve">Not enough access to medical care/practitioners. </t>
  </si>
  <si>
    <t xml:space="preserve">Programs to sponsor people who plan to be or are caregivers (forgiven college debts), subsidies, free food delivery programs for elderly </t>
  </si>
  <si>
    <t xml:space="preserve">As a woman, it is scary to feel pressured to have children when there is little access to good childcare for working women. </t>
  </si>
  <si>
    <t xml:space="preserve">Pennsylvania, USA</t>
  </si>
  <si>
    <t xml:space="preserve">body tissues breaking down, mind gaining experience </t>
  </si>
  <si>
    <t xml:space="preserve">MD</t>
  </si>
  <si>
    <t xml:space="preserve">Reformation of nursing homes and communities currently, but unfortunately insufficient </t>
  </si>
  <si>
    <t xml:space="preserve">AI predicting modern solutions - both excites me for the future of medicine, but also frightens me for the upcoming consequences </t>
  </si>
  <si>
    <t xml:space="preserve">Ma</t>
  </si>
  <si>
    <t xml:space="preserve">Md</t>
  </si>
  <si>
    <t xml:space="preserve">Money, movement, mental acuity </t>
  </si>
  <si>
    <t xml:space="preserve">California </t>
  </si>
  <si>
    <t xml:space="preserve">Preventative health so we are proactive instead of reactive </t>
  </si>
  <si>
    <t xml:space="preserve">Vision</t>
  </si>
  <si>
    <t xml:space="preserve">Workout</t>
  </si>
  <si>
    <t xml:space="preserve">I want to be healthy </t>
  </si>
  <si>
    <t xml:space="preserve">Longer healthier lives</t>
  </si>
  <si>
    <t xml:space="preserve">Lucidity</t>
  </si>
  <si>
    <t xml:space="preserve">Dont use too many screens </t>
  </si>
  <si>
    <t xml:space="preserve">Athleticism </t>
  </si>
  <si>
    <t xml:space="preserve">Puzzles </t>
  </si>
  <si>
    <t xml:space="preserve">AI taking over the world </t>
  </si>
  <si>
    <t xml:space="preserve">More and more aging population, but less and less resources to care for them (both monetarily but also human-labor wise) </t>
  </si>
  <si>
    <t xml:space="preserve">Keep an open mind, stay healthy be exercising, don’t get complacent about doing things. </t>
  </si>
  <si>
    <t xml:space="preserve">The process of integrating learned/life experiences throughout one's lifetime. </t>
  </si>
  <si>
    <t xml:space="preserve">(i) Taking action to increase one’s ability to participate in reproductive activities in a healthy way </t>
  </si>
  <si>
    <t xml:space="preserve">(ii) Increasing access to healthcare to improve quality of life </t>
  </si>
  <si>
    <t xml:space="preserve">(iii) Using AI to inform oneself and others about potential solutions to aging</t>
  </si>
  <si>
    <t xml:space="preserve">Family</t>
  </si>
  <si>
    <t xml:space="preserve">NY/USA</t>
  </si>
  <si>
    <t xml:space="preserve">I think that the greatest challenge facing our aging population could possibly be them feeling ostracized from the general public, which can affect their mental health and thus cause other health problems. </t>
  </si>
  <si>
    <t xml:space="preserve">Maryland </t>
  </si>
  <si>
    <t xml:space="preserve">Aged population growth is accelerating while birth rate is declining, having the young take care of the old financially through social security is infeasible, and changes need to be addressed now before the population collapses similar to Korea. </t>
  </si>
  <si>
    <t xml:space="preserve">Westwood, Los Angeles</t>
  </si>
  <si>
    <t xml:space="preserve">Honestly no. I know this is unpopular in the largely democratic hopkins space and I am up in the air about how much I truly believe in this idea, I am also kinda ignorant in this topic specifically because I don’t really think or care about the older population very much at this point in my life. </t>
  </si>
  <si>
    <t xml:space="preserve">Healthcare is the most important, AI this AI that whatever, just take viagra tbh</t>
  </si>
  <si>
    <t xml:space="preserve">But privatizing advanced medicine isn’t the worst thing in the world. People over 65 already spend a ton of money on healthcare, especially in the last 12 months of life. In the event we spend more money on the elderly what is the end goal? We have a bunch of people who aren’t working and live even longer for what purpose? Especially those who are sick and are living heavily impacted lives. I agree that people who have been working a long time should be rewarded with years of retirement, and that it is truly a matter of luck whether you get to experience those years, but I think it isnt the worst idea in the world for people who have amassed wealth in their life to have better resources for living longer than someone who hasn’t.</t>
  </si>
  <si>
    <t xml:space="preserve">For me I build CNNs and so I care more about AI applications but the other logic is consistent.</t>
  </si>
  <si>
    <t xml:space="preserve">To tie a personal story into this. My mom was diagnosed with stage 4 breast cancer about 2 years ago. Shes been doing chemo to minimize and hold out for a vaccine to cure her cancer. Now I don’t actually know how much she is spending on this treatment, but she has amassed 7 figures at least in her 401k (which she can’t even access because shes not 58 or whatever age it is), and she still has money from selling her nice house and moving to Mississippi with my white ass family where cost of living is cheap. All of that is to say, she has had the luxury of fighting this cancer, despite her hating every second, because she made a solid money in her time. Its not like she had generational wealth, she grew up on a farm, and she was the first person in her family to go to graduate school. She just worked really hard to make money and provide for us, another reason why she was able to send me to JHU. </t>
  </si>
  <si>
    <t xml:space="preserve">Now obviously nobody is saying that people who have a lot of money shouldnt be allowed to spend their money on their illnesses as an elderly adult. But we both know as people in medicine how expensive it is to get these clinical trials completed and develop the medicine.</t>
  </si>
  <si>
    <t xml:space="preserve">I have been working heavily in medicine recently and have learned alot about the grueling process of doing research, developing a drug, and going through the steps of approval for that drug. Its expensive and labor intensive. That costs money, like a lot. So that money is either coming out of our pockets in taxes, or the elderly pockets. I do believe that we should continue spending as a society for the elderly to have care, but there is certainly risk in heavily democratizing care. Do we as a society really benefit from having a bunch of sick old people spending a bunch of money prolonging their life? Honestly, I dont think so. Everybody experiences the loss of their parents, I personally haven’t yet, but I know I will and that reality has been staring me in the face a while. I feel that spending all this money on elderly care just is not the best way forward and I dont see the benefit of spending much more on it. Now I certainly believe the system that needs the most revision is insurance, they make an exuberant amount of money, and this system should exist for people who are unlucky in their younger years and are threatened with the reality that they won’t make it to those retirement years. For people like my mom who have worked hard providing for me and my brother as a single mom and can’t access the 401k money she has saved, I would say insurance and spending exist for them. I understand I am biased and that this logic doesn’t exist for people who aren’t able to save enough money to really retire but that second point is a different story. </t>
  </si>
  <si>
    <t xml:space="preserve">I am tired of typing this out I have other things to do, but I did want to provide my perspective, honestly not for you, but for me to be able to get my thoughts on a page and further develop a thought that was sneaking around in the back of my brain and I wanted to understand it. </t>
  </si>
  <si>
    <t xml:space="preserve">Alright good luck with this study, and we should probably wish Landon luck because he is about to soend the day at wafflehouse. I will say though good for club basketball because unless he packed on hella weight since I last saw him, he needs it.</t>
  </si>
  <si>
    <t xml:space="preserve">Florida/ usa</t>
  </si>
  <si>
    <t xml:space="preserve">More Awareness </t>
  </si>
  <si>
    <t xml:space="preserve">1. Gym Gains</t>
  </si>
  <si>
    <t xml:space="preserve">Go to Gym </t>
  </si>
  <si>
    <t xml:space="preserve">Going to gym and follow routine </t>
  </si>
  <si>
    <t xml:space="preserve">The thing that excites me is my determination to get jacked and what scares me is aging </t>
  </si>
  <si>
    <t xml:space="preserve">2. Healthy body</t>
  </si>
  <si>
    <t xml:space="preserve">3. Mobility </t>
  </si>
  <si>
    <t xml:space="preserve">The growth and eventually biological deterioration of the human body and the mind over the course of time </t>
  </si>
  <si>
    <t xml:space="preserve">Not enough medical workforce to care for aging population </t>
  </si>
  <si>
    <t xml:space="preserve">access is important. we have high population, reproduction might hurt. </t>
  </si>
  <si>
    <t xml:space="preserve">excite: personal medicine. frighten: increased lifespan without health </t>
  </si>
  <si>
    <t xml:space="preserve">MA</t>
  </si>
  <si>
    <t xml:space="preserve">MD/NJ</t>
  </si>
  <si>
    <t xml:space="preserve">A lot of things</t>
  </si>
  <si>
    <t xml:space="preserve">My mental function</t>
  </si>
  <si>
    <t xml:space="preserve">Nothing scares me.</t>
  </si>
  <si>
    <t xml:space="preserve">Economically: food insecurity and housing</t>
  </si>
  <si>
    <t xml:space="preserve">As much athleticism as possible</t>
  </si>
  <si>
    <t xml:space="preserve">Everything excited me.</t>
  </si>
  <si>
    <t xml:space="preserve">Biologically: disease, widespread pandemics etc</t>
  </si>
  <si>
    <t xml:space="preserve">My penis</t>
  </si>
  <si>
    <t xml:space="preserve">What can I say I’m a chill guy/gal</t>
  </si>
  <si>
    <t xml:space="preserve">Epistemologically: AI pollution on the internet and the increasing unverifiability of information</t>
  </si>
  <si>
    <t xml:space="preserve">Societally: loneliness</t>
  </si>
  <si>
    <t xml:space="preserve">Ecologically: climate change</t>
  </si>
  <si>
    <t xml:space="preserve">And much more</t>
  </si>
  <si>
    <t xml:space="preserve">Understanding modern technology and the decline of in-person socialization </t>
  </si>
  <si>
    <t xml:space="preserve">In-person socialization and engagement, use of technology. For the former, benefits to health and reducing isolation is very good individually and for society; for the latter, it is important to accommodate and provide services for people that do not freeze out those who are not as familiar, adept, or comfortable with certain technological changes in day-to-day life </t>
  </si>
  <si>
    <t xml:space="preserve">Yes. Prioritizing third spaces again, requiring certain provisions in services (physical menus, for example, not just QR codes in restaurants) </t>
  </si>
  <si>
    <t xml:space="preserve">-Active lifestyle</t>
  </si>
  <si>
    <t xml:space="preserve">-Connection with community and friends</t>
  </si>
  <si>
    <t xml:space="preserve">-Travel</t>
  </si>
  <si>
    <t xml:space="preserve">Moving through the years of your life and the experiences that comes with that </t>
  </si>
  <si>
    <t xml:space="preserve">The ability to understand technology and not be threatened by it or afraid of it </t>
  </si>
  <si>
    <t xml:space="preserve">I think offering simpler ways to go about daily tasks that ease in the use of technology would help out </t>
  </si>
  <si>
    <t xml:space="preserve">It would be difficult to give everyone access to technology in a short time frame </t>
  </si>
  <si>
    <t xml:space="preserve">1. Ability to connect with people from other generations </t>
  </si>
  <si>
    <t xml:space="preserve">I can get out and go meet people and build lasting relationships that are important to me </t>
  </si>
  <si>
    <t xml:space="preserve">Exciting: the development of technology to enhance our day to day life </t>
  </si>
  <si>
    <t xml:space="preserve">2. Ability to use technology on my own</t>
  </si>
  <si>
    <t xml:space="preserve">Frighten: the ability for all to access this technology</t>
  </si>
  <si>
    <t xml:space="preserve">3. The desire to still interact with others in the world aside from my immediate family </t>
  </si>
  <si>
    <t xml:space="preserve">New York, USA</t>
  </si>
  <si>
    <t xml:space="preserve">Baltimore, MD</t>
  </si>
  <si>
    <t xml:space="preserve">NJ</t>
  </si>
  <si>
    <t xml:space="preserve">nj</t>
  </si>
  <si>
    <t xml:space="preserve">Perhaps the lack of willingness to understand them and remember that they are people too, not just things to be taken care of and they once lived the same lives as every young person. </t>
  </si>
  <si>
    <t xml:space="preserve">Yes, hopefully the government and Department of Education take charge of this matter </t>
  </si>
  <si>
    <t xml:space="preserve">My intelligence, my relationships, and my reputation </t>
  </si>
  <si>
    <t xml:space="preserve">california, US</t>
  </si>
  <si>
    <t xml:space="preserve">maryland</t>
  </si>
  <si>
    <t xml:space="preserve">FL</t>
  </si>
  <si>
    <t xml:space="preserve">VA</t>
  </si>
  <si>
    <t xml:space="preserve">More community and institution level programs for older adult health and longevity (fitness, tech classes, health literacy classes). Some states having policy level plans on aging, like California’s Master Plan on Aging. And some cities like Los Angeles having Departments on Aging that have social work and other services just for older adults. </t>
  </si>
  <si>
    <t xml:space="preserve">It frightens me the amount of states in the US who are not making progress to increase accessibility of older adult resources. It frightens me how little people care. But what excites me is the innovative and interdisciplinary things being implemented in the states that are doing it. Like many OT/PT/RD programs implementing a geriatrics rotation and block in their curriculum. And more nonprofits building social spaces for older adults. </t>
  </si>
  <si>
    <t xml:space="preserve">Our aging population is increasing due to increased life expectancy, but not enough caregivers. </t>
  </si>
  <si>
    <t xml:space="preserve">Promoting elderly care as a profession or family members to take care of aging members. </t>
  </si>
  <si>
    <t xml:space="preserve">Yes, exercise and social maintenance </t>
  </si>
  <si>
    <t xml:space="preserve">USA</t>
  </si>
  <si>
    <t xml:space="preserve">Wear and tear of the body over time </t>
  </si>
  <si>
    <t xml:space="preserve">Not enough caretakers </t>
  </si>
  <si>
    <t xml:space="preserve">Financial support like Medicare and SSDI, people need to be supported especially at their weakest. So many in poverty at an older age </t>
  </si>
  <si>
    <t xml:space="preserve">Bone/muscule strength, posture and flexibility, mental stability </t>
  </si>
  <si>
    <t xml:space="preserve">Yes, weightlifting </t>
  </si>
  <si>
    <t xml:space="preserve">The ability to maintain whats in your control, genetics aside </t>
  </si>
  <si>
    <t xml:space="preserve">Excited about AI creating new innovations, worried that their effects will be limited to those who can afford breakthrough treatments </t>
  </si>
  <si>
    <t xml:space="preserve">I am not certain. </t>
  </si>
  <si>
    <t xml:space="preserve">Pennsylvania/United States</t>
  </si>
  <si>
    <t xml:space="preserve">The number of people above the age of 65 is increasing, so access to proper healthcare is a major challenge. </t>
  </si>
  <si>
    <t xml:space="preserve">Ensuring that there are proper resources in place to care for the aging population. This should be prioritized because without proper care, QOL will decrease. </t>
  </si>
  <si>
    <t xml:space="preserve">Foundational principles of a healthy life. </t>
  </si>
  <si>
    <t xml:space="preserve">Longevity is important, but I do not think that is necessarily a goal of everyone unless it is in parallel with QOL increased. Democratizing science should always be a goal so that access to health solutions is not narrowed to the upper class. Applying AI will help and is already happening. </t>
  </si>
  <si>
    <t xml:space="preserve">Excites: Access to new healthcare modalities</t>
  </si>
  <si>
    <t xml:space="preserve">Frightens: Access to new healthcare modalities only for those who can afford it</t>
  </si>
  <si>
    <t xml:space="preserve">consistent habits </t>
  </si>
  <si>
    <t xml:space="preserve">Connecticut / USA</t>
  </si>
  <si>
    <t xml:space="preserve">Getting older / biological age increasing </t>
  </si>
  <si>
    <t xml:space="preserve">Prioritizing disability awareness and having more accessiblity in public buildings </t>
  </si>
  <si>
    <t xml:space="preserve">Yes, there are lots of intentional actions I can take for each thing. </t>
  </si>
  <si>
    <t xml:space="preserve">The important things for me in life is maintaining close relationships with friends and family, keeping my body health, and having a career/hobbies that fulfills me. </t>
  </si>
  <si>
    <t xml:space="preserve">I think AI can be a double edged sword that leads to more harm than good. </t>
  </si>
  <si>
    <t xml:space="preserve">It's exciting we will get advances in health care that further longevity but the thought of AI corrupting current systems is scary. </t>
  </si>
  <si>
    <t xml:space="preserve">TX, USA</t>
  </si>
  <si>
    <t xml:space="preserve">RI, USA</t>
  </si>
  <si>
    <t xml:space="preserve">Beijing China</t>
  </si>
  <si>
    <t xml:space="preserve">Ontario Canada</t>
  </si>
  <si>
    <t xml:space="preserve">The long term decrease in health, growing older in age, as well as the </t>
  </si>
  <si>
    <t xml:space="preserve">Health, wealth, social connections </t>
  </si>
  <si>
    <t xml:space="preserve">Regular exercise, investments, regular contact </t>
  </si>
  <si>
    <t xml:space="preserve">1. Independent living 2. Talking 3. Thinking </t>
  </si>
  <si>
    <t xml:space="preserve">WI, USA</t>
  </si>
  <si>
    <t xml:space="preserve">GA, USA</t>
  </si>
  <si>
    <t xml:space="preserve">In humans, it is a biological process that occurs within our cells and organs that results in physical and cognitive changes, eventually leading to death. </t>
  </si>
  <si>
    <t xml:space="preserve">Accessibility and isolation issues. As people age they are not able to take care of themselves as easily due to not being as mobile and some may not have money to hire caretakers or to live in residential homes, leading to limited ability to leave their homes and do things even at home that they may have been able to do before. </t>
  </si>
  <si>
    <t xml:space="preserve">I think that given our falling birth rate, we will soon have a population where the number of retired people far outweigh the number of working ago people. Due to this, we will soon have issues with being able to have enough caretakers for the elderly and there will be a massive overload on the health industry. This should be prioritized because there are steps we can take now to preserve the health and longevity of our aging populations and prepare our health systems for what is to come so that there are no system failures when the day actually comes. </t>
  </si>
  <si>
    <t xml:space="preserve">^^ I don't think there is a perfect solution, but I think there are steps we can take now to lessen future burden. </t>
  </si>
  <si>
    <t xml:space="preserve">I think that </t>
  </si>
  <si>
    <t xml:space="preserve">I would define aging as biological changes that denote decline from optimum systems performance. </t>
  </si>
  <si>
    <t xml:space="preserve">Poor or unavailability of adequate resources such as affordable housing, means of transportation, recreational facilities, etc </t>
  </si>
  <si>
    <t xml:space="preserve">Reduce retirement age </t>
  </si>
  <si>
    <t xml:space="preserve">Health, wealth, family </t>
  </si>
  <si>
    <t xml:space="preserve">Consistent action is key as well as investing in one’s self early </t>
  </si>
  <si>
    <t xml:space="preserve">One thing that excites me about this is widespread availability to all, getting to live with your aging parents for longer or people who desperately want a child being able to have that. </t>
  </si>
  <si>
    <t xml:space="preserve">One thing that frightens me is seeing all this research only serving a certain demographic of people while others do not see any benefit from it.</t>
  </si>
  <si>
    <t xml:space="preserve">Mobility, independence, medical resources </t>
  </si>
  <si>
    <t xml:space="preserve">No, no one can predict what happens in the future </t>
  </si>
  <si>
    <t xml:space="preserve">Boosting longevity is exciting and but using ai seem a like frightens consider how fast the technology have been developed </t>
  </si>
  <si>
    <t xml:space="preserve">US</t>
  </si>
  <si>
    <t xml:space="preserve">Just good habits to stay healthy </t>
  </si>
  <si>
    <t xml:space="preserve">shanghai</t>
  </si>
  <si>
    <t xml:space="preserve"># of years lived </t>
  </si>
  <si>
    <t xml:space="preserve">Healthcare system </t>
  </si>
  <si>
    <t xml:space="preserve">I think they all sounds exciting </t>
  </si>
  <si>
    <t xml:space="preserve">PA/USA</t>
  </si>
  <si>
    <t xml:space="preserve">AZ/USA</t>
  </si>
  <si>
    <t xml:space="preserve">United States (Texas)</t>
  </si>
  <si>
    <t xml:space="preserve">Reproductive health means that people can have more kids. More kids means more schools that keep economic opportunities. More people means more hospitals. </t>
  </si>
  <si>
    <t xml:space="preserve">Being over the age of 21 </t>
  </si>
  <si>
    <t xml:space="preserve">Time</t>
  </si>
  <si>
    <t xml:space="preserve">new york, united states</t>
  </si>
  <si>
    <t xml:space="preserve">ai is getting really big, i feel like society definitely is prioritizing that right now. i think accessibility is the most important in my opinion. </t>
  </si>
  <si>
    <t xml:space="preserve">one thing that frightens me is the idea of the permanent underclass and how there will be an even bigger wealth inequality (who will get to access these resources like being able to predict the trajectory of a disease? probably the rich). on the other hand, im sure that being able to find solutions for aging/health can alleviate a lot of suffering from families and especially for aging adults dealing with health issues but are still in there 50s and 60s and still have a lot of life yet </t>
  </si>
  <si>
    <t xml:space="preserve">I am excited to help people longer, I am frightened that we will be too hyperfocused on AI and will lose thoughts on the bigger picture. </t>
  </si>
  <si>
    <t xml:space="preserve">chronological increase in time and how the body moves along with it. </t>
  </si>
  <si>
    <t xml:space="preserve">I think that our focus should be on longevity, once we figure this out, then we should focus on the tools and ways to ensure it is equitable. </t>
  </si>
  <si>
    <t xml:space="preserve">Stay curious about the world around me, have a good diet, and always look at good in people. </t>
  </si>
  <si>
    <t xml:space="preserve">Its important for us to have equitable ways of informing public before we try to improve longevity. The tools (AI) in which we do this are secondary. </t>
  </si>
  <si>
    <t xml:space="preserve">We should focus more on preventative health. </t>
  </si>
  <si>
    <t xml:space="preserve">Get involved with the things I love, while being watchful of my diet, exercise, etc. </t>
  </si>
  <si>
    <t xml:space="preserve">I think our focus should be on increasing health longevity, and then ensuring equity while optimizing the tools to help us reach these goals. </t>
  </si>
  <si>
    <t xml:space="preserve">Growing older and physiologically changing along with it. </t>
  </si>
  <si>
    <t xml:space="preserve">good health, happiness, positivity. </t>
  </si>
  <si>
    <t xml:space="preserve">I think once we figure out the substance to maximizing longevity, then we can ensure that it is equitable and use further tools to optimize it. </t>
  </si>
  <si>
    <t xml:space="preserve">CA/USA</t>
  </si>
  <si>
    <t xml:space="preserve">VA/USA</t>
  </si>
  <si>
    <t xml:space="preserve">As an athlete, I’m interested in technologies that can improve injury prevention for elders. For society, I think those benefits should be accessible to everyone. </t>
  </si>
  <si>
    <t xml:space="preserve">I am excited for AI to help us live longer, but I don't want us to become overly dependent on it. </t>
  </si>
  <si>
    <t xml:space="preserve">Virginia, USA</t>
  </si>
  <si>
    <t xml:space="preserve">California, USA</t>
  </si>
  <si>
    <t xml:space="preserve">Excites: we can live longer and heathier</t>
  </si>
  <si>
    <t xml:space="preserve">Frightens: we might have to work longer as the government will increase the retirement age</t>
  </si>
  <si>
    <t xml:space="preserve">How old are you?</t>
  </si>
  <si>
    <t xml:space="preserve">What is your gender?</t>
  </si>
  <si>
    <t xml:space="preserve">What state are you from? (If international, what country are you from?)</t>
  </si>
  <si>
    <t xml:space="preserve">What state do you currently reside in? (If not in the US, what country do you currently reside in?)</t>
  </si>
  <si>
    <t xml:space="preserve">How would you define aging? (~1-2 sentences)</t>
  </si>
  <si>
    <t xml:space="preserve">If you had to guess, what fraction of the population in the United States is above 65 years old? (answer in percent, but omit the % sign when inputting your answer)</t>
  </si>
  <si>
    <t xml:space="preserve">What do you think is the greatest challenge facing our aging population? (key words)</t>
  </si>
  <si>
    <t xml:space="preserve">What do you think is one of the challenges facing our aging population that should be solved in the near future, and why should it be prioritized? (~1-2 sentences)</t>
  </si>
  <si>
    <t xml:space="preserve">Do you see any action currently being taken that addresses this challenge?</t>
  </si>
  <si>
    <t xml:space="preserve">What are the 3 things that you would like to maintain/retain throughout your life (as you age)? (key words)</t>
  </si>
  <si>
    <t xml:space="preserve">Is there anything that you are currently doing/are planning on doing to help ensure that you will maintain the things discussed above?</t>
  </si>
  <si>
    <t xml:space="preserve">Here are three topics: </t>
  </si>
  <si>
    <t xml:space="preserve">Rank them in order of importance to you as an individual, from most to least important.</t>
  </si>
  <si>
    <t xml:space="preserve">Rank them in order of importance to society, from most to least important.</t>
  </si>
  <si>
    <t xml:space="preserve">Why did you rank them this way?</t>
  </si>
  <si>
    <t xml:space="preserve">Which of the three topics excites you most?</t>
  </si>
  <si>
    <t xml:space="preserve">Which topic do you think is the source of most concern?</t>
  </si>
  <si>
    <t xml:space="preserve">Are there ethical considerations that we should keep in mind when developing solutions to these topics?</t>
  </si>
  <si>
    <t xml:space="preserve">If you selected yes, what do you think are some these ethical considerations</t>
  </si>
  <si>
    <t xml:space="preserve">Are you excited about the future of aging research?</t>
  </si>
  <si>
    <t xml:space="preserve">Do you think bioengineers can play a role in developing solutions to improve aging?</t>
  </si>
  <si>
    <t xml:space="preserve">(i) Boosting reproductive health and longevity</t>
  </si>
  <si>
    <t xml:space="preserve">(ii) Democratizing longevity science/solutions (having longevity and health solutions that are accessible, affordable, and generalizable)</t>
  </si>
  <si>
    <t xml:space="preserve">Here are the three topics:</t>
  </si>
  <si>
    <t xml:space="preserve">(iii) Applying machine learning and artificial intelligence (AI) to enable modern solutions for aging and health (e.g., predicting disease risk or disease trajectories, precision health, etc.).</t>
  </si>
  <si>
    <t xml:space="preserve">How would you define them in 1 sentence each?</t>
  </si>
  <si>
    <t xml:space="preserve">(e.g. i iii ii)</t>
  </si>
  <si>
    <t xml:space="preserve">The process where the body slowly deteriorates due to ware in cells and genome </t>
  </si>
  <si>
    <t xml:space="preserve">Memory, connections, athleticism </t>
  </si>
  <si>
    <t xml:space="preserve">i ii iii </t>
  </si>
  <si>
    <t xml:space="preserve">ii iii i </t>
  </si>
  <si>
    <t xml:space="preserve">(iii) Applying machine learning and artificial intelligence (AI) to enable modern solutions</t>
  </si>
  <si>
    <t xml:space="preserve">(ii) Democratizing longevity science/solutions</t>
  </si>
  <si>
    <t xml:space="preserve">Your cells dying faster than they can be replaced </t>
  </si>
  <si>
    <t xml:space="preserve">Not currently </t>
  </si>
  <si>
    <t xml:space="preserve">ii i iii</t>
  </si>
  <si>
    <t xml:space="preserve">OH</t>
  </si>
  <si>
    <t xml:space="preserve">Weightlifting, yoga, reading </t>
  </si>
  <si>
    <t xml:space="preserve">i. Lengthening the window of fertility for women, and improving overall fertility</t>
  </si>
  <si>
    <t xml:space="preserve">ii iii i</t>
  </si>
  <si>
    <t xml:space="preserve">Because I believe that accessibility when developing medical innovation is very important. I also think ML and AI can help make precision care medicine more affordable for patients in the future. </t>
  </si>
  <si>
    <t xml:space="preserve">ii. Making therapeutics more accessible to people of all socioeconomic backgrounds</t>
  </si>
  <si>
    <t xml:space="preserve">iii. Accelerating the development of therapies and risk prediction, making earlier intervention more possible.</t>
  </si>
  <si>
    <t xml:space="preserve">i. How to achieve longer and healthier lives through improving infrastructure and technology around reproductive health and longevity.</t>
  </si>
  <si>
    <t xml:space="preserve">ii. Making technologies around longevity available to as many communities as possible, not just people with certain race, socioeconomic status, etc. </t>
  </si>
  <si>
    <t xml:space="preserve">iii. Using AI to find patterns in data to help target diseases or provide specific resources for certain populations, or to predict risks in different populations, or to help with drug or therapy development. </t>
  </si>
  <si>
    <t xml:space="preserve">Aging is </t>
  </si>
  <si>
    <t xml:space="preserve">i) This involves driving structural support through policy, funding, and institutional frameworks to accelerate research and expand access to care that extends reproductive health and functional lifespan</t>
  </si>
  <si>
    <t xml:space="preserve">i ii iii</t>
  </si>
  <si>
    <t xml:space="preserve">ii) This involves enhancing monetary and physical access to longevity care and health solutions in a way that takes all stakeholder concerns into account from both a policy and research/development perspective</t>
  </si>
  <si>
    <t xml:space="preserve">iii) This involves integrating AI tools into existing workflows in order to utilize available data and improve patient outcomes while maintaining physician input and oversight</t>
  </si>
  <si>
    <t xml:space="preserve">NYC</t>
  </si>
  <si>
    <t xml:space="preserve">Baltimore</t>
  </si>
  <si>
    <t xml:space="preserve">Health, social life, passion. </t>
  </si>
  <si>
    <t xml:space="preserve">1. Checking hormonal levels and following the advice of specialized doctors</t>
  </si>
  <si>
    <t xml:space="preserve">II, III, I</t>
  </si>
  <si>
    <t xml:space="preserve">III, I, II</t>
  </si>
  <si>
    <t xml:space="preserve">2. Enabling public access by removing financial and geographical barriers</t>
  </si>
  <si>
    <t xml:space="preserve">3. Creating algorithms for efficiency in biomedical applications</t>
  </si>
  <si>
    <t xml:space="preserve">(i) This is about not only living more but living better. (ii) Offering better health to more and more people. (iii) Make technology really work for improving our lives as we age. </t>
  </si>
  <si>
    <t xml:space="preserve">i iii ii</t>
  </si>
  <si>
    <t xml:space="preserve">iii i ii</t>
  </si>
  <si>
    <t xml:space="preserve">The obvious ethical questions on AI using our personal health data. </t>
  </si>
  <si>
    <t xml:space="preserve">GR</t>
  </si>
  <si>
    <t xml:space="preserve">Athens-Greece</t>
  </si>
  <si>
    <t xml:space="preserve">i: Living longer without giving up intimacy</t>
  </si>
  <si>
    <t xml:space="preserve">I, ii, iii</t>
  </si>
  <si>
    <t xml:space="preserve">ii, iii, i</t>
  </si>
  <si>
    <t xml:space="preserve">ii: Our solutions to be accessible to all</t>
  </si>
  <si>
    <t xml:space="preserve">iii: Adopting the newest technologies towards the noted goals…</t>
  </si>
  <si>
    <t xml:space="preserve">Greece </t>
  </si>
  <si>
    <t xml:space="preserve">GREECE </t>
  </si>
  <si>
    <t xml:space="preserve">Keep them happy and healthy </t>
  </si>
  <si>
    <t xml:space="preserve">Avoiding loneliness </t>
  </si>
  <si>
    <t xml:space="preserve">Physical health clear mind and communication </t>
  </si>
  <si>
    <t xml:space="preserve">Working although in retirement </t>
  </si>
  <si>
    <t xml:space="preserve">i ii. iii</t>
  </si>
  <si>
    <t xml:space="preserve">i. ii. iii</t>
  </si>
  <si>
    <t xml:space="preserve">Because it's more sentimental approach </t>
  </si>
  <si>
    <t xml:space="preserve">mankind thinking over machine </t>
  </si>
  <si>
    <t xml:space="preserve">Aging is the process of becoming an older member of society, which also includes retirement from the job market and, increased health risks. </t>
  </si>
  <si>
    <t xml:space="preserve">Not much action </t>
  </si>
  <si>
    <t xml:space="preserve">I. Having increased education for people who can reproduce and how to take care of their bodies after giving birth while also promoting healthy longevity practices for the entire population</t>
  </si>
  <si>
    <t xml:space="preserve">ii, i, iii</t>
  </si>
  <si>
    <t xml:space="preserve">iii, I, ii</t>
  </si>
  <si>
    <t xml:space="preserve">Longevity and health solutions must be made available to everyone first before we can apply machine learning and AI in my opinion, however, society would likely tend to let AI solve the issues faster without regard to those who may not be able to benefit from AI/ tech based solutions. </t>
  </si>
  <si>
    <t xml:space="preserve">II. Making longevity and health solutions public knowledge and allowing it to be accessible by all</t>
  </si>
  <si>
    <t xml:space="preserve">Iii. Utilizing AI and machine learning to come up wigr modern solutions and analyze present-day patterns in the aging population </t>
  </si>
  <si>
    <t xml:space="preserve">When making medical development it should be certain they will not be used unequally to only improve certain people’s lives in society who have more money or some other privilege, and it’s important it is certain the development is thoroughly tested for everyone. </t>
  </si>
  <si>
    <t xml:space="preserve">i) Making sure everyone is aware of reproductive health and how it can be maintained</t>
  </si>
  <si>
    <t xml:space="preserve">ii) Solving issues using research and technology and making sure that everyone can access and afford it</t>
  </si>
  <si>
    <t xml:space="preserve">iii) Using AI to help with tracking changes as humans age as well as potentially coming up with solutions for aging</t>
  </si>
  <si>
    <t xml:space="preserve">Memories, skills I’ve learned (like playing guitar) and musical knowledge </t>
  </si>
  <si>
    <t xml:space="preserve">I. Bringing up the age where it is healthy to reproduce without health problems.</t>
  </si>
  <si>
    <t xml:space="preserve">II, I, III</t>
  </si>
  <si>
    <t xml:space="preserve">II, III, I </t>
  </si>
  <si>
    <t xml:space="preserve">II. Making healthcare affordable and attainable for everyone</t>
  </si>
  <si>
    <t xml:space="preserve">III. Using AI and machine learning to help with speeding up medical discoveries</t>
  </si>
  <si>
    <t xml:space="preserve">aging is the act of becoming older. we all are aging by the very second - theres no escaping our evident fate. </t>
  </si>
  <si>
    <t xml:space="preserve">i) Lengthening the time you can have children/reproduce</t>
  </si>
  <si>
    <t xml:space="preserve">iii, i, ii</t>
  </si>
  <si>
    <t xml:space="preserve">ii) Have medical resources to live longer be more affordable</t>
  </si>
  <si>
    <t xml:space="preserve">iii) Having AI collaborate with medicine to make better machines</t>
  </si>
  <si>
    <t xml:space="preserve">Virginia </t>
  </si>
  <si>
    <t xml:space="preserve">Aging just means getting older and changing over time. </t>
  </si>
  <si>
    <t xml:space="preserve">Yes, I make sure to take care of my health my maintaining a proper diet and exercise regularly. Additionally, I make sure to stay in touch and maintain my relationships with people I’m close with. </t>
  </si>
  <si>
    <t xml:space="preserve">i, ii, iii </t>
  </si>
  <si>
    <t xml:space="preserve">iii, ii, i</t>
  </si>
  <si>
    <t xml:space="preserve">Based on political and societal beliefs that are present today. </t>
  </si>
  <si>
    <t xml:space="preserve">The process of getting progressively older both mentally and physically. </t>
  </si>
  <si>
    <t xml:space="preserve">Support, Access to care. </t>
  </si>
  <si>
    <t xml:space="preserve">Having better in home health care. </t>
  </si>
  <si>
    <t xml:space="preserve">I think people are talking more about aging populations but there is a lot of talk and not a lot of action. </t>
  </si>
  <si>
    <t xml:space="preserve">Independence, memory, energy </t>
  </si>
  <si>
    <t xml:space="preserve">I am trying to be as healthy as I can be both physically and mentally. </t>
  </si>
  <si>
    <t xml:space="preserve">i Increasing access and knowledge of reproductive health and by addressing factors that influence fertility, pregnancy outcomes, reproductive aging, and long-term health. ii making care more accessible and easy to get for all populations. iii using AI to develop more productive forms of care and ease. </t>
  </si>
  <si>
    <t xml:space="preserve">I think first and foremost access to care is important. Nobody should be struggling to be heard and seen. I think reproductive health is something that women that a lot of people struggle with so its an important concept to consider and promote. AI although it can have a lot of benefits has a lot of potential ethical concerns and things that could go wrong and be detrimental to society. </t>
  </si>
  <si>
    <t xml:space="preserve">Who has access to this, who the AI is trained out, what are the checks to make sure it is giving correct information. </t>
  </si>
  <si>
    <t xml:space="preserve">Aging is growing wisdom, graying of hair and accumulating lots of friends and memories </t>
  </si>
  <si>
    <t xml:space="preserve">Lack of home-based trusted caregivers; having someone taking care at home who can be fully trusted helps the aging person feel secure and can improve mental well-being </t>
  </si>
  <si>
    <t xml:space="preserve">Home health aide agencies are slowly growing in numbers </t>
  </si>
  <si>
    <t xml:space="preserve">Regular exercise, meditation and social engagement </t>
  </si>
  <si>
    <t xml:space="preserve">(i) - identification of various ways to improve fertility </t>
  </si>
  <si>
    <t xml:space="preserve">I value longevity &amp; health solutions as well as understand the value of data-backed solutions </t>
  </si>
  <si>
    <t xml:space="preserve">Human consent in solutions should be of highest value; privacy intrusion should be avoided </t>
  </si>
  <si>
    <t xml:space="preserve">(ii) - having accessible and affordable healthcare and fitness options to all income groups </t>
  </si>
  <si>
    <t xml:space="preserve">(iii) - identification of health anomalies using fitness tracking devices and wellness check-ups data can help with building proactive measures to prevent big health incidents </t>
  </si>
  <si>
    <t xml:space="preserve">Extending life expectancy </t>
  </si>
  <si>
    <t xml:space="preserve">Exercise and eating well </t>
  </si>
  <si>
    <t xml:space="preserve">Bioengineering </t>
  </si>
  <si>
    <t xml:space="preserve">i, ii, iii</t>
  </si>
  <si>
    <t xml:space="preserve">OR</t>
  </si>
  <si>
    <t xml:space="preserve">i) Increasing the window that people can have healthy kids in.</t>
  </si>
  <si>
    <t xml:space="preserve">I am concerned about population aging/decline. And I think access is generally a consequence of other inequalities, so see it as an inefficient focus. </t>
  </si>
  <si>
    <t xml:space="preserve">ii) Lowering the barrier to knowledge and healthcare resources.</t>
  </si>
  <si>
    <t xml:space="preserve">iii) Using large datasets to understand our own health trajectories, and customize solutions.</t>
  </si>
  <si>
    <t xml:space="preserve">Not in current political climate unfortunately </t>
  </si>
  <si>
    <t xml:space="preserve">(I) protecting access to reproductive health care and improving education surrounding reproductive health</t>
  </si>
  <si>
    <t xml:space="preserve">I ii iii</t>
  </si>
  <si>
    <t xml:space="preserve">(II) health care access to all, including preventative </t>
  </si>
  <si>
    <t xml:space="preserve">(III) using artificial intelligence to make predictions and solutions for health and longevity</t>
  </si>
  <si>
    <t xml:space="preserve">i, iii, ii</t>
  </si>
  <si>
    <t xml:space="preserve">seemed appropriate </t>
  </si>
  <si>
    <t xml:space="preserve">Aging is when you physically begin to undergo changes over time. </t>
  </si>
  <si>
    <t xml:space="preserve">Healthcare loneliness depression </t>
  </si>
  <si>
    <t xml:space="preserve">Loneliness is an issue that would help our aging population. We need community based activities to help them socially, emotionally and mentally. </t>
  </si>
  <si>
    <t xml:space="preserve">Not that I know of beyond private elder care centers which are very costly and prohibitive. </t>
  </si>
  <si>
    <t xml:space="preserve">Mental and physical health community, </t>
  </si>
  <si>
    <t xml:space="preserve">Exercising spending time with family and friends book club </t>
  </si>
  <si>
    <t xml:space="preserve">Increasing longevity by supporting reproductive health. Healthcare access without barriers to increase longevity. Using AI to increase longevity. </t>
  </si>
  <si>
    <t xml:space="preserve">i, io, iii</t>
  </si>
  <si>
    <t xml:space="preserve">ii, I, iii</t>
  </si>
  <si>
    <t xml:space="preserve">I am somewhat skeptical of AI taking over too much. </t>
  </si>
  <si>
    <t xml:space="preserve">I think we have to always consider the moral and ethical ramifications of all decisions. We need to put ethics above profit. </t>
  </si>
  <si>
    <t xml:space="preserve">Bolivia </t>
  </si>
  <si>
    <t xml:space="preserve">Support systems, familial care, poor structures </t>
  </si>
  <si>
    <t xml:space="preserve">ii i iii </t>
  </si>
  <si>
    <t xml:space="preserve">(i) Taking care of your body and habits.</t>
  </si>
  <si>
    <t xml:space="preserve">(ii), (i), (iii)</t>
  </si>
  <si>
    <t xml:space="preserve">(ii) Making healthcare and options for longetivy health more accessible and affordable</t>
  </si>
  <si>
    <t xml:space="preserve">(iii) Making use of modern technology to benefit society as a whole in terms of healthcare.</t>
  </si>
  <si>
    <t xml:space="preserve">Michigan </t>
  </si>
  <si>
    <t xml:space="preserve">Oregon </t>
  </si>
  <si>
    <t xml:space="preserve">Access to affordable healthcare </t>
  </si>
  <si>
    <t xml:space="preserve">Sadly we seem to be going in the opposite direction </t>
  </si>
  <si>
    <t xml:space="preserve">Mobility, health, independence </t>
  </si>
  <si>
    <t xml:space="preserve">Daily exercise </t>
  </si>
  <si>
    <t xml:space="preserve">1. Boosting repressive</t>
  </si>
  <si>
    <t xml:space="preserve">Equitable access </t>
  </si>
  <si>
    <t xml:space="preserve">2. Boosting access</t>
  </si>
  <si>
    <t xml:space="preserve">3. Boosting quality diagnostics</t>
  </si>
  <si>
    <t xml:space="preserve">3, 2, 1</t>
  </si>
  <si>
    <t xml:space="preserve">Biological aging is the accumulation of systemic damage as an organism lives. </t>
  </si>
  <si>
    <t xml:space="preserve">Exercise, brain stimulation (like reading and stuff), and maintaining relationships in the present. </t>
  </si>
  <si>
    <t xml:space="preserve">ii,iii,i</t>
  </si>
  <si>
    <t xml:space="preserve">Because I felt like generalizability and preventative capacity is more important than longevity (increased lifespan but not necesarilly healthspan). </t>
  </si>
  <si>
    <t xml:space="preserve">1) Making it possible for people to start families later in life</t>
  </si>
  <si>
    <t xml:space="preserve">2, 3, 1</t>
  </si>
  <si>
    <t xml:space="preserve">2,1,3</t>
  </si>
  <si>
    <t xml:space="preserve">2) Making geriatric care available through Medicare </t>
  </si>
  <si>
    <t xml:space="preserve">3) Using algorithms to predict health outcomes on an individual level</t>
  </si>
  <si>
    <t xml:space="preserve">mental health struggles specifically due to grief of losing partners/friends/family and the effects of isolation combined with the stress of ones health declining </t>
  </si>
  <si>
    <t xml:space="preserve">same issue as above - mental health care and grief/isolation support. elderly adults have the highest rates of suicide and its crucial its addressed. </t>
  </si>
  <si>
    <t xml:space="preserve">i am not too familiar with specific actions being taken to address this problem </t>
  </si>
  <si>
    <t xml:space="preserve">mobility, positive outlook on life, strong relationships with people around me </t>
  </si>
  <si>
    <t xml:space="preserve">trying to stay active and eat a diet that helps with bone health/density, trying to find different things to look forward to as i get to different ages/stages of my life, keeping in touch with the people around me </t>
  </si>
  <si>
    <t xml:space="preserve">1 - improving ones ability to reproduce and trying to extend lifespans 2 - making resources and treatments to life a healthier life more easily attainable to the general public 3 - using AI to gather and analyze health data to predict future health outcomes and give more tailored health resolutions </t>
  </si>
  <si>
    <t xml:space="preserve">2, 1, 3</t>
  </si>
  <si>
    <t xml:space="preserve">i think 2 is the most widely applicable and beneficial to people, 1 can heavily vary in importance especially as less people are having children and therefore aren't as concerned with their reproductive health, 3 can also heavily vary as there are many concerns with AI and a lot of differing opinions on its benefit/lack of benefit to society </t>
  </si>
  <si>
    <t xml:space="preserve">privacy concerns for individuals health data and biased research/leaving out and lacking research on certain groups of people. this is already an issue with many genetic/ancestry testing services as they seriously under represent certain demographics and have a disproportionate amount of data on those of european descent </t>
  </si>
  <si>
    <t xml:space="preserve">1. Increasing the functionality and useful life of one’s sexual organs</t>
  </si>
  <si>
    <t xml:space="preserve">2. Subsidizing and/or streamlining the healthcare system</t>
  </si>
  <si>
    <t xml:space="preserve">3. Innovating in healthcare</t>
  </si>
  <si>
    <t xml:space="preserve">Shortage in Healthcare </t>
  </si>
  <si>
    <t xml:space="preserve">Eye Sight</t>
  </si>
  <si>
    <t xml:space="preserve">Boosting fertility, balancing hormones, and protecting reproductive organs to maintain vitality and delay age-related decline.</t>
  </si>
  <si>
    <t xml:space="preserve">ii,i,iii</t>
  </si>
  <si>
    <t xml:space="preserve">iii,i,ii</t>
  </si>
  <si>
    <t xml:space="preserve">Nowadays AI seems like a modern way and focus people are approaching to solve and diagnose as a society. Whereas as an individual, I would approach the long, but effective way to result in affordablility and effectiveness </t>
  </si>
  <si>
    <t xml:space="preserve">Strength/Balance</t>
  </si>
  <si>
    <t xml:space="preserve">Ensuring advanced life-extension treatments and preventative healthcare are affordable and fairly distributed to everyone worldwide.</t>
  </si>
  <si>
    <t xml:space="preserve">Applying advanced computing and AI to analyze biological data, predict personal disease risks, track aging, and provide personalized medical solutions.</t>
  </si>
  <si>
    <t xml:space="preserve">High dependency ratio, social security, </t>
  </si>
  <si>
    <t xml:space="preserve">Not really? I’m around teenagers most of the time. </t>
  </si>
  <si>
    <t xml:space="preserve">I. Making sure people live long healthy lives</t>
  </si>
  <si>
    <t xml:space="preserve">Ii. Making healthcare solutions accessible for all, not having a monopoly on resources</t>
  </si>
  <si>
    <t xml:space="preserve">Iii. Working towards more efficient, automated systems in healthcare </t>
  </si>
  <si>
    <t xml:space="preserve">Aging is a physiological process. There is a slow progression of muscle loss, bone loss and feeling low on energy with also a noticeable memory deficit. </t>
  </si>
  <si>
    <t xml:space="preserve">Taking proper care of ourselves due to busy schedules </t>
  </si>
  <si>
    <t xml:space="preserve">Not having enough time to relax and rejuvenate. The world needs to slow down and reduce the competition. This is needed for overall physical and mental wellbeing. </t>
  </si>
  <si>
    <t xml:space="preserve">No </t>
  </si>
  <si>
    <t xml:space="preserve">Good health, mental peace and financial stability </t>
  </si>
  <si>
    <t xml:space="preserve">Taking breaks, spending time with friends and family. Spiritually </t>
  </si>
  <si>
    <t xml:space="preserve">No answer </t>
  </si>
  <si>
    <t xml:space="preserve">I feel so </t>
  </si>
  <si>
    <t xml:space="preserve">Aging is the process of the biological changes that occur in the body over time, leading to changes in physical function. These changes can reduce the body’s ability to repair itself, maintain homeostasis, and respond to stress. </t>
  </si>
  <si>
    <t xml:space="preserve">(i) Improving reproductive health and developing approaches that support healthy reproductive function and well-being across the lifespan.</t>
  </si>
  <si>
    <t xml:space="preserve">(ii) Making advances in longevity and healthy aging accessible, affordable, and applicable to people across different populations and backgrounds, having policies that support affordability. </t>
  </si>
  <si>
    <t xml:space="preserve">(iii) Using AI and ML to predict health risks, understand disease progression, and enable more personalized approaches to healthy aging.</t>
  </si>
  <si>
    <t xml:space="preserve">Natural biological processes that happen while growing. </t>
  </si>
  <si>
    <t xml:space="preserve">More funding into research for medical conditions that affect the aging population. Especially neurological diseases (dementia). </t>
  </si>
  <si>
    <t xml:space="preserve">Not seeing much. The most recent study I remember is the accumulation of microplastics’ effect on the brain. </t>
  </si>
  <si>
    <t xml:space="preserve">Health, happiness, wealth. </t>
  </si>
  <si>
    <t xml:space="preserve">Nothing I am currently doing. </t>
  </si>
  <si>
    <t xml:space="preserve">(i) Helping people to safely have children later in life</t>
  </si>
  <si>
    <t xml:space="preserve">Reproductive and women’s health is important to me. Long standing health care changes are good for society as a whole. And I put AI last because there needs to be a lot of regulations set in place before it can be fully trusted in the medical field. </t>
  </si>
  <si>
    <t xml:space="preserve">(ii) Putting in place good lasting healthcare systems</t>
  </si>
  <si>
    <t xml:space="preserve">(iii) Utilizing new technologies to progress the medical field</t>
  </si>
  <si>
    <t xml:space="preserve">(i) Supporting people in a healthy way of life, helping them in their effort to create a family and find meaning in their lives.</t>
  </si>
  <si>
    <t xml:space="preserve">(ii) Making health solutions available to everyone.</t>
  </si>
  <si>
    <t xml:space="preserve">(iii) Using advanced technologies for the public good, to provide better health care.</t>
  </si>
  <si>
    <t xml:space="preserve">Massachusetts </t>
  </si>
  <si>
    <t xml:space="preserve">Friends, family, happiness </t>
  </si>
  <si>
    <t xml:space="preserve">I try to not get hung up on the little things that make my day bad so that it’s more enjoyable overall. </t>
  </si>
  <si>
    <t xml:space="preserve">i) Boosting reproductive health is educating the community about actions they can take to stay healthy and feel comfortable in their own bodies.</t>
  </si>
  <si>
    <t xml:space="preserve">ii) Promoting health resources in the community that will help to support the lifespans of humans.</t>
  </si>
  <si>
    <t xml:space="preserve">iii) Developing more modern day solutions and technology for individuals in underserved areas for example to maintain healthy practices.</t>
  </si>
  <si>
    <t xml:space="preserve">(i) Boosting reproductive health and longevity means helping people maintain healthy reproductive function for longer and improving options for age-related fertility challenges.</t>
  </si>
  <si>
    <t xml:space="preserve">(ii) Democratizing longevity science means making healthy-aging discoveries and treatments affordable and accessible to everyone, not just people who can afford expensive care.</t>
  </si>
  <si>
    <t xml:space="preserve">(iii) Applying AI to aging means using technology and health information to detect disease earlier, predict health risks, and provide more personalized care.</t>
  </si>
  <si>
    <t xml:space="preserve">(i) Boosting reproductive health and longevity means using advances in medicine and biology to preserve reproductive health and fertility for a longer portion of a person's life.</t>
  </si>
  <si>
    <t xml:space="preserve">iii ii i</t>
  </si>
  <si>
    <t xml:space="preserve">(ii) Democratizing longevity science means ensuring that advances that help people live healthier and longer lives are scalable, affordable, and available across different populations.</t>
  </si>
  <si>
    <t xml:space="preserve">(iii) Applying AI to aging means analyzing health and biological data to predict disease, identify patterns humans may miss, and develop more individualized prevention and treatment strategies.</t>
  </si>
  <si>
    <t xml:space="preserve">Aging is the deterioration of cells over time due to the shorting of telomeres every time a cell duplicates thus leading to aging </t>
  </si>
  <si>
    <t xml:space="preserve">I) promoting better lifestyle to have healthy reproductive cells as well as safe sex</t>
  </si>
  <si>
    <t xml:space="preserve">II)ability for all of society to have access healthcare by implementing public health policies</t>
  </si>
  <si>
    <t xml:space="preserve">III)training ai in order to detect diseases that pop up during aging </t>
  </si>
  <si>
    <t xml:space="preserve">healthcare! </t>
  </si>
  <si>
    <t xml:space="preserve">Advancing scientific, medical, and lifestyle strategies that improve reproductive health while extending healthy lifespan and overall well-being across the life course.</t>
  </si>
  <si>
    <t xml:space="preserve">Democratizing longevity science and solutions</t>
  </si>
  <si>
    <t xml:space="preserve">Ensuring that evidence-based longevity innovations, technologies, and healthcare interventions are accessible, affordable, and effective for diverse populations worldwide.</t>
  </si>
  <si>
    <t xml:space="preserve">Applying machine learning and artificial intelligence to aging and health</t>
  </si>
  <si>
    <t xml:space="preserve">Leveraging AI and machine learning to analyze complex health data, predict disease risk and progression, and enable personalized, preventive, and precision approaches to healthy aging.</t>
  </si>
  <si>
    <t xml:space="preserve">losing capacities- right now physical- I have 3 chronic conditions: rheumatoid arthritis, bronchiectasis and kidney disease </t>
  </si>
  <si>
    <t xml:space="preserve">The crucial issue for society lies in democratizing the benefits of AI &amp; tech so that meaning and sustenance are preserved as labor loses most of its value. Having more of us living longer in meager degrading conditions is of little benefit. </t>
  </si>
  <si>
    <t xml:space="preserve">Aging is defined as the process of becoming older and our bodies adapting accordingly in response with changes in efficiency and physiology. </t>
  </si>
  <si>
    <t xml:space="preserve">Healthcare </t>
  </si>
  <si>
    <t xml:space="preserve">Trying to practice them everyday or frequently </t>
  </si>
  <si>
    <t xml:space="preserve">1) this topic encompasses the implications that are possible after the process reproduction and how the healing journey and the maintenance is important to staying healthy/long down the road.</t>
  </si>
  <si>
    <t xml:space="preserve">i. ii. iii.</t>
  </si>
  <si>
    <t xml:space="preserve">I ranked them in this order because it is vital to focus on reproductive health in individuals because that can begin as young as birth. It is a key component in bringing in the next generation to this world. </t>
  </si>
  <si>
    <t xml:space="preserve">2) this portrays how healthcare should be affordable and accessible especially to senior citizens who are most likely not employed or lack retirement funds. </t>
  </si>
  <si>
    <t xml:space="preserve">3) the topic involves AI technology to assist with discovering science related prototypes that can help identify certain medical functions. </t>
  </si>
  <si>
    <t xml:space="preserve">It has been addressed </t>
  </si>
  <si>
    <t xml:space="preserve">Reproductive health: exploration into disorders and complications affected pregnancy and beyond</t>
  </si>
  <si>
    <t xml:space="preserve">Ii, I, iii</t>
  </si>
  <si>
    <t xml:space="preserve">Ii, III, i</t>
  </si>
  <si>
    <t xml:space="preserve">A policy approach, that prioritizes transparency and public funding</t>
  </si>
  <si>
    <t xml:space="preserve">The clinical area: using clinical data to create models that can predict medical events, survival analysis, etc; an extension of stats</t>
  </si>
  <si>
    <t xml:space="preserve">Strength, memory and autonomy </t>
  </si>
  <si>
    <t xml:space="preserve">Extending life and ensuring the people born have longer qualities of life</t>
  </si>
  <si>
    <t xml:space="preserve">Not using humans in unethical experiments </t>
  </si>
  <si>
    <t xml:space="preserve">Making the extended life solutions affordable tor people of every financial class.</t>
  </si>
  <si>
    <t xml:space="preserve">Using artificial intelligence to create solutions to combat getting older and answering the question on how to beat death </t>
  </si>
  <si>
    <t xml:space="preserve">i am getting into weight lifting, and cardio and intermittently fasting </t>
  </si>
  <si>
    <t xml:space="preserve">1. deaths/ sustained challenges during birth and the like are reduced</t>
  </si>
  <si>
    <t xml:space="preserve">2,3,1</t>
  </si>
  <si>
    <t xml:space="preserve">3,1,2</t>
  </si>
  <si>
    <t xml:space="preserve">2. making sure that access to long life is not sole in the hands of the wealthy</t>
  </si>
  <si>
    <t xml:space="preserve">3. using AI to identify, predict and solve disease challenges</t>
  </si>
  <si>
    <t xml:space="preserve">What is your age</t>
  </si>
  <si>
    <t xml:space="preserve">What state/country are you from?</t>
  </si>
  <si>
    <t xml:space="preserve">What state or country do you currently reside?</t>
  </si>
  <si>
    <t xml:space="preserve">How would you define aging?</t>
  </si>
  <si>
    <t xml:space="preserve"> If you had to guess, what fraction of the population in the United States is above 65 years old (percent)?  </t>
  </si>
  <si>
    <t xml:space="preserve">What do you think is the greatest challenge facing our aging population?  </t>
  </si>
  <si>
    <t xml:space="preserve">What do you think is the greatest challenge facing our aging population that should be solved in the short term, and why should it be prioritized?  </t>
  </si>
  <si>
    <t xml:space="preserve">Do you see any action to address this challenge?  </t>
  </si>
  <si>
    <t xml:space="preserve">What are the three things that you would like to maintain/retain throughout your life (from young to older)?  </t>
  </si>
  <si>
    <t xml:space="preserve">Are there things that you can do to help ensure that you do maintain them?  </t>
  </si>
  <si>
    <t xml:space="preserve">Here are three topics: (i) Boosting reproductive health and longevity, (ii) Democratizing longevity science/solutions (having longevity and health solutions that are accessible, affordable, and generalizable), and (iii) Applying machine learning and artificial intelligence (AI) to enable modern solutions for aging and health (e.g., predicting disease risk or disease trajectories, precision health, etc.).  
How would you describe what they mean in 1 sentence each?  </t>
  </si>
  <si>
    <t xml:space="preserve">Rank them in order of importance to you as an individual?   [Topic i]</t>
  </si>
  <si>
    <t xml:space="preserve">Rank them in order of importance to you as an individual?   [Topic ii]</t>
  </si>
  <si>
    <t xml:space="preserve">Rank them in order of importance to you as an individual?   [Topic iii]</t>
  </si>
  <si>
    <t xml:space="preserve">Why did you rank them this way?  </t>
  </si>
  <si>
    <t xml:space="preserve">Rank them in order of importance to society?   [Topic i]</t>
  </si>
  <si>
    <t xml:space="preserve">Rank them in order of importance to society?   [Topic ii]</t>
  </si>
  <si>
    <t xml:space="preserve">Rank them in order of importance to society?   [Topic iii]</t>
  </si>
  <si>
    <t xml:space="preserve">What excites you most about the topic (pick one)?</t>
  </si>
  <si>
    <t xml:space="preserve">What is your greatest concern about the topic (pick one)?  </t>
  </si>
  <si>
    <t xml:space="preserve">Are there ethical considerations that should be in place when developing solutions for these topics?  </t>
  </si>
  <si>
    <t xml:space="preserve">Are you excited about the future of aging research?  </t>
  </si>
  <si>
    <t xml:space="preserve">Do you think Bioengineers can play a role in developing solutions?  </t>
  </si>
  <si>
    <t xml:space="preserve">California </t>
  </si>
  <si>
    <t xml:space="preserve">Changes of the physical, mental, and emotional person over time.  </t>
  </si>
  <si>
    <t xml:space="preserve">Access to adequate physical and mental healthcare.  </t>
  </si>
  <si>
    <t xml:space="preserve">No.  In fact, the Congress is going the wrong way.  </t>
  </si>
  <si>
    <t xml:space="preserve">Medium</t>
  </si>
  <si>
    <t xml:space="preserve">Most important</t>
  </si>
  <si>
    <t xml:space="preserve">Least important</t>
  </si>
  <si>
    <t xml:space="preserve">Equitable outcomes are most important to me, because this is the only way we all benefit.  Boosting health and longevity are very important, but simple longevity is not as important as the quality of life. How we get there - AI or otherwise - is not as important.  </t>
  </si>
  <si>
    <t xml:space="preserve">For all time, health research has focused on population subsets that are not representative of the overall population.  Reversing this practice would improve outcomes for all.  </t>
  </si>
  <si>
    <t xml:space="preserve">The elimination or reshaping of important research due to alleged DEI issues.  </t>
  </si>
  <si>
    <t xml:space="preserve">Yes.  Promoting equity is an ethical concern as much as a practical one.  </t>
  </si>
  <si>
    <t xml:space="preserve">(i) Helping more people be able to have children for longer periods of their lives (delaying menopause)
(ii) Helping more people take advantage of developing technologies for aging
(iii) Using modern technology to make improvements in geroscience using larger amounts of data </t>
  </si>
  <si>
    <t xml:space="preserve">not right now </t>
  </si>
  <si>
    <t xml:space="preserve">increasing reproductive health and wellbeing, making longevity science more equitable, using ai to help find solutions with aging </t>
  </si>
  <si>
    <t xml:space="preserve">democratizing health would allow more people to access healthcare </t>
  </si>
  <si>
    <t xml:space="preserve">AI/ML can be implemented the quickest </t>
  </si>
  <si>
    <t xml:space="preserve">AI being used inappropriately </t>
  </si>
  <si>
    <t xml:space="preserve">yes, privacy concerns </t>
  </si>
  <si>
    <t xml:space="preserve">Nebraska </t>
  </si>
  <si>
    <t xml:space="preserve">Each year being on Earth longer and noticing that your body is breaking down faster with not being as energetic or developing what I consider age related weaknesses such as arthritis, possible brittle bones, organs not working as well as they used to. </t>
  </si>
  <si>
    <t xml:space="preserve">Dementia </t>
  </si>
  <si>
    <t xml:space="preserve">Research to find medicines, supplements and behavior changes. </t>
  </si>
  <si>
    <t xml:space="preserve">Movement, Strength, Memory </t>
  </si>
  <si>
    <t xml:space="preserve">Exercise, healthy eating and weight and keeping active </t>
  </si>
  <si>
    <t xml:space="preserve">1. Educating the public to make people healthier decisions which will lead to positive outcomes. 2. Make healthy foods available and cheap so that all people can benefit positive health benefits and work on protecting healthy environments. 3. Hoping AI helps researchers move faster in finding solutions to diseases and preventing or predicting diseases to catch them early for a better outcome. </t>
  </si>
  <si>
    <t xml:space="preserve">Being able to speed up cures and screenings are first and this will lead to the other two topics. </t>
  </si>
  <si>
    <t xml:space="preserve">AI is here to stay - so using it to help make the human race healthier so that we can enjoy the later years of our lives gives me hope. </t>
  </si>
  <si>
    <t xml:space="preserve">For topic 2 - I worry about all people ( rich or poor) having access to longevity/science solutions. </t>
  </si>
  <si>
    <t xml:space="preserve">The solutions can’t have gatekeepers that allow the rich to be the only ones access and we can’t rely on AI to do everything unchecked. Humans need to be the driving force. </t>
  </si>
  <si>
    <t xml:space="preserve">RI</t>
  </si>
  <si>
    <t xml:space="preserve">As getting old. </t>
  </si>
  <si>
    <t xml:space="preserve">Healthcare </t>
  </si>
  <si>
    <t xml:space="preserve">Living a robust, fulfilling and healthy life </t>
  </si>
  <si>
    <t xml:space="preserve">Not particularly </t>
  </si>
  <si>
    <t xml:space="preserve">Ability to move my body, live independentlyand have enough money to afford my lifestyle. </t>
  </si>
  <si>
    <t xml:space="preserve">GLP1's to get to a healthy weight and maintain, and therefore put less pressure on heart, knees, hips, etc... </t>
  </si>
  <si>
    <t xml:space="preserve">1) extending childbearing age; 2) everyone should have access to GLP1 drugs; 3) AI for self driving cars to maintain and prolong independence. </t>
  </si>
  <si>
    <t xml:space="preserve">I thibk GLP1 drugs can revolutionize everyone's health. </t>
  </si>
  <si>
    <t xml:space="preserve">Seeing people live a more active and healthy life as a result of GLP1 </t>
  </si>
  <si>
    <t xml:space="preserve">Not being accessable to all. </t>
  </si>
  <si>
    <t xml:space="preserve">Yes... Price. Accessable to all. </t>
  </si>
  <si>
    <t xml:space="preserve">Illinois, USA</t>
  </si>
  <si>
    <t xml:space="preserve">No. </t>
  </si>
  <si>
    <t xml:space="preserve">Colorado USA</t>
  </si>
  <si>
    <t xml:space="preserve">This is tricky. Finding and paying healthcare workers that will stick around long-term to start. </t>
  </si>
  <si>
    <t xml:space="preserve">Yes. Financial resources. </t>
  </si>
  <si>
    <t xml:space="preserve">Keeping cognitive functions, being able to walk/run unassisted at an old age, being able to drive </t>
  </si>
  <si>
    <t xml:space="preserve">i - medicine helping to prolong lives. ii - having affordable healthcare iii - using AI to find solutions that previously weren’t available. </t>
  </si>
  <si>
    <t xml:space="preserve">AI seems to be able to help provide solutions in the most economical way IMO. </t>
  </si>
  <si>
    <t xml:space="preserve">Topic iii - AI is the future. </t>
  </si>
  <si>
    <t xml:space="preserve">Gradual deterioration </t>
  </si>
  <si>
    <t xml:space="preserve">1/4</t>
  </si>
  <si>
    <t xml:space="preserve">Outliving their finances. People seem to be living longer. </t>
  </si>
  <si>
    <t xml:space="preserve">Cognitive decline and Alzheimer’s </t>
  </si>
  <si>
    <t xml:space="preserve">Topic 2. I think making health solutions more accessible and affordable would help a lot of people. </t>
  </si>
  <si>
    <t xml:space="preserve">female</t>
  </si>
  <si>
    <t xml:space="preserve">Lack of affordable health care.  Reduces financial strain on families and the entire system, better health outcomes through preventative action. </t>
  </si>
  <si>
    <t xml:space="preserve">stay healthy </t>
  </si>
  <si>
    <t xml:space="preserve">yes, autonomy of the individual should be considered </t>
  </si>
  <si>
    <t xml:space="preserve">IL</t>
  </si>
  <si>
    <t xml:space="preserve">Memory, ability to continue to learn, mobility </t>
  </si>
  <si>
    <t xml:space="preserve">Exercise, nutrition, education </t>
  </si>
  <si>
    <t xml:space="preserve">Non-binary</t>
  </si>
  <si>
    <t xml:space="preserve">I think making healthcare more accessible is the most important from there the others will likely be easier to actually implement. </t>
  </si>
  <si>
    <t xml:space="preserve">Time acceleration </t>
  </si>
  <si>
    <t xml:space="preserve">Affordable quality care. In the next 20 years, there will be even more people over 65. </t>
  </si>
  <si>
    <t xml:space="preserve">1.  Increasing the population. 2. Making affordable solutions for healthcare. 3.Using AI to to advance medical technology. </t>
  </si>
  <si>
    <t xml:space="preserve">Everyone needs affordable healthcare. </t>
  </si>
  <si>
    <t xml:space="preserve">In dealing with aging parents now, I hope there is a better solution for health care concerns for future generations. </t>
  </si>
  <si>
    <t xml:space="preserve">While AI might predict trends and diagnoses, nothing can replace holding someone’s hand while they are transitioning. </t>
  </si>
  <si>
    <t xml:space="preserve">Yes, security and governance around AI. </t>
  </si>
  <si>
    <t xml:space="preserve">Pennsylvania </t>
  </si>
  <si>
    <t xml:space="preserve">Can be tough if you have medical issues or cognitive issues and don’t have family close by to assist you. </t>
  </si>
  <si>
    <t xml:space="preserve">Make assisted living more affordable and when person runs out of money make it covered by Medicaid/Medicare. </t>
  </si>
  <si>
    <t xml:space="preserve">Changing Medicare funding for elderly and Medicaid </t>
  </si>
  <si>
    <t xml:space="preserve">Ai and future could prevent illness /cure disease
In the meantime need affordable care and options for treatments 
</t>
  </si>
  <si>
    <t xml:space="preserve">It evolves too quickly and there is a catastrophic result.  Ie the end of the world by AI. </t>
  </si>
  <si>
    <t xml:space="preserve">Yes that AI has some sort of control or checks and balances.  Must be careful of outside factors or biases.  </t>
  </si>
  <si>
    <t xml:space="preserve">Illinois/United States</t>
  </si>
  <si>
    <t xml:space="preserve">Nebraska/United States</t>
  </si>
  <si>
    <t xml:space="preserve">Gaining experience and intellectual wisdom while our bodies slowly break down from use. </t>
  </si>
  <si>
    <t xml:space="preserve">Affording shelter, food, transportation, health care on limited resources and/or fixed income in light of continued inflation at a higher rate than expected. </t>
  </si>
  <si>
    <t xml:space="preserve">Ability to afford basic needs.  Without that, people either burden their families with need for help or they suffer.  </t>
  </si>
  <si>
    <t xml:space="preserve">Better align social security to need.  Stop capping social security tax to a fixed dollar amount.  </t>
  </si>
  <si>
    <t xml:space="preserve">Ability to move (walk/run/exercise), cognitive function (stay sharp), and continued understanding of technology - stay current.  </t>
  </si>
  <si>
    <t xml:space="preserve">i. Helping people to live longer and for women to have a better outcomes in pregnancy. 
ii. Single payer health care for all 
iii. Using AI to help doctors and medical facilities predict issues for patients depending on their lifestyle and symptoms and proscribing health solutions.  </t>
  </si>
  <si>
    <t xml:space="preserve">Healthcare for all should be a right.  Having healthcare available to all should help solve number 1. Using AI to assist with medical practices might help it as well.  </t>
  </si>
  <si>
    <t xml:space="preserve">Opportunities to use technology to access far greater information than any human could know is fascinating.  Asking AI to then apply all it knows about you will likely help diagnose things which have been very difficult - at least over time. </t>
  </si>
  <si>
    <t xml:space="preserve">Medical professionals don’t get better at what they do, they just do data entry.  </t>
  </si>
  <si>
    <t xml:space="preserve">For sure, how well is the data firewalled from others. What else is the data used for?  Could someone decide to track people with a certain affliction and do something to them. </t>
  </si>
  <si>
    <t xml:space="preserve">Ohio/USA</t>
  </si>
  <si>
    <t xml:space="preserve">Maryland/USA</t>
  </si>
  <si>
    <t xml:space="preserve">Accesible healthcare (with a real doctor) is the most important but AI can help fill the gaps if a professional is inaccessible and to detect diseases early on. Longevity is less important if common causes of death and cognitive decline remain unadressed. </t>
  </si>
  <si>
    <t xml:space="preserve">iii) By detecting disease markers early on (such as tremors from parkinson's), patients could get professional help early on which could lead to a better outlook. </t>
  </si>
  <si>
    <t xml:space="preserve">i) Increased longevity could be pointless if issues like alzheimers or parkinsons are not fixed. </t>
  </si>
  <si>
    <t xml:space="preserve">From experience, the ability for the elder population to utilize the online access to their medical care is lacking.  So much is online, but they are unable to access and navigate the sites on their own.  This is preventing them from messaging their doctor when needed, double check their medicine list, re-read their follow up card, and keep track of appointments.  If they could do this easily on their own, they would be more confident in their ability to help themselves stay healthy.</t>
  </si>
  <si>
    <t xml:space="preserve">I have seen calendar “frames” that will keep dates and appointments organized for them - as long as it’s input by someone else and there is a paid subscription.  I wish there was a screen that could be accessed by family and easily used by the elderly.  A button for them to touch that would open the site for their doctor’s office. Then the ability to simply navigate the site or have family remotely operate and walk them through the site.</t>
  </si>
  <si>
    <t xml:space="preserve">Absolutely.  The money aspect needs to be out of the picture and the focus needs to be on what’s best for the individual.</t>
  </si>
  <si>
    <t xml:space="preserve">Female </t>
  </si>
  <si>
    <t xml:space="preserve">Germany </t>
  </si>
  <si>
    <t xml:space="preserve">The body gets older and some activities could be harder compared to younger people. But also more life experience and knowledge </t>
  </si>
  <si>
    <t xml:space="preserve">Climate Change (older people are not doing enough for the future if there children/grandchildren)
General Politics (old people are making politics for old people)
Pension (a lot old people but not enough young people to finance there pension and when the young ones are getting old there will not be enough young one to pay for there pension)
Not enough younger people to take care of older people </t>
  </si>
  <si>
    <t xml:space="preserve">Stay fit and healthy 
Socializing 
Saving money for my one pension, because the one from the state will not be enough </t>
  </si>
  <si>
    <t xml:space="preserve">Exercising 
Eating healthy 
Enyou life
Stay connected to friends and family 
</t>
  </si>
  <si>
    <t xml:space="preserve">USA/PA</t>
  </si>
  <si>
    <t xml:space="preserve">Community engagement </t>
  </si>
  <si>
    <t xml:space="preserve">Exercise and making sure you go to the doctors so you can remain healthy </t>
  </si>
  <si>
    <t xml:space="preserve">Unfortunately for the first two qualities, there is not much I can do, and current studies become relatively contradictory on such details. As for the third, besides routine eye care and not overusing electronic devices (the latter is impossible in many work and educational environments now) there is not much else that can be done. </t>
  </si>
  <si>
    <t xml:space="preserve">I am taking topic (i) to mean reproductive health and reproductive longevity, at which point the topic describes the prolongation of humans' capacity for successful reproduction that neither is harmful for the offspring nor for the parents (and additionally may concern the capacity to have healthy sexual intercourse at all at older ages). Topic (ii) concerns making existing technologies cheaper, subsidized and/or mass-producible to a point where people are not restricted from existing medical solutions based on income or location (e.g. being in a rural area). (iii) feels out of place as, unlike topics (i) and (ii) it is not a goal, but rather a loose suggestion to use machine learning techniques of various forms to 'enable modern solutions.' </t>
  </si>
  <si>
    <t xml:space="preserve">Hong Kong </t>
  </si>
  <si>
    <t xml:space="preserve">Increase in physical age with the decline in physical ability and mental ability </t>
  </si>
  <si>
    <t xml:space="preserve">Low adaptability and few resources to advanced technology like AI, as they will easily get phased out and replaced </t>
  </si>
  <si>
    <t xml:space="preserve">i) some kind of methods or technology make people live longer and make the species of human beings healthier
ii) everyone can be treated to induce healthy and longer life optimally
Iii) incorporating advanced technology like AI for possible better medical treatment </t>
  </si>
  <si>
    <t xml:space="preserve">Constraints set by people hamper the progress of possible solutions </t>
  </si>
  <si>
    <t xml:space="preserve">Feminine</t>
  </si>
  <si>
    <t xml:space="preserve">I would define aging by the biological changes in our body along the years, more a biological thing </t>
  </si>
  <si>
    <t xml:space="preserve">Health care </t>
  </si>
  <si>
    <t xml:space="preserve">Not so much. In Brazil we have public access to health care, and it’s something very importante for the population in our country </t>
  </si>
  <si>
    <t xml:space="preserve">Health care, exercises, studies and psychological services </t>
  </si>
  <si>
    <t xml:space="preserve">1-Help people to keep their reproductive health along the years, to have children or not 2- Public, free and quality health service for all the population 3- AI helping in diagnosing people and treatment </t>
  </si>
  <si>
    <t xml:space="preserve">Ai is importante, but the human contact is much more effective and careful, but I believe that AI can help a lot people, especially in the democratic Acess for all the population </t>
  </si>
  <si>
    <t xml:space="preserve">The topic 2, because is very important for all the population to have access to health solutions, especially older people, that are more vulnerable </t>
  </si>
  <si>
    <t xml:space="preserve">2- The high prices of health care for the older population inside of vulnerable groups </t>
  </si>
  <si>
    <t xml:space="preserve">PA</t>
  </si>
  <si>
    <t xml:space="preserve">Not taking better care of ourselves </t>
  </si>
  <si>
    <t xml:space="preserve">More resources to help - not just going to a doctor but heading a health care advocate </t>
  </si>
  <si>
    <t xml:space="preserve">My health, the ability to get around and travel and financial stability </t>
  </si>
  <si>
    <t xml:space="preserve">Yes </t>
  </si>
  <si>
    <t xml:space="preserve">Necessary </t>
  </si>
  <si>
    <t xml:space="preserve">There could be downfalls finding out about a  disease early on, could affect your will to live and your outlook on life</t>
  </si>
  <si>
    <t xml:space="preserve">California, USA (or I guess Baltimore?)</t>
  </si>
  <si>
    <t xml:space="preserve">Maryland /USA</t>
  </si>
  <si>
    <t xml:space="preserve">Maryland/ USA</t>
  </si>
  <si>
    <t xml:space="preserve">Health problems </t>
  </si>
  <si>
    <t xml:space="preserve">Doing healthy activities with friends and family members so you are not alone. </t>
  </si>
  <si>
    <t xml:space="preserve">Make sure to surround yourself with positive people </t>
  </si>
  <si>
    <t xml:space="preserve">Amplifying how we come into the world and for how long. Adjusting to sciences that help with our living a longer life. Using machines to help with our longevity of life. </t>
  </si>
  <si>
    <t xml:space="preserve">I believe that in order to study aging we have to first see how we are born, then we can use science to study our growth and then if we really need it, we can use machines to help study how we age. </t>
  </si>
  <si>
    <t xml:space="preserve">I'm not sure </t>
  </si>
  <si>
    <t xml:space="preserve">PA, United States</t>
  </si>
  <si>
    <t xml:space="preserve">MD, United States</t>
  </si>
  <si>
    <t xml:space="preserve">Implement programs for seniors to connect with each other and with younger generations, encourage families to spend time with elderly loved ones, create “buddy” programs where young people can be paired with senior and provide social support. </t>
  </si>
  <si>
    <t xml:space="preserve">Exercise, eat healthy diet, avoid harmful substances, meaningful social engagement, activities that challenge my brain </t>
  </si>
  <si>
    <t xml:space="preserve">1. Improving reproductive health outcomes and length of life. 
2. Making longevity solutions equitable. 
3. Using AI to develop modern solutions for health issues associated with aging. </t>
  </si>
  <si>
    <t xml:space="preserve">Accessibility and affordability are priorities to me. I am hesitant to integrate AI into everything, which is why topic 3 was least important. </t>
  </si>
  <si>
    <t xml:space="preserve">Topic 2 excites me the most, because I believe that everyone deserves access to treatments that can increase health and longevity. </t>
  </si>
  <si>
    <t xml:space="preserve">My greatest concern about topic 3 is that AI cannot fully understand what it is like to be human and is prone to making mistakes. </t>
  </si>
  <si>
    <t xml:space="preserve">Yes. Aging and AI are both subjects that involve a lot of ethical concerns. The value of human life and respecting individual’s wishes for how they wish to live when nearing end of life are important considerations. </t>
  </si>
  <si>
    <t xml:space="preserve">Physically getting older with your body slowing down as time passes </t>
  </si>
  <si>
    <t xml:space="preserve">Technology, scams etc </t>
  </si>
  <si>
    <t xml:space="preserve">Constantly learning, eating as healthy as I can and exercising. My knees are already bad. </t>
  </si>
  <si>
    <t xml:space="preserve">As a general sentence for all. Ensuring that the general populace has access to ready and appropriate resources for identifying and treating diseases and ensuring long-lasting health. </t>
  </si>
  <si>
    <t xml:space="preserve">Affordability matters in getting these things out to the masses, ensuring you can identify and treat diseases earlier then pushes that longevity as a whole becomes possible. </t>
  </si>
  <si>
    <t xml:space="preserve">The elite preventing the diffusion of such tech to ensure their own lives are expanded at great expense to the general public </t>
  </si>
  <si>
    <t xml:space="preserve">Yes in regards to what expanded life may mean for the earth and society as a whole as with longer lives food shortages etc can become more apparent as our supply to taken from in great quantities. TL;DR Overpo </t>
  </si>
  <si>
    <t xml:space="preserve">mi</t>
  </si>
  <si>
    <t xml:space="preserve">md</t>
  </si>
  <si>
    <t xml:space="preserve">changes in your body over time, hormones changing,  visually looking and physically feeling older</t>
  </si>
  <si>
    <t xml:space="preserve">Letting go of their work and retiring </t>
  </si>
  <si>
    <t xml:space="preserve">increasing solutions and access to understanding aging and improving longevity </t>
  </si>
  <si>
    <t xml:space="preserve">Genderqueer</t>
  </si>
  <si>
    <t xml:space="preserve">Massachusetts, USA</t>
  </si>
  <si>
    <t xml:space="preserve">The mental, physical, social, and other wellbeing and identity-related changes that occur as time goes on. </t>
  </si>
  <si>
    <t xml:space="preserve">Greater investment in Medicaid and Medicare to support the older population and also provide more preventative services to younger people so they can reach old age in better health </t>
  </si>
  <si>
    <t xml:space="preserve">(I) advancing technology and innovations to extend lifespan and quality of life. 
(II) making technology and innovations to extend lifespan and quality of life accessible to all. 
(III) using ML/AI to advance technology and innovations to extend lifespan and quality of life. </t>
  </si>
  <si>
    <t xml:space="preserve">More accessible healthcare. So they can actually retire </t>
  </si>
  <si>
    <t xml:space="preserve">I actually don’t believe in growing old, but if I did being able to eat, work out, and be independent </t>
  </si>
  <si>
    <t xml:space="preserve">i) Ethical considerations </t>
  </si>
  <si>
    <t xml:space="preserve">Yes, ensuring that it still retains human value, instead of chasing it solely for economic growth or innovation </t>
  </si>
  <si>
    <t xml:space="preserve">Neurodegenerative diseases, because losing agency and/or mental faculties is becoming more and more dangerous </t>
  </si>
  <si>
    <t xml:space="preserve">mental faculties, muscle/body function control,  senses</t>
  </si>
  <si>
    <t xml:space="preserve">ii. I think everyone should be able to access healthcare without their security being potentially put in jeopardy </t>
  </si>
  <si>
    <t xml:space="preserve">Telangana/India </t>
  </si>
  <si>
    <t xml:space="preserve">Virginia </t>
  </si>
  <si>
    <t xml:space="preserve">Weight, mental health, mobility </t>
  </si>
  <si>
    <t xml:space="preserve">Values should be incorporated in every society from early part of education. Problem surfaced over the years and takes lot of amount of time to fix it. Better to adapt fix earlier than later </t>
  </si>
  <si>
    <t xml:space="preserve">All of them are equally important and go hand in hand </t>
  </si>
  <si>
    <t xml:space="preserve">Yes!</t>
  </si>
  <si>
    <t xml:space="preserve">Abidjan, Côte D'Ivoire</t>
  </si>
  <si>
    <t xml:space="preserve">reproductive health is a subsection of health that does not exist if healthcare is not prioritized. Utilizing AI is a method of achieving a goal, not an actual goal. </t>
  </si>
  <si>
    <t xml:space="preserve">Virginia/USA </t>
  </si>
  <si>
    <t xml:space="preserve">Aging is a natural process </t>
  </si>
  <si>
    <t xml:space="preserve">Medical care and the bills </t>
  </si>
  <si>
    <t xml:space="preserve">Good Medicare benefits and also regulating pharmacy and medical costs would help </t>
  </si>
  <si>
    <t xml:space="preserve">Health, wealth and happiness </t>
  </si>
  <si>
    <t xml:space="preserve">Mobility slows down </t>
  </si>
  <si>
    <t xml:space="preserve">Affordable Assisted Living </t>
  </si>
  <si>
    <t xml:space="preserve">Physical Activity </t>
  </si>
  <si>
    <t xml:space="preserve">I think third topic is more achievable and efficient </t>
  </si>
  <si>
    <t xml:space="preserve">Boosting longevity without solving other social and economic problems </t>
  </si>
  <si>
    <t xml:space="preserve">Virginia. USA</t>
  </si>
  <si>
    <t xml:space="preserve">Topic i </t>
  </si>
  <si>
    <t xml:space="preserve">Consider if AI will replace our jobs </t>
  </si>
  <si>
    <t xml:space="preserve">Andhra Pradesh , India</t>
  </si>
  <si>
    <t xml:space="preserve">Va , US </t>
  </si>
  <si>
    <t xml:space="preserve">Aging is a blessing when a person maintains good health and fitness . </t>
  </si>
  <si>
    <t xml:space="preserve">Health issues , always in need of support from others </t>
  </si>
  <si>
    <t xml:space="preserve">New age medications with more side effects </t>
  </si>
  <si>
    <t xml:space="preserve">Vigorous researches in various health fields , invention of new medications with less side effects  . </t>
  </si>
  <si>
    <t xml:space="preserve">Health , fitness ,  stress free life style </t>
  </si>
  <si>
    <t xml:space="preserve">Daily workouts , balancing diet </t>
  </si>
  <si>
    <t xml:space="preserve">Boosting reproductive health , using modern technology in a proper way to solve many issues related to aging . Predicting the diseases in early stages can reduce the risk . </t>
  </si>
  <si>
    <t xml:space="preserve">All of them are equally important </t>
  </si>
  <si>
    <t xml:space="preserve">Getting solutions for  aging issues </t>
  </si>
  <si>
    <t xml:space="preserve">New age medications having more side effects 
</t>
  </si>
  <si>
    <t xml:space="preserve">(i) Women's health science is so behind and sexist, there's so much that could be done with an actual focus on it. </t>
  </si>
  <si>
    <t xml:space="preserve">(iii) AI with lots of people's personal data is super risky. </t>
  </si>
  <si>
    <t xml:space="preserve">(iii) Make sure AI can't do harmful stuff with people's personal data. </t>
  </si>
  <si>
    <t xml:space="preserve">Maryland (JHU)</t>
  </si>
  <si>
    <t xml:space="preserve">Virginia/USA</t>
  </si>
  <si>
    <t xml:space="preserve">Its natural unavoidable </t>
  </si>
  <si>
    <t xml:space="preserve">Facilities </t>
  </si>
  <si>
    <t xml:space="preserve">Facility and immediate medical attention </t>
  </si>
  <si>
    <t xml:space="preserve">Memory flexibility and mobility </t>
  </si>
  <si>
    <t xml:space="preserve">Accessibility and affordability </t>
  </si>
  <si>
    <t xml:space="preserve">They are most important for everyone </t>
  </si>
  <si>
    <t xml:space="preserve">Femail</t>
  </si>
  <si>
    <t xml:space="preserve">VA, usa</t>
  </si>
  <si>
    <t xml:space="preserve">Based on look and fitness </t>
  </si>
  <si>
    <t xml:space="preserve">Healthcare,financial security and technology </t>
  </si>
  <si>
    <t xml:space="preserve">Reduce expenses  on Medicare and remove property tax for homes , tax free on income after 70’s </t>
  </si>
  <si>
    <t xml:space="preserve">Make health care easier to access </t>
  </si>
  <si>
    <t xml:space="preserve">Good health, mental piece , fitness&amp; financial secure </t>
  </si>
  <si>
    <t xml:space="preserve">Using AI to predict health risks and identify health issues in early stage to get faster cure </t>
  </si>
  <si>
    <t xml:space="preserve">All three topics r very important </t>
  </si>
  <si>
    <t xml:space="preserve">VA , USA</t>
  </si>
  <si>
    <t xml:space="preserve">VA, USA</t>
  </si>
  <si>
    <t xml:space="preserve">Learning and exeperience </t>
  </si>
  <si>
    <t xml:space="preserve">Family ,Health and Experience </t>
  </si>
  <si>
    <t xml:space="preserve">This will help every human being </t>
  </si>
  <si>
    <t xml:space="preserve">Not really </t>
  </si>
  <si>
    <t xml:space="preserve">Just  a number </t>
  </si>
  <si>
    <t xml:space="preserve">Health &amp; Job </t>
  </si>
  <si>
    <t xml:space="preserve">Health, money and friendship </t>
  </si>
  <si>
    <t xml:space="preserve">Very important </t>
  </si>
  <si>
    <t xml:space="preserve">Keeping healthy society </t>
  </si>
  <si>
    <t xml:space="preserve">these solutions while important, I don’t think they’d be able to be feasible in time for me to make heavy use of them. </t>
  </si>
  <si>
    <t xml:space="preserve">Texas/United States </t>
  </si>
  <si>
    <t xml:space="preserve">Maryland/United States</t>
  </si>
  <si>
    <t xml:space="preserve">Scary </t>
  </si>
  <si>
    <t xml:space="preserve">Volunteers </t>
  </si>
  <si>
    <t xml:space="preserve">Physical health, mental health transportation </t>
  </si>
  <si>
    <t xml:space="preserve">Exercise eat better and yearly check ups </t>
  </si>
  <si>
    <t xml:space="preserve">Improving reproductive health, advances in science and affordable health care and drugs </t>
  </si>
  <si>
    <t xml:space="preserve">Important for my daughter and for myself </t>
  </si>
  <si>
    <t xml:space="preserve">Reproductive health is super important </t>
  </si>
  <si>
    <t xml:space="preserve">Endometriosis needs to be prioritized as well as menopause </t>
  </si>
  <si>
    <t xml:space="preserve">We need tools and interfaces that allow older individuals to understand the decisions made in the course of their medical care, and communicate with their doctors and caregivers about adverse incidents. I've seen my family members conceal adverse health incidents or not understand how to communicate them because of cognitive difficulties, and feel that proper health communication is one of the easier yet important problems aging persons face. </t>
  </si>
  <si>
    <t xml:space="preserve">(i) Elongating the window in which reproduction is safe,  (2) allowing all to benefit from the fruits of scientific discover, (3) Using data trends to build new interventions</t>
  </si>
  <si>
    <t xml:space="preserve">Canada </t>
  </si>
  <si>
    <t xml:space="preserve">Finding a “productive”/fulfilling placement in society for the population as a whole </t>
  </si>
  <si>
    <t xml:space="preserve">Good healthcare, Good healthcare, very helpful tool (FOR HUMANS) if the AI billionaires don’t cause our destruction </t>
  </si>
  <si>
    <t xml:space="preserve">Lack of resources to support people, loneliness </t>
  </si>
  <si>
    <t xml:space="preserve">Physical health, friendships, dreams </t>
  </si>
  <si>
    <t xml:space="preserve">Im concerned about the repercussions of AI </t>
  </si>
  <si>
    <t xml:space="preserve">Personally, I’m hoping to benefit from new methods than increase longevity and quality of life.  However, while having solutions to problems is important- sharing the solutions across human kind is essential. Which is why I ranked II at 2.</t>
  </si>
  <si>
    <t xml:space="preserve">The topic about boosting longevity and reproduction is exciting.  It find it fascinating to think about breakthroughs in health and wellness that can improve life in this way.</t>
  </si>
  <si>
    <t xml:space="preserve">Roughly 25%</t>
  </si>
  <si>
    <t xml:space="preserve">CA USA</t>
  </si>
  <si>
    <t xml:space="preserve">ii)  advancements can lead to increased stratification of society. democratization is important.</t>
  </si>
  <si>
    <t xml:space="preserve">Maryland </t>
  </si>
  <si>
    <t xml:space="preserve">Better resources available and accessible for health care and housing. Too many seniors don’t know what their options are or don’t have somebody technologically savvy enough to help them navigate it. </t>
  </si>
  <si>
    <t xml:space="preserve">I’m not sure. I imagine either social workers would need to have additional training, organizations would need to be founded and implemented, or a new role would have to be created for this guidance. </t>
  </si>
  <si>
    <t xml:space="preserve">Making good financial choices/saving and embedding myself within the community instead of isolating  </t>
  </si>
  <si>
    <t xml:space="preserve">1. A greater percentage of fertility among the population and the ability for older parents to conceive. 
2. Accessible and affordable care for the public 
3. Using AI to screen for illness, catch it early, and help find treatments. </t>
  </si>
  <si>
    <t xml:space="preserve">Creating solutions through AI is irrelevant if it’s not accessible to the general public and able to be used to its full potential for those who need it. </t>
  </si>
  <si>
    <t xml:space="preserve">Having more scientific breakthroughs has the potential to decrease human suffering and eliminate diseases. </t>
  </si>
  <si>
    <t xml:space="preserve">Boosting reproductive longevity has a host of ethical and medical implications for both the mother and the child. </t>
  </si>
  <si>
    <t xml:space="preserve">Yes. AI solutions should be made widely accessible when approved and not hoarded for the elite. It should also be used for ethical reasons and not for personal ones (ie designing your child’s appearance). Improving reproductive health is fantastic but extending the longevity is concerning for the parent and the child. What happens with the greater increase for birth complications and medical concerns for children of older mothers? What happens when the parents die and the child is only ten or twenty and has no guidance in the world? </t>
  </si>
  <si>
    <t xml:space="preserve">Getting older </t>
  </si>
  <si>
    <t xml:space="preserve">Physical limitations </t>
  </si>
  <si>
    <t xml:space="preserve">I have experienced a lot of older family members having health problems that they don’t have solutions for </t>
  </si>
  <si>
    <t xml:space="preserve">It won’t happen due to government regulations </t>
  </si>
  <si>
    <t xml:space="preserve">Idaho, USA</t>
  </si>
  <si>
    <t xml:space="preserve">The biological process of physiological and sociological changes as the result of the passage of time. </t>
  </si>
  <si>
    <t xml:space="preserve">The economic strain of aging and its associated costs, such as medical bills, assisted living, and other geriatric services. </t>
  </si>
  <si>
    <t xml:space="preserve">Physical mobility, mental acuity, my sense of humor </t>
  </si>
  <si>
    <t xml:space="preserve">Strength training is essential for women, especially menopausal and post menopausal ages as bone density and osteopenia became more and more likely to ending in continual education and “brain games” can assist in maintaining mental acuity. Additionally, ensuring access to hearing aids can be beneficial for doing so. </t>
  </si>
  <si>
    <t xml:space="preserve">1. Increasing the length of time of which one is able to reproduce. 
2. Making the study of aging publicly accessible.
3. Utilizing machine learning to enact prevention care. </t>
  </si>
  <si>
    <t xml:space="preserve">Public healthcare access is essential and public health with an emphasis on preventive care goes hand in hand. </t>
  </si>
  <si>
    <t xml:space="preserve">Private industry’s involvement and the capitalist expansion of the sector </t>
  </si>
  <si>
    <t xml:space="preserve">Quality of life </t>
  </si>
  <si>
    <t xml:space="preserve">NY</t>
  </si>
  <si>
    <t xml:space="preserve">Lack of affordable healthcare and housing </t>
  </si>
  <si>
    <t xml:space="preserve">Get Democrats in control of federal government </t>
  </si>
  <si>
    <t xml:space="preserve">1.  Health. 2.  Family. 2.  Home</t>
  </si>
  <si>
    <t xml:space="preserve">Try to be good with money </t>
  </si>
  <si>
    <t xml:space="preserve">Need to look at immediate solutions as well as an eye to the future </t>
  </si>
  <si>
    <t xml:space="preserve">Based on most urgent needs for the majority </t>
  </si>
  <si>
    <t xml:space="preserve">The idea of addressing needs of elderly </t>
  </si>
  <si>
    <t xml:space="preserve">Slow progress </t>
  </si>
  <si>
    <t xml:space="preserve">That only certain socio- economic groups will be addressed </t>
  </si>
  <si>
    <t xml:space="preserve">Florida/U.S.A.</t>
  </si>
  <si>
    <t xml:space="preserve">A1 being used  to make healthcare decisions without appropriate clinical oversight.</t>
  </si>
  <si>
    <t xml:space="preserve">Sleep thoroughly, see a doctor regularly, eat well, exercise </t>
  </si>
  <si>
    <t xml:space="preserve">Always. </t>
  </si>
  <si>
    <t xml:space="preserve">Ensuring people aren’t treated like statistics </t>
  </si>
  <si>
    <t xml:space="preserve">Florida/USA</t>
  </si>
  <si>
    <t xml:space="preserve">Growing and getting older </t>
  </si>
  <si>
    <t xml:space="preserve">loss of Medicare; quality healthcare should be prioritized for humanity and dignity for the aging </t>
  </si>
  <si>
    <t xml:space="preserve">I) helping solve reproductive challenges and extending length of life ii) providing care for all, regardless of economic power iii) using AI to find  healthcare solutions</t>
  </si>
  <si>
    <t xml:space="preserve">colorado, USA</t>
  </si>
  <si>
    <t xml:space="preserve">30%? Maybe more, I've never thought much about it and don't know a lot about demographic statistics off of the top of my head.</t>
  </si>
  <si>
    <t xml:space="preserve">Accessibility to adequate and effective health care </t>
  </si>
  <si>
    <t xml:space="preserve">Yes, caring for my body, maintaining strength, utilizing cognition by learning, etc. Active participation in the world, active participation in physical activity, socialization, and intellectual pursuit are all protective factors. </t>
  </si>
  <si>
    <t xml:space="preserve">The cost of care — both our broken health care system and the inaffordability of long-term care. </t>
  </si>
  <si>
    <t xml:space="preserve">Affordability of quality healthcare. Baby boomers are retiring in massive numbers and social security checks are not enough for people to live on, much leas depend on when their ill. Health care should not be a luxury. Both medical care and affordable long-term care should be made available to all; not just the wealthy. </t>
  </si>
  <si>
    <t xml:space="preserve">Health, family/friends, financial stability, </t>
  </si>
  <si>
    <t xml:space="preserve">(i) Having more babies + living longer = increasing population; (ii) increasing lifespans for everyone; (iii) apply technology to better understand trends in aging and health, as well as finding innovative solutions to current problems in this area. </t>
  </si>
  <si>
    <t xml:space="preserve">Topic ii is a pressing issue which requires immediate attention, so it’s first. I just went on Medicare this year and I want to ensure that I will be able to afford healthcare as I age. I can’t rely solely on Medicare for that. Topic i is also important to me as an individual because I want to live as long as possibly to be there for my family and watch them grow. Topic iii is a much longer vision topic, which will take time to develop and perfect. This will be helpful in the long-run, but not to me individually because I may not be around to reap the benefits. </t>
  </si>
  <si>
    <t xml:space="preserve">Topic ii. I like the words “accessible, affordable, and generalizable” in describing longevity and health solution prospects. Longevity and healthcare should not be for the wealthy only. </t>
  </si>
  <si>
    <t xml:space="preserve">Topic i - with regard to boosting reproductive health and longevity, possibly, but I don’t know enough about the methodologies being implied. 
Topic ii - this is mostly political and we all know there aren’t a lot of ethics in politics. 
Topic iii - AI is still in its infancy. As an analytical tool, it can be very helpful and insightful, but it must still be used with caution. </t>
  </si>
  <si>
    <t xml:space="preserve">NY / United States </t>
  </si>
  <si>
    <t xml:space="preserve">Decrease in physical and mental abilities over years </t>
  </si>
  <si>
    <t xml:space="preserve">Caregiver resources </t>
  </si>
  <si>
    <t xml:space="preserve">Minimal </t>
  </si>
  <si>
    <t xml:space="preserve">Mental acuity mobility support system </t>
  </si>
  <si>
    <t xml:space="preserve">Every one is most important </t>
  </si>
  <si>
    <t xml:space="preserve">Accessibility </t>
  </si>
  <si>
    <t xml:space="preserve">Favoritism or economic roadblocks </t>
  </si>
  <si>
    <t xml:space="preserve">The process of growing older and the amount of years one has lived. </t>
  </si>
  <si>
    <t xml:space="preserve">The greatest challenge facing our aging population is affordable and adequate healthcare and this should be prioritized because it affects multiple generations. </t>
  </si>
  <si>
    <t xml:space="preserve">1. Investing in women’s health, 2. Offering various health solutions to cover the needs of differing patient populations, 3. Utilizing AI to make health procedures more efficient and to forecast potential genetic diseases. </t>
  </si>
  <si>
    <t xml:space="preserve">I ranked them this way based on the ability and opportunity I see for change in each category based on our current government policies. </t>
  </si>
  <si>
    <t xml:space="preserve">The hope for more research and investment in the quality of our healthcare system. </t>
  </si>
  <si>
    <t xml:space="preserve">Lack of funding and resources in our healthcare system. </t>
  </si>
  <si>
    <t xml:space="preserve">Yes, especially when it comes to AI. </t>
  </si>
  <si>
    <t xml:space="preserve">Florida USA</t>
  </si>
  <si>
    <t xml:space="preserve">Just a number doesn’t mean anything. </t>
  </si>
  <si>
    <t xml:space="preserve">AI taking over </t>
  </si>
  <si>
    <t xml:space="preserve">Government should be more involved </t>
  </si>
  <si>
    <t xml:space="preserve">Health, happiness, financial stability </t>
  </si>
  <si>
    <t xml:space="preserve">Improve affordable health solution </t>
  </si>
  <si>
    <t xml:space="preserve">Not everyone can afford healthcare </t>
  </si>
  <si>
    <t xml:space="preserve">Animal testing, human testing </t>
  </si>
  <si>
    <t xml:space="preserve">The same as above, because it’s important </t>
  </si>
  <si>
    <t xml:space="preserve">Prioritization of and  resources for caregivers </t>
  </si>
  <si>
    <t xml:space="preserve">Strong friendships, imagination, and curiosity about the world </t>
  </si>
  <si>
    <t xml:space="preserve">I think my concern with AI is maintaining ethical standards around patient data, consent, and confidentiality, both in developing and using the models. </t>
  </si>
  <si>
    <t xml:space="preserve">FL/USA</t>
  </si>
  <si>
    <t xml:space="preserve">Aging is the lifelong, natural biological process of change that influences physical and cognitive function, and overall health over time. </t>
  </si>
  <si>
    <t xml:space="preserve">Maintaining health and quality of life as people live longer. </t>
  </si>
  <si>
    <t xml:space="preserve">Preserving functional independence should be prioritized as it can be a tipping point that leads to greater healthcare utilization and reduced quality of life. </t>
  </si>
  <si>
    <t xml:space="preserve">There are some federal programs focused on healthcare initiatives like this for the elderly, but they are optional and fragmented as opposed to more routine care done earlier on. </t>
  </si>
  <si>
    <t xml:space="preserve">1. Supporting repro health &amp; function across one's lifespan to extend reproductive longevity and promote overall healthy aging. 2. Making advances in longevity sciences accessible, affordable, and beneficial to people across all communities.  3. Advancing AI to accelerate personalized and innovative solutions that promote healthy aging and improve health across one's lifespan.</t>
  </si>
  <si>
    <t xml:space="preserve">Topic 2 to benefit the most people &amp; lessen the divide, Topic 3 will allow Topic 2 to happen a more rapid rate and Topic 1 will happen anyway. </t>
  </si>
  <si>
    <t xml:space="preserve">Insufficient medical infrastructure – needs to be prioritized because it impacts the availability of care to the aging population</t>
  </si>
  <si>
    <t xml:space="preserve">I would define aging as getting wrinkles. </t>
  </si>
  <si>
    <t xml:space="preserve">1) resources for women to maintain their repro knowledge 2) making health solutions accessible and available 3) using machine learning to predict diseases </t>
  </si>
  <si>
    <t xml:space="preserve">yes </t>
  </si>
  <si>
    <t xml:space="preserve">TN</t>
  </si>
  <si>
    <t xml:space="preserve">Loneliness </t>
  </si>
  <si>
    <t xml:space="preserve">Loneliness… people who are not lonely are usually healthier both mentally and physically and physically </t>
  </si>
  <si>
    <t xml:space="preserve">A good sense of humor. Mental acuity. Peace. </t>
  </si>
  <si>
    <t xml:space="preserve">Affordability and socioeconomic standing are  usually the main issue that limits the type and quality of healthcare. And AI is often used to replace the human element in healthcare not assist.</t>
  </si>
  <si>
    <t xml:space="preserve">California/United States</t>
  </si>
  <si>
    <t xml:space="preserve">Coping with the physical and mental and financial changes that occur as one gets older </t>
  </si>
  <si>
    <t xml:space="preserve">Not in this administration </t>
  </si>
  <si>
    <t xml:space="preserve">Regular Dr exams and tests and vaccinations. Maintaining physical and mental activity. </t>
  </si>
  <si>
    <t xml:space="preserve">Most definitely </t>
  </si>
  <si>
    <t xml:space="preserve">South Carolina </t>
  </si>
  <si>
    <t xml:space="preserve">Supporting social security </t>
  </si>
  <si>
    <t xml:space="preserve">Financial, Medical, and mental wellbeing </t>
  </si>
  <si>
    <t xml:space="preserve">Access to longevity care would allow for easier time to live longer. </t>
  </si>
  <si>
    <t xml:space="preserve">Not sure; a wild guess would be over 40%.</t>
  </si>
  <si>
    <t xml:space="preserve">Approximately 15%.</t>
  </si>
  <si>
    <t xml:space="preserve">25%?</t>
  </si>
  <si>
    <t xml:space="preserve">20%+</t>
  </si>
  <si>
    <t xml:space="preserve">10–20%</t>
  </si>
  <si>
    <t xml:space="preserve">Over half</t>
  </si>
  <si>
    <t xml:space="preserve">28–29%?</t>
  </si>
  <si>
    <t xml:space="preserve">What is your age?</t>
  </si>
  <si>
    <t xml:space="preserve">Where are you from (state/country)?</t>
  </si>
  <si>
    <t xml:space="preserve">What percentage of the U.S. population do you think is above 65 years old?</t>
  </si>
  <si>
    <t xml:space="preserve">Which best describes aging?</t>
  </si>
  <si>
    <t xml:space="preserve">What is the greatest challenge facing the aging population (Select the one that matters the most in your opinion)?</t>
  </si>
  <si>
    <t xml:space="preserve">Which challenge should be addressed in the short-term (Select the one that matters the most in your opinion)?</t>
  </si>
  <si>
    <t xml:space="preserve">Why do you think this challenge should be prioritized?</t>
  </si>
  <si>
    <t xml:space="preserve">Do you think there are currently actions being taken to address this challenge?</t>
  </si>
  <si>
    <t xml:space="preserve">Which THREE aspects of your life would you most like to maintain as you age? (Select 3) </t>
  </si>
  <si>
    <t xml:space="preserve">Are there things that you can do to help ensure that you do maintain them? </t>
  </si>
  <si>
    <t xml:space="preserve">How would you describe what Topic A mean in a few words? </t>
  </si>
  <si>
    <t xml:space="preserve">How would you describe what Topic B mean in a few words? </t>
  </si>
  <si>
    <t xml:space="preserve">How would you describe what Topic C mean in a few words? </t>
  </si>
  <si>
    <t xml:space="preserve">Rank them in order of importance to you as an individual [Most important]</t>
  </si>
  <si>
    <t xml:space="preserve">Rank them in order of importance to you as an individual [Next important]</t>
  </si>
  <si>
    <t xml:space="preserve">Rank them in order of importance to you as an individual [Least important]</t>
  </si>
  <si>
    <t xml:space="preserve">What are the MAIN reason for your rank?</t>
  </si>
  <si>
    <t xml:space="preserve">Rank them in order of importance to society  [Most important]</t>
  </si>
  <si>
    <t xml:space="preserve">Rank them in order of importance to society  [Next important]</t>
  </si>
  <si>
    <t xml:space="preserve">Rank them in order of importance to society  [Least important ]</t>
  </si>
  <si>
    <t xml:space="preserve">What are the MAIN reason for your rank? 2</t>
  </si>
  <si>
    <t xml:space="preserve">Which topic excites you the most?</t>
  </si>
  <si>
    <t xml:space="preserve">What is the greatest concern about the topic you chose? </t>
  </si>
  <si>
    <t xml:space="preserve">Should ethical guidelines be required when developing aging technologies?</t>
  </si>
  <si>
    <t xml:space="preserve">Are you excited about the future of aging reasearch? (Rate out of 5)</t>
  </si>
  <si>
    <t xml:space="preserve">Do you think bioengineers an play an important role in developing solutions?  (Rate out of 5)</t>
  </si>
  <si>
    <t xml:space="preserve">New York City</t>
  </si>
  <si>
    <t xml:space="preserve">10-15%</t>
  </si>
  <si>
    <t xml:space="preserve">awareness of STD</t>
  </si>
  <si>
    <t xml:space="preserve">Devices you can carry with you for your disease</t>
  </si>
  <si>
    <t xml:space="preserve">Use AI tools to reduce research time</t>
  </si>
  <si>
    <t xml:space="preserve">AI for aging and health</t>
  </si>
  <si>
    <t xml:space="preserve">Accessible longevity solutions</t>
  </si>
  <si>
    <t xml:space="preserve">Reproductive health and longevity</t>
  </si>
  <si>
    <t xml:space="preserve">Potential to prevent disease</t>
  </si>
  <si>
    <t xml:space="preserve">Potential to improve quality of life</t>
  </si>
  <si>
    <t xml:space="preserve">16-20%</t>
  </si>
  <si>
    <t xml:space="preserve">To be fertile in later periods of life</t>
  </si>
  <si>
    <t xml:space="preserve">How to live longer</t>
  </si>
  <si>
    <t xml:space="preserve">AI assisting human in our late life</t>
  </si>
  <si>
    <t xml:space="preserve">Potential to help the largest number of people</t>
  </si>
  <si>
    <t xml:space="preserve">More than 30%</t>
  </si>
  <si>
    <t xml:space="preserve">Can have kids later in life</t>
  </si>
  <si>
    <t xml:space="preserve">Getting treatment to live longer</t>
  </si>
  <si>
    <t xml:space="preserve">AI help scientists </t>
  </si>
  <si>
    <t xml:space="preserve">Personal relevance to me</t>
  </si>
  <si>
    <t xml:space="preserve">Boston</t>
  </si>
  <si>
    <t xml:space="preserve">21-30%</t>
  </si>
  <si>
    <t xml:space="preserve">Having kids at a greater age</t>
  </si>
  <si>
    <t xml:space="preserve">Changes in lifestyle that allows you to live longer</t>
  </si>
  <si>
    <t xml:space="preserve">Using AI in diagnostics </t>
  </si>
  <si>
    <t xml:space="preserve">Potential to improve quality of life, Potential to help the largest number of people</t>
  </si>
  <si>
    <t xml:space="preserve">Seattle</t>
  </si>
  <si>
    <t xml:space="preserve">Have sex until I die</t>
  </si>
  <si>
    <t xml:space="preserve">Getting treatments that can expand my life time and quality</t>
  </si>
  <si>
    <t xml:space="preserve">AI help us to live longer and healthier </t>
  </si>
  <si>
    <t xml:space="preserve">Potential to reduce healthcare inequality</t>
  </si>
  <si>
    <t xml:space="preserve">Live longer and have fertility longer</t>
  </si>
  <si>
    <t xml:space="preserve">Accesses to treatment of chronic diseases</t>
  </si>
  <si>
    <t xml:space="preserve">Not sure, but ai help science </t>
  </si>
  <si>
    <t xml:space="preserve">Scientific/technological potential</t>
  </si>
  <si>
    <t xml:space="preserve">Potential to improve quality of life, Potential to help the largest number of people, Personal relevance to me, Potential to reduce healthcare inequality, Scientific/technological potential</t>
  </si>
  <si>
    <t xml:space="preserve">Potential to improve quality of life, Potential to help the largest number of people, Scientific/technological potential</t>
  </si>
  <si>
    <t xml:space="preserve">AI may get wrong but user don’t know and follow the instruction </t>
  </si>
  <si>
    <t xml:space="preserve">Longer reproductive period?</t>
  </si>
  <si>
    <t xml:space="preserve">Cheap and convenient</t>
  </si>
  <si>
    <t xml:space="preserve">AI for health</t>
  </si>
  <si>
    <t xml:space="preserve">keep health and longlife</t>
  </si>
  <si>
    <t xml:space="preserve">Plan to live longer </t>
  </si>
  <si>
    <t xml:space="preserve">Machine learning and ai solution to long live</t>
  </si>
  <si>
    <t xml:space="preserve">Potential to improve quality of life, Personal relevance to me, Potential to prevent disease</t>
  </si>
  <si>
    <t xml:space="preserve">Potential to improve quality of life, Potential to help the largest number of people, Personal relevance to me, Potential to prevent disease</t>
  </si>
  <si>
    <t xml:space="preserve">Make body physically stronger and more durable, or even renewable</t>
  </si>
  <si>
    <t xml:space="preserve">Fair price and easy accessibility</t>
  </si>
  <si>
    <t xml:space="preserve">Improve efficiency of experiments and avoid moral issues sometimes </t>
  </si>
  <si>
    <t xml:space="preserve">Potential to improve quality of life, Personal relevance to me</t>
  </si>
  <si>
    <t xml:space="preserve">Potential to improve quality of life, Potential to help the largest number of people, Potential to reduce healthcare inequality</t>
  </si>
  <si>
    <t xml:space="preserve">Maintaining biological functions</t>
  </si>
  <si>
    <t xml:space="preserve">Way to live longer</t>
  </si>
  <si>
    <t xml:space="preserve">Use ai to find solutions deal with potential problems by getting older</t>
  </si>
  <si>
    <t xml:space="preserve">Potential to improve quality of life, Potential to help the largest number of people, Potential to prevent disease, Potential to reduce healthcare inequality</t>
  </si>
  <si>
    <t xml:space="preserve">Potential to help the largest number of people, Scientific/technological potential</t>
  </si>
  <si>
    <t xml:space="preserve">B</t>
  </si>
  <si>
    <t xml:space="preserve">There are lots of solutions preventing muscle loss aged people in order to preserve organ vitality and function integrity.</t>
  </si>
  <si>
    <t xml:space="preserve">May to LLM speeds basic research understanding aging and longevity.</t>
  </si>
  <si>
    <t xml:space="preserve">Potential to improve quality of life, Potential to prevent disease, Scientific/technological potential</t>
  </si>
  <si>
    <t xml:space="preserve">Improving reproductive health and extending healthy lifespan</t>
  </si>
  <si>
    <t xml:space="preserve">Making longevity treatments affordable and accessible</t>
  </si>
  <si>
    <t xml:space="preserve">Using AI and machine learning to improve aging and healthcare solutions</t>
  </si>
  <si>
    <t xml:space="preserve">Potential to help the largest number of people, Personal relevance to me, Potential to prevent disease</t>
  </si>
  <si>
    <t xml:space="preserve">The general topic ppl think of when bringing up aging</t>
  </si>
  <si>
    <t xml:space="preserve">Ways lead to longevity </t>
  </si>
  <si>
    <t xml:space="preserve">How ai helps</t>
  </si>
  <si>
    <t xml:space="preserve">China </t>
  </si>
  <si>
    <t xml:space="preserve">Have health offspring with no mental/physical disability, and people would not die from common disease before age of 60 </t>
  </si>
  <si>
    <t xml:space="preserve">accessible healthcare also affordable. have decent living environment  </t>
  </si>
  <si>
    <t xml:space="preserve">quicker solution to get your question answered, so save some time</t>
  </si>
  <si>
    <t xml:space="preserve">Potential to improve quality of life, Potential to help the largest number of people, Personal relevance to me, Potential to reduce healthcare inequality</t>
  </si>
  <si>
    <t xml:space="preserve">Potential to help the largest number of people, Potential to reduce healthcare inequality</t>
  </si>
  <si>
    <t xml:space="preserve">Australia </t>
  </si>
  <si>
    <t xml:space="preserve">Having sex every day</t>
  </si>
  <si>
    <t xml:space="preserve">Having sex</t>
  </si>
  <si>
    <t xml:space="preserve">Don’t know</t>
  </si>
  <si>
    <t xml:space="preserve">improving health sustainably</t>
  </si>
  <si>
    <t xml:space="preserve">longterm health lifestyle</t>
  </si>
  <si>
    <t xml:space="preserve">ai asist the healthy life plan</t>
  </si>
  <si>
    <t xml:space="preserve">Potential to help the largest number of people, Potential to prevent disease, Potential to reduce healthcare inequality</t>
  </si>
  <si>
    <t xml:space="preserve">do physical exercise</t>
  </si>
  <si>
    <t xml:space="preserve">make more people know what to do to prevent aging</t>
  </si>
  <si>
    <t xml:space="preserve">AI solving aging problem</t>
  </si>
  <si>
    <t xml:space="preserve">Being able to give birth and get older than usual</t>
  </si>
  <si>
    <t xml:space="preserve">The way to be older and healthier</t>
  </si>
  <si>
    <t xml:space="preserve">Using AI to predict aging problems and find solutions </t>
  </si>
  <si>
    <t xml:space="preserve">Potential to improve quality of life, Scientific/technological potential</t>
  </si>
  <si>
    <t xml:space="preserve">Potential to improve quality of life, Potential to reduce healthcare inequality, Scientific/technological potential</t>
  </si>
  <si>
    <t xml:space="preserve">older male should give birth more than younger.</t>
  </si>
  <si>
    <t xml:space="preserve">most people get heathier condition</t>
  </si>
  <si>
    <t xml:space="preserve">robot and mechanics help those disabled activity</t>
  </si>
  <si>
    <t xml:space="preserve">Potential to improve quality of life, Potential to help the largest number of people, Personal relevance to me, Potential to prevent disease, Potential to reduce healthcare inequality</t>
  </si>
  <si>
    <t xml:space="preserve">Improving reproductive health</t>
  </si>
  <si>
    <t xml:space="preserve">Making longevity and healthy-aging solutions affordable </t>
  </si>
  <si>
    <t xml:space="preserve">develop smarter, personalized solutions</t>
  </si>
  <si>
    <t xml:space="preserve">Reproductive health and longevity, AI for aging and health</t>
  </si>
  <si>
    <t xml:space="preserve">Potential to improve quality of life, Potential to help the largest number of people, Personal relevance to me</t>
  </si>
  <si>
    <t xml:space="preserve">Accessible longevity solutions, AI for aging and health</t>
  </si>
  <si>
    <t xml:space="preserve">Increasing time of fertility and hormone balance </t>
  </si>
  <si>
    <t xml:space="preserve">Affordable and effective solutions</t>
  </si>
  <si>
    <t xml:space="preserve">Fast developing and huge data sample</t>
  </si>
  <si>
    <t xml:space="preserve">Sex ability</t>
  </si>
  <si>
    <t xml:space="preserve">Live longer</t>
  </si>
  <si>
    <t xml:space="preserve">Train ai model to find what are factors contributing to individual aging?</t>
  </si>
  <si>
    <t xml:space="preserve">Maintaining reproductive function and promoting healthy aging. </t>
  </si>
  <si>
    <t xml:space="preserve">Making longevity interventions, therapies and health-aging benefits available </t>
  </si>
  <si>
    <t xml:space="preserve">AI-driven healthy aging </t>
  </si>
  <si>
    <t xml:space="preserve">It is meaningless.</t>
  </si>
  <si>
    <t xml:space="preserve">This is needed for the majority of older adults in society.</t>
  </si>
  <si>
    <t xml:space="preserve">It is a topic well worthy of attention and research.</t>
  </si>
  <si>
    <t xml:space="preserve">Physical state at the bodily level</t>
  </si>
  <si>
    <t xml:space="preserve">Take the initiative to improve one's health condition</t>
  </si>
  <si>
    <t xml:space="preserve">New technologies promote longevity.</t>
  </si>
  <si>
    <t xml:space="preserve">Increase maternal age and average life expectancy </t>
  </si>
  <si>
    <t xml:space="preserve">Redistribution of resources to the elderly population </t>
  </si>
  <si>
    <t xml:space="preserve">Simulate different scenario in a computational base and apply to it after rigorous and robust calculation </t>
  </si>
  <si>
    <t xml:space="preserve">Maintain the species </t>
  </si>
  <si>
    <t xml:space="preserve">Wellbeing </t>
  </si>
  <si>
    <t xml:space="preserve">Could be useful </t>
  </si>
  <si>
    <t xml:space="preserve">efficient treatment targeting human being</t>
  </si>
  <si>
    <t xml:space="preserve">possible treatment but not widely accepted</t>
  </si>
  <si>
    <t xml:space="preserve">no idea</t>
  </si>
  <si>
    <t xml:space="preserve">Personal relevance to me, Potential to prevent disease</t>
  </si>
  <si>
    <t xml:space="preserve">Extending reproductive lifespan &amp; health</t>
  </si>
  <si>
    <t xml:space="preserve">Affordable aging solutions for all</t>
  </si>
  <si>
    <t xml:space="preserve">AI-driven longevity &amp; healthcare</t>
  </si>
  <si>
    <t xml:space="preserve">Exercise more, eat healthier. Send more time on rest </t>
  </si>
  <si>
    <t xml:space="preserve">This means developing affordable and practical ways for everyone to improve their health and increase their chances of living a longer, healthier life.</t>
  </si>
  <si>
    <t xml:space="preserve">This focuses on using AI and machine learning to better understand aging, prevent diseases, and develop personalized solutions to improve people’s health and lifespan.</t>
  </si>
  <si>
    <t xml:space="preserve">stay healthy and live long live</t>
  </si>
  <si>
    <t xml:space="preserve">AI to help in long life and health</t>
  </si>
  <si>
    <t xml:space="preserve">Allowing people to live longer and having babies at an older agr</t>
  </si>
  <si>
    <t xml:space="preserve">Social efforts to care for older people's health like free and mandatory examinations</t>
  </si>
  <si>
    <t xml:space="preserve">Using mass data to discover trends in the population or building specific robots to help detect and treat potential diseases</t>
  </si>
  <si>
    <t xml:space="preserve">Potential to improve quality of life, Potential to help the largest number of people, Potential to reduce healthcare inequality, Scientific/technological potential</t>
  </si>
  <si>
    <t xml:space="preserve">To enjoy more with children and the life built in youth and working years</t>
  </si>
  <si>
    <t xml:space="preserve">To enjoy the above in the high quality way </t>
  </si>
  <si>
    <t xml:space="preserve">Speed up development of new solutions </t>
  </si>
  <si>
    <t xml:space="preserve">Taiwan </t>
  </si>
  <si>
    <t xml:space="preserve">Learning </t>
  </si>
  <si>
    <t xml:space="preserve">Extend the life</t>
  </si>
  <si>
    <t xml:space="preserve">Cheap solution </t>
  </si>
  <si>
    <t xml:space="preserve">Personalization </t>
  </si>
  <si>
    <t xml:space="preserve">Lifestyles, nutrition, habits, medical and innovation</t>
  </si>
  <si>
    <t xml:space="preserve">Affordable, customized </t>
  </si>
  <si>
    <t xml:space="preserve">Quite a long way to go </t>
  </si>
  <si>
    <t xml:space="preserve">Child youngster</t>
  </si>
  <si>
    <t xml:space="preserve">Generalized </t>
  </si>
  <si>
    <t xml:space="preserve">Efficient </t>
  </si>
  <si>
    <t xml:space="preserve">Improving reproductive well-being while extending healthy lifespan</t>
  </si>
  <si>
    <t xml:space="preserve">Affordable and easy-to-use methods to help people live longer</t>
  </si>
  <si>
    <t xml:space="preserve">Using AI and machine learning technology to solve aging and health-related problems</t>
  </si>
  <si>
    <t xml:space="preserve">I don’t know </t>
  </si>
  <si>
    <t xml:space="preserve">Eating healthy</t>
  </si>
  <si>
    <t xml:space="preserve">Public Health</t>
  </si>
  <si>
    <t xml:space="preserve">A future</t>
  </si>
  <si>
    <t xml:space="preserve">Potential to improve quality of life, Potential to prevent disease</t>
  </si>
  <si>
    <t xml:space="preserve">Personal relevance to me, Potential to reduce healthcare inequality</t>
  </si>
  <si>
    <t xml:space="preserve">Maintain the ability that self body can heal minor disease</t>
  </si>
  <si>
    <t xml:space="preserve">Knowing what to do to maintain health when aging</t>
  </si>
  <si>
    <t xml:space="preserve">Using AI to help research and model methods of preventing aging</t>
  </si>
  <si>
    <t xml:space="preserve">Improving reproductive function while extending healthy lifespan</t>
  </si>
  <si>
    <t xml:space="preserve">Anti-aging interventions that are affordable and easy for the public to obtain</t>
  </si>
  <si>
    <t xml:space="preserve">Apply AI and machine learning to study ageing and develop health-maintaining strategies</t>
  </si>
  <si>
    <t xml:space="preserve">to be health</t>
  </si>
  <si>
    <t xml:space="preserve">how to live longer life and be health</t>
  </si>
  <si>
    <t xml:space="preserve">to use ai solve some health problem</t>
  </si>
  <si>
    <t xml:space="preserve">Reproductive health and longevity, Accessible longevity solutions, AI for aging and health</t>
  </si>
  <si>
    <t xml:space="preserve">Extending fertility and long-term reproductive wellness.</t>
  </si>
  <si>
    <t xml:space="preserve">Democratizing affordable anti-aging treatments for everyone.</t>
  </si>
  <si>
    <t xml:space="preserve">Leveraging artificial intelligence to predict, prevent, and treat age-related decline.</t>
  </si>
  <si>
    <t xml:space="preserve">Helping people stay reproductively healthy and live longer</t>
  </si>
  <si>
    <t xml:space="preserve">Making longevity and healthy-aging solutions affordable and accessible to everyone</t>
  </si>
  <si>
    <t xml:space="preserve">Using AI and machine learning to improve health and aging</t>
  </si>
  <si>
    <t xml:space="preserve">Good</t>
  </si>
  <si>
    <r>
      <rPr>
        <sz val="12"/>
        <color theme="1"/>
        <rFont val="Arial"/>
        <family val="2"/>
        <charset val="1"/>
      </rPr>
      <t xml:space="preserve">Reduce reproductive system-related diseases and cancers.  </t>
    </r>
    <r>
      <rPr>
        <sz val="12"/>
        <color theme="1"/>
        <rFont val="Noto Sans CJK SC"/>
        <family val="2"/>
      </rPr>
      <t xml:space="preserve">也可译为： </t>
    </r>
    <r>
      <rPr>
        <sz val="12"/>
        <color theme="1"/>
        <rFont val="Arial"/>
        <family val="2"/>
        <charset val="1"/>
      </rPr>
      <t xml:space="preserve">Reduce diseases and cancers related to the reproductive system.</t>
    </r>
  </si>
  <si>
    <t xml:space="preserve">Control various cardiovascular diseases.</t>
  </si>
  <si>
    <t xml:space="preserve">Help older adults manage their lives and support their social interactions.</t>
  </si>
  <si>
    <t xml:space="preserve">Potential to improve quality of life, Potential to prevent disease, Potential to reduce healthcare inequality</t>
  </si>
  <si>
    <t xml:space="preserve">Potential to help the largest number of people, Potential to prevent disease, Scientific/technological potential</t>
  </si>
  <si>
    <t xml:space="preserve">Reproductive health meets healthy longevity</t>
  </si>
  <si>
    <t xml:space="preserve">Affordable longevity for everyone</t>
  </si>
  <si>
    <t xml:space="preserve">AI-powered solutions for aging and health</t>
  </si>
  <si>
    <t xml:space="preserve">Promote people's physical health</t>
  </si>
  <si>
    <t xml:space="preserve">Plan for extending life expectancy</t>
  </si>
  <si>
    <t xml:space="preserve">The assistance that artificial intelligence can offer in the context of the aging population issue</t>
  </si>
  <si>
    <t xml:space="preserve">Keep exercise</t>
  </si>
  <si>
    <t xml:space="preserve">Keep exercise every day</t>
  </si>
  <si>
    <t xml:space="preserve">Illinois </t>
  </si>
  <si>
    <t xml:space="preserve">Better reproductive health and longer life</t>
  </si>
  <si>
    <t xml:space="preserve">Easily to get ways to extend lifespan</t>
  </si>
  <si>
    <t xml:space="preserve">Use AI and ML for aging and health issues</t>
  </si>
  <si>
    <t xml:space="preserve">Not very productive, but maybe useful </t>
  </si>
  <si>
    <t xml:space="preserve">Reasonable </t>
  </si>
  <si>
    <t xml:space="preserve">Reasonable and fair </t>
  </si>
  <si>
    <t xml:space="preserve">Potential to help the largest number of people, Personal relevance to me, Potential to reduce healthcare inequality</t>
  </si>
  <si>
    <t xml:space="preserve">Ensure the life quality </t>
  </si>
  <si>
    <t xml:space="preserve">Make life longer</t>
  </si>
  <si>
    <t xml:space="preserve">Using AI tools for assistance with aging problems </t>
  </si>
  <si>
    <t xml:space="preserve">Able to reproduce in a longer period </t>
  </si>
  <si>
    <t xml:space="preserve">Can be used by normal people </t>
  </si>
  <si>
    <t xml:space="preserve">use ai to find solutions </t>
  </si>
  <si>
    <t xml:space="preserve">Solutions that requires less than 5 minutes to access</t>
  </si>
  <si>
    <t xml:space="preserve">Improving efficiency and accessibility for existing solutions in clinics</t>
  </si>
  <si>
    <t xml:space="preserve">Personal relevance to me, Potential to prevent disease, Scientific/technological potential</t>
  </si>
  <si>
    <t xml:space="preserve">Improve fertility and extend healthy human lifespan</t>
  </si>
  <si>
    <t xml:space="preserve">Affordable, widely‑available anti‑aging and longevity interventions.</t>
  </si>
  <si>
    <t xml:space="preserve">Applying AI and machine learning to solve ageing‑related health problems.</t>
  </si>
  <si>
    <t xml:space="preserve">Nutrition and exercise </t>
  </si>
  <si>
    <t xml:space="preserve">Regular physical exam </t>
  </si>
  <si>
    <t xml:space="preserve">Daily assistance and diagnosis </t>
  </si>
  <si>
    <t xml:space="preserve">Improving fertility</t>
  </si>
  <si>
    <t xml:space="preserve">Helping people stay longer</t>
  </si>
  <si>
    <t xml:space="preserve">Helping people stay healthy longer</t>
  </si>
  <si>
    <t xml:space="preserve">Potential to improve quality of life, Potential to help the largest number of people, Potential to prevent disease</t>
  </si>
  <si>
    <t xml:space="preserve">Not sure </t>
  </si>
  <si>
    <t xml:space="preserve">Better supporting system for older people</t>
  </si>
  <si>
    <t xml:space="preserve">AI assisting in designing tools or solutions to inconvenience brought by aging  </t>
  </si>
  <si>
    <t xml:space="preserve">Extend the age where people normally can or should have baby</t>
  </si>
  <si>
    <t xml:space="preserve">Low cost, affordable, feasible, practicable way to improve QoL and extend life expectancy </t>
  </si>
  <si>
    <t xml:space="preserve">Use AI to detect diseases, come up with personal solution, etc that could effect life to expectancy </t>
  </si>
  <si>
    <t xml:space="preserve">To help people get a more healthier life span</t>
  </si>
  <si>
    <t xml:space="preserve">Give solutions that are accessible for most people</t>
  </si>
  <si>
    <t xml:space="preserve">Use ml&amp;ai to address problems of aging</t>
  </si>
  <si>
    <t xml:space="preserve">help cognitive function though Machine learning </t>
  </si>
  <si>
    <t xml:space="preserve">Potential to help the largest number of people, Potential to reduce healthcare inequality, Scientific/technological potential</t>
  </si>
  <si>
    <t xml:space="preserve">Making sure people always have the choice to have families in healthy ways.</t>
  </si>
  <si>
    <t xml:space="preserve">Making sure healthcare solutions are long term.</t>
  </si>
  <si>
    <t xml:space="preserve">Utilizing the already prevalent computational tools to make advancements in finding solutions in healthcare.</t>
  </si>
  <si>
    <t xml:space="preserve">United States </t>
  </si>
  <si>
    <t xml:space="preserve">Enhance the ability to give birth at older age and increase expectancy</t>
  </si>
  <si>
    <t xml:space="preserve">Providing Public healthcare for aging population</t>
  </si>
  <si>
    <t xml:space="preserve">Go ask a cmu graduate</t>
  </si>
  <si>
    <t xml:space="preserve">It's may not a good thing; this involves social issues.</t>
  </si>
  <si>
    <t xml:space="preserve">The increasing overall human lifespan may require population control.</t>
  </si>
  <si>
    <t xml:space="preserve">Advancing technology through more efficient research methods. Data acquisition requires sufficient time accumulation and more advanced machine perception technologies.</t>
  </si>
  <si>
    <t xml:space="preserve">Improving fertility and reproductive health across the lifespan.</t>
  </si>
  <si>
    <t xml:space="preserve">Making the aging solutions more affordable and available.</t>
  </si>
  <si>
    <t xml:space="preserve">AI tools can help to provide more personalized and science based solutions </t>
  </si>
  <si>
    <t xml:space="preserve">Important research projects</t>
  </si>
  <si>
    <t xml:space="preserve">Future trends</t>
  </si>
  <si>
    <t xml:space="preserve">Potential to improve quality of life, Potential to help the largest number of people, Personal relevance to me, Potential to prevent disease, Potential to reduce healthcare inequality, Scientific/technological potential</t>
  </si>
  <si>
    <t xml:space="preserve">The topic seems useful but don’t know the prospect </t>
  </si>
  <si>
    <t xml:space="preserve">More reasonable to me</t>
  </si>
  <si>
    <t xml:space="preserve">More like the trend of this generation </t>
  </si>
  <si>
    <t xml:space="preserve">Make people more likely to recover from some disease or hurt</t>
  </si>
  <si>
    <t xml:space="preserve">Things we can do to make life longer</t>
  </si>
  <si>
    <t xml:space="preserve">How machine learning and AI can help us solve some problems in health</t>
  </si>
  <si>
    <t xml:space="preserve">Reproductive health and longevity, Accessible longevity solutions</t>
  </si>
  <si>
    <t xml:space="preserve">improve reproductive health to gain longer healthy lifespan</t>
  </si>
  <si>
    <t xml:space="preserve">Make longevity solutions affordable to most people</t>
  </si>
  <si>
    <t xml:space="preserve">analyse huge amount of aging data to produce a general longevity solution (adaptable for more people but less effective </t>
  </si>
  <si>
    <t xml:space="preserve">Reproductivity in aging problem</t>
  </si>
  <si>
    <t xml:space="preserve">Accessibility in aging problem</t>
  </si>
  <si>
    <t xml:space="preserve">How to incorporate AI into aging problem</t>
  </si>
  <si>
    <t xml:space="preserve">improve health to live longer.</t>
  </si>
  <si>
    <t xml:space="preserve">Some reasonable methods to live longer.</t>
  </si>
  <si>
    <t xml:space="preserve">Use AI to solve aging related problems.</t>
  </si>
  <si>
    <t xml:space="preserve">Chicago</t>
  </si>
  <si>
    <t xml:space="preserve">Scientific/technological potential, </t>
  </si>
  <si>
    <t xml:space="preserve">Increase reproduction</t>
  </si>
  <si>
    <t xml:space="preserve">prevent aging</t>
  </si>
  <si>
    <t xml:space="preserve">finding solutions for aging with ai </t>
  </si>
  <si>
    <t xml:space="preserve">Help reproductive functions last longer.</t>
  </si>
  <si>
    <t xml:space="preserve">Help people live longer and healthier.</t>
  </si>
  <si>
    <t xml:space="preserve">Apply AI to solve some aging problems.</t>
  </si>
  <si>
    <t xml:space="preserve">    Improving fertility, reproductive function, and healthspan as people age, including delaying age-related reproductive decline.</t>
  </si>
  <si>
    <t xml:space="preserve">    Making longevity technologies and treatments practical, affordable, and widely available rather than limited to a small group of people.</t>
  </si>
  <si>
    <t xml:space="preserve">    Using AI and machine learning to analyze aging-related data, predict health risks, personalize interventions, and support the development of new longevity solutions.</t>
  </si>
  <si>
    <t xml:space="preserve">Probably exercise more frequently to improve reproductive health and lifespan</t>
  </si>
  <si>
    <t xml:space="preserve">Approachable ways for long-living</t>
  </si>
  <si>
    <t xml:space="preserve">Use technologies to find solutions of health problems</t>
  </si>
  <si>
    <t xml:space="preserve">china</t>
  </si>
  <si>
    <t xml:space="preserve">Ensure good health</t>
  </si>
  <si>
    <t xml:space="preserve">Long-term medical care</t>
  </si>
  <si>
    <t xml:space="preserve">More accessible solution for most people</t>
  </si>
  <si>
    <t xml:space="preserve">    Improving reproductive health and extending healthy reproductive lifespan.</t>
  </si>
  <si>
    <t xml:space="preserve">    Making longevity treatments affordable and accessible to everyone.</t>
  </si>
  <si>
    <t xml:space="preserve">    Using AI and machine learning to improve aging research and healthcare.</t>
  </si>
  <si>
    <t xml:space="preserve">New technology to support longevity </t>
  </si>
  <si>
    <t xml:space="preserve">Affordable and feasible solution</t>
  </si>
  <si>
    <t xml:space="preserve">Leverage AI to find new solution</t>
  </si>
  <si>
    <t xml:space="preserve">Scotland </t>
  </si>
  <si>
    <t xml:space="preserve">i don’t quite understand </t>
  </si>
  <si>
    <t xml:space="preserve">solutions that help all people to maintain health conditions like young people</t>
  </si>
  <si>
    <t xml:space="preserve">using modern tech to stop aging related symptoms </t>
  </si>
  <si>
    <t xml:space="preserve">Increasing the function of reproductive health and reduce the decline of organ function due to aging</t>
  </si>
  <si>
    <t xml:space="preserve">Make longevity solutions affordable and reachable to wider audiences </t>
  </si>
  <si>
    <t xml:space="preserve">Using computer based programming and prediction to find solutions addressing aging</t>
  </si>
  <si>
    <t xml:space="preserve">Potential to prevent disease, Potential to reduce healthcare inequality</t>
  </si>
  <si>
    <t xml:space="preserve">keep physical training</t>
  </si>
  <si>
    <t xml:space="preserve">maintain active social life</t>
  </si>
  <si>
    <t xml:space="preserve">keep interest in new things</t>
  </si>
  <si>
    <t xml:space="preserve">Being more able to have children and live longer </t>
  </si>
  <si>
    <t xml:space="preserve">Able to access care when getting older </t>
  </si>
  <si>
    <t xml:space="preserve">Using AI to help solve aging problems </t>
  </si>
  <si>
    <t xml:space="preserve">Supporting reproductive health and a longer, healthier life.</t>
  </si>
  <si>
    <t xml:space="preserve">Making healthy aging solutions affordable and accessible to everyone.</t>
  </si>
  <si>
    <t xml:space="preserve">Using AI to improve aging research and healthcare.</t>
  </si>
  <si>
    <t xml:space="preserve">Improving reproductive health and extending healthy lifespan.</t>
  </si>
  <si>
    <t xml:space="preserve">Making healthy-aging technologies affordable and available to more people.</t>
  </si>
  <si>
    <t xml:space="preserve">Using AI and machine learning to improve aging research, health monitoring, and personalized care.</t>
  </si>
  <si>
    <t xml:space="preserve">1. How old are you?</t>
  </si>
  <si>
    <t xml:space="preserve">2. What is your gender?</t>
  </si>
  <si>
    <t xml:space="preserve">6. If you had to guess, what fraction of the population in the United States is above 65 years old
(percent)?</t>
  </si>
  <si>
    <t xml:space="preserve">8. What do you think is the greatest challenge facing our aging population that should be solved in the
short term, and why should it be prioritized?</t>
  </si>
  <si>
    <t xml:space="preserve">10. What are the three things that you would like to maintain/retain throughout your life (from young to
older)?</t>
  </si>
  <si>
    <t xml:space="preserve"> 11. Are there things that you can do to help ensure that you do maintain them?</t>
  </si>
  <si>
    <t xml:space="preserve">(a) How would you describe what they mean in 1 sentence?</t>
  </si>
  <si>
    <t xml:space="preserve">(b)  Rank them in order of importance to you as an individual?</t>
  </si>
  <si>
    <t xml:space="preserve">(c) Rank them in order of importance to society?
2,1,3</t>
  </si>
  <si>
    <t xml:space="preserve">(d) Why did you rank them this way?</t>
  </si>
  <si>
    <t xml:space="preserve">(e) What excites you most about the topic (pick one)?</t>
  </si>
  <si>
    <t xml:space="preserve">(f) What is your greatest concern about the topic (pick one)?</t>
  </si>
  <si>
    <t xml:space="preserve">(g) Are there ethical considerations that should be in place when developing solutions for these
topics?</t>
  </si>
  <si>
    <t xml:space="preserve">(h) Are you excited about the future of aging research?</t>
  </si>
  <si>
    <t xml:space="preserve">(i) Do you think Bioengineers can play a role in developing solutions?</t>
  </si>
  <si>
    <t xml:space="preserve">Loss of homeostasis </t>
  </si>
  <si>
    <t xml:space="preserve">Medicine is more for management instead of solution </t>
  </si>
  <si>
    <t xml:space="preserve">Loss of independence, sensuous stuck in nursing homes decline in mental health </t>
  </si>
  <si>
    <t xml:space="preserve">Mobility, awareness, health </t>
  </si>
  <si>
    <t xml:space="preserve">Methods to elongate life </t>
  </si>
  <si>
    <t xml:space="preserve">1,2,3</t>
  </si>
  <si>
    <t xml:space="preserve">1,3,2</t>
  </si>
  <si>
    <t xml:space="preserve">Capitalism </t>
  </si>
  <si>
    <t xml:space="preserve">Increasing quality of health and life </t>
  </si>
  <si>
    <t xml:space="preserve">Who gets access to it </t>
  </si>
  <si>
    <t xml:space="preserve">A gradual process of having more challenges with one’s physical and mental capabilities. </t>
  </si>
  <si>
    <t xml:space="preserve">Lack of community support. </t>
  </si>
  <si>
    <t xml:space="preserve">We should work to improve access to health care and support services for those who need it. The elderly have very little leeway when it comes to recovering from illnesses or dealing with financial setbacks. </t>
  </si>
  <si>
    <t xml:space="preserve">Very little. The medical system in particular seems to always be reducing the time being devoted to patients’ care. </t>
  </si>
  <si>
    <t xml:space="preserve">Mental abilities, mobility, and social interactions </t>
  </si>
  <si>
    <t xml:space="preserve">Staying physically active, maintaining networks of friends, being more careful and less hurried when performing physical tasks. </t>
  </si>
  <si>
    <t xml:space="preserve">Make aging have fewer negative consequences. </t>
  </si>
  <si>
    <t xml:space="preserve">number 2 offers the most potential in terms of helping the population overall. research in number 1 might lead to some kind of breakthrough. i have doubts about number 3. </t>
  </si>
  <si>
    <t xml:space="preserve">It is hard to use these ideas to improve health and longevity when even basics like food and water are tainted and unreliable. </t>
  </si>
  <si>
    <t xml:space="preserve">As long as people are clearly informed about research trials and other available options, it should be ethical to do a research trial. </t>
  </si>
  <si>
    <t xml:space="preserve">Hoping for good innovations, but there is a lot out there that is just market-driven instead of outcome-driven. </t>
  </si>
  <si>
    <t xml:space="preserve">Definitely </t>
  </si>
  <si>
    <t xml:space="preserve">United states</t>
  </si>
  <si>
    <t xml:space="preserve">A new gov </t>
  </si>
  <si>
    <t xml:space="preserve">My sense of joy, my health, and my wealth </t>
  </si>
  <si>
    <t xml:space="preserve">I believe society is more focused on improving tech and Ai rather than making things affordable </t>
  </si>
  <si>
    <t xml:space="preserve">I like making things affordable </t>
  </si>
  <si>
    <t xml:space="preserve">I think ai can cause our world to end so the ai option concerns me </t>
  </si>
  <si>
    <t xml:space="preserve">Yeah making the ai one not destroy the world </t>
  </si>
  <si>
    <t xml:space="preserve">Getting old and starting to feel pain everywhere. </t>
  </si>
  <si>
    <t xml:space="preserve">Not having a support system and being financially unstable to access the medical system. </t>
  </si>
  <si>
    <t xml:space="preserve">Resources include seeing a doctor when needed. Prevention health care </t>
  </si>
  <si>
    <t xml:space="preserve">Health insurance for low-income families but still not accessible to all who needs it </t>
  </si>
  <si>
    <t xml:space="preserve">Health, ability to sustain myself financially, and my freedom to choose </t>
  </si>
  <si>
    <t xml:space="preserve">Obtaining a job that provides health insurance but as I get older, it's harder to maintain since some systems don't support aging in the workforce. </t>
  </si>
  <si>
    <t xml:space="preserve">Preventing measures to take into account as I get older </t>
  </si>
  <si>
    <t xml:space="preserve">2, 3,1</t>
  </si>
  <si>
    <t xml:space="preserve">3, 2,1</t>
  </si>
  <si>
    <t xml:space="preserve">I use my life experiences to calibrate </t>
  </si>
  <si>
    <t xml:space="preserve">2. Accessible and affordable to all. </t>
  </si>
  <si>
    <t xml:space="preserve">The work generalization in the statement. </t>
  </si>
  <si>
    <t xml:space="preserve">Yes. To consider the power of money needs to factor it into solution </t>
  </si>
  <si>
    <t xml:space="preserve">That there is one. </t>
  </si>
  <si>
    <t xml:space="preserve">Of course. We live in a technology era and we need to embrace what we know about our humanity and combine it with innovation in the engineering field </t>
  </si>
  <si>
    <t xml:space="preserve">El salvador</t>
  </si>
  <si>
    <t xml:space="preserve">United states </t>
  </si>
  <si>
    <t xml:space="preserve">Growing old </t>
  </si>
  <si>
    <t xml:space="preserve">Mobility </t>
  </si>
  <si>
    <t xml:space="preserve">There shoud be a way older people exercise at home </t>
  </si>
  <si>
    <t xml:space="preserve">Continue a busy life and exercising </t>
  </si>
  <si>
    <t xml:space="preserve">A person is able to conceive a child in an older age </t>
  </si>
  <si>
    <t xml:space="preserve">Everyone gets the same health support</t>
  </si>
  <si>
    <t xml:space="preserve">Sentence two, sentence, three, sentence one</t>
  </si>
  <si>
    <t xml:space="preserve">California, US</t>
  </si>
  <si>
    <t xml:space="preserve">CA</t>
  </si>
  <si>
    <t xml:space="preserve">3, 1, 2</t>
  </si>
  <si>
    <t xml:space="preserve">Is the process of getting older physically and mentally </t>
  </si>
  <si>
    <t xml:space="preserve">Health issues and economic instability
</t>
  </si>
  <si>
    <t xml:space="preserve">They are topics to help the elder community to expand their lifespan. </t>
  </si>
  <si>
    <t xml:space="preserve">(iii), (i), (ii)</t>
  </si>
  <si>
    <t xml:space="preserve">Unfortunately, the care for elderly are only for the male wealthy people so option 1 and 2 are not of importance to society. </t>
  </si>
  <si>
    <t xml:space="preserve">The fact that their is being more research towards our elder communities than few years ago. </t>
  </si>
  <si>
    <t xml:space="preserve">That no action will be taken and that our elder community will continue with no proper care. </t>
  </si>
  <si>
    <t xml:space="preserve">Yes. It will benefit all of us at the end. </t>
  </si>
  <si>
    <t xml:space="preserve">Yes. They are the key for directing the different research in aging and longevity.  </t>
  </si>
  <si>
    <t xml:space="preserve">community both familial and with friends, health, and pets </t>
  </si>
  <si>
    <t xml:space="preserve">not disallowing equal healthcare to all and disclosing private patient information </t>
  </si>
  <si>
    <t xml:space="preserve">Healthy </t>
  </si>
  <si>
    <t xml:space="preserve">20 percent</t>
  </si>
  <si>
    <t xml:space="preserve">Increase of falling because of mobility, strength, home modification and lighting. </t>
  </si>
  <si>
    <t xml:space="preserve">ergonomic support, safer homes, smart technology </t>
  </si>
  <si>
    <t xml:space="preserve">Safer home and technology </t>
  </si>
  <si>
    <t xml:space="preserve">Help from government </t>
  </si>
  <si>
    <t xml:space="preserve">To be active, quality of life and independence </t>
  </si>
  <si>
    <t xml:space="preserve">To keep me active </t>
  </si>
  <si>
    <t xml:space="preserve">Not enough information on how to keep you active </t>
  </si>
  <si>
    <t xml:space="preserve">Fair, safety and respectful </t>
  </si>
  <si>
    <t xml:space="preserve">Yes for sure!!!</t>
  </si>
  <si>
    <t xml:space="preserve">30 percent </t>
  </si>
  <si>
    <t xml:space="preserve">Social security money, retirement, Ai </t>
  </si>
  <si>
    <t xml:space="preserve">It’ should be affordable </t>
  </si>
  <si>
    <t xml:space="preserve">My beauty, my health and my memories </t>
  </si>
  <si>
    <t xml:space="preserve">I’m not sure </t>
  </si>
  <si>
    <t xml:space="preserve">How is science helping health and longevity using Ai? </t>
  </si>
  <si>
    <t xml:space="preserve">3, 1, 2 </t>
  </si>
  <si>
    <t xml:space="preserve">1, 3, 2</t>
  </si>
  <si>
    <t xml:space="preserve">Because society at the moment is running this wave of AI and prioritizing that at the moment </t>
  </si>
  <si>
    <t xml:space="preserve">None </t>
  </si>
  <si>
    <t xml:space="preserve">Don’t test on animals, also take a better look into women’s health, advancing AI on this sector </t>
  </si>
  <si>
    <t xml:space="preserve">I don’t know enough for this </t>
  </si>
  <si>
    <t xml:space="preserve">California/USA</t>
  </si>
  <si>
    <t xml:space="preserve">Money for old people and help with mobility </t>
  </si>
  <si>
    <t xml:space="preserve">More help for the elderly </t>
  </si>
  <si>
    <t xml:space="preserve">My looks, my agility, and my mental health </t>
  </si>
  <si>
    <t xml:space="preserve">Exercise, not relying on AI to do basic tasks and micro needling </t>
  </si>
  <si>
    <t xml:space="preserve">Using AI to find scientifically proven solutions to help with aging, reproduction, and accessibility for the older generation. </t>
  </si>
  <si>
    <t xml:space="preserve">Democratizing longevity, boosting reproductive health, AI </t>
  </si>
  <si>
    <t xml:space="preserve">AI, democratizing longevity, boosting reproductive health </t>
  </si>
  <si>
    <t xml:space="preserve">I rank them like this because AI is ruling the world and people care about old people having a good comfortable life but not many care about having children in today’s day and age </t>
  </si>
  <si>
    <t xml:space="preserve">How AI makes our brains slower instead of benefits them but also how it can be used to make them better </t>
  </si>
  <si>
    <t xml:space="preserve">Concent from participants </t>
  </si>
  <si>
    <t xml:space="preserve">Not with our current political and economic structure. </t>
  </si>
  <si>
    <t xml:space="preserve">Live a healthy and active life. </t>
  </si>
  <si>
    <t xml:space="preserve">Extending life expectancy </t>
  </si>
  <si>
    <t xml:space="preserve">The process of your body and mind deteriorating </t>
  </si>
  <si>
    <t xml:space="preserve">The economy, cost of living, access to healthcare </t>
  </si>
  <si>
    <t xml:space="preserve">Cost of living because that affects everything </t>
  </si>
  <si>
    <t xml:space="preserve">None whatsoever </t>
  </si>
  <si>
    <t xml:space="preserve">Work hard and save for retirement </t>
  </si>
  <si>
    <t xml:space="preserve">The formula to a long high quality life
</t>
  </si>
  <si>
    <t xml:space="preserve">The Ai one removes the human aspect and considerations, being at the mercy of a machine. </t>
  </si>
  <si>
    <t xml:space="preserve">I would say about 25%</t>
  </si>
  <si>
    <t xml:space="preserve">I think all elderly people should have access to the same medical support. </t>
  </si>
  <si>
    <t xml:space="preserve">Continue establishing a relationship with those who are close to me. </t>
  </si>
  <si>
    <t xml:space="preserve">1. Democratizing longevity science/solutions
2. AI
3. Boosting reproduction.</t>
  </si>
  <si>
    <t xml:space="preserve">Not sure If I would say this is an exciting topic ring some one who is aging. </t>
  </si>
  <si>
    <t xml:space="preserve">Yes, they should always be regulation. </t>
  </si>
  <si>
    <t xml:space="preserve">M</t>
  </si>
  <si>
    <t xml:space="preserve">Ca</t>
  </si>
  <si>
    <t xml:space="preserve">Getting older over time </t>
  </si>
  <si>
    <t xml:space="preserve">The decrease in physical activity </t>
  </si>
  <si>
    <t xml:space="preserve">Lack of physical fitness </t>
  </si>
  <si>
    <t xml:space="preserve">Strength, mental function and energy </t>
  </si>
  <si>
    <t xml:space="preserve">I stay active and workout </t>
  </si>
  <si>
    <t xml:space="preserve">Trying to increase quality of life </t>
  </si>
  <si>
    <t xml:space="preserve">That is how I would rank them </t>
  </si>
  <si>
    <t xml:space="preserve">Trying to come up with a solution </t>
  </si>
  <si>
    <t xml:space="preserve">Of course </t>
  </si>
  <si>
    <t xml:space="preserve">On some level </t>
  </si>
  <si>
    <t xml:space="preserve">It definitely can </t>
  </si>
  <si>
    <t xml:space="preserve">Human Aging is a Biological process whereby a human’s physical and mental  being undergoes irreversible environmental and time related effects resulting in decay and ultimate demise of overall constitution of the human</t>
  </si>
  <si>
    <t xml:space="preserve">Body weight since it directly greatly accelerates both physical and mental aging </t>
  </si>
  <si>
    <t xml:space="preserve">Yes : exercise and diet to reduce body weight. </t>
  </si>
  <si>
    <t xml:space="preserve">(Iii) most important 
(II)
(I) least important </t>
  </si>
  <si>
    <t xml:space="preserve">Same as prior rank</t>
  </si>
  <si>
    <t xml:space="preserve">Plenty. One such example would be if government mandated these good choices indirectly or directly, say, by making health care costs related to one’s health (body weight based) then this would both force and favor those who made the influenced choice to do so. Though fraught with ethical pitfalls, this approach does have potentially good possibilities. </t>
  </si>
  <si>
    <t xml:space="preserve">I think it has progressed well but never seems to go fast enough to give us enough  information. Seems like we always want everything and everything now. </t>
  </si>
  <si>
    <t xml:space="preserve">They already do to an ever increasing extent. For example, bioengineering is already responsible at least indirectly to many of the new drug treatments we have now that increase longevity directly </t>
  </si>
  <si>
    <t xml:space="preserve">male</t>
  </si>
  <si>
    <t xml:space="preserve">CA, USA</t>
  </si>
  <si>
    <t xml:space="preserve">Health care, and affordability. </t>
  </si>
  <si>
    <t xml:space="preserve">Not at this time. </t>
  </si>
  <si>
    <t xml:space="preserve">Mental clarity and physical capabilities. </t>
  </si>
  <si>
    <t xml:space="preserve">I believe safety, privacy, and the respect of choices. </t>
  </si>
  <si>
    <t xml:space="preserve">Yes,  because it could help people live longer and healthier lives.</t>
  </si>
  <si>
    <t xml:space="preserve">ND USA</t>
  </si>
  <si>
    <t xml:space="preserve">Access to healthcare, declining socialization and lack of support. </t>
  </si>
  <si>
    <t xml:space="preserve">Loss of the social safety net. Maintain social security and Medicare. Advance community based programs that support socialization. </t>
  </si>
  <si>
    <t xml:space="preserve">Health, wellbeing of family, financial stability </t>
  </si>
  <si>
    <t xml:space="preserve">Yes I make efforts every day </t>
  </si>
  <si>
    <t xml:space="preserve">Next generation efforts to support positive aging outcomes. </t>
  </si>
  <si>
    <t xml:space="preserve">#1 (ii) #2 (iii) #3 (i)</t>
  </si>
  <si>
    <t xml:space="preserve">Same</t>
  </si>
  <si>
    <t xml:space="preserve">Access for all and promotion of scientific advancement </t>
  </si>
  <si>
    <t xml:space="preserve">F</t>
  </si>
  <si>
    <t xml:space="preserve"> Getting older and wiser on the things that matter</t>
  </si>
  <si>
    <t xml:space="preserve">People unable to make ends meet from being on a fixed income effecting housing, medical, transportation and food source.  </t>
  </si>
  <si>
    <t xml:space="preserve">Their economic status to help their accessibility to Healthcare, housing, food etc.  </t>
  </si>
  <si>
    <t xml:space="preserve">There is HUD programs out aging housing which usually have long waiting list.  </t>
  </si>
  <si>
    <t xml:space="preserve">Independence in all things including housing,  Healthcare,  income.  </t>
  </si>
  <si>
    <t xml:space="preserve">Plan ahead </t>
  </si>
  <si>
    <t xml:space="preserve">Making healthcare fair and utilizing AI for everyone. </t>
  </si>
  <si>
    <t xml:space="preserve">(ii),(i),(iii)</t>
  </si>
  <si>
    <t xml:space="preserve">My hope is the exact order as above. </t>
  </si>
  <si>
    <t xml:space="preserve">Human biology is more important then technology.  </t>
  </si>
  <si>
    <t xml:space="preserve">(ii) Democratizing longevity science/solutions (having longevity and health solutions that are accessible, affordable, and generalizable) because it serves the most people.  </t>
  </si>
  <si>
    <t xml:space="preserve">Yes of course ethical considerations are a must and serve as guardrails to prevent division and protect rights and medical privacy.  </t>
  </si>
  <si>
    <t xml:space="preserve">Yes of course </t>
  </si>
  <si>
    <t xml:space="preserve">At age 67 I am most interested in health solutions now, as it is too late for disease predictions &amp; longevity.  I think it's already determined at this age.</t>
  </si>
  <si>
    <t xml:space="preserve">a process of losing ability and towards death and ending </t>
  </si>
  <si>
    <t xml:space="preserve">3,2,1</t>
  </si>
  <si>
    <t xml:space="preserve">as an individual, I am not afraid of aging or longevity itself, I care more about whether I could  live with dignity and without pain in my last period of life; but for society, the society need more babies, more younger people, and more adults work for a longer time to keep the society running.</t>
  </si>
  <si>
    <t xml:space="preserve">BC</t>
  </si>
  <si>
    <t xml:space="preserve">Reading(if If my eyesight remains decent as I age)
Exploring interests 
Doing research/teaching next generation </t>
  </si>
  <si>
    <t xml:space="preserve">Natural process of circle of life </t>
  </si>
  <si>
    <t xml:space="preserve">Yes. Regular physical exercise preserves mobility. Lifelong learning and reading protect cognitive function. Keeping in touch with friends and joining community activities helps sustain social bonds.
</t>
  </si>
  <si>
    <t xml:space="preserve">These three topics explore improving reproductive health and lifespan, making longevity healthcare widely affordable and available to all people, and using AI and machine learning to build personalized, predictive tools for aging and disease prevention.
</t>
  </si>
  <si>
    <t xml:space="preserve">My biggest concern for Topic3 is data privacy. Collecting sensitive health data for AI models may lead to personal information leakage and unfair algorithm bias for marginalized groups.
</t>
  </si>
  <si>
    <t xml:space="preserve">Yes. We must protect health data privacy, avoid algorithmic discrimination, ensure equal access regardless of income, and prevent overpromising anti-aging results.
</t>
  </si>
  <si>
    <t xml:space="preserve">Mayland, USA</t>
  </si>
  <si>
    <r>
      <rPr>
        <sz val="12"/>
        <color theme="1"/>
        <rFont val="Arial"/>
        <family val="2"/>
        <charset val="1"/>
      </rPr>
      <t xml:space="preserve">For society, I prioritize solutions that can improve health at the population level</t>
    </r>
    <r>
      <rPr>
        <sz val="12"/>
        <color theme="1"/>
        <rFont val="Noto Sans CJK SC"/>
        <family val="2"/>
      </rPr>
      <t xml:space="preserve">；</t>
    </r>
    <r>
      <rPr>
        <sz val="12"/>
        <color theme="1"/>
        <rFont val="Arial"/>
        <family val="2"/>
        <charset val="1"/>
      </rPr>
      <t xml:space="preserve">For me as an individual, I prioritize personalized solutions, so AI and machine learning are most important.</t>
    </r>
  </si>
  <si>
    <r>
      <rPr>
        <sz val="12"/>
        <color theme="1"/>
        <rFont val="Arial"/>
        <family val="2"/>
        <charset val="1"/>
      </rPr>
      <t xml:space="preserve">for ppl</t>
    </r>
    <r>
      <rPr>
        <sz val="12"/>
        <color theme="1"/>
        <rFont val="Noto Sans CJK SC"/>
        <family val="2"/>
      </rPr>
      <t xml:space="preserve">， </t>
    </r>
    <r>
      <rPr>
        <sz val="12"/>
        <color theme="1"/>
        <rFont val="Arial"/>
        <family val="2"/>
        <charset val="1"/>
      </rPr>
      <t xml:space="preserve">treatment is more important while for society solution always tge priory</t>
    </r>
  </si>
  <si>
    <t xml:space="preserve">About 20%</t>
  </si>
  <si>
    <t xml:space="preserve">I want to keep good physical health, close social relationships with family and friends, and a  positive mindset.</t>
  </si>
  <si>
    <t xml:space="preserve">around 20%</t>
  </si>
  <si>
    <t xml:space="preserve">1,1,1</t>
  </si>
  <si>
    <t xml:space="preserve">3,3,2</t>
  </si>
  <si>
    <t xml:space="preserve">2,1,2</t>
  </si>
  <si>
    <t xml:space="preserve">Health	Memory	Social connection with friends
</t>
  </si>
  <si>
    <t xml:space="preserve">Enable people to have children at older ages.	New technological solutions should not be limited to high-income groups.	Use AI to provide more personalized solutions for elder care and aging.
</t>
  </si>
  <si>
    <t xml:space="preserve">Accessibility does not seem as important from an individual perspective.	AI could help more people catch health problems early and get carethat fits their needs. We need solutions that actually work before we can make them available to everyone.
</t>
  </si>
  <si>
    <t xml:space="preserve">Michigan, USA</t>
  </si>
  <si>
    <t xml:space="preserve">Money	Health	Curiosity
</t>
  </si>
  <si>
    <t xml:space="preserve">Does not know.	Without money, there is little point in discussing these solutions.	Help more people monitor their health and receive advice.
</t>
  </si>
  <si>
    <t xml:space="preserve">Not concerned about benefits for other people in society.        /</t>
  </si>
  <si>
    <t xml:space="preserve">Cambridgeshire, UK</t>
  </si>
  <si>
    <t xml:space="preserve">Curiosity	A healthy body	An open mindset
</t>
  </si>
  <si>
    <t xml:space="preserve">Help people stay healthy for longer, including maintaining reproductive health as they age.        Make health and longevity solutions affordable and accessible to ordinary people.        Use AI and health data to predict health risks and improve disease prevention and treatment.</t>
  </si>
  <si>
    <t xml:space="preserve">Effective solutions and access for ordinary people matter more than the specific technology used.        Effective solutions and access for ordinary people matter more than the specific technology used.</t>
  </si>
  <si>
    <t xml:space="preserve">Being able to take care of myself.	Good memory.	Close relationships with family and friends.
</t>
  </si>
  <si>
    <t xml:space="preserve">Helping people stay healthy and live longer.        Ordinary families should be able to afford and benefit from these treatments.        Computers could help doctors find health problems and decide how to treat them.</t>
  </si>
  <si>
    <t xml:space="preserve">What matters most is being able to get care I can afford. Staying healthy comes next. Don't know much about AI.	Good care should reach ordinary families first. Technology could help more people, while reproductive health feels less urgent for older adults.
</t>
  </si>
  <si>
    <t xml:space="preserve">Being able to take care of myself.	Memories of my family and my years as a soldier.	Time with my family.
</t>
  </si>
  <si>
    <t xml:space="preserve">Helping people stay healthy as they get older.	Making sure ordinary people can afford good care.	Don't know
</t>
  </si>
  <si>
    <t xml:space="preserve">Want care that is easy to get and helps me manage daily life. Put AI last because not familiar	Everyone should be able to get care.
</t>
  </si>
  <si>
    <t xml:space="preserve">The freedom to make my own decisions.	A sense of humor.	Being useful to other people.
</t>
  </si>
  <si>
    <t xml:space="preserve">Helping people maintain reproductive health and live longer, hopefully with a good quality of life.        Making sure useful health treatments are available to ordinary people, not just wealthy families.        Don't know</t>
  </si>
  <si>
    <t xml:space="preserve">A treatment is only useful if I can actually get it. AI comes next if it helps me stay independent. Living longer by itself is not my main goal.	AI could help people self identify problems earlier. Making those benefits widely available comes next. I would put extending life after improving everyday care
</t>
  </si>
  <si>
    <t xml:space="preserve">London, UK</t>
  </si>
  <si>
    <t xml:space="preserve">The ability to learn.	Creativity and the ability to innovate.	The ability to stay active
</t>
  </si>
  <si>
    <t xml:space="preserve">Having healthy children with good genes and living longer.	Help more people approach age-related illnesses and changes with a healthy mindset and scientific methods.	Use existing technologies to manage chronic diseases in older adults and improve their health
</t>
  </si>
  <si>
    <t xml:space="preserve">Solutions should benefit the general public and apply to a wider range of people.	Solutions should benefit the general public and apply to a wider range of people.
</t>
  </si>
  <si>
    <t xml:space="preserve">An attractive face.	A healthy body.	My loved ones.
</t>
  </si>
  <si>
    <t xml:space="preserve">Promoting healthy pregnancies and healthy children.	Reducing costs and improving efficiency.	Use AI to accelerate aging research and identify solutions that best meet ethical standards.
</t>
  </si>
  <si>
    <t xml:space="preserve">A solution cannot be considered as good solution if it only benefits rich people	Logically, the personal and societal rankings should be the same.
</t>
  </si>
  <si>
    <t xml:space="preserve">Baltimore, Maryland, USA</t>
  </si>
  <si>
    <t xml:space="preserve">Physical health.	A youthful mindset.	Financial security
</t>
  </si>
  <si>
    <t xml:space="preserve">Improve reproductive health and related medical technologies to extend the period of life spent in good health.	Make advances in aging research and healthy longevity available to ordinary people at a reasonable cost, rather than only to a privileged few.	Use AI and machine learning to analyze health and biological data, understand disease and aging patterns, predict risks, support diagnosis, and develop personalized health plans.
</t>
  </si>
  <si>
    <t xml:space="preserve">I care most about health itself and my future quality of life.	Solutions should benefit the majority of people before new technologies are used to improve efficiency.
</t>
  </si>
  <si>
    <t xml:space="preserve">Energy.	Health.	Quality of life.
</t>
  </si>
  <si>
    <t xml:space="preserve">Slow aging and improve quality of life.        Help people understand longevity science, put research findings into practice, and reduce barriers to access.        Use big data to provide personalized and diverse services.</t>
  </si>
  <si>
    <t xml:space="preserve">I care more about solutions available now and whether I can benefit from them.	Society needs scientific progress and technological innovation to improve health and longevity systems.
</t>
  </si>
  <si>
    <t xml:space="preserve">Ningbo, Zhejiang, China</t>
  </si>
  <si>
    <t xml:space="preserve">Being healthy.	Being curious about new things.	My family and friends.
</t>
  </si>
  <si>
    <t xml:space="preserve">Helping people have healthy babies and stay healthy as they get older.	Making sure everyone can get help to stay healthy, even if they don’t have much money.	Using smart computers to help doctors find out why someone is sick.
</t>
  </si>
  <si>
    <t xml:space="preserve">I want everyone in my family to get help when they are sick. I don’t know much about smart computers.        Everyone should get help, not just rich people. Computers might help doctors look after more people.</t>
  </si>
  <si>
    <t xml:space="preserve">Society consists of individuals. Population-level issues cannot be addressed without first addressing individual problems. </t>
  </si>
  <si>
    <t xml:space="preserve">Getting wiser and not caring about other peoples opinions </t>
  </si>
  <si>
    <t xml:space="preserve">40 percent </t>
  </si>
  <si>
    <t xml:space="preserve">Social Security. Many people can’t retire or live without it. </t>
  </si>
  <si>
    <t xml:space="preserve">Keep being curious, stay honest, do puzzles and hobbies </t>
  </si>
  <si>
    <t xml:space="preserve">Be your own advocate and open to new Technology </t>
  </si>
  <si>
    <t xml:space="preserve">AI,democracratizing longevity,boosting reproductive health </t>
  </si>
  <si>
    <t xml:space="preserve">Open</t>
  </si>
  <si>
    <t xml:space="preserve">The Ways I ranked them are what I feel will make  me live longer</t>
  </si>
  <si>
    <t xml:space="preserve">Takeover </t>
  </si>
  <si>
    <t xml:space="preserve">Yes  you should always have and keep integrity. </t>
  </si>
  <si>
    <t xml:space="preserve">Yes in Finding solutions for memory loss and living longer. </t>
  </si>
  <si>
    <t xml:space="preserve">California USA</t>
  </si>
  <si>
    <t xml:space="preserve">No - especially if one doesn’t qualify for caregiver assistance or to make it affordable </t>
  </si>
  <si>
    <t xml:space="preserve">ii / i / iii</t>
  </si>
  <si>
    <t xml:space="preserve">i / ii /iii</t>
  </si>
  <si>
    <t xml:space="preserve">ii - when we as a society can choose on how we want to live a longer, more enhanced, and comfortable life without any financial restrictions. </t>
  </si>
  <si>
    <t xml:space="preserve">iii - I am not keen on AI right now as I see how it can be deceiving and that it may fall into the wrong hands. </t>
  </si>
  <si>
    <t xml:space="preserve">Male </t>
  </si>
  <si>
    <t xml:space="preserve">California - USA</t>
  </si>
  <si>
    <t xml:space="preserve">Physical decline of the body but not necessarily the brain </t>
  </si>
  <si>
    <t xml:space="preserve">Rising costs of living especially in California </t>
  </si>
  <si>
    <t xml:space="preserve">The rising cost of living and maintaining financial security. Prioritizing the rising costs is critical for everyone not just the elderly. </t>
  </si>
  <si>
    <t xml:space="preserve">Unfortunately no </t>
  </si>
  <si>
    <t xml:space="preserve">Health, physical and mental activity </t>
  </si>
  <si>
    <t xml:space="preserve">Continue to remain active and positive </t>
  </si>
  <si>
    <t xml:space="preserve">AI will be used in ways to extend life. </t>
  </si>
  <si>
    <t xml:space="preserve">3, 2, 1. </t>
  </si>
  <si>
    <t xml:space="preserve">A possible cure for cancer using AI. </t>
  </si>
  <si>
    <t xml:space="preserve">AI </t>
  </si>
  <si>
    <t xml:space="preserve">There has to be and that has to be in place first before moving forward. </t>
  </si>
  <si>
    <t xml:space="preserve">I am as would be nice to slow that process down. </t>
  </si>
  <si>
    <t xml:space="preserve">I think they must play a role because I feel you need the human aspect with AI. </t>
  </si>
  <si>
    <t xml:space="preserve">A young 62</t>
  </si>
  <si>
    <t xml:space="preserve">Take one day at a time </t>
  </si>
  <si>
    <t xml:space="preserve">Health, joy, and freedom</t>
  </si>
  <si>
    <t xml:space="preserve">Freedom health and joy</t>
  </si>
  <si>
    <t xml:space="preserve">Because that’s what’s important to me </t>
  </si>
  <si>
    <t xml:space="preserve">(ii), (iii), (i)</t>
  </si>
  <si>
    <t xml:space="preserve">NY, USA</t>
  </si>
  <si>
    <t xml:space="preserve">Not really. I see ads with elderly. Like chatgpt has ads showing how the elderly use it. </t>
  </si>
  <si>
    <t xml:space="preserve">Memories, pain free movement, spark of a life worth of living. </t>
  </si>
  <si>
    <t xml:space="preserve">I think 3 happens no matter what and the other 2 will take initiative from government/private companies. </t>
  </si>
  <si>
    <t xml:space="preserve">Absolutely. We are all so similar while remaining so different. Find what makes us tic differently and provide solutions for anyones problems. Piece of cake. </t>
  </si>
  <si>
    <t xml:space="preserve">GA</t>
  </si>
  <si>
    <t xml:space="preserve">Natural/biological process in which the capacity of one's body declines </t>
  </si>
  <si>
    <t xml:space="preserve">Adequate medical care to insure healthy aging and catch potential diseases </t>
  </si>
  <si>
    <t xml:space="preserve">bad medical system </t>
  </si>
  <si>
    <t xml:space="preserve">physical/cognitive mobility, memories,  social connections </t>
  </si>
  <si>
    <t xml:space="preserve">try and maintain a healthy lifestyle </t>
  </si>
  <si>
    <t xml:space="preserve">all different approaches to address aging </t>
  </si>
  <si>
    <t xml:space="preserve">(i), (iii), (ii)</t>
  </si>
  <si>
    <t xml:space="preserve">my opinions </t>
  </si>
  <si>
    <t xml:space="preserve">I think the 3rd option is the most exciting since its a more recent approach in which we still don't know how it will play out </t>
  </si>
  <si>
    <t xml:space="preserve">yes but also concerned </t>
  </si>
  <si>
    <t xml:space="preserve">potentially </t>
  </si>
  <si>
    <t xml:space="preserve">hmm 40</t>
  </si>
  <si>
    <t xml:space="preserve">would love to see a future where medicine isn't a scarce resource
</t>
  </si>
  <si>
    <t xml:space="preserve">i guess privacy, alignment (discrimination based off race, gender, socioeconomic background, etc) for AI
</t>
  </si>
  <si>
    <t xml:space="preserve">Myanmar </t>
  </si>
  <si>
    <t xml:space="preserve">US - NYC</t>
  </si>
  <si>
    <t xml:space="preserve">Job turnouts </t>
  </si>
  <si>
    <t xml:space="preserve">Yes - data concerns getting leaked </t>
  </si>
  <si>
    <t xml:space="preserve">Nigeria </t>
  </si>
  <si>
    <t xml:space="preserve">Aging  is a biological process that occurs as someone is advancing in age which contributes to changes and physicality, metabolism, reproductive abilities, and other areas relating to the human anatomy </t>
  </si>
  <si>
    <t xml:space="preserve">The fear of aging and not building leverage in your youth </t>
  </si>
  <si>
    <t xml:space="preserve">Yes, by empowering small and local farmers and putting sanctions for food producers. </t>
  </si>
  <si>
    <t xml:space="preserve">Good health , mental health stability, family and good relationships </t>
  </si>
  <si>
    <t xml:space="preserve">Some of them </t>
  </si>
  <si>
    <t xml:space="preserve">It feels new and feasible </t>
  </si>
  <si>
    <t xml:space="preserve">Offcourse </t>
  </si>
  <si>
    <t xml:space="preserve">20%?</t>
  </si>
  <si>
    <t xml:space="preserve">Accesible healthcare thats both preventative and affordable when needed. </t>
  </si>
  <si>
    <t xml:space="preserve">ii&gt;iii&gt;i</t>
  </si>
  <si>
    <t xml:space="preserve">ii&gt;i&gt;iii</t>
  </si>
  <si>
    <t xml:space="preserve">I thing affotability is a key part of making this available for the greater population. Improving longevity and reproductive health is important for next generations for the society as a whole, but personally i think implementation of AI will be really impactful for early diagnostics/preventative health as well. </t>
  </si>
  <si>
    <t xml:space="preserve">That sadly a lot of both the healthcare system and geriatric care facilities are ran more in a capitalistic way where they prioritize financial gain over the patient’s wellbeing. 
</t>
  </si>
  <si>
    <t xml:space="preserve">Yes!! </t>
  </si>
  <si>
    <t xml:space="preserve">The advancement and progression of somatic time </t>
  </si>
  <si>
    <t xml:space="preserve">I think it is more biological; the frailties and challenges that naturally come with being at that age or health issues one is more susceptible to at that age. </t>
  </si>
  <si>
    <t xml:space="preserve">Certainly. There are things I can do that, between diet, nutrition, fitness that will make these things more realistically possible. </t>
  </si>
  <si>
    <t xml:space="preserve">Different means of advancing human health and well-being. 
</t>
  </si>
  <si>
    <t xml:space="preserve">3 -&gt; 1 -&gt; 2</t>
  </si>
  <si>
    <t xml:space="preserve">1 -&gt; 3 -&gt; 2</t>
  </si>
  <si>
    <t xml:space="preserve">I believe there should be checks and balances in place </t>
  </si>
  <si>
    <t xml:space="preserve">USA- Nebraska</t>
  </si>
  <si>
    <t xml:space="preserve">20-ish
</t>
  </si>
  <si>
    <t xml:space="preserve">Definitely</t>
  </si>
  <si>
    <t xml:space="preserve">The solutions helps to make aging better, people won’t be scared to age. </t>
  </si>
  <si>
    <t xml:space="preserve">I don’t think so </t>
  </si>
  <si>
    <t xml:space="preserve">For faith, I can put my trust in God and not in my own strength. For frienships, I can prioritize spending time with my friends and avoid working too hard. For physical health, I can avoid eating too much sugar and junk food and continue staying active. </t>
  </si>
  <si>
    <t xml:space="preserve">The first one means improving people's reproductive health, the second one means making health solutions accessible for everyone, and the third one means leveraging AI for health solutions. </t>
  </si>
  <si>
    <t xml:space="preserve">Boosting reproductive health and applying AI to health solutions aren't much help to society if they're not accessible, so accessibility comes first in my opinion. </t>
  </si>
  <si>
    <t xml:space="preserve">Yes, especially for iii as we should be cautious about over-reliance on AI. </t>
  </si>
  <si>
    <t xml:space="preserve">Yes, it's cool to think about what technologies might be in place by the time I'm older to help me maintain health in old age. </t>
  </si>
  <si>
    <t xml:space="preserve">Mississippi, USA</t>
  </si>
  <si>
    <t xml:space="preserve">Healthcare expenses as they relate to caregiving. This should be prioritized as I think it's relatively easy to achieve and also because it's the greatest challenge.
</t>
  </si>
  <si>
    <t xml:space="preserve">(iii), (i), and (ii)</t>
  </si>
  <si>
    <t xml:space="preserve">(i), (iii), and (ii)</t>
  </si>
  <si>
    <t xml:space="preserve">The applications of modern technology (AI and ML) to solve one of humanities biggest challenges right now.
</t>
  </si>
  <si>
    <t xml:space="preserve">Ensuring our aging population has equitable access to long term care, independent living, and community support. This could all be offered in the short term and extended once best practices are determined. </t>
  </si>
  <si>
    <t xml:space="preserve">Prioritizing tools to advance health and longevity both at the individual and systems level. </t>
  </si>
  <si>
    <t xml:space="preserve">Because most issues arise from policies or systems approaches that encroach on ways aging is supported in america. </t>
  </si>
  <si>
    <t xml:space="preserve">Relying on AI when proper safety nets have not been implemented, this puts our aging population at risk of harm should suggestions be inverse to what humanity needs. </t>
  </si>
  <si>
    <t xml:space="preserve">I am </t>
  </si>
  <si>
    <t xml:space="preserve">Absolutely </t>
  </si>
  <si>
    <t xml:space="preserve">Umm Idk maybe 15%?</t>
  </si>
  <si>
    <t xml:space="preserve">It would depend on specifics: in terms of physical aging and the challenges, I’d say quality of life, the hardship that many face. Many people work until they die, literally, and I think it just makes some people experience a lot of health challenges even when they’re already old. Another challenge though more of a factor is the environment and the kind of food. Most of the affordable foods in America are processed </t>
  </si>
  <si>
    <t xml:space="preserve">I think maybe food (don’t know if that counts) - the kind of food available to populations. Right now, processed foods, unhealthy kind of food are the only thing available to majority of the population, which forces most people to stay with that. I believe it should be prioritized because it also affects younger people. In addition, it compounds overtime and affects a larger age group beyond the aged. Solving the problem from the root when these individuals are much younger can have a significant effect on their health when older </t>
  </si>
  <si>
    <t xml:space="preserve">I don’t know what exact body in US  is involved but I think it’s largely the government- the responsible for what gets into our bodies. But also, there could be an increased movement for people to encourage agriculture. More people have their own farms, know what’s going into their bodies </t>
  </si>
  <si>
    <t xml:space="preserve">Yes there are. I think with most in life, consistency in practice  is key </t>
  </si>
  <si>
    <t xml:space="preserve">They all revolve around promoting health </t>
  </si>
  <si>
    <t xml:space="preserve"> probably (ii), (I) and (iii)</t>
  </si>
  <si>
    <t xml:space="preserve">Maybe (ii), (iii) and (I)</t>
  </si>
  <si>
    <t xml:space="preserve">I feel like there’s a lot of health disparities- so much more than you can imagine. There are people suffering, dying even right know because they cannot afford to pay medical bills and taking out loans can greatly affect the future of their families. So they sit in the midst of all their medical emergencies and just do nothing about it, allowing it to get worse. That’s why I think accessibility is so much more important 
Then I chose implementing AI and ML to improve health solutions because there’s a lot of health conditions that are stuck in a place that AI and ML can largely contribute to, or even solve. </t>
  </si>
  <si>
    <t xml:space="preserve">Yes probably mostly (ii) and (iii) to be honest </t>
  </si>
  <si>
    <t xml:space="preserve">I honestly don’t know a lot of about it, but from what I do know, it  does seem exciting </t>
  </si>
  <si>
    <t xml:space="preserve">I strongly believe that everyone has a part to play irrespective of what your area of speciality is. There’s so much more we can learn by coming together to provide solutions </t>
  </si>
  <si>
    <t xml:space="preserve">North Carolina, US</t>
  </si>
  <si>
    <t xml:space="preserve">Having a church and a Christian community throughout all the seasons, take seriously physical activity now, care for emotional and mental wellbeing on a daily but also physical checkups as necessary </t>
  </si>
  <si>
    <t xml:space="preserve">1. Making better one’s reproductive health
2. making health care focused on aging accessible and relevant for the  society in general
3. Leveraging machine language capabilities in predicting potential areas of one’s health that might deteriorate in the future and fix it beforehand</t>
  </si>
  <si>
    <t xml:space="preserve">Mostly skeptical than excited </t>
  </si>
  <si>
    <t xml:space="preserve">Q1. Age</t>
  </si>
  <si>
    <t xml:space="preserve">Q2. Gender</t>
  </si>
  <si>
    <t xml:space="preserve">Q3. State/Country of Origin</t>
  </si>
  <si>
    <t xml:space="preserve">Q4. Current State/Country of Residence</t>
  </si>
  <si>
    <t xml:space="preserve">Q5. Definition of Aging</t>
  </si>
  <si>
    <t xml:space="preserve">Q6. Estimated Percentage of U.S. Population Age 65+</t>
  </si>
  <si>
    <t xml:space="preserve">Q7. Greatest Challenge Facing the Aging Population</t>
  </si>
  <si>
    <t xml:space="preserve">Q8A. Challenge to Prioritize in the Short Term</t>
  </si>
  <si>
    <t xml:space="preserve">Q8B. Why This Challenge Should Be Prioritized [Select up to 2]</t>
  </si>
  <si>
    <t xml:space="preserve">Q9. Is Enough Action Currently Being Taken?</t>
  </si>
  <si>
    <t xml:space="preserve">Q10. Three Things to Maintain Throughout Life [Select exactly 3]</t>
  </si>
  <si>
    <t xml:space="preserve">Q11A. Can Personal Actions Help Maintain These?</t>
  </si>
  <si>
    <t xml:space="preserve">Q11B. Most Helpful Actions [Select up to 3]</t>
  </si>
  <si>
    <t xml:space="preserve">Q12A-1. Understanding of Topic 1: Reproductive Health and Longevity</t>
  </si>
  <si>
    <t xml:space="preserve">Q12A-2. Understanding of Topic 2: Democratizing Longevity Science/Solutions</t>
  </si>
  <si>
    <t xml:space="preserve">Q12A-3. Understanding of Topic 3: AI/ML for Aging and Health</t>
  </si>
  <si>
    <t xml:space="preserve">Q12B. Personal Importance Rank — Topic 1</t>
  </si>
  <si>
    <t xml:space="preserve">Q12B. Personal Importance Rank — Topic 2</t>
  </si>
  <si>
    <t xml:space="preserve">Q12B. Personal Importance Rank — Topic 3</t>
  </si>
  <si>
    <t xml:space="preserve">Q12C. Societal Importance Rank — Topic 1</t>
  </si>
  <si>
    <t xml:space="preserve">Q12C. Societal Importance Rank — Topic 2</t>
  </si>
  <si>
    <t xml:space="preserve">Q12C. Societal Importance Rank — Topic 3</t>
  </si>
  <si>
    <t xml:space="preserve">Q12D. Factors Influencing Ranking [Select up to 2]</t>
  </si>
  <si>
    <t xml:space="preserve">Q12E. Most Exciting/Interesting Topic</t>
  </si>
  <si>
    <t xml:space="preserve">Q12F. Greatest Concern About These Technologies</t>
  </si>
  <si>
    <t xml:space="preserve">Q12G-1. Should Specific Ethical Safeguards Be in Place?</t>
  </si>
  <si>
    <t xml:space="preserve">Q12G-2. Most Important Ethical Considerations [Select up to 3]</t>
  </si>
  <si>
    <t xml:space="preserve">Q12H. Excitement About the Future of Aging Research (1–5)</t>
  </si>
  <si>
    <t xml:space="preserve">Q12I. Perceived Role of Bioengineers in Aging Solutions (1–5)</t>
  </si>
  <si>
    <t xml:space="preserve">B. Female</t>
  </si>
  <si>
    <t xml:space="preserve">A. A natural biological process involving changes and gradual decline in bodily functions over time</t>
  </si>
  <si>
    <t xml:space="preserve">B. 11–15%</t>
  </si>
  <si>
    <t xml:space="preserve">F. Loss of independence and increasing caregiver burden</t>
  </si>
  <si>
    <t xml:space="preserve">C. Healthcare and long-term care cost/accessibility</t>
  </si>
  <si>
    <t xml:space="preserve">D. Early intervention could prevent more serious future problems, G. Addressing it could help older adults maintain independence and dignity</t>
  </si>
  <si>
    <t xml:space="preserve">B. Some action is being taken, but it is still insufficient</t>
  </si>
  <si>
    <t xml:space="preserve">A. Physical health and mobility, E. Mental and emotional well-being, H. Hobbies and the ability to enjoy life</t>
  </si>
  <si>
    <t xml:space="preserve">B. To some extent</t>
  </si>
  <si>
    <t xml:space="preserve">A. Regular exercise and physical activity, D. Regular health screening and preventive care, I. Avoiding smoking, excessive alcohol use, and other health risks</t>
  </si>
  <si>
    <t xml:space="preserve">B. Studying both fertility and how reproductive aging influences overall long-term health</t>
  </si>
  <si>
    <t xml:space="preserve">C. Making aging research, information, and resources easier for the public to access and understand</t>
  </si>
  <si>
    <t xml:space="preserve">B. Using AI to provide personalized diagnosis, treatment, or precision health</t>
  </si>
  <si>
    <t xml:space="preserve">A. Personal relevance to my own or my family's health</t>
  </si>
  <si>
    <t xml:space="preserve">E. None of them particularly interests me</t>
  </si>
  <si>
    <t xml:space="preserve">H. Technology developing faster than regulation and ethical oversight</t>
  </si>
  <si>
    <t xml:space="preserve">A. Definitely yes</t>
  </si>
  <si>
    <t xml:space="preserve">B. Privacy and health-data protection, E. Safety and sufficient scientific evidence</t>
  </si>
  <si>
    <t xml:space="preserve">A. Male</t>
  </si>
  <si>
    <t xml:space="preserve">F. &gt;30%</t>
  </si>
  <si>
    <t xml:space="preserve">H. Unequal access to new health technologies and resources</t>
  </si>
  <si>
    <t xml:space="preserve">E. Social isolation and mental health</t>
  </si>
  <si>
    <t xml:space="preserve">A. It affects a large proportion of the population, D. Early intervention could prevent more serious future problems</t>
  </si>
  <si>
    <t xml:space="preserve">C. Very limited action is being taken</t>
  </si>
  <si>
    <t xml:space="preserve">A. Physical health and mobility, B. Memory, thinking, and learning ability, H. Hobbies and the ability to enjoy life</t>
  </si>
  <si>
    <t xml:space="preserve">A. Regular exercise and physical activity, D. Regular health screening and preventive care, H. Managing stress and supporting mental health</t>
  </si>
  <si>
    <t xml:space="preserve">D. I am not sure what this topic means</t>
  </si>
  <si>
    <t xml:space="preserve">D. All of the above</t>
  </si>
  <si>
    <t xml:space="preserve">E. Likelihood of producing useful solutions in the near future, G. Lower perceived ethical risks</t>
  </si>
  <si>
    <t xml:space="preserve">A. Topic 1 — Reproductive health and longevity</t>
  </si>
  <si>
    <t xml:space="preserve">A. Safety and unknown long-term effects</t>
  </si>
  <si>
    <t xml:space="preserve">B. Yes, but they should not unnecessarily restrict research</t>
  </si>
  <si>
    <t xml:space="preserve">A. Equitable access, B. Privacy and health-data protection, E. Safety and sufficient scientific evidence</t>
  </si>
  <si>
    <t xml:space="preserve">D. A natural stage of life involving physical, psychological, and social changes</t>
  </si>
  <si>
    <t xml:space="preserve">D. 21–25%</t>
  </si>
  <si>
    <t xml:space="preserve">D. Financial and retirement security / cost of living</t>
  </si>
  <si>
    <t xml:space="preserve">D. Financial security</t>
  </si>
  <si>
    <t xml:space="preserve">B. It has a major effect on health or quality of life</t>
  </si>
  <si>
    <t xml:space="preserve">A. Physical health and mobility, B. Memory, thinking, and learning ability, C. Independence and the ability to make my own decisions</t>
  </si>
  <si>
    <t xml:space="preserve">A. Regular exercise and physical activity, D. Regular health screening and preventive care, E. Maintaining cognitive activities such as learning and reading</t>
  </si>
  <si>
    <t xml:space="preserve">B. Ensuring that people from different income levels, regions, and social groups have equitable access</t>
  </si>
  <si>
    <t xml:space="preserve">D. Scientific or technological potential, H. Personal familiarity or interest in the topic</t>
  </si>
  <si>
    <t xml:space="preserve">D. I am equally interested in all three</t>
  </si>
  <si>
    <t xml:space="preserve">G. Commercial interests influencing healthcare decisions</t>
  </si>
  <si>
    <t xml:space="preserve">C. Not sure</t>
  </si>
  <si>
    <t xml:space="preserve">C. Cost and accessibility of healthcare and long-term care</t>
  </si>
  <si>
    <t xml:space="preserve">E. Addressing it could reduce long-term healthcare or social costs</t>
  </si>
  <si>
    <t xml:space="preserve">B. Maintaining a healthy diet, D. Regular health screening and preventive care, E. Maintaining cognitive activities such as learning and reading</t>
  </si>
  <si>
    <t xml:space="preserve">F. Potential to reduce future healthcare and societal costs</t>
  </si>
  <si>
    <t xml:space="preserve">C. Topic 3 — AI and machine learning for aging and health</t>
  </si>
  <si>
    <t xml:space="preserve">F. Ethical concerns related to reproduction or extending human lifespan</t>
  </si>
  <si>
    <t xml:space="preserve">E. Safety and sufficient scientific evidence, F. Reproductive choice and reproductive ethics</t>
  </si>
  <si>
    <t xml:space="preserve">B. Cognitive decline, dementia, and Alzheimer’s disease</t>
  </si>
  <si>
    <t xml:space="preserve">A. It affects a large proportion of the population, B. It has a major effect on health or quality of life</t>
  </si>
  <si>
    <t xml:space="preserve">D. Probably not very much</t>
  </si>
  <si>
    <t xml:space="preserve">A. Regular exercise and physical activity, B. Maintaining a healthy diet, I. Avoiding smoking, excessive alcohol use, and other health risks</t>
  </si>
  <si>
    <t xml:space="preserve">A. Extending or maintaining reproductive health and function as people age</t>
  </si>
  <si>
    <t xml:space="preserve">B. Potential to benefit the largest number of people, C. Potential to improve equity and accessibility</t>
  </si>
  <si>
    <t xml:space="preserve">B. Topic 2 — Democratizing longevity science/solutions</t>
  </si>
  <si>
    <t xml:space="preserve">B. Technologies may primarily benefit wealthy people and increase health inequalities</t>
  </si>
  <si>
    <t xml:space="preserve">C. Age-related changes in physical and cognitive abilities</t>
  </si>
  <si>
    <t xml:space="preserve">E. Social isolation, loneliness, and mental health</t>
  </si>
  <si>
    <t xml:space="preserve">D. Early intervention could prevent more serious future problems, E. Addressing it could reduce long-term healthcare or social costs</t>
  </si>
  <si>
    <t xml:space="preserve">A. Yes, substantial and effective action is being taken</t>
  </si>
  <si>
    <t xml:space="preserve">A. Physical health and mobility, B. Memory, thinking, and learning ability, E. Mental and emotional well-being</t>
  </si>
  <si>
    <t xml:space="preserve">A. Regular exercise and physical activity, B. Maintaining a healthy diet, C. Getting adequate sleep</t>
  </si>
  <si>
    <t xml:space="preserve">A. Personal relevance to my own or my family's health, B. Potential to benefit the largest number of people</t>
  </si>
  <si>
    <t xml:space="preserve">A. Equitable access, D. Informed consent and individual autonomy, G. Resource allocation associated with extending longevity</t>
  </si>
  <si>
    <t xml:space="preserve">B. A process in which chronic diseases and health problems accumulate over time</t>
  </si>
  <si>
    <t xml:space="preserve">A. Chronic diseases and declining physical health</t>
  </si>
  <si>
    <t xml:space="preserve">B. It has a major effect on health or quality of life, G. Addressing it could help older adults maintain independence and dignity</t>
  </si>
  <si>
    <t xml:space="preserve">A. Physical health and mobility, C. Independence and the ability to make my own decisions, H. Hobbies and the ability to enjoy life</t>
  </si>
  <si>
    <t xml:space="preserve">B. Maintaining a healthy diet, C. Getting adequate sleep, D. Regular health screening and preventive care</t>
  </si>
  <si>
    <t xml:space="preserve">D. Algorithmic bias or unfair outcomes for certain populations</t>
  </si>
  <si>
    <t xml:space="preserve">B. Privacy and health-data protection, C. Algorithmic bias and discrimination, H. Transparency and accountability</t>
  </si>
  <si>
    <t xml:space="preserve">C. 16–20%</t>
  </si>
  <si>
    <t xml:space="preserve">A. It affects a large proportion of the population, F. Addressing it could reduce health and social inequalities</t>
  </si>
  <si>
    <t xml:space="preserve">A. Regular exercise and physical activity, G. Saving and planning financially for later life, H. Managing stress and supporting mental health</t>
  </si>
  <si>
    <t xml:space="preserve">C. Using AI to analyze complex aging data and help identify new interventions</t>
  </si>
  <si>
    <t xml:space="preserve">B. Potential to benefit the largest number of people, F. Potential to reduce future healthcare and societal costs</t>
  </si>
  <si>
    <t xml:space="preserve">I. I do not have a major concern</t>
  </si>
  <si>
    <t xml:space="preserve">A. Equitable access, B. Privacy and health-data protection, C. Algorithmic bias and discrimination</t>
  </si>
  <si>
    <t xml:space="preserve">E. 26–30%</t>
  </si>
  <si>
    <t xml:space="preserve">B. Memory, thinking, and learning ability, C. Independence and the ability to make my own decisions, I. Dignity and respect from others</t>
  </si>
  <si>
    <t xml:space="preserve">A. Regular exercise and physical activity, C. Getting adequate sleep, I. Avoiding smoking, excessive alcohol use, and other health risks</t>
  </si>
  <si>
    <t xml:space="preserve">A. Making longevity and health technologies less expensive</t>
  </si>
  <si>
    <t xml:space="preserve">A. Personal relevance to my own or my family's health, C. Potential to improve equity and accessibility</t>
  </si>
  <si>
    <t xml:space="preserve">A. Equitable access, G. Resource allocation associated with extending longevity, I. Other: Why extend lifespan at all? Do humans need to live that long?</t>
  </si>
  <si>
    <t xml:space="preserve">B. It has a major effect on health or quality of life, D. Early intervention could prevent more serious future problems</t>
  </si>
  <si>
    <t xml:space="preserve">B. Memory, thinking, and learning ability, C. Independence and the ability to make my own decisions, E. Mental and emotional well-being</t>
  </si>
  <si>
    <t xml:space="preserve">C. Potential to improve equity and accessibility, F. Potential to reduce future healthcare and societal costs</t>
  </si>
  <si>
    <t xml:space="preserve">A. Equitable access, B. Privacy and health-data protection, D. Informed consent and individual autonomy</t>
  </si>
  <si>
    <t xml:space="preserve">F. Addressing it could reduce health and social inequalities</t>
  </si>
  <si>
    <t xml:space="preserve">A. Physical health and mobility, D. Close relationships with family and friends, F. Financial security</t>
  </si>
  <si>
    <t xml:space="preserve">C. Privacy and security of personal health data</t>
  </si>
  <si>
    <t xml:space="preserve">C. Algorithmic bias and discrimination, D. Informed consent and individual autonomy, F. Reproductive choice and reproductive ethics</t>
  </si>
  <si>
    <t xml:space="preserve">F. Independence and caregiver burden</t>
  </si>
  <si>
    <t xml:space="preserve">E. I am not sure / I do not know enough about it</t>
  </si>
  <si>
    <t xml:space="preserve">A. Personal relevance to my own or my family's health, F. Potential to reduce future healthcare and societal costs</t>
  </si>
  <si>
    <t xml:space="preserve">B. Cognitive decline and dementia</t>
  </si>
  <si>
    <t xml:space="preserve">B. It has a major effect on health or quality of life, F. Addressing it could reduce health and social inequalities</t>
  </si>
  <si>
    <t xml:space="preserve">A. Regular exercise and physical activity, D. Regular health screening and preventive care, G. Saving and planning financially for later life</t>
  </si>
  <si>
    <t xml:space="preserve">B. Privacy and health-data protection, D. Informed consent and individual autonomy, G. Resource allocation associated with extending longevity</t>
  </si>
  <si>
    <t xml:space="preserve">Melbourne, Australia</t>
  </si>
  <si>
    <t xml:space="preserve">B. Memory, thinking, and learning ability, C. Independence and the ability to make my own decisions, F. Financial security</t>
  </si>
  <si>
    <t xml:space="preserve">D. Regular health screening and preventive care, G. Saving and planning financially for later life</t>
  </si>
  <si>
    <t xml:space="preserve">G. Ageism and social participation</t>
  </si>
  <si>
    <t xml:space="preserve">G. Addressing it could help older adults maintain independence and dignity</t>
  </si>
  <si>
    <t xml:space="preserve">A. Regular exercise and physical activity, C. Getting adequate sleep, G. Saving and planning financially for later life</t>
  </si>
  <si>
    <t xml:space="preserve">A. Regular exercise and physical activity, C. Getting adequate sleep, D. Regular health screening and preventive care</t>
  </si>
  <si>
    <t xml:space="preserve">B. Privacy and health-data protection, D. Informed consent and individual autonomy, H. Transparency and accountability</t>
  </si>
  <si>
    <t xml:space="preserve">A. Personal relevance to my own or my family's health, G. Lower perceived ethical risks</t>
  </si>
  <si>
    <t xml:space="preserve">A. Physical health and mobility, C. Independence and the ability to make my own decisions, E. Mental and emotional well-being</t>
  </si>
  <si>
    <t xml:space="preserve">C. Getting adequate sleep, D. Regular health screening and preventive care, E. Maintaining cognitive activities such as learning and reading</t>
  </si>
  <si>
    <t xml:space="preserve">E. Likelihood of producing useful solutions in the near future, F. Potential to reduce future healthcare and societal costs</t>
  </si>
  <si>
    <t xml:space="preserve">E. Overreliance on technology or over-medicalization of normal aging</t>
  </si>
  <si>
    <t xml:space="preserve">A. It affects a large proportion of the population</t>
  </si>
  <si>
    <t xml:space="preserve">E. Mental and emotional well-being, F. Financial security, I. Dignity and respect from others</t>
  </si>
  <si>
    <t xml:space="preserve">G. Saving and planning financially for later life</t>
  </si>
  <si>
    <t xml:space="preserve">E. I am not sure</t>
  </si>
  <si>
    <t xml:space="preserve">A. Personal relevance to my own or my family's health, E. Likelihood of producing useful solutions in the near future</t>
  </si>
  <si>
    <t xml:space="preserve">F. Reproductive choice and reproductive ethics</t>
  </si>
  <si>
    <t xml:space="preserve">A. Physical health and mobility, B. Memory, thinking, and learning ability, D. Close relationships with family and friends</t>
  </si>
  <si>
    <t xml:space="preserve">F. Maintaining social connections with family, friends, and community, G. Saving and planning financially for later life, I. Avoiding smoking, excessive alcohol use, and other health risks</t>
  </si>
  <si>
    <t xml:space="preserve">B. Privacy and health-data protection, D. Informed consent and individual autonomy, E. Safety and sufficient scientific evidence</t>
  </si>
  <si>
    <t xml:space="preserve">A. Physical health and mobility, C. Independence and the ability to make my own decisions, I. Dignity and respect from others</t>
  </si>
  <si>
    <t xml:space="preserve">A. Equitable access, D. Informed consent and individual autonomy, E. Safety and sufficient scientific evidence</t>
  </si>
  <si>
    <t xml:space="preserve">A. Regular exercise and physical activity, E. Maintaining cognitive activities such as learning and reading, I. Avoiding smoking, excessive alcohol use, and other health risks</t>
  </si>
  <si>
    <t xml:space="preserve">A. It affects a large proportion of the population, E. Addressing it could reduce long-term healthcare or social costs</t>
  </si>
  <si>
    <t xml:space="preserve">A. Physical health and mobility, E. Mental and emotional well-being, G. A sense of purpose, productivity, or ability to contribute to society</t>
  </si>
  <si>
    <t xml:space="preserve">A. Regular exercise and physical activity, E. Maintaining cognitive activities such as learning and reading, F. Maintaining social connections with family, friends, and community</t>
  </si>
  <si>
    <t xml:space="preserve">B. It has a major effect on health or quality of life, C. Practical solutions are already available</t>
  </si>
  <si>
    <t xml:space="preserve">A. Using AI to predict future disease risks</t>
  </si>
  <si>
    <t xml:space="preserve">B. Memory, thinking, and learning ability, F. Financial security, G. A sense of purpose, productivity, or ability to contribute to society</t>
  </si>
  <si>
    <t xml:space="preserve">A. Regular exercise and physical activity, E. Maintaining cognitive activities such as learning and reading, G. Saving and planning financially for later life</t>
  </si>
  <si>
    <t xml:space="preserve">D. Prefer to self-describe: Beach umbrella ⛱️</t>
  </si>
  <si>
    <t xml:space="preserve">Republic of China (Taiwan)</t>
  </si>
  <si>
    <t xml:space="preserve">Chinese Taipei</t>
  </si>
  <si>
    <t xml:space="preserve">A. 0–10%</t>
  </si>
  <si>
    <t xml:space="preserve">E. Mostly outside of my control</t>
  </si>
  <si>
    <t xml:space="preserve">B. Maintaining a healthy diet, C. Getting adequate sleep, G. Saving and planning financially for later life</t>
  </si>
  <si>
    <t xml:space="preserve">C. Mainly improving infertility treatments and assisted reproductive technologies</t>
  </si>
  <si>
    <t xml:space="preserve">D. Scientific or technological potential, E. Likelihood of producing useful solutions in the near future</t>
  </si>
  <si>
    <t xml:space="preserve">A. Equitable access, C. Algorithmic bias and discrimination, D. Informed consent and individual autonomy</t>
  </si>
  <si>
    <t xml:space="preserve">A. Physical health and mobility, B. Memory, thinking, and learning ability, F. Financial security</t>
  </si>
  <si>
    <t xml:space="preserve">A. Physical health and mobility, C. Independence and the ability to make my own decisions, D. Close relationships with family and friends</t>
  </si>
  <si>
    <t xml:space="preserve">A. Regular exercise and physical activity, B. Maintaining a healthy diet, D. Regular health screening and preventive care</t>
  </si>
  <si>
    <t xml:space="preserve">A. It affects a large proportion of the population, G. Addressing it could help older adults maintain independence and dignity</t>
  </si>
  <si>
    <t xml:space="preserve">A. Physical health and mobility, C. Independence and the ability to make my own decisions, F. Financial security</t>
  </si>
  <si>
    <t xml:space="preserve">A. Regular exercise and physical activity, D. Regular health screening and preventive care, F. Maintaining social connections with family, friends, and community</t>
  </si>
  <si>
    <t xml:space="preserve">A. Physical health and mobility, B. Memory, thinking, and learning ability, G. A sense of purpose, productivity, or ability to contribute to society</t>
  </si>
  <si>
    <t xml:space="preserve">A. Regular exercise and physical activity, B. Maintaining a healthy diet, G. Saving and planning financially for later life</t>
  </si>
  <si>
    <t xml:space="preserve">B. Potential to benefit the largest number of people, E. Likelihood of producing useful solutions in the near future</t>
  </si>
  <si>
    <t xml:space="preserve">F. Aging mainly reflects the passage of time and does not necessarily mean declining health or function</t>
  </si>
  <si>
    <t xml:space="preserve">D. Early intervention could prevent more serious future problems</t>
  </si>
  <si>
    <t xml:space="preserve">A. Physical health and mobility, C. Independence and the ability to make my own decisions, G. A sense of purpose, productivity, or ability to contribute to society</t>
  </si>
  <si>
    <t xml:space="preserve">A. Regular exercise and physical activity, B. Maintaining a healthy diet, F. Maintaining social connections with family, friends, and community</t>
  </si>
  <si>
    <t xml:space="preserve">B. Privacy and health-data protection</t>
  </si>
  <si>
    <t xml:space="preserve">B. Maintaining a healthy diet, F. Maintaining social connections with family, friends, and community, I. Avoiding smoking, excessive alcohol use, and other health risks</t>
  </si>
  <si>
    <t xml:space="preserve">B. Privacy and health-data protection, F. Reproductive choice and reproductive ethics, G. Resource allocation associated with extending longevity</t>
  </si>
  <si>
    <t xml:space="preserve">A. Physical health and mobility, E. Mental and emotional well-being, F. Financial security</t>
  </si>
  <si>
    <t xml:space="preserve">D. Scientific or technological potential, F. Potential to reduce future healthcare and societal costs</t>
  </si>
  <si>
    <t xml:space="preserve">A. Equitable access, H. Transparency and accountability</t>
  </si>
  <si>
    <t xml:space="preserve">I. Avoiding smoking, excessive alcohol use, and other health risks</t>
  </si>
  <si>
    <t xml:space="preserve">E. A process best defined by changes in functional ability and independence</t>
  </si>
  <si>
    <t xml:space="preserve">A. Regular exercise and physical activity, F. Maintaining social connections with family, friends, and community, G. Saving and planning financially for later life</t>
  </si>
  <si>
    <t xml:space="preserve">C. Algorithmic bias and discrimination, E. Safety and sufficient scientific evidence, F. Reproductive choice and reproductive ethics</t>
  </si>
  <si>
    <t xml:space="preserve">E. Addressing it could reduce long-term healthcare or social costs, F. Addressing it could reduce health and social inequalities</t>
  </si>
  <si>
    <t xml:space="preserve">E. Maintaining cognitive activities such as learning and reading, F. Maintaining social connections with family, friends, and community, H. Managing stress and supporting mental health</t>
  </si>
  <si>
    <t xml:space="preserve">A. Personal relevance to my own or my family's health, D. Scientific or technological potential</t>
  </si>
  <si>
    <t xml:space="preserve">A. Regular exercise and physical activity, B. Maintaining a healthy diet, E. Maintaining cognitive activities such as learning and reading</t>
  </si>
  <si>
    <t xml:space="preserve">H. Inequality in access to health resources and technology</t>
  </si>
  <si>
    <t xml:space="preserve">B. Memory, thinking, and learning ability, C. Independence and the ability to make my own decisions, D. Close relationships with family and friends</t>
  </si>
  <si>
    <t xml:space="preserve">A. Equitable access, E. Safety and sufficient scientific evidence, H. Transparency and accountability</t>
  </si>
  <si>
    <t xml:space="preserve">G. Ageism and limited social participation</t>
  </si>
  <si>
    <t xml:space="preserve">C. Potential to improve equity and accessibility, D. Scientific or technological potential</t>
  </si>
  <si>
    <t xml:space="preserve">C. Non-binary / Gender diverse</t>
  </si>
  <si>
    <t xml:space="preserve">F. Addressing it could reduce health and social inequalities, G. Addressing it could help older adults maintain independence and dignity</t>
  </si>
  <si>
    <t xml:space="preserve">D. I see little or no action addressing the problem</t>
  </si>
  <si>
    <t xml:space="preserve">A. Equitable access, C. Algorithmic bias and discrimination, G. Resource allocation associated with extending longevity</t>
  </si>
  <si>
    <t xml:space="preserve">Asia</t>
  </si>
  <si>
    <t xml:space="preserve">A. Equitable access</t>
  </si>
  <si>
    <t xml:space="preserve">B. Privacy and health-data protection, C. Algorithmic bias and discrimination, D. Informed consent and individual autonomy</t>
  </si>
  <si>
    <t xml:space="preserve">I. Other: Societal burden, including transfer payments and labor shortages</t>
  </si>
  <si>
    <t xml:space="preserve">I. Other: As stated above, but structural problems are difficult to solve</t>
  </si>
  <si>
    <t xml:space="preserve">A. Physical health and mobility, B. Memory, thinking, and learning ability, I. Dignity and respect from others</t>
  </si>
  <si>
    <t xml:space="preserve">B. Potential to benefit the largest number of people, D. Scientific or technological potential</t>
  </si>
  <si>
    <t xml:space="preserve">D. No special safeguards are necessary</t>
  </si>
  <si>
    <t xml:space="preserve">D. Regular health screening and preventive care, E. Maintaining cognitive activities such as learning and reading, J. Using new medical or health-monitoring technologies</t>
  </si>
  <si>
    <t xml:space="preserve">B. Memory, thinking, and learning ability, C. Independence and the ability to make my own decisions, H. Hobbies and the ability to enjoy life</t>
  </si>
  <si>
    <t xml:space="preserve">D. Regular health screening and preventive care, E. Maintaining cognitive activities such as learning and reading, G. Saving and planning financially for later life</t>
  </si>
  <si>
    <t xml:space="preserve">A. Equitable access, D. Informed consent and individual autonomy, H. Transparency and accountability</t>
  </si>
  <si>
    <t xml:space="preserve">D. Close relationships with family and friends, E. Mental and emotional well-being, H. Hobbies and the ability to enjoy life</t>
  </si>
  <si>
    <t xml:space="preserve">C. Getting adequate sleep, F. Maintaining social connections with family, friends, and community, H. Managing stress and supporting mental health</t>
  </si>
  <si>
    <t xml:space="preserve">C. Algorithmic bias and discrimination, D. Informed consent and individual autonomy, E. Safety and sufficient scientific evidence</t>
  </si>
  <si>
    <t xml:space="preserve">A. Regular exercise and physical activity, E. Maintaining cognitive activities such as learning and reading, H. Managing stress and supporting mental health</t>
  </si>
  <si>
    <t xml:space="preserve">D. Informed consent and individual autonomy, E. Safety and sufficient scientific evidence, G. Resource allocation associated with extending longevity</t>
  </si>
  <si>
    <t xml:space="preserve">D. Regular health screening and preventive care, G. Saving and planning financially for later life, J. Using new medical or health-monitoring technologies</t>
  </si>
  <si>
    <t xml:space="preserve">A. Equitable access, E. Safety and sufficient scientific evidence, F. Reproductive choice and reproductive ethics</t>
  </si>
  <si>
    <t xml:space="preserve">G. Other: I think the Chinese term for biological aging and the English word “aging” are not completely equivalent; their meanings should be represented as different answer options.</t>
  </si>
  <si>
    <t xml:space="preserve">A. It affects a large proportion of the population, H. Other: If it is not addressed, the problem will become very serious by my generation</t>
  </si>
  <si>
    <t xml:space="preserve">D. Regular health screening and preventive care, G. Saving and planning financially for later life, H. Managing stress and supporting mental health</t>
  </si>
  <si>
    <t xml:space="preserve">C. Algorithmic bias and discrimination, D. Informed consent and individual autonomy, H. Transparency and accountability</t>
  </si>
  <si>
    <t xml:space="preserve">D. Informed consent and individual autonomy, G. Resource allocation associated with extending longevity</t>
  </si>
  <si>
    <t xml:space="preserve">A. Physical health and mobility, D. Close relationships with family and friends, I. Dignity and respect from others</t>
  </si>
  <si>
    <t xml:space="preserve">B. It has a major effect on health or quality of life, E. Addressing it could reduce long-term healthcare or social costs</t>
  </si>
  <si>
    <t xml:space="preserve">A. Equitable access, B. Privacy and health-data protection, G. Resource allocation associated with extending longevity</t>
  </si>
  <si>
    <t xml:space="preserve">E. Maintaining cognitive activities such as learning and reading, F. Maintaining social connections with family, friends, and community</t>
  </si>
  <si>
    <t xml:space="preserve">C. Algorithmic bias and discrimination</t>
  </si>
  <si>
    <t xml:space="preserve">A. Equitable access, B. Privacy and health-data protection, F. Reproductive choice and reproductive ethics</t>
  </si>
  <si>
    <t xml:space="preserve">C. Potential to improve equity and accessibility</t>
  </si>
  <si>
    <t xml:space="preserve">J. Other: It may not actually extend longevity</t>
  </si>
  <si>
    <t xml:space="preserve">A. Equitable access, E. Safety and sufficient scientific evidence, G. Resource allocation associated with extending longevity</t>
  </si>
  <si>
    <t xml:space="preserve">C. Practical solutions are already available, F. Addressing it could reduce health and social inequalities</t>
  </si>
  <si>
    <t xml:space="preserve">A. Physical health and mobility, E. Mental and emotional well-being, I. Dignity and respect from others</t>
  </si>
  <si>
    <t xml:space="preserve">D. Informed consent and individual autonomy, E. Safety and sufficient scientific evidence, H. Transparency and accountability</t>
  </si>
  <si>
    <t xml:space="preserve">C. Independence and the ability to make my own decisions, E. Mental and emotional well-being, I. Dignity and respect from others</t>
  </si>
  <si>
    <t xml:space="preserve">E. Maintaining cognitive activities such as learning and reading, G. Saving and planning financially for later life, H. Managing stress and supporting mental health</t>
  </si>
  <si>
    <t xml:space="preserve">C. Algorithmic bias and discrimination, D. Informed consent and individual autonomy, G. Resource allocation associated with extending longevity</t>
  </si>
  <si>
    <t xml:space="preserve">A. Regular exercise and physical activity, C. Getting adequate sleep, H. Managing stress and supporting mental health</t>
  </si>
  <si>
    <t xml:space="preserve">C. Independence and the ability to make my own decisions, F. Financial security, H. Hobbies and the ability to enjoy life</t>
  </si>
  <si>
    <t xml:space="preserve">C. Getting adequate sleep, D. Regular health screening and preventive care, G. Saving and planning financially for later life</t>
  </si>
  <si>
    <t xml:space="preserve">E. Maintaining cognitive activities such as learning and reading, F. Maintaining social connections with family, friends, and community, I. Avoiding smoking, excessive alcohol use, and other health risks</t>
  </si>
  <si>
    <t xml:space="preserve">B. Memory, thinking, and learning ability, E. Mental and emotional well-being, H. Hobbies and the ability to enjoy life</t>
  </si>
  <si>
    <t xml:space="preserve">D. Informed consent and individual autonomy, H. Transparency and accountability</t>
  </si>
  <si>
    <t xml:space="preserve">E. Safety and sufficient scientific evidence, F. Reproductive choice and reproductive ethics, H. Transparency and accountability</t>
  </si>
  <si>
    <t xml:space="preserve">C. Practical solutions are already available, G. Addressing it could help older adults maintain independence and dignity</t>
  </si>
  <si>
    <t xml:space="preserve">A. Physical health and mobility, F. Financial security, G. A sense of purpose, productivity, or ability to contribute to society</t>
  </si>
  <si>
    <t xml:space="preserve">E. Other: In addition to fertility, research and treatment of reproductive-organ-related diseases should also be improved, such as dysmenorrhea and endometriosis</t>
  </si>
  <si>
    <t xml:space="preserve">B. Privacy and health-data protection, D. Informed consent and individual autonomy, F. Reproductive choice and reproductive ethics</t>
  </si>
  <si>
    <t xml:space="preserve">B. Privacy and health-data protection, C. Algorithmic bias and discrimination, F. Reproductive choice and reproductive ethics</t>
  </si>
  <si>
    <t xml:space="preserve">B. Privacy and health-data protection, E. Safety and sufficient scientific evidence, G. Resource allocation associated with extending longevity</t>
  </si>
  <si>
    <t xml:space="preserve">G. Resource allocation associated with extending longevity</t>
  </si>
  <si>
    <t xml:space="preserve">B. Maintaining a healthy diet, D. Regular health screening and preventive care, F. Maintaining social connections with family, friends, and community</t>
  </si>
  <si>
    <t xml:space="preserve">D. Informed consent and individual autonomy, F. Reproductive choice and reproductive ethics, G. Resource allocation associated with extending longevity</t>
  </si>
  <si>
    <t xml:space="preserve">E. Safety and sufficient scientific evidence, G. Resource allocation associated with extending longevity, H. Transparency and accountability</t>
  </si>
  <si>
    <t xml:space="preserve">B. Maintaining a healthy diet, F. Maintaining social connections with family, friends, and community, J. Using new medical or health-monitoring technologies</t>
  </si>
  <si>
    <t xml:space="preserve">B. Privacy and health-data protection, E. Safety and sufficient scientific evidence, H. Transparency and accountability</t>
  </si>
  <si>
    <t xml:space="preserve">A. Regular exercise and physical activity, C. Getting adequate sleep, E. Maintaining cognitive activities such as learning and reading</t>
  </si>
  <si>
    <t xml:space="preserve">B. Maintaining a healthy diet, C. Getting adequate sleep, F. Maintaining social connections with family, friends, and community</t>
  </si>
  <si>
    <t xml:space="preserve">A. Equitable access, B. Privacy and health-data protection, H. Transparency and accountability</t>
  </si>
  <si>
    <t xml:space="preserve">A. Equitable access, C. Algorithmic bias and discrimination, E. Safety and sufficient scientific evidence</t>
  </si>
  <si>
    <t xml:space="preserve">B. It has a major effect on health or quality of life, D. Early intervention could prevent more serious future problems, E. Addressing it could reduce long-term healthcare or social costs</t>
  </si>
  <si>
    <t xml:space="preserve">A. Personal relevance to my own or my family's health, D. Scientific or technological potential, E. Likelihood of producing useful solutions in the near future</t>
  </si>
  <si>
    <t xml:space="preserve">A. It affects a large proportion of the population, B. It has a major effect on health or quality of life, F. Addressing it could reduce health and social inequalities</t>
  </si>
  <si>
    <t xml:space="preserve">B. Potential to benefit the largest number of people, C. Potential to improve equity and accessibility, E. Likelihood of producing useful solutions in the near future</t>
  </si>
  <si>
    <t xml:space="preserve">A. Equitable access, C. Algorithmic bias and discrimination</t>
  </si>
  <si>
    <t xml:space="preserve">D. Early intervention could prevent more serious future problems, E. Addressing it could reduce long-term healthcare or social costs, F. Addressing it could reduce health and social inequalities</t>
  </si>
  <si>
    <t xml:space="preserve">D. Regular health screening and preventive care, E. Maintaining cognitive activities such as learning and reading, H. Managing stress and supporting mental health</t>
  </si>
  <si>
    <t xml:space="preserve">B. Potential to benefit the largest number of people, E. Likelihood of producing useful solutions in the near future, F. Potential to reduce future healthcare and societal costs</t>
  </si>
  <si>
    <t xml:space="preserve">B. Privacy and health-data protection, C. Algorithmic bias and discrimination, E. Safety and sufficient scientific evidence</t>
  </si>
  <si>
    <t xml:space="preserve">A. It affects a large proportion of the population, B. It has a major effect on health or quality of life, F. Addressing it could reduce health and social inequalities, G. Addressing it could help older adults maintain independence and dignity</t>
  </si>
  <si>
    <t xml:space="preserve">A. Personal relevance to my own or my family's health, B. Potential to benefit the largest number of people, D. Scientific or technological potential</t>
  </si>
  <si>
    <t xml:space="preserve">C. Algorithmic bias and discrimination, E. Safety and sufficient scientific evidence, H. Transparency and accountability</t>
  </si>
  <si>
    <t xml:space="preserve">B. It has a major effect on health or quality of life, E. Addressing it could reduce long-term healthcare or social costs, F. Addressing it could reduce health and social inequalities</t>
  </si>
  <si>
    <t xml:space="preserve">A. Physical health and mobility, B. Memory, thinking, and learning ability, C. Independence and the ability to make my own decisions, F. Financial security, I. Dignity and respect from others</t>
  </si>
  <si>
    <t xml:space="preserve">A. Regular exercise and physical activity, E. Maintaining cognitive activities such as learning and reading, G. Saving and planning financially for later life, J. Using new medical or health-monitoring technologies</t>
  </si>
  <si>
    <t xml:space="preserve">D. Informed consent and individual autonomy, E. Safety and sufficient scientific evidence, F. Reproductive choice and reproductive ethics</t>
  </si>
  <si>
    <t xml:space="preserve">E. Prefer not to answer</t>
  </si>
  <si>
    <t xml:space="preserve">A. It affects a large proportion of the population, B. It has a major effect on health or quality of life, D. Early intervention could prevent more serious future problems, E. Addressing it could reduce long-term healthcare or social costs, F. Addressing it could reduce health and social inequalities, G. Addressing it could help older adults maintain independence and dignity</t>
  </si>
  <si>
    <t xml:space="preserve">A. Regular exercise and physical activity, B. Maintaining a healthy diet, C. Getting adequate sleep, D. Regular health screening and preventive care, E. Maintaining cognitive activities such as learning and reading, F. Maintaining social connections with family, friends, and community, G. Saving and planning financially for later life, H. Managing stress and supporting mental health, I. Avoiding smoking, excessive alcohol use, and other health risks, J. Using new medical or health-monitoring technologies</t>
  </si>
  <si>
    <t xml:space="preserve">D. Financial and retirement security</t>
  </si>
  <si>
    <t xml:space="preserve">B. Memory, thinking, and learning ability, D. Close relationships with family and friends, E. Mental and emotional well-being</t>
  </si>
  <si>
    <t xml:space="preserve">D. Regular health screening and preventive care, F. Maintaining social connections with family, friends, and community, G. Saving and planning financially for later life</t>
  </si>
  <si>
    <t xml:space="preserve">Suzhou, China</t>
  </si>
  <si>
    <t xml:space="preserve">["Equitable access", "Privacy and health-data protection", "Safety and sufficient scientific evidence"].   Oh and by the way, if you're still looking for respondents, surveyswap.io really helped me when I was running a survey myself last year. You fill in surveys from others and get free respondents in return. Perhaps it's also helpful to you. Anyway, good luck with the study!</t>
  </si>
  <si>
    <t xml:space="preserve">D. Regular health screening and preventive care, E. Maintaining cognitive activities such as learning and reading</t>
  </si>
  <si>
    <t xml:space="preserve">C. Practical solutions are already available</t>
  </si>
  <si>
    <t xml:space="preserve">A. Regular exercise and physical activity, C. Getting adequate sleep, F. Maintaining social connections with family, friends, and community</t>
  </si>
  <si>
    <t xml:space="preserve">B. Potential to benefit the largest number of people, My research experience (OTC for cancer patients)</t>
  </si>
  <si>
    <t xml:space="preserve">D. Informed consent and individual autonomy, F. Reproductive choice and reproductive ethics, How longevity affects the planet and sustainability</t>
  </si>
  <si>
    <t xml:space="preserve">E. Addressing it could reduce long-term healthcare or social costs, G. Addressing it could help older adults maintain independence and dignity</t>
  </si>
  <si>
    <t xml:space="preserve">A. Physical health and mobility, F. Financial security, I. Dignity and respect from others</t>
  </si>
  <si>
    <t xml:space="preserve">C. Getting adequate sleep, E. Maintaining cognitive activities such as learning and reading, H. Managing stress and supporting mental health</t>
  </si>
  <si>
    <t xml:space="preserve">B. Memory, thinking, and learning ability, E. Mental and emotional well-being</t>
  </si>
  <si>
    <t xml:space="preserve">C. Potential to improve equity and accessibility, E. Likelihood of producing useful solutions in the near future</t>
  </si>
  <si>
    <t xml:space="preserve">E. Likelihood of producing useful solutions in the near future</t>
  </si>
  <si>
    <t xml:space="preserve">A. Physical health and mobility, F. Financial security, My home</t>
  </si>
  <si>
    <t xml:space="preserve">B. Maintaining a healthy diet</t>
  </si>
  <si>
    <t xml:space="preserve">A. Equitable access, E. Safety and sufficient scientific evidence</t>
  </si>
  <si>
    <t xml:space="preserve">A. It affects a large proportion of the population, C. Practical solutions are already available</t>
  </si>
  <si>
    <t xml:space="preserve">B. Privacy and health-data protection, D. Informed consent and individual autonomy</t>
  </si>
  <si>
    <t xml:space="preserve">C. Getting adequate sleep, D. Regular health screening and preventive care, F. Maintaining social connections with family, friends, and community</t>
  </si>
  <si>
    <t xml:space="preserve">1. How old are you</t>
  </si>
  <si>
    <t xml:space="preserve">3. What state/country are you from originally?</t>
  </si>
  <si>
    <t xml:space="preserve">4. What state or country do you currently reside in?</t>
  </si>
  <si>
    <t xml:space="preserve">6. If you had to guess, what fraction of the population in the United States is above 65 years old (percent %)?</t>
  </si>
  <si>
    <t xml:space="preserve">12a. How would you describe what these three topics mean collectively in 1 sentence?</t>
  </si>
  <si>
    <t xml:space="preserve">12b. Rank them in order of importance to you as an individual: [Boosting reproductive health and longevity]</t>
  </si>
  <si>
    <t xml:space="preserve">12b. Rank them in order of importance to you as an individual: [Democratizing longevity science/solutions (accessible &amp; affordable)]</t>
  </si>
  <si>
    <t xml:space="preserve">12b. Rank them in order of importance to you as an individual: [Applying machine learning and AI to enable modern solutions]</t>
  </si>
  <si>
    <t xml:space="preserve">12c. Rank them in order of importance to society: [Boosting reproductive health and longevity]</t>
  </si>
  <si>
    <t xml:space="preserve">12c. Rank them in order of importance to society: [Democratizing longevity science/solutions (accessible &amp; affordable)]</t>
  </si>
  <si>
    <t xml:space="preserve">12c. Rank them in order of importance to society: [Applying machine learning and AI to enable modern solutions]</t>
  </si>
  <si>
    <t xml:space="preserve">12d. Why did you rank them this way?</t>
  </si>
  <si>
    <t xml:space="preserve">12e. What excites you most about the topic (pick one)?</t>
  </si>
  <si>
    <t xml:space="preserve">12f. What is your greatest concern about the topic (pick one)?</t>
  </si>
  <si>
    <t xml:space="preserve">12g. Are there ethical considerations that should be in place when developing solutions for these topics?</t>
  </si>
  <si>
    <t xml:space="preserve">12h. Are you excited about the future of aging research?</t>
  </si>
  <si>
    <t xml:space="preserve">12i. Do you think Bioengineers can play a role in developing solutions?</t>
  </si>
  <si>
    <t xml:space="preserve">Interviewer / Group Member Name (Internal Tracking)</t>
  </si>
  <si>
    <t xml:space="preserve">Rank 1 (Most Important)</t>
  </si>
  <si>
    <t xml:space="preserve">Rank 2</t>
  </si>
  <si>
    <t xml:space="preserve">Rank 3 (Least Important)</t>
  </si>
  <si>
    <t xml:space="preserve">Turkiye</t>
  </si>
  <si>
    <t xml:space="preserve">Tx</t>
  </si>
  <si>
    <t xml:space="preserve">Chengdu China</t>
  </si>
  <si>
    <t xml:space="preserve">Baltimore Maryland</t>
  </si>
  <si>
    <t xml:space="preserve">Boosting reproductive health and longevity: coming up with solutions to either lengthen life or make the aging process easier via less health complications</t>
  </si>
  <si>
    <t xml:space="preserve">Democratizing longevity science/solutions: making whatever future solutions we come up with accessible to everyone, rather than just a certain small subpopulation</t>
  </si>
  <si>
    <t xml:space="preserve">Applying machine learning and artificial intelligence to enable modern solutions for aging and health: using large amounts of data and generative modeling to aid in coming up with these solutions</t>
  </si>
  <si>
    <t xml:space="preserve">i. For females, maintaining regular periods, managing hormones during menopause and living a long live that is healthy </t>
  </si>
  <si>
    <t xml:space="preserve">I think democratizing healthcare is the most important for society because there are a lot of people who cannot afford healthcare, especially in the US, and democratizing this would allow everyone to benefit and create a healthy society.</t>
  </si>
  <si>
    <t xml:space="preserve">ii. Have science work on maintaining a long and healthy aging and life and produce solutions and new inventions and make these accessible in an equitable way to society </t>
  </si>
  <si>
    <t xml:space="preserve">iii. Automating the monitoring and suggestions for a healthy aging process and lifestyle</t>
  </si>
  <si>
    <t xml:space="preserve">And personally, boosting reproductive health is most important to me individually since I want to have a healthy aging process and ML work is I think would be most beneficial in monitoring but I think people can already monitor themselves quite well if they pay attention to their body signals.</t>
  </si>
  <si>
    <t xml:space="preserve">Texas, USA</t>
  </si>
  <si>
    <t xml:space="preserve">Arizona, USA</t>
  </si>
  <si>
    <t xml:space="preserve">For me, developing solutions for aging and health directly solves the problem, and with the AI boom, we can utilize it to further advance our understanding of the diseases. Then, I think it is important to make sure such solutions are affordable and accessible to everyone. Finally, (i) seems more of a general statement, so I ranked it third since it contributes more to the larger picture goal.</t>
  </si>
  <si>
    <t xml:space="preserve">For the society, I think AI development will still continue, but a short-term goal will be to make healthcare more affordable and generalizable to the broader population, as this is important regardless of the stage of discovery. Then, for broader goals, applying ML is the future of healthcare discovery in aging, and in turn, boosting reproductive health overall.</t>
  </si>
  <si>
    <t xml:space="preserve">Three things I would like to maintain as I age would be: </t>
  </si>
  <si>
    <t xml:space="preserve">- a healthy mobile body </t>
  </si>
  <si>
    <t xml:space="preserve">- maybe a house </t>
  </si>
  <si>
    <t xml:space="preserve">- my ability to speak up</t>
  </si>
  <si>
    <t xml:space="preserve">Alabama/US</t>
  </si>
  <si>
    <t xml:space="preserve">MD/US</t>
  </si>
  <si>
    <t xml:space="preserve">Maryland, US</t>
  </si>
  <si>
    <t xml:space="preserve">I think making healthcare accessible is the most important aspect, since there’s going to be less of an impact for those technologies if they’re not able to be used by the majority of the population</t>
  </si>
  <si>
    <t xml:space="preserve">Many people who want to have children may not be able to due to financial constraints, and when they’re finally able to have children later in life their reproductive capabilities may have decreased.</t>
  </si>
  <si>
    <t xml:space="preserve">IL, USA</t>
  </si>
  <si>
    <t xml:space="preserve">MA, USA</t>
  </si>
  <si>
    <t xml:space="preserve">Chicago, IL</t>
  </si>
  <si>
    <t xml:space="preserve">Dallas, TX</t>
  </si>
  <si>
    <t xml:space="preserve">i. Increasing access to healthcare for all women</t>
  </si>
  <si>
    <t xml:space="preserve">Absolutely</t>
  </si>
  <si>
    <t xml:space="preserve">ii. A long overdue need, something that should be expected in this day in age</t>
  </si>
  <si>
    <t xml:space="preserve">iii. Using AI to data crunch to assist physicians in evaluations.</t>
  </si>
  <si>
    <t xml:space="preserve">Ny </t>
  </si>
  <si>
    <t xml:space="preserve">Getting older </t>
  </si>
  <si>
    <t xml:space="preserve">Staying fit and active mentally and physically </t>
  </si>
  <si>
    <t xml:space="preserve">Staying fit and active physically needs to be prioritized to keep up quality of life </t>
  </si>
  <si>
    <t xml:space="preserve">Mobility, sharpness, memory </t>
  </si>
  <si>
    <t xml:space="preserve">Working out, constantly learning </t>
  </si>
  <si>
    <t xml:space="preserve">Using modern science and technology to address aging </t>
  </si>
  <si>
    <t xml:space="preserve">Personal preference </t>
  </si>
  <si>
    <t xml:space="preserve">Democratizing solutions </t>
  </si>
  <si>
    <t xml:space="preserve">Yes </t>
  </si>
  <si>
    <t xml:space="preserve">The loss of collagen, slackening skin, more vulnerable to disease </t>
  </si>
  <si>
    <t xml:space="preserve">We should make people understand the importance of preventive care so they are less likely to have serious health problems </t>
  </si>
  <si>
    <t xml:space="preserve">Physical mobility, mental sharpness, independence </t>
  </si>
  <si>
    <t xml:space="preserve">Loneliness in elderly populations is a big issue and i think that compared to other medical issues, this could be more quickly solved. Psychological factors also have a big impact on physical health </t>
  </si>
  <si>
    <t xml:space="preserve">Physical mobility, mental sharpness, memory </t>
  </si>
  <si>
    <t xml:space="preserve">Solutions to help engineer problems facing elderly individuals </t>
  </si>
  <si>
    <t xml:space="preserve">Just the ability to be independent and move around </t>
  </si>
  <si>
    <t xml:space="preserve">Solutions to aging health </t>
  </si>
  <si>
    <t xml:space="preserve">New solutions not being affordable </t>
  </si>
  <si>
    <t xml:space="preserve">Affordability </t>
  </si>
  <si>
    <t xml:space="preserve">Organizations like For All Ages are committed to fighting age loneliness </t>
  </si>
  <si>
    <t xml:space="preserve">Physical mobility, mental sharpness, and relationships </t>
  </si>
  <si>
    <t xml:space="preserve">Take good care of my body and mind by paying attention to what i eat and do. </t>
  </si>
  <si>
    <t xml:space="preserve">Applying modern solutions to help solve improve experiences with aging and longevity. </t>
  </si>
  <si>
    <t xml:space="preserve">Reproductive health and longevity has direct impact on quality of life. AI can also help develop better solutions, while accessibility is important to ensure that those solutions reach everyone. They are all important, but i prioritized getting the solutions to work first. </t>
  </si>
  <si>
    <t xml:space="preserve">Maryland USA</t>
  </si>
  <si>
    <t xml:space="preserve">Adequate resources to healthcare </t>
  </si>
  <si>
    <t xml:space="preserve">Eat healthy, weight lift, continue mentally stimulating activities. </t>
  </si>
  <si>
    <t xml:space="preserve">Physical Independence. </t>
  </si>
  <si>
    <t xml:space="preserve">I think AI and increasing reproductive health doesn't mean that much if its benefits are anot accessible to everyone. </t>
  </si>
  <si>
    <t xml:space="preserve">For democratizing longevity, something that excites me most would be the resolutions between the SES and longevity expectancy gap. </t>
  </si>
  <si>
    <t xml:space="preserve">yes, I think there are. An example would be any technologies that have potential to extend peoples lifespan not being offered to everyone. </t>
  </si>
  <si>
    <t xml:space="preserve">Gansu/P.R.China</t>
  </si>
  <si>
    <t xml:space="preserve">Dallas, Tx</t>
  </si>
  <si>
    <t xml:space="preserve">Mental smartness, relationship and physical mobility </t>
  </si>
  <si>
    <t xml:space="preserve">Daily 30 minutes exercises, reading books and making more friends </t>
  </si>
  <si>
    <t xml:space="preserve">When we use technology and Ai to help improve the other two topics, we need make sure we still keep privacy, safe,equality on human. </t>
  </si>
  <si>
    <t xml:space="preserve">definitely for all topics, cause there's safe science and unethical science </t>
  </si>
  <si>
    <t xml:space="preserve">Physically also psychologically </t>
  </si>
  <si>
    <t xml:space="preserve">Higher cost of healthcare </t>
  </si>
  <si>
    <t xml:space="preserve">Preventive healthcare knowledge learning and training, which would help keep overall aging population healthier with less cost of healthcare </t>
  </si>
  <si>
    <t xml:space="preserve">Physical mobility, mental sharpness, psychological resilience </t>
  </si>
  <si>
    <t xml:space="preserve">Read good books and maintain good social relationships </t>
  </si>
  <si>
    <t xml:space="preserve">We need to make the solutions available to as many as possible, how the solutions are implemented is as secondary priority </t>
  </si>
  <si>
    <t xml:space="preserve">The data privacy &amp; biological hazards </t>
  </si>
  <si>
    <t xml:space="preserve">Safety, specifically those who live alone, because they may easily get injured without others noticing, eventually lead to serious incidents or even death. </t>
  </si>
  <si>
    <t xml:space="preserve">united states</t>
  </si>
  <si>
    <t xml:space="preserve">The natural process of life, weaken in body and mind </t>
  </si>
  <si>
    <t xml:space="preserve">Economy </t>
  </si>
  <si>
    <t xml:space="preserve">How they are taken care of </t>
  </si>
  <si>
    <t xml:space="preserve">Maybe 401k </t>
  </si>
  <si>
    <t xml:space="preserve">physical mobility, mental sharpness, dignity </t>
  </si>
  <si>
    <t xml:space="preserve">Health care, technology </t>
  </si>
  <si>
    <t xml:space="preserve">Facing the challenges of aging from different perspectives </t>
  </si>
  <si>
    <t xml:space="preserve">Accessibility should be most important when considering facing the whole society </t>
  </si>
  <si>
    <t xml:space="preserve">To see how technology evolves </t>
  </si>
  <si>
    <t xml:space="preserve">How elderly people are treated </t>
  </si>
  <si>
    <t xml:space="preserve">Regular ethical standards </t>
  </si>
  <si>
    <t xml:space="preserve">Work collaboratively to help humans live longer and also healthier </t>
  </si>
  <si>
    <t xml:space="preserve">Physical mobility, relationships and friendships, mental ability </t>
  </si>
  <si>
    <t xml:space="preserve">Potential solutions to some problems in the healthcare and aging industry </t>
  </si>
  <si>
    <t xml:space="preserve">That more advanced technologies will only increase the gap in access to healthcare </t>
  </si>
  <si>
    <t xml:space="preserve">Korea</t>
  </si>
  <si>
    <t xml:space="preserve">KEeping medications affordable </t>
  </si>
  <si>
    <t xml:space="preserve">staying fit </t>
  </si>
  <si>
    <t xml:space="preserve">alabama </t>
  </si>
  <si>
    <t xml:space="preserve">texas </t>
  </si>
  <si>
    <t xml:space="preserve">getting old </t>
  </si>
  <si>
    <t xml:space="preserve">not sure </t>
  </si>
  <si>
    <t xml:space="preserve">retirement funds </t>
  </si>
  <si>
    <t xml:space="preserve">better government policies for retirement </t>
  </si>
  <si>
    <t xml:space="preserve">relationship independence mental sharpness </t>
  </si>
  <si>
    <t xml:space="preserve">exercise and take care of my health </t>
  </si>
  <si>
    <t xml:space="preserve">i think health is still most important </t>
  </si>
  <si>
    <t xml:space="preserve">reproductive health </t>
  </si>
  <si>
    <t xml:space="preserve">sexism </t>
  </si>
  <si>
    <t xml:space="preserve">yes no exploitation of women </t>
  </si>
  <si>
    <t xml:space="preserve">texas</t>
  </si>
  <si>
    <t xml:space="preserve">maine</t>
  </si>
  <si>
    <t xml:space="preserve">aging is the process of getting older </t>
  </si>
  <si>
    <t xml:space="preserve">the greatest challenge is how they will be taken care of </t>
  </si>
  <si>
    <t xml:space="preserve">my friendships, money, and overall physcial appearrance </t>
  </si>
  <si>
    <t xml:space="preserve">these are all ways to help combat aging or contribute to aging research done </t>
  </si>
  <si>
    <t xml:space="preserve">reeproductive health is not focused on enough and should be </t>
  </si>
  <si>
    <t xml:space="preserve">my greatest concern to this topic is the amount of interest other people will take in it </t>
  </si>
  <si>
    <t xml:space="preserve">not that i can think of </t>
  </si>
  <si>
    <t xml:space="preserve">california</t>
  </si>
  <si>
    <t xml:space="preserve">i think maintaining independence and still being able to do the things they love </t>
  </si>
  <si>
    <t xml:space="preserve">more afforable healthcare for people </t>
  </si>
  <si>
    <t xml:space="preserve">government and more probono </t>
  </si>
  <si>
    <t xml:space="preserve">Exercise </t>
  </si>
  <si>
    <t xml:space="preserve">United States of America</t>
  </si>
  <si>
    <t xml:space="preserve">1. Physical strength/mobility</t>
  </si>
  <si>
    <t xml:space="preserve">2. Mental Clarity</t>
  </si>
  <si>
    <t xml:space="preserve">3. Relationships</t>
  </si>
  <si>
    <t xml:space="preserve">California US</t>
  </si>
  <si>
    <t xml:space="preserve">3a. Which country are you from?</t>
  </si>
  <si>
    <t xml:space="preserve">3b. Which state are you from?</t>
  </si>
  <si>
    <t xml:space="preserve">4a. In which country do you currently reside?</t>
  </si>
  <si>
    <t xml:space="preserve">4b. In which state do you currently reside?</t>
  </si>
  <si>
    <t xml:space="preserve">6. If you had to guess, what fraction of the population in the United States is above 65 years old (percent)?</t>
  </si>
  <si>
    <t xml:space="preserve">12a. How would you describe what "Boosting reproductive health and longevity" means in 1 sentence?</t>
  </si>
  <si>
    <t xml:space="preserve">12b. How would you describe what "Democratizing longevity science/solutions" means in 1 sentence?</t>
  </si>
  <si>
    <t xml:space="preserve">12c. How would you describe what "Applying machine learning and AI to aging and health" means in 1 sentence?</t>
  </si>
  <si>
    <t xml:space="preserve">13. Rank the three topics in order of importance to you as an individual. [Boosting reproductive health and longevity]</t>
  </si>
  <si>
    <t xml:space="preserve">13. Rank the three topics in order of importance to you as an individual. [Democratizing longevity science/solutions]</t>
  </si>
  <si>
    <t xml:space="preserve">13. Rank the three topics in order of importance to you as an individual. [Applying machine learning and AI to aging and health]</t>
  </si>
  <si>
    <t xml:space="preserve">14. Rank the three topics in order of importance to society. [Boosting reproductive health and longevity]</t>
  </si>
  <si>
    <t xml:space="preserve">14. Rank the three topics in order of importance to society. [Democratizing longevity science/solutions]</t>
  </si>
  <si>
    <t xml:space="preserve">14. Rank the three topics in order of importance to society. [Applying machine learning and AI to aging and health]</t>
  </si>
  <si>
    <t xml:space="preserve">16. Which topic excites you most?</t>
  </si>
  <si>
    <t xml:space="preserve">17. What excites you most about that topic?</t>
  </si>
  <si>
    <t xml:space="preserve">18. Which topic are you most concerned about?</t>
  </si>
  <si>
    <t xml:space="preserve">19. What is your greatest concern about that topic?</t>
  </si>
  <si>
    <t xml:space="preserve">20. Are there ethical considerations that should be in place when developing solutions for these topics?</t>
  </si>
  <si>
    <t xml:space="preserve">21. Are you excited about the future of aging research?</t>
  </si>
  <si>
    <t xml:space="preserve">22. Do you think Bioengineers can play a role in developing solutions?</t>
  </si>
  <si>
    <t xml:space="preserve">Man</t>
  </si>
  <si>
    <t xml:space="preserve">Increasing window of peak fitness</t>
  </si>
  <si>
    <t xml:space="preserve">Equity of healthcare access to expand lifespan</t>
  </si>
  <si>
    <t xml:space="preserve">Implementing modern technology into how we research and manage aging</t>
  </si>
  <si>
    <t xml:space="preserve">1 (most important)</t>
  </si>
  <si>
    <t xml:space="preserve">3 (least important)</t>
  </si>
  <si>
    <t xml:space="preserve">Applying machine learning and AI to aging and health</t>
  </si>
  <si>
    <t xml:space="preserve">Losing clarity of thoughts and movement ability. </t>
  </si>
  <si>
    <t xml:space="preserve">Agency and lack of support system </t>
  </si>
  <si>
    <t xml:space="preserve">Media illeteracy . Most solutions to fixing problems created by aging comes down to very basic simple proven things (good diet, decent amount of exercise and community). I think people get mislead by the system into believing they need something new every-time. Aging populations, such as my parents, get easily confused. </t>
  </si>
  <si>
    <t xml:space="preserve">Mostly from conversations but there should be large scale educational initiatives taken to build support system around elderly. Hanging out with them, helping them make friends, group exercises and projects etc. </t>
  </si>
  <si>
    <t xml:space="preserve">Being able to have sex safely.</t>
  </si>
  <si>
    <t xml:space="preserve">Improving health accessibility across class, race, gender, age etc. </t>
  </si>
  <si>
    <t xml:space="preserve">Using Ai to automate repetitive tasks in diagnostics that improve but don't replace human judgement. </t>
  </si>
  <si>
    <t xml:space="preserve">I think most health issues are solved in a individual basis and the information already exists. On a personal level of course my own reproductive health matters the most. However, if we are accepting that accessibility is the biggest problem in healthcare then I firmly believe democratizing health solutions is the most important thing for society. We already had the tools to solve some of these issues before AI even exists. </t>
  </si>
  <si>
    <t xml:space="preserve">Unlike the the other two category, it feels like a more impactful venture. No one in my age group struggles with first topic and I still have distrust on how much ML and AI can really be used for healthcare. </t>
  </si>
  <si>
    <t xml:space="preserve">Woman</t>
  </si>
  <si>
    <t xml:space="preserve">Reducing birth complications and extending lifespan</t>
  </si>
  <si>
    <t xml:space="preserve">Making treatments available to everyone and reducing cost burdens</t>
  </si>
  <si>
    <t xml:space="preserve">Accelerating drug discovery to find more therapeutic targets to help certain conditions</t>
  </si>
  <si>
    <t xml:space="preserve">Maintaining organ health for reproduction</t>
  </si>
  <si>
    <t xml:space="preserve">Making accessible solutions and devices more prevelant and reachable</t>
  </si>
  <si>
    <t xml:space="preserve">Use AI to be able to predict and provide advice on a person’s actions while young to prevent poor health when old</t>
  </si>
  <si>
    <t xml:space="preserve">Allows for usage of clever engineering principles to automate and make for better usability </t>
  </si>
  <si>
    <t xml:space="preserve">AI Has a lot of ethical concerns snd we currently as a society place too much trust in its very technically immature state </t>
  </si>
  <si>
    <t xml:space="preserve">Yes, for AI it might include using a lot of peoples personal data which causes privacy issues </t>
  </si>
  <si>
    <t xml:space="preserve">1) memories of places i've been, shows i've seen, and my friends</t>
  </si>
  <si>
    <t xml:space="preserve">Reproductive health can be boosted by maintaining the systems in your body that support those cells' health, including eating well and staying fit to prevent negative DNA methylation effects.</t>
  </si>
  <si>
    <t xml:space="preserve">Getting treatment or solutions for boosting longevity is accesible to all populations </t>
  </si>
  <si>
    <t xml:space="preserve">Machine learning and AI can assist with quick diagnostics and can be a tool to further research the mechanics of aging within the very complex cell.</t>
  </si>
  <si>
    <t xml:space="preserve">2) good health</t>
  </si>
  <si>
    <t xml:space="preserve">3) reasoning supported by my education and staying in touch with new things in society</t>
  </si>
  <si>
    <t xml:space="preserve">diseases </t>
  </si>
  <si>
    <t xml:space="preserve">keeping fertility system strong</t>
  </si>
  <si>
    <t xml:space="preserve">making advanced technologies available to people</t>
  </si>
  <si>
    <t xml:space="preserve">building algorithms to predict health issues</t>
  </si>
  <si>
    <t xml:space="preserve">because reproductive health should be prioritised and then ai-ml is growing currently so it can be used to predict disease and then eventually democratizing longetivity for solutions to cure diseases </t>
  </si>
  <si>
    <t xml:space="preserve">because i love to apply ml skills to build predictable algorithms </t>
  </si>
  <si>
    <t xml:space="preserve">yes there maybe some for the reproductive solution </t>
  </si>
  <si>
    <t xml:space="preserve">Brain function, self sustenance and social connections </t>
  </si>
  <si>
    <t xml:space="preserve">Reading for brain function </t>
  </si>
  <si>
    <t xml:space="preserve">Providing support during pregnancy and childhood</t>
  </si>
  <si>
    <t xml:space="preserve">making longevity solutions equitable </t>
  </si>
  <si>
    <t xml:space="preserve">No clue</t>
  </si>
  <si>
    <t xml:space="preserve">democratizing is super important to ensure equality in resource distribution, i think AI is being used in every sphere now to unleash its potential </t>
  </si>
  <si>
    <t xml:space="preserve">using AI can have privacy concerns especially for the aging population </t>
  </si>
  <si>
    <t xml:space="preserve">Yes, privacy concerns </t>
  </si>
  <si>
    <t xml:space="preserve">Increasing the times that people are fertile for along with overall lifespan.</t>
  </si>
  <si>
    <t xml:space="preserve">Opening access to healthcare that prevents chronic illness associated with aging.</t>
  </si>
  <si>
    <t xml:space="preserve">Developing personal and societal technology to promote public health.</t>
  </si>
  <si>
    <t xml:space="preserve">accessibility to regular physical activity </t>
  </si>
  <si>
    <t xml:space="preserve">making more walkable routes </t>
  </si>
  <si>
    <t xml:space="preserve">not in particular </t>
  </si>
  <si>
    <t xml:space="preserve">regular physical activity, engagement in creative pursuits, intellectual stimulation through reading and academics </t>
  </si>
  <si>
    <t xml:space="preserve">schedule them into my everyday life and make them habits </t>
  </si>
  <si>
    <t xml:space="preserve">Providing increased accessibility to reproductive healthcare </t>
  </si>
  <si>
    <t xml:space="preserve">Changing the infrastructure to make fitness sustainable and apart of everyday life </t>
  </si>
  <si>
    <t xml:space="preserve">Using newer technologies to assist with solution brainstorming </t>
  </si>
  <si>
    <t xml:space="preserve">Democratizing the solutions will allow for more widespread effects. </t>
  </si>
  <si>
    <t xml:space="preserve">I hope it will help increase accessibility to reproductive healthcare. </t>
  </si>
  <si>
    <t xml:space="preserve">If it can be executed in time for the current older population </t>
  </si>
  <si>
    <t xml:space="preserve">people should not be shamed into engaging with the solutions </t>
  </si>
  <si>
    <t xml:space="preserve">Be able to reproduce and have a good quality of life for longer.</t>
  </si>
  <si>
    <t xml:space="preserve">Making longevity science more accessible.</t>
  </si>
  <si>
    <t xml:space="preserve">Use machine learning to solve problems in aging science.</t>
  </si>
  <si>
    <t xml:space="preserve">no cancer</t>
  </si>
  <si>
    <t xml:space="preserve">improving reproductive health</t>
  </si>
  <si>
    <t xml:space="preserve">making longevity science more available</t>
  </si>
  <si>
    <t xml:space="preserve">like literally what it says</t>
  </si>
  <si>
    <t xml:space="preserve">no joint pain</t>
  </si>
  <si>
    <t xml:space="preserve">staying healthy</t>
  </si>
  <si>
    <t xml:space="preserve">To improve the overall time one is alive as well as the time for which they are fertile.</t>
  </si>
  <si>
    <t xml:space="preserve">To make the methods to achieve longevity affordable to the masses.</t>
  </si>
  <si>
    <t xml:space="preserve">Using AI to aid in solving problems related to aging and health.</t>
  </si>
  <si>
    <t xml:space="preserve">Boosting reproductive health and longevity means to extend the period through which women can bear children and through which men can produce sperm.</t>
  </si>
  <si>
    <t xml:space="preserve">Democratizing longevity science/solutions means the prioritization and selection of projects in the longevity science realm should be up to everyone.</t>
  </si>
  <si>
    <t xml:space="preserve">Applying machine learning and AI to aging and health means to use artificial intelligence technology to explore and solve problems associated with aging.</t>
  </si>
  <si>
    <t xml:space="preserve">fair and accessible solutions, </t>
  </si>
  <si>
    <t xml:space="preserve">Accessibility and being able to do tasks in their daily lives </t>
  </si>
  <si>
    <t xml:space="preserve">Increasing reproductive health and wellbeing </t>
  </si>
  <si>
    <t xml:space="preserve">Making sure that everyone can have access to things that help with aging</t>
  </si>
  <si>
    <t xml:space="preserve">Using AI to help find solutions to help with aging </t>
  </si>
  <si>
    <t xml:space="preserve">Being able to apply new technologies to create new solutions to help the aging population and bridge the gaps in the current problems we face </t>
  </si>
  <si>
    <t xml:space="preserve">AI being used inappropriately </t>
  </si>
  <si>
    <t xml:space="preserve">Getting older, passing by years </t>
  </si>
  <si>
    <t xml:space="preserve">Making it easier for our population to procreate and live longer.</t>
  </si>
  <si>
    <t xml:space="preserve">Making it easier for everyone to access solutions to live longer.</t>
  </si>
  <si>
    <t xml:space="preserve">Making it easier to analyze data and product solutions using AI models.</t>
  </si>
  <si>
    <t xml:space="preserve">Democratization unfortunately doesn’t feel like a priority, AI feels top of mind, longevity solutions are reasonably prioritized but not very accessible. </t>
  </si>
  <si>
    <t xml:space="preserve">Extending how long reproductive organs stay healthy, especially ovaries, which age faster than the rest of the body and affect overall health.</t>
  </si>
  <si>
    <t xml:space="preserve">Making sure longevity treatments and knowledge reach everyone, not just people who can afford them.</t>
  </si>
  <si>
    <t xml:space="preserve">Using data and models to predict disease, track how people age, and tailor care to each person.</t>
  </si>
  <si>
    <t xml:space="preserve">being healthy</t>
  </si>
  <si>
    <t xml:space="preserve">making it easy to vote on action</t>
  </si>
  <si>
    <t xml:space="preserve">moving with the times</t>
  </si>
  <si>
    <t xml:space="preserve">yes for sure</t>
  </si>
  <si>
    <t xml:space="preserve">It means that we keep women fertile for longer</t>
  </si>
  <si>
    <t xml:space="preserve">It means making it affordable for everyone</t>
  </si>
  <si>
    <t xml:space="preserve">It means using AI to pre screen drugs.</t>
  </si>
  <si>
    <t xml:space="preserve">The job hunt--social security is increasingly unaffordable, families as the default safety net are less cohesive, so there's a bunch of old people who need money but they're far less employable in their usual careers. Maybe work as like a crossing guard or grocery store stockers. </t>
  </si>
  <si>
    <t xml:space="preserve">Don't be sedentary, don't drink and pop 1st gen antihistamines, don't develop bad sleep habits, </t>
  </si>
  <si>
    <t xml:space="preserve">Not getting ED</t>
  </si>
  <si>
    <t xml:space="preserve">Making access to services that minutely help aging problems (small things for quality of life that can come off as superfluous, like household helpers or installing a falling bar in the shower) more available. </t>
  </si>
  <si>
    <t xml:space="preserve">Getting medical AI programs to be more discriminative of ailments and diseases based on age</t>
  </si>
  <si>
    <t xml:space="preserve">To be frank neither of these are particularly exciting to me :/ </t>
  </si>
  <si>
    <t xml:space="preserve">Widespread access is kind of a concern with all of these, not really its own category. </t>
  </si>
  <si>
    <t xml:space="preserve">I don’t know. </t>
  </si>
  <si>
    <t xml:space="preserve">Modern medicine has capability of slowing aging.</t>
  </si>
  <si>
    <t xml:space="preserve">The humans have kept dreaming that they would be immortal.</t>
  </si>
  <si>
    <t xml:space="preserve">Why do silicon-based human have responsibility to help carbon-based human?</t>
  </si>
  <si>
    <t xml:space="preserve">Elongating the timeframe for and reducing barriers to reproduction in men and women.</t>
  </si>
  <si>
    <t xml:space="preserve">Allowing for the members of the society that brings about the catalysis of aging interventions to equally access the fruits of these efforts.</t>
  </si>
  <si>
    <t xml:space="preserve">Using ML/AI to enable the individualization of healthcare solutions</t>
  </si>
  <si>
    <t xml:space="preserve">Having the money to live out what is now a more extended life. I feel that the priority should be on the aging population, having enough benefits that they don’t need to spend all their money just to stay alive and have a place to live and care. </t>
  </si>
  <si>
    <t xml:space="preserve">No, the opposite </t>
  </si>
  <si>
    <t xml:space="preserve">They seem like somewhat different categories, although related, but it sounds like a combination of exercise, diet and healthcare</t>
  </si>
  <si>
    <t xml:space="preserve">Creating a more equitable society where all people have access to excellent care and knowledge</t>
  </si>
  <si>
    <t xml:space="preserve">Create models that use existing data or ones that require new testing to better Predict or find disease earlier</t>
  </si>
  <si>
    <t xml:space="preserve">Willingness to learn and change views and access to good healthcare </t>
  </si>
  <si>
    <t xml:space="preserve">Not really because the government uses it to their advantage in order to control the population </t>
  </si>
  <si>
    <t xml:space="preserve">Being able to produce children at a later age while being in their lives for as long as possible.</t>
  </si>
  <si>
    <t xml:space="preserve">Adding regulations to those practices to allow it to be equal access for all.</t>
  </si>
  <si>
    <t xml:space="preserve">Using advanced technologies to find a solution to a problem.</t>
  </si>
  <si>
    <t xml:space="preserve">There are less complications with pregnancies/giving birth, and less risk of STDs</t>
  </si>
  <si>
    <t xml:space="preserve">Giving everyone access to products and important information about how to stay healthy </t>
  </si>
  <si>
    <t xml:space="preserve">Having an at home assistant to help manage/keep track of your health or having AI help with tasks you can no longer do</t>
  </si>
  <si>
    <t xml:space="preserve">I think everyone should have easy access to health related things which would improve many different aspects of life/health simultaneously. For society, the focus is all on improving men’s reproductive health and trying to control women’s abortion rights/not studying women’s reproductive health enough so that creates a huge inequality gap. </t>
  </si>
  <si>
    <t xml:space="preserve">Making sure I people can have healthy babies for as long as possible.</t>
  </si>
  <si>
    <t xml:space="preserve">Ensuring many people, not just corporate profits, have access to these.</t>
  </si>
  <si>
    <t xml:space="preserve">Accelerating health with optimized systems.</t>
  </si>
  <si>
    <t xml:space="preserve">Healthcare and cost of living </t>
  </si>
  <si>
    <t xml:space="preserve">Extending reproductive health</t>
  </si>
  <si>
    <t xml:space="preserve">Ensuring everyone has access</t>
  </si>
  <si>
    <t xml:space="preserve">Using data and model to solve problems regarding aging and health</t>
  </si>
  <si>
    <t xml:space="preserve">Finances, having enough to support themselves </t>
  </si>
  <si>
    <t xml:space="preserve">We need to support people at all stages of their lives so that they have enough saved to retire comfortably </t>
  </si>
  <si>
    <t xml:space="preserve">Helping people achieve their goals</t>
  </si>
  <si>
    <t xml:space="preserve">Reducing costs</t>
  </si>
  <si>
    <t xml:space="preserve">Innovation while retaining caution</t>
  </si>
  <si>
    <t xml:space="preserve">The possibilities for more access to what we’ve already invented but is out of reach for the low and middle class individuals. </t>
  </si>
  <si>
    <t xml:space="preserve">Lack of sustainable care programs </t>
  </si>
  <si>
    <t xml:space="preserve">Intelligence, personality, physical functioning </t>
  </si>
  <si>
    <t xml:space="preserve">Increasing ability to have babies and live longer </t>
  </si>
  <si>
    <t xml:space="preserve">Making the ability to live longer more accessible to more people </t>
  </si>
  <si>
    <t xml:space="preserve">Using ai to study and improve aging and health</t>
  </si>
  <si>
    <t xml:space="preserve">Alzheimer’s </t>
  </si>
  <si>
    <t xml:space="preserve">Being able to have intercourss longer</t>
  </si>
  <si>
    <t xml:space="preserve">Making everyone able to get old</t>
  </si>
  <si>
    <t xml:space="preserve">Buzzword filled sentence</t>
  </si>
  <si>
    <t xml:space="preserve">Having kids and making sure they live long.</t>
  </si>
  <si>
    <t xml:space="preserve">People voting to study how to make people live longer.</t>
  </si>
  <si>
    <t xml:space="preserve">Using systems to figure out how to how to prioritize aging and health.</t>
  </si>
  <si>
    <t xml:space="preserve">Mental and physical health exercises, like meditation and fitness </t>
  </si>
  <si>
    <t xml:space="preserve">Increasing and prolonging fertility.</t>
  </si>
  <si>
    <t xml:space="preserve">Increasing healthcare accessibility to limited populations.</t>
  </si>
  <si>
    <t xml:space="preserve">Using artificial intelligence to discover patterns in health data and offer innovative solutions to health problems.</t>
  </si>
  <si>
    <t xml:space="preserve">More individuals would be able to increase their life expectancy </t>
  </si>
  <si>
    <t xml:space="preserve">Health data privacy </t>
  </si>
  <si>
    <t xml:space="preserve">healthcare access, financial concerns, living longer with chronic illnesses. </t>
  </si>
  <si>
    <t xml:space="preserve">i think from a government / tax payer perspective we need to come up with a way for aging people to be able to afford their lives. </t>
  </si>
  <si>
    <t xml:space="preserve">no. </t>
  </si>
  <si>
    <t xml:space="preserve">my health, my cognitive strength, my independence. </t>
  </si>
  <si>
    <t xml:space="preserve">start healthy habits now and build connections with people </t>
  </si>
  <si>
    <t xml:space="preserve">Addressing fertility in aging maternal populations. </t>
  </si>
  <si>
    <t xml:space="preserve">prioritizing longevity for all people rather than the elite. </t>
  </si>
  <si>
    <t xml:space="preserve">using ai to come up with solutions to issues with aging populations. </t>
  </si>
  <si>
    <t xml:space="preserve">i think reproductive health is the most impoetant to me personally i am not sure it’s the most important to society as having more people without addressing the people we have is not a good solution. </t>
  </si>
  <si>
    <t xml:space="preserve">I don’t really know. </t>
  </si>
  <si>
    <t xml:space="preserve">There are many - concerns about AI usage. </t>
  </si>
  <si>
    <t xml:space="preserve">Body and mind getting older. Having more experiences and memories. </t>
  </si>
  <si>
    <t xml:space="preserve">loneliness </t>
  </si>
  <si>
    <t xml:space="preserve">healthcare services, since people living longer but necessarily healthier </t>
  </si>
  <si>
    <t xml:space="preserve">Stay connected in social groups and regular exercise </t>
  </si>
  <si>
    <t xml:space="preserve">Increasing the age of which women can be fertile and have healthy viable pregnancies </t>
  </si>
  <si>
    <t xml:space="preserve">Allowing people to choose and vote on health services they desire and make it accessible for all </t>
  </si>
  <si>
    <t xml:space="preserve">incorporating telehealth and other services to make healthcare more accessible to the aging population </t>
  </si>
  <si>
    <t xml:space="preserve">Lots of polarizing politics around reproductive health </t>
  </si>
  <si>
    <t xml:space="preserve">Aging is a progressive, natural process that occurs until death </t>
  </si>
  <si>
    <t xml:space="preserve">Loneliness and isolation - loss of friends, partners, etc. </t>
  </si>
  <si>
    <t xml:space="preserve">Ensuring fertility and reproductive function is preserved for as long as possible</t>
  </si>
  <si>
    <t xml:space="preserve">Increasing access to different things that have been researched and are supported by scientific evidence</t>
  </si>
  <si>
    <t xml:space="preserve">Using technology and devices to support individuals as they age and through different health conditions</t>
  </si>
  <si>
    <t xml:space="preserve">Accessibility </t>
  </si>
  <si>
    <t xml:space="preserve">Health deteriorates slower </t>
  </si>
  <si>
    <t xml:space="preserve">Freedom of speech</t>
  </si>
  <si>
    <t xml:space="preserve">Not sure if the public will have a say </t>
  </si>
  <si>
    <t xml:space="preserve">Biological process of cellular damage or change over time </t>
  </si>
  <si>
    <t xml:space="preserve">Mobility </t>
  </si>
  <si>
    <t xml:space="preserve">Yes but not enough </t>
  </si>
  <si>
    <t xml:space="preserve">Exercise routine, routine blood work and solving brain teasers </t>
  </si>
  <si>
    <t xml:space="preserve">Setting rewards so I actually stick to a routine and involve people in things I do to feel less lonely </t>
  </si>
  <si>
    <t xml:space="preserve">Being more aware and prepared </t>
  </si>
  <si>
    <t xml:space="preserve">Making resources more known and accessible </t>
  </si>
  <si>
    <t xml:space="preserve">Leveraging technology to make resources available to everyone and making sure the resources they refer to are accurate </t>
  </si>
  <si>
    <t xml:space="preserve">Based of experience working in biotech and personal analysis </t>
  </si>
  <si>
    <t xml:space="preserve">How cool and fascinating the human body is </t>
  </si>
  <si>
    <t xml:space="preserve">How AI can go rogue or can be misleading </t>
  </si>
  <si>
    <t xml:space="preserve">The process of getting older and all of the metabolic processes that come with it </t>
  </si>
  <si>
    <t xml:space="preserve">Access to proper healthcare and dental care needs! Shortage of medical professionals </t>
  </si>
  <si>
    <t xml:space="preserve">Shortage of medical professionals- we need more healthcare professionals to care for this older population and all of their healthcare needs (65+ population usually has a lot of complex medical needs) </t>
  </si>
  <si>
    <t xml:space="preserve">paying them more and treating them better so they retain their jobs and also accepting more people into medical schools/ creating more schools </t>
  </si>
  <si>
    <t xml:space="preserve">1. Fitness/ ability to move my body and exercise </t>
  </si>
  <si>
    <t xml:space="preserve">Yes! Regular doctors visits, regular exercise and strength training, reading and constantly using my brain </t>
  </si>
  <si>
    <t xml:space="preserve">Increasing fertility and our ability to live longer </t>
  </si>
  <si>
    <t xml:space="preserve">Making the science/ solutions for people to live longer available to everyone (not just the wealthy) </t>
  </si>
  <si>
    <t xml:space="preserve">Utilizing AI to help us better understand the aging process and potential solutions for letting people live healthy lives for longer. </t>
  </si>
  <si>
    <t xml:space="preserve">I think boosting reproductive health and longevity is the most pertinent to me and i think it would help everyone worldwide. I think overtime everything gets democratized and made cheaper it just takes a bit. And AI is helpful for these things but I don't think it's the most important. </t>
  </si>
  <si>
    <t xml:space="preserve">It has direct impact on me and my life </t>
  </si>
  <si>
    <t xml:space="preserve">AI has a lot of pitfalls- everything it says is not 100% accurate and we cannot rely on it. </t>
  </si>
  <si>
    <t xml:space="preserve">2. Intellect and memory (overall brain function)</t>
  </si>
  <si>
    <t xml:space="preserve">3. Overall good state of health </t>
  </si>
  <si>
    <t xml:space="preserve">Not really no. Medical advancements in cognitive health and prognosis has been pushed to the side by the government </t>
  </si>
  <si>
    <t xml:space="preserve">Retaining normal, early age reproductive health throughout aging and combatting reproductive issues.</t>
  </si>
  <si>
    <t xml:space="preserve">Increasing accessibility of long term health care solutions to the population regardless of socioeconomic status</t>
  </si>
  <si>
    <t xml:space="preserve">Using technological advancements such as ML and AI to boost productivity of research and development of innovative and long term health care solutions for humans</t>
  </si>
  <si>
    <t xml:space="preserve">In the government we now live with, conservation of money within the upper class is a priority and there is an absurd lack of concern regarding the lower class's health and well being. </t>
  </si>
  <si>
    <t xml:space="preserve">Use of IVF, HRT, and other interventions to maintain the ability to have children when you’re older, or if you choose not to have children to maintain safe levels of hormones to avoid adverse menopause side effects.</t>
  </si>
  <si>
    <t xml:space="preserve">Making longevity and solutions accessible to all, not just the wealthy who can afford boutique doctors. </t>
  </si>
  <si>
    <t xml:space="preserve">Using AI to diagnose, look over imaging, etc. </t>
  </si>
  <si>
    <t xml:space="preserve">I think that women will always come second to using AI. Unfortunately. </t>
  </si>
  <si>
    <t xml:space="preserve">It’s becoming more accessible! Through word of mouth and doctors willing to work with patients, I’ve seen more people able to access HRT and taking out the stigma even in the last 5 years more than previously. </t>
  </si>
  <si>
    <t xml:space="preserve">Some local initiatives, like through church groups or other volunteer groups but I think more could be done to loop in others who might not intentionally seek out community. </t>
  </si>
  <si>
    <t xml:space="preserve">It means to support the organs and bodily functions involved in reproduction, and extend the window in which humans can successfully reproduce.</t>
  </si>
  <si>
    <t xml:space="preserve">Solutions for promoting longevity should be available to people equally, not just the elite few who can pay for it.</t>
  </si>
  <si>
    <t xml:space="preserve">Using machine learning and AI tools to support scientific research into aging and health and to increase access to relevant prevention, treatment, and information to support an aging population.</t>
  </si>
  <si>
    <t xml:space="preserve">I think my fear is that it would be applied before the consequences are fully understood. </t>
  </si>
  <si>
    <t xml:space="preserve">Improving reproductive healthcare and finding ways to help people live longer lives.</t>
  </si>
  <si>
    <t xml:space="preserve">making longevity research and solutions available and affordable for everyone</t>
  </si>
  <si>
    <t xml:space="preserve">Using AI/Machine learning to analyze data, patters, and risks in regard to aging and health to develop more effective and personalized solutions and treatments.</t>
  </si>
  <si>
    <t xml:space="preserve">Improving the ability to replace a population.</t>
  </si>
  <si>
    <t xml:space="preserve">Making sure everyone can access health tools.</t>
  </si>
  <si>
    <t xml:space="preserve">Use new tech in new ways</t>
  </si>
  <si>
    <t xml:space="preserve">Increasing ability to produce children and live long prosperous lives</t>
  </si>
  <si>
    <t xml:space="preserve">Making systems to help people age slower</t>
  </si>
  <si>
    <t xml:space="preserve">Using tech to support healthy practices while aging</t>
  </si>
  <si>
    <t xml:space="preserve">Increasing life expectancy and reducing mortality during and immediately Post-pregnancy</t>
  </si>
  <si>
    <t xml:space="preserve">Allowing people or small units the freedom of choice and open discussion surrounding the implementation of the above definition </t>
  </si>
  <si>
    <t xml:space="preserve">Honestly I do not know other than applications in pursuit of exploratory data analysis </t>
  </si>
  <si>
    <t xml:space="preserve">The health implications and tackling potential health inequity that western medicine tends to overlook in favor of the more fancy solutions that are less accessible </t>
  </si>
  <si>
    <t xml:space="preserve">I think the greatest challenge facing our aging population is access to affordable and quality healthcare. </t>
  </si>
  <si>
    <t xml:space="preserve">mental + physical health = health</t>
  </si>
  <si>
    <t xml:space="preserve">I believe that everything should start with information on how to maintain one's health; therefore, the most accessible approach—spanning from kindergarten through school—is to teach people how to do this by providing the right information and proper instruction.</t>
  </si>
  <si>
    <t xml:space="preserve">Using AI to analyze health data, predict disease risks, and develop personalized approaches to healthier aging</t>
  </si>
  <si>
    <t xml:space="preserve">Increasing healthy habits for the purposes of supporting your reproductive organs and life span</t>
  </si>
  <si>
    <t xml:space="preserve">Creating resources that are accessible and affordable for all</t>
  </si>
  <si>
    <t xml:space="preserve">Using technology as a tool to support treatment of patients </t>
  </si>
  <si>
    <t xml:space="preserve">There is not enough being done to regulate this in healthcare </t>
  </si>
  <si>
    <t xml:space="preserve">Increasing the length of time in which they are able to conceive/bear children, and simultaneously addressing diseases that affect the reproductive system. </t>
  </si>
  <si>
    <t xml:space="preserve">Making sure that resources meant to increase their lifespan and quality of life are low-cost and easy to access.</t>
  </si>
  <si>
    <t xml:space="preserve">Doing the same science we have been doing but with different tools, which perhaps could make it more efficient.</t>
  </si>
  <si>
    <t xml:space="preserve">Getting older and losing bodily functions </t>
  </si>
  <si>
    <t xml:space="preserve">Funding and social security </t>
  </si>
  <si>
    <t xml:space="preserve">Budgeting and retirement planning since many people don't have enough funds saved to support themselves in the long term </t>
  </si>
  <si>
    <t xml:space="preserve">Financial education and better support from the government </t>
  </si>
  <si>
    <t xml:space="preserve">Health, mobility, cognition </t>
  </si>
  <si>
    <t xml:space="preserve">Exercising and staying mentally active </t>
  </si>
  <si>
    <t xml:space="preserve">Extending reproductive health and wellbeing </t>
  </si>
  <si>
    <t xml:space="preserve">Increasing access to healthcare </t>
  </si>
  <si>
    <t xml:space="preserve">Integrating AI into health systems so people can get better results quicker </t>
  </si>
  <si>
    <t xml:space="preserve">Accessibility and reproductive health have affected me more and I know people who are affected by it as well. AI is good but I would like to see the others fixed first </t>
  </si>
  <si>
    <t xml:space="preserve">I am getting older so increasing accessibility would help me in the future </t>
  </si>
  <si>
    <t xml:space="preserve">Privacy issues </t>
  </si>
  <si>
    <t xml:space="preserve">physical health, mental health, relationships, </t>
  </si>
  <si>
    <t xml:space="preserve">taking care of reproductive health</t>
  </si>
  <si>
    <t xml:space="preserve">improving accessibility and decreasing costs</t>
  </si>
  <si>
    <t xml:space="preserve">using ai to help understand aging and improve treatments </t>
  </si>
  <si>
    <t xml:space="preserve">ai is cool but is not a priority because it might not be able to help as many people as the other two in the short term </t>
  </si>
  <si>
    <t xml:space="preserve">ai is an developing field that can be beneficial in the development of the other two </t>
  </si>
  <si>
    <t xml:space="preserve">access and privacy </t>
  </si>
  <si>
    <t xml:space="preserve">Those in power (i.e. government) are in power, while they can't think. I don't care if they are republican, democrat, or independent, but if they are not even aware of their own surrounds and who they are due to some sort of neuro degenerative disease, then they should not be in power as they are making laws and bills that can change the direction of America. It wasn't a problem back in the day because people would generally die before that time. </t>
  </si>
  <si>
    <t xml:space="preserve">1. Always try for my goal: Be Happy</t>
  </si>
  <si>
    <t xml:space="preserve">It means to make people live longer and more fertile. </t>
  </si>
  <si>
    <t xml:space="preserve">I think that means that the solutions go to what the people need/want and not just out of personal interest. </t>
  </si>
  <si>
    <t xml:space="preserve">I think this one is self explanatory as we are using this new technology, AI, to help innovate and create new products/solutions to help with aging and health.</t>
  </si>
  <si>
    <t xml:space="preserve">Machines will replace humans. </t>
  </si>
  <si>
    <t xml:space="preserve">Yes as who is responsible if a pt. is killed due to a machine. </t>
  </si>
  <si>
    <t xml:space="preserve">2. Always get enough sleep and a warm bed to sleep in</t>
  </si>
  <si>
    <t xml:space="preserve">3. Always have enough for the little things in life like musicals and movies</t>
  </si>
  <si>
    <t xml:space="preserve">retirement </t>
  </si>
  <si>
    <t xml:space="preserve">not with the current administration </t>
  </si>
  <si>
    <t xml:space="preserve">Spending money towards genealogical research</t>
  </si>
  <si>
    <t xml:space="preserve">Researching as a collective </t>
  </si>
  <si>
    <t xml:space="preserve">Researching genetic sequences to eliminate diseases and syndromes</t>
  </si>
  <si>
    <t xml:space="preserve">The AI craze puts machine learning and AI solutions above all others currently </t>
  </si>
  <si>
    <t xml:space="preserve">It involves maintaining excellent physical health and a healthy weight.</t>
  </si>
  <si>
    <t xml:space="preserve">Making the latest science, technologies, and healthy-aging solutions accessible and affordable to everyone—not just wealthy people or those with access to elite healthcare.</t>
  </si>
  <si>
    <t xml:space="preserve">Using AI and machine learning to better understand aging, predict health risks, personalize prevention and treatment, and help people live longer, healthier lives.</t>
  </si>
  <si>
    <t xml:space="preserve">Physical and mental changes </t>
  </si>
  <si>
    <t xml:space="preserve">Mental supports </t>
  </si>
  <si>
    <t xml:space="preserve">Social connections </t>
  </si>
  <si>
    <t xml:space="preserve">Reading, exercising and eating </t>
  </si>
  <si>
    <t xml:space="preserve">Establishing a habit of reading and exercising </t>
  </si>
  <si>
    <t xml:space="preserve">Keeping the reproductive organs healthy </t>
  </si>
  <si>
    <t xml:space="preserve">Affordable health resources for everyone </t>
  </si>
  <si>
    <t xml:space="preserve">More advanced health care </t>
  </si>
  <si>
    <t xml:space="preserve">Intuition </t>
  </si>
  <si>
    <t xml:space="preserve">Preventive diagnostic and care </t>
  </si>
  <si>
    <t xml:space="preserve">Population </t>
  </si>
  <si>
    <t xml:space="preserve">Human rule the world, not AI </t>
  </si>
  <si>
    <t xml:space="preserve">A healthy body, a healthy mind</t>
  </si>
  <si>
    <t xml:space="preserve">Making longevity science and healthy-aging solutions accessible and affordable to everyone</t>
  </si>
  <si>
    <t xml:space="preserve">Using AI and technology to help people stay healthier and live longer.</t>
  </si>
  <si>
    <t xml:space="preserve">Challenging </t>
  </si>
  <si>
    <t xml:space="preserve">Learning how to age well, how to age with minimal regrets, how to meditate on the purpose and meaning of life, etc. </t>
  </si>
  <si>
    <t xml:space="preserve">I believe that God is real and that knowing Him is the answer to this challenge. </t>
  </si>
  <si>
    <t xml:space="preserve">1. My mind and memory; 2. My senses (sight and hearing and talking); 3. Mobility </t>
  </si>
  <si>
    <t xml:space="preserve">In limited ways. Healthy diet, exercise, social engagement, et. </t>
  </si>
  <si>
    <t xml:space="preserve">It means valuing human life and family values; encouraging families to grow and thrive interdependently through multiple generations. </t>
  </si>
  <si>
    <t xml:space="preserve">I really don’t know. Your parenthetical explanation above (making health care accessible to all) seems reasonable. </t>
  </si>
  <si>
    <t xml:space="preserve">It might mean asking AI to help inspire solutions in this area that we have not yet imagined. </t>
  </si>
  <si>
    <t xml:space="preserve">They are all very closely related, so prioritizing them is very difficult. </t>
  </si>
  <si>
    <t xml:space="preserve">The perceived lack of desire for larger families. </t>
  </si>
  <si>
    <t xml:space="preserve">Perhaps. </t>
  </si>
  <si>
    <t xml:space="preserve">Isolation because </t>
  </si>
  <si>
    <t xml:space="preserve">Create more affordable yet highly comfortable community compounds </t>
  </si>
  <si>
    <t xml:space="preserve">Mental and physical exercise </t>
  </si>
  <si>
    <t xml:space="preserve">Finding hospitals and planned parenthood </t>
  </si>
  <si>
    <t xml:space="preserve">Idk I don’t rly support ai</t>
  </si>
  <si>
    <t xml:space="preserve">Reproductive health is most important </t>
  </si>
  <si>
    <t xml:space="preserve">Getting older. </t>
  </si>
  <si>
    <t xml:space="preserve">Working past retirement age. </t>
  </si>
  <si>
    <t xml:space="preserve">Retirement funding. </t>
  </si>
  <si>
    <t xml:space="preserve">No. </t>
  </si>
  <si>
    <t xml:space="preserve">My morals, passion, and love. </t>
  </si>
  <si>
    <t xml:space="preserve">Be optimistic </t>
  </si>
  <si>
    <t xml:space="preserve">Educating more on reproductive health and informing ways to stay healthy. </t>
  </si>
  <si>
    <t xml:space="preserve">I have no idea. </t>
  </si>
  <si>
    <t xml:space="preserve">Accepting a new way of living. </t>
  </si>
  <si>
    <t xml:space="preserve">It’s a problem that still occurs and applies to everyone. </t>
  </si>
  <si>
    <t xml:space="preserve">People are so focused on AI. </t>
  </si>
  <si>
    <t xml:space="preserve">Accessibility to all ages, genders, races, etc. </t>
  </si>
  <si>
    <t xml:space="preserve">being able to conceive/give birth safely through an older age, expanding the healthspan of one's life</t>
  </si>
  <si>
    <t xml:space="preserve">Capitalizing on and organizing aging solutions in a way that fits the economy and global market</t>
  </si>
  <si>
    <t xml:space="preserve">Utilizing LLMs to assist aging therapies/treatments, or just using AI as a person replacement in elder care</t>
  </si>
  <si>
    <t xml:space="preserve">I think money drives research in the united states, and not necessarily a concern for patient care. Companies are likely to fund something that will have a larger return, and if AI is incorporated, chances are the product is 'efficient' and 'cost effective' and will also be priorities. </t>
  </si>
  <si>
    <t xml:space="preserve">Someone has to care about global health and longevity, and if our governments can't do it, it is a scientists responsibility to do so. </t>
  </si>
  <si>
    <t xml:space="preserve">the shortening of telomeres causing dna damage, resulting in physical deterioration </t>
  </si>
  <si>
    <t xml:space="preserve">Medical professionals should be paid more, and students should be incentivized to enter healthcare by offering reduced tuition or tuition reimbursement. </t>
  </si>
  <si>
    <t xml:space="preserve">My happiness, my drive, and my intelligence </t>
  </si>
  <si>
    <t xml:space="preserve">I can make sure to exercise my brain as much as possible and do what I can to avoid burnout. </t>
  </si>
  <si>
    <t xml:space="preserve">Making the fertility window longer, especially for women. </t>
  </si>
  <si>
    <t xml:space="preserve">Putting these topics to a vote</t>
  </si>
  <si>
    <t xml:space="preserve">Using AI and other technology to develop strategies that lead to longer lifespan and slower aging</t>
  </si>
  <si>
    <t xml:space="preserve">I boosting reproductive health and longevity is not important for my personally, but I understand that this may help solve the aging population problem. </t>
  </si>
  <si>
    <t xml:space="preserve">I would be interested to see what kinds of experiments and techniques would be used to research this topic. </t>
  </si>
  <si>
    <t xml:space="preserve">The USA has a bad habit of polarizing everything, so I am worried this would create divide. </t>
  </si>
  <si>
    <t xml:space="preserve">I think it is important to explore the implications of having older parents, and what that could mean for the development of a child. We should also ensure that AI is used carefully. </t>
  </si>
  <si>
    <t xml:space="preserve">Getting old </t>
  </si>
  <si>
    <t xml:space="preserve">My wisdom my memories my intelligence </t>
  </si>
  <si>
    <t xml:space="preserve">Not dying </t>
  </si>
  <si>
    <t xml:space="preserve">Fertilizer </t>
  </si>
  <si>
    <t xml:space="preserve">Replace old ppl with ai</t>
  </si>
  <si>
    <t xml:space="preserve">Longevity </t>
  </si>
  <si>
    <t xml:space="preserve">Ai uses up the water </t>
  </si>
  <si>
    <t xml:space="preserve">Yes it uses up water </t>
  </si>
  <si>
    <t xml:space="preserve">slowing down the aging of the reproductive system so that fertility and hormone function last longer</t>
  </si>
  <si>
    <t xml:space="preserve">making the knowledge, tools, and interventions that extend healthy lifespan affordable and available to everyone</t>
  </si>
  <si>
    <t xml:space="preserve">using algorithms that learn from large biological and medical datasets to measure how fast someone is aging, predict disease, and speed up discovery and testing of treatments</t>
  </si>
  <si>
    <t xml:space="preserve">"democratizing longevity science/solutions" is ranked first because many resources already exist but not all reach the entire population so it should be the most urgent. </t>
  </si>
  <si>
    <t xml:space="preserve">Taking measures to promote sexual education and health</t>
  </si>
  <si>
    <t xml:space="preserve">Making discussions and decisions more transparent to the public</t>
  </si>
  <si>
    <t xml:space="preserve">Advancing current technologies to provide new insights into uniquely human issues</t>
  </si>
  <si>
    <t xml:space="preserve">Physical, mental, and social changes as someone grows older </t>
  </si>
  <si>
    <t xml:space="preserve">healthcare costs and access to quality care </t>
  </si>
  <si>
    <t xml:space="preserve">affordable healthcare should be prioritized since older people are more likely to need regular care, medications, and assistance </t>
  </si>
  <si>
    <t xml:space="preserve">physical independence, relationships with friends and family, cognitive ability </t>
  </si>
  <si>
    <t xml:space="preserve">improving reproductive health while helping people live longer and healthier lives </t>
  </si>
  <si>
    <t xml:space="preserve">making advances in longevity affordable and accessible to everyone </t>
  </si>
  <si>
    <t xml:space="preserve">using ai to better predict, prevent, and treat disease and personalize healthcare </t>
  </si>
  <si>
    <t xml:space="preserve">accessibility is most important because scientific breakthroughs don't help society if only a small percent of people can afford them </t>
  </si>
  <si>
    <t xml:space="preserve">being able to prevent diseases before they become serious and helping people stay healthy for longer </t>
  </si>
  <si>
    <t xml:space="preserve">inequality </t>
  </si>
  <si>
    <t xml:space="preserve">Maintaining independence and mobility </t>
  </si>
  <si>
    <t xml:space="preserve">Shortage and cost of long-term care </t>
  </si>
  <si>
    <t xml:space="preserve">Independence, mobility, spending time iwth family </t>
  </si>
  <si>
    <t xml:space="preserve">Improving reproductive health and extending the number of healthy years people have </t>
  </si>
  <si>
    <t xml:space="preserve">Making longevity treatments and knowledge available to everyone </t>
  </si>
  <si>
    <t xml:space="preserve">Using computers and AI to identify health risks and help doctors make better decisions </t>
  </si>
  <si>
    <t xml:space="preserve">AI can make healthcare more efficient and identify problems earlier </t>
  </si>
  <si>
    <t xml:space="preserve">Being able to predict diseases earlier and potentially prevent serious health problems before they happen </t>
  </si>
  <si>
    <t xml:space="preserve">Data privacy </t>
  </si>
  <si>
    <t xml:space="preserve">Yes - clear rules about ownership about health data </t>
  </si>
  <si>
    <t xml:space="preserve">A lifelong process that includes physical changes, changes in health, and changes in relationships </t>
  </si>
  <si>
    <t xml:space="preserve">Loneliness and loss of independence </t>
  </si>
  <si>
    <t xml:space="preserve">Maintaining independence and preventing isolation </t>
  </si>
  <si>
    <t xml:space="preserve">Yes - programs for older adults </t>
  </si>
  <si>
    <t xml:space="preserve">Independence, cognitive health, relationships </t>
  </si>
  <si>
    <t xml:space="preserve">Yes - socializing, learning new things, regular checkups </t>
  </si>
  <si>
    <t xml:space="preserve">Improving reproductive health and understanding how it connects to long-term health and longevity</t>
  </si>
  <si>
    <t xml:space="preserve">Making discoveries that help people age better accessible to people of different backgrounds </t>
  </si>
  <si>
    <t xml:space="preserve">Using AI to understand individual health risks and develop more personalized approaches </t>
  </si>
  <si>
    <t xml:space="preserve">Everyone should be able to benefit from scientific progress </t>
  </si>
  <si>
    <t xml:space="preserve">Being able to increase the number of years people can live independently and in good health </t>
  </si>
  <si>
    <t xml:space="preserve">Losing innocence </t>
  </si>
  <si>
    <t xml:space="preserve">Transportation for elderly people can be solved easily with more accessible walk ways, ramps, elevators and escalators. This should be prioritized because it benefits everyone </t>
  </si>
  <si>
    <t xml:space="preserve">Yes urban planning can change to make cities more accessible for transportation </t>
  </si>
  <si>
    <t xml:space="preserve">Taking care of your body and not overworking or feeding bad toxins into your system</t>
  </si>
  <si>
    <t xml:space="preserve">Available healthcare for all people regardless of class, race, age, gender, or sexuality </t>
  </si>
  <si>
    <t xml:space="preserve">Technology can help research and restore information that can lead to new developments in health</t>
  </si>
  <si>
    <t xml:space="preserve">The exciting part is finding the solution to this problem which would benefit everyone </t>
  </si>
  <si>
    <t xml:space="preserve">keeping peoples romantic life safe</t>
  </si>
  <si>
    <t xml:space="preserve">health solutions that are more affordable for the aging population</t>
  </si>
  <si>
    <t xml:space="preserve">use ai to try and prevent longterm diseases</t>
  </si>
  <si>
    <t xml:space="preserve">if i was old i would want those things prioritized </t>
  </si>
  <si>
    <t xml:space="preserve">(i ) reproductive health is supported in later stages of life </t>
  </si>
  <si>
    <t xml:space="preserve">(II) creating solutions that most elderly, with different conditions or from different areas, can access, afford, and benefit from</t>
  </si>
  <si>
    <t xml:space="preserve">(III) using AI and machine learning to more accurately predict health trends</t>
  </si>
  <si>
    <t xml:space="preserve">Applying machine learning and artificial intelligence (AI) to enable modern solutions for aging and health</t>
  </si>
  <si>
    <t xml:space="preserve">Preserve the old</t>
  </si>
  <si>
    <t xml:space="preserve">Improving the quality of life and how long people live for. </t>
  </si>
  <si>
    <t xml:space="preserve">Providing equal access to the health knowledge we learn. </t>
  </si>
  <si>
    <t xml:space="preserve">Using AI as a tool to benefit all to quickly learn the best ways to maintain health.</t>
  </si>
  <si>
    <t xml:space="preserve">Each of those topics falls under the idea that we want to create the best experience for people as they age and doing that requires prioritizing health and technology.</t>
  </si>
  <si>
    <t xml:space="preserve">Proactive vs reactive approach to health</t>
  </si>
  <si>
    <t xml:space="preserve">Anti-aging + ai</t>
  </si>
  <si>
    <t xml:space="preserve">The topics mean that the way the world works is changing rapidly and there are many aspects that need to be adopted.</t>
  </si>
  <si>
    <t xml:space="preserve">Itâ€™s the future</t>
  </si>
  <si>
    <t xml:space="preserve">i have no idea lol</t>
  </si>
  <si>
    <t xml:space="preserve">I) initiatives focused on actionable steps to improve longevity </t>
  </si>
  <si>
    <t xml:space="preserve">Ii) improving access to healthcare which will ultimately improve longevity for those who would not be able to access these resources otherwise</t>
  </si>
  <si>
    <t xml:space="preserve">Iii) Developing forecasting capabilities in medicine through AI initiatives to catch disease risk early.</t>
  </si>
</sst>
</file>

<file path=xl/styles.xml><?xml version="1.0" encoding="utf-8"?>
<styleSheet xmlns="http://schemas.openxmlformats.org/spreadsheetml/2006/main">
  <numFmts count="7">
    <numFmt numFmtId="164" formatCode="General"/>
    <numFmt numFmtId="165" formatCode="yyyy\-mm\-dd\ hh:mm"/>
    <numFmt numFmtId="166" formatCode="0%"/>
    <numFmt numFmtId="167" formatCode="m/d/yyyy\ h:mm:ss"/>
    <numFmt numFmtId="168" formatCode="@"/>
    <numFmt numFmtId="169" formatCode="m/d/yy&quot;, &quot;h:mm\ AM/PM"/>
    <numFmt numFmtId="170" formatCode="0"/>
  </numFmts>
  <fonts count="28">
    <font>
      <sz val="12"/>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Noto Sans CJK SC"/>
      <family val="2"/>
    </font>
    <font>
      <b val="true"/>
      <sz val="13"/>
      <name val="Arial"/>
      <family val="0"/>
      <charset val="1"/>
    </font>
    <font>
      <b val="true"/>
      <sz val="11"/>
      <color rgb="FF1F3864"/>
      <name val="Arial"/>
      <family val="0"/>
      <charset val="1"/>
    </font>
    <font>
      <b val="true"/>
      <sz val="10"/>
      <name val="Arial"/>
      <family val="0"/>
      <charset val="1"/>
    </font>
    <font>
      <sz val="10"/>
      <color rgb="FF0000FF"/>
      <name val="Arial"/>
      <family val="0"/>
      <charset val="1"/>
    </font>
    <font>
      <b val="true"/>
      <sz val="12"/>
      <color theme="1"/>
      <name val="Arial"/>
      <family val="2"/>
      <charset val="1"/>
    </font>
    <font>
      <b val="true"/>
      <sz val="12"/>
      <color theme="1"/>
      <name val="Calibri"/>
      <family val="2"/>
      <charset val="1"/>
    </font>
    <font>
      <sz val="12"/>
      <color rgb="FF434343"/>
      <name val="Roboto"/>
      <family val="0"/>
      <charset val="1"/>
    </font>
    <font>
      <sz val="12"/>
      <color theme="1"/>
      <name val="Arial"/>
      <family val="2"/>
      <charset val="1"/>
    </font>
    <font>
      <sz val="14"/>
      <color theme="1"/>
      <name val="Arial"/>
      <family val="2"/>
      <charset val="1"/>
    </font>
    <font>
      <b val="true"/>
      <sz val="14"/>
      <color theme="1"/>
      <name val="Arial"/>
      <family val="2"/>
      <charset val="1"/>
    </font>
    <font>
      <sz val="14"/>
      <color rgb="FF434343"/>
      <name val="Arial"/>
      <family val="2"/>
      <charset val="1"/>
    </font>
    <font>
      <sz val="12"/>
      <color rgb="FF434343"/>
      <name val="Arial"/>
      <family val="2"/>
      <charset val="1"/>
    </font>
    <font>
      <sz val="12"/>
      <color theme="1"/>
      <name val="Noto Sans CJK SC"/>
      <family val="2"/>
    </font>
    <font>
      <b val="true"/>
      <sz val="12"/>
      <color rgb="FF434343"/>
      <name val="Arial"/>
      <family val="2"/>
      <charset val="1"/>
    </font>
    <font>
      <b val="true"/>
      <sz val="12"/>
      <color rgb="FF1F1F1F"/>
      <name val="Arial"/>
      <family val="2"/>
      <charset val="1"/>
    </font>
    <font>
      <sz val="12"/>
      <color rgb="FF000000"/>
      <name val="Arial"/>
      <family val="2"/>
      <charset val="1"/>
    </font>
    <font>
      <sz val="12"/>
      <color rgb="FF1F1F1F"/>
      <name val="Arial"/>
      <family val="2"/>
      <charset val="1"/>
    </font>
    <font>
      <i val="true"/>
      <sz val="12"/>
      <color rgb="FF000000"/>
      <name val="Arial"/>
      <family val="2"/>
      <charset val="1"/>
    </font>
    <font>
      <b val="true"/>
      <sz val="10"/>
      <color rgb="FFFFFFFF"/>
      <name val="Calibri"/>
      <family val="0"/>
      <charset val="1"/>
    </font>
    <font>
      <sz val="10"/>
      <name val="Calibri"/>
      <family val="0"/>
      <charset val="1"/>
    </font>
    <font>
      <sz val="12"/>
      <color rgb="FF434343"/>
      <name val="Aptos Narrow"/>
      <family val="0"/>
      <charset val="1"/>
    </font>
  </fonts>
  <fills count="11">
    <fill>
      <patternFill patternType="none"/>
    </fill>
    <fill>
      <patternFill patternType="gray125"/>
    </fill>
    <fill>
      <patternFill patternType="solid">
        <fgColor rgb="FF1F3864"/>
        <bgColor rgb="FF1F4E78"/>
      </patternFill>
    </fill>
    <fill>
      <patternFill patternType="solid">
        <fgColor rgb="FFEEF2F8"/>
        <bgColor rgb="FFF8F9FA"/>
      </patternFill>
    </fill>
    <fill>
      <patternFill patternType="solid">
        <fgColor rgb="FFFFF2CC"/>
        <bgColor rgb="FFF3ECE6"/>
      </patternFill>
    </fill>
    <fill>
      <patternFill patternType="solid">
        <fgColor rgb="FFFFFF00"/>
        <bgColor rgb="FFFFFF00"/>
      </patternFill>
    </fill>
    <fill>
      <patternFill patternType="solid">
        <fgColor rgb="FFFFFFFF"/>
        <bgColor rgb="FFF8F9FA"/>
      </patternFill>
    </fill>
    <fill>
      <patternFill patternType="solid">
        <fgColor rgb="FFF8F9FA"/>
        <bgColor rgb="FFFFFFFF"/>
      </patternFill>
    </fill>
    <fill>
      <patternFill patternType="solid">
        <fgColor rgb="FFF3ECE6"/>
        <bgColor rgb="FFEEF2F8"/>
      </patternFill>
    </fill>
    <fill>
      <patternFill patternType="solid">
        <fgColor rgb="FF1F4E78"/>
        <bgColor rgb="FF1F3864"/>
      </patternFill>
    </fill>
    <fill>
      <patternFill patternType="solid">
        <fgColor theme="9" tint="0.7999"/>
        <bgColor rgb="FFF3ECE6"/>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color rgb="FFFFFFFF"/>
      </left>
      <right style="thin">
        <color rgb="FFFFFFFF"/>
      </right>
      <top/>
      <bottom style="thin">
        <color rgb="FFFFFFFF"/>
      </bottom>
      <diagonal/>
    </border>
    <border diagonalUp="false" diagonalDown="false">
      <left style="thin">
        <color rgb="FFFFFFFF"/>
      </left>
      <right style="thin">
        <color rgb="FF442F65"/>
      </right>
      <top/>
      <bottom style="thin">
        <color rgb="FFFFFFFF"/>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F8F9FA"/>
      </left>
      <right style="thin">
        <color rgb="FFF8F9FA"/>
      </right>
      <top style="thin">
        <color rgb="FFF8F9FA"/>
      </top>
      <bottom/>
      <diagonal/>
    </border>
    <border diagonalUp="false" diagonalDown="false">
      <left style="thin">
        <color rgb="FFF8F9FA"/>
      </left>
      <right style="thin">
        <color rgb="FF442F65"/>
      </right>
      <top style="thin">
        <color rgb="FFF8F9FA"/>
      </top>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442F65"/>
      </left>
      <right style="thin">
        <color rgb="FFFFFFFF"/>
      </right>
      <top style="thin">
        <color rgb="FFFFFFFF"/>
      </top>
      <bottom/>
      <diagonal/>
    </border>
    <border diagonalUp="false" diagonalDown="false">
      <left style="thin">
        <color rgb="FFFFFFFF"/>
      </left>
      <right style="thin">
        <color rgb="FFFFFFFF"/>
      </right>
      <top style="thin">
        <color rgb="FFFFFFFF"/>
      </top>
      <bottom/>
      <diagonal/>
    </border>
    <border diagonalUp="false" diagonalDown="false">
      <left style="thin">
        <color rgb="FFFFFFFF"/>
      </left>
      <right style="thin">
        <color rgb="FF442F65"/>
      </right>
      <top style="thin">
        <color rgb="FFFFFFFF"/>
      </top>
      <bottom/>
      <diagonal/>
    </border>
    <border diagonalUp="false" diagonalDown="false">
      <left/>
      <right/>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4" fontId="14" fillId="0" borderId="0" xfId="0" applyFont="true" applyBorder="false" applyAlignment="true" applyProtection="false">
      <alignment horizontal="center" vertical="bottom" textRotation="0" wrapText="true" indent="0" shrinkToFit="false"/>
      <protection locked="true" hidden="false"/>
    </xf>
    <xf numFmtId="164" fontId="13" fillId="0" borderId="0"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tru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6" fontId="17"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6" fontId="17"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center" vertical="top" textRotation="0" wrapText="true" indent="0" shrinkToFit="false"/>
      <protection locked="true" hidden="false"/>
    </xf>
    <xf numFmtId="164" fontId="18" fillId="6" borderId="3" xfId="0" applyFont="true" applyBorder="true" applyAlignment="true" applyProtection="false">
      <alignment horizontal="center" vertical="top" textRotation="0" wrapText="true" indent="0" shrinkToFit="false"/>
      <protection locked="true" hidden="false"/>
    </xf>
    <xf numFmtId="164" fontId="18" fillId="7" borderId="4" xfId="0" applyFont="true" applyBorder="true" applyAlignment="true" applyProtection="false">
      <alignment horizontal="center" vertical="top" textRotation="0" wrapText="true" indent="0" shrinkToFit="false"/>
      <protection locked="true" hidden="false"/>
    </xf>
    <xf numFmtId="166" fontId="18" fillId="7" borderId="4" xfId="0" applyFont="true" applyBorder="true" applyAlignment="true" applyProtection="false">
      <alignment horizontal="center" vertical="top" textRotation="0" wrapText="true" indent="0" shrinkToFit="false"/>
      <protection locked="true" hidden="false"/>
    </xf>
    <xf numFmtId="164" fontId="18" fillId="7" borderId="5" xfId="0" applyFont="true" applyBorder="true" applyAlignment="true" applyProtection="false">
      <alignment horizontal="center" vertical="top" textRotation="0" wrapText="true" indent="0" shrinkToFit="false"/>
      <protection locked="true" hidden="false"/>
    </xf>
    <xf numFmtId="164" fontId="18" fillId="6" borderId="6" xfId="0" applyFont="true" applyBorder="true" applyAlignment="true" applyProtection="false">
      <alignment horizontal="center" vertical="top" textRotation="0" wrapText="true" indent="0" shrinkToFit="false"/>
      <protection locked="true" hidden="false"/>
    </xf>
    <xf numFmtId="164" fontId="18" fillId="6" borderId="7" xfId="0" applyFont="true" applyBorder="true" applyAlignment="true" applyProtection="false">
      <alignment horizontal="center" vertical="top" textRotation="0" wrapText="true" indent="0" shrinkToFit="false"/>
      <protection locked="true" hidden="false"/>
    </xf>
    <xf numFmtId="166" fontId="18" fillId="6" borderId="6" xfId="0" applyFont="true" applyBorder="true" applyAlignment="true" applyProtection="false">
      <alignment horizontal="center" vertical="top" textRotation="0" wrapText="true" indent="0" shrinkToFit="false"/>
      <protection locked="true" hidden="false"/>
    </xf>
    <xf numFmtId="164" fontId="18" fillId="7" borderId="8" xfId="0" applyFont="true" applyBorder="true" applyAlignment="true" applyProtection="false">
      <alignment horizontal="center" vertical="top" textRotation="0" wrapText="true" indent="0" shrinkToFit="false"/>
      <protection locked="true" hidden="false"/>
    </xf>
    <xf numFmtId="164" fontId="18" fillId="7" borderId="9" xfId="0" applyFont="true" applyBorder="true" applyAlignment="true" applyProtection="false">
      <alignment horizontal="center" vertical="top" textRotation="0" wrapText="true" indent="0" shrinkToFit="false"/>
      <protection locked="true" hidden="false"/>
    </xf>
    <xf numFmtId="164" fontId="18" fillId="6" borderId="0" xfId="0" applyFont="true" applyBorder="fals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7"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20" fillId="6" borderId="0" xfId="0" applyFont="true" applyBorder="fals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7" fontId="18" fillId="6" borderId="10" xfId="0" applyFont="true" applyBorder="true" applyAlignment="true" applyProtection="false">
      <alignment horizontal="center" vertical="bottom" textRotation="0" wrapText="false" indent="0" shrinkToFit="false"/>
      <protection locked="true" hidden="false"/>
    </xf>
    <xf numFmtId="164" fontId="18" fillId="6" borderId="2" xfId="0" applyFont="true" applyBorder="true" applyAlignment="true" applyProtection="false">
      <alignment horizontal="center" vertical="bottom" textRotation="0" wrapText="false" indent="0" shrinkToFit="false"/>
      <protection locked="true" hidden="false"/>
    </xf>
    <xf numFmtId="166" fontId="18" fillId="6" borderId="2" xfId="0" applyFont="true" applyBorder="true" applyAlignment="true" applyProtection="false">
      <alignment horizontal="center" vertical="bottom" textRotation="0" wrapText="false" indent="0" shrinkToFit="false"/>
      <protection locked="true" hidden="false"/>
    </xf>
    <xf numFmtId="164" fontId="18" fillId="6" borderId="3" xfId="0" applyFont="true" applyBorder="true" applyAlignment="true" applyProtection="false">
      <alignment horizontal="center" vertical="bottom" textRotation="0" wrapText="false" indent="0" shrinkToFit="false"/>
      <protection locked="true" hidden="false"/>
    </xf>
    <xf numFmtId="167" fontId="18" fillId="7" borderId="11" xfId="0" applyFont="true" applyBorder="true" applyAlignment="true" applyProtection="false">
      <alignment horizontal="center" vertical="bottom" textRotation="0" wrapText="false" indent="0" shrinkToFit="false"/>
      <protection locked="true" hidden="false"/>
    </xf>
    <xf numFmtId="164" fontId="18" fillId="7" borderId="4" xfId="0" applyFont="true" applyBorder="true" applyAlignment="true" applyProtection="false">
      <alignment horizontal="center" vertical="bottom" textRotation="0" wrapText="false" indent="0" shrinkToFit="false"/>
      <protection locked="true" hidden="false"/>
    </xf>
    <xf numFmtId="166" fontId="18" fillId="7" borderId="4" xfId="0" applyFont="true" applyBorder="true" applyAlignment="true" applyProtection="false">
      <alignment horizontal="center" vertical="bottom" textRotation="0" wrapText="false" indent="0" shrinkToFit="false"/>
      <protection locked="true" hidden="false"/>
    </xf>
    <xf numFmtId="164" fontId="18" fillId="7" borderId="5" xfId="0" applyFont="true" applyBorder="true" applyAlignment="true" applyProtection="false">
      <alignment horizontal="center" vertical="bottom" textRotation="0" wrapText="false" indent="0" shrinkToFit="false"/>
      <protection locked="true" hidden="false"/>
    </xf>
    <xf numFmtId="164" fontId="18" fillId="6" borderId="6" xfId="0" applyFont="true" applyBorder="true" applyAlignment="true" applyProtection="false">
      <alignment horizontal="center" vertical="bottom" textRotation="0" wrapText="false" indent="0" shrinkToFit="false"/>
      <protection locked="true" hidden="false"/>
    </xf>
    <xf numFmtId="166" fontId="18" fillId="6" borderId="6" xfId="0" applyFont="true" applyBorder="true" applyAlignment="true" applyProtection="false">
      <alignment horizontal="center" vertical="bottom" textRotation="0" wrapText="false" indent="0" shrinkToFit="false"/>
      <protection locked="true" hidden="false"/>
    </xf>
    <xf numFmtId="164" fontId="18" fillId="6" borderId="7" xfId="0" applyFont="true" applyBorder="true" applyAlignment="true" applyProtection="false">
      <alignment horizontal="center" vertical="bottom" textRotation="0" wrapText="false" indent="0" shrinkToFit="false"/>
      <protection locked="true" hidden="false"/>
    </xf>
    <xf numFmtId="164" fontId="18" fillId="6" borderId="6" xfId="0" applyFont="true" applyBorder="true" applyAlignment="true" applyProtection="false">
      <alignment horizontal="center" vertical="bottom" textRotation="0" wrapText="true" indent="0" shrinkToFit="false"/>
      <protection locked="true" hidden="false"/>
    </xf>
    <xf numFmtId="164" fontId="18" fillId="7" borderId="4" xfId="0" applyFont="true" applyBorder="true" applyAlignment="true" applyProtection="false">
      <alignment horizontal="center" vertical="bottom" textRotation="0" wrapText="true" indent="0" shrinkToFit="false"/>
      <protection locked="true" hidden="false"/>
    </xf>
    <xf numFmtId="167" fontId="18" fillId="6" borderId="12" xfId="0" applyFont="true" applyBorder="true" applyAlignment="true" applyProtection="false">
      <alignment horizontal="center" vertical="bottom" textRotation="0" wrapText="false" indent="0" shrinkToFit="false"/>
      <protection locked="true" hidden="false"/>
    </xf>
    <xf numFmtId="164" fontId="18" fillId="6" borderId="13" xfId="0" applyFont="true" applyBorder="true" applyAlignment="true" applyProtection="false">
      <alignment horizontal="center" vertical="bottom" textRotation="0" wrapText="false" indent="0" shrinkToFit="false"/>
      <protection locked="true" hidden="false"/>
    </xf>
    <xf numFmtId="166" fontId="18" fillId="6" borderId="13" xfId="0" applyFont="true" applyBorder="true" applyAlignment="true" applyProtection="false">
      <alignment horizontal="center" vertical="bottom" textRotation="0" wrapText="false" indent="0" shrinkToFit="false"/>
      <protection locked="true" hidden="false"/>
    </xf>
    <xf numFmtId="164" fontId="18" fillId="6" borderId="14" xfId="0" applyFont="true" applyBorder="true" applyAlignment="true" applyProtection="false">
      <alignment horizontal="center" vertical="bottom" textRotation="0" wrapText="false" indent="0" shrinkToFit="false"/>
      <protection locked="true" hidden="false"/>
    </xf>
    <xf numFmtId="167" fontId="18" fillId="7" borderId="0" xfId="0" applyFont="true" applyBorder="false" applyAlignment="true" applyProtection="false">
      <alignment horizontal="center" vertical="bottom" textRotation="0" wrapText="false" indent="0" shrinkToFit="false"/>
      <protection locked="true" hidden="false"/>
    </xf>
    <xf numFmtId="164" fontId="18" fillId="7" borderId="0" xfId="0" applyFont="true" applyBorder="false" applyAlignment="true" applyProtection="false">
      <alignment horizontal="center" vertical="bottom" textRotation="0" wrapText="false" indent="0" shrinkToFit="false"/>
      <protection locked="true" hidden="false"/>
    </xf>
    <xf numFmtId="166" fontId="18" fillId="7" borderId="0" xfId="0" applyFont="true" applyBorder="false" applyAlignment="true" applyProtection="false">
      <alignment horizontal="center" vertical="bottom" textRotation="0" wrapText="false" indent="0" shrinkToFit="false"/>
      <protection locked="true" hidden="false"/>
    </xf>
    <xf numFmtId="167" fontId="14" fillId="0" borderId="0" xfId="0" applyFont="true" applyBorder="false" applyAlignment="true" applyProtection="false">
      <alignment horizontal="center" vertical="bottom" textRotation="0" wrapText="false" indent="0" shrinkToFit="false"/>
      <protection locked="true" hidden="false"/>
    </xf>
    <xf numFmtId="166" fontId="14" fillId="0" borderId="0" xfId="0" applyFont="true" applyBorder="false" applyAlignment="true" applyProtection="false">
      <alignment horizontal="center" vertical="bottom" textRotation="0" wrapText="false" indent="0" shrinkToFit="false"/>
      <protection locked="true" hidden="false"/>
    </xf>
    <xf numFmtId="168" fontId="14" fillId="0" borderId="0" xfId="0" applyFont="true" applyBorder="false" applyAlignment="true" applyProtection="false">
      <alignment horizontal="center" vertical="bottom" textRotation="0" wrapText="false" indent="0" shrinkToFit="false"/>
      <protection locked="true" hidden="false"/>
    </xf>
    <xf numFmtId="167" fontId="22" fillId="0" borderId="15" xfId="0" applyFont="true" applyBorder="true" applyAlignment="true" applyProtection="false">
      <alignment horizontal="center" vertical="top" textRotation="0" wrapText="false" indent="0" shrinkToFit="false"/>
      <protection locked="true" hidden="false"/>
    </xf>
    <xf numFmtId="164" fontId="22" fillId="0" borderId="15" xfId="0" applyFont="true" applyBorder="true" applyAlignment="true" applyProtection="false">
      <alignment horizontal="center" vertical="top" textRotation="0" wrapText="false" indent="0" shrinkToFit="false"/>
      <protection locked="true" hidden="false"/>
    </xf>
    <xf numFmtId="164" fontId="22" fillId="0" borderId="15" xfId="0" applyFont="true" applyBorder="true" applyAlignment="true" applyProtection="false">
      <alignment horizontal="center" vertical="top" textRotation="0" wrapText="true" indent="0" shrinkToFit="false"/>
      <protection locked="true" hidden="false"/>
    </xf>
    <xf numFmtId="164" fontId="18" fillId="6" borderId="0" xfId="0" applyFont="true" applyBorder="false" applyAlignment="true" applyProtection="false">
      <alignment horizontal="center" vertical="bottom" textRotation="0" wrapText="false" indent="0" shrinkToFit="false"/>
      <protection locked="true" hidden="false"/>
    </xf>
    <xf numFmtId="169" fontId="18" fillId="6" borderId="0" xfId="0" applyFont="true" applyBorder="false" applyAlignment="true" applyProtection="false">
      <alignment horizontal="center" vertical="bottom" textRotation="0" wrapText="false" indent="0" shrinkToFit="false"/>
      <protection locked="true" hidden="false"/>
    </xf>
    <xf numFmtId="166" fontId="18" fillId="6" borderId="0" xfId="0" applyFont="true" applyBorder="false" applyAlignment="true" applyProtection="false">
      <alignment horizontal="center" vertical="bottom" textRotation="0" wrapText="false" indent="0" shrinkToFit="false"/>
      <protection locked="true" hidden="false"/>
    </xf>
    <xf numFmtId="164" fontId="23" fillId="6" borderId="0" xfId="0" applyFont="true" applyBorder="false" applyAlignment="true" applyProtection="false">
      <alignment horizontal="center" vertical="bottom" textRotation="0" wrapText="false" indent="0" shrinkToFit="false"/>
      <protection locked="true" hidden="false"/>
    </xf>
    <xf numFmtId="164" fontId="23" fillId="6" borderId="0" xfId="0" applyFont="true" applyBorder="false" applyAlignment="true" applyProtection="false">
      <alignment horizontal="center" vertical="bottom" textRotation="0" wrapText="true" indent="0" shrinkToFit="false"/>
      <protection locked="true" hidden="false"/>
    </xf>
    <xf numFmtId="169" fontId="24" fillId="8" borderId="0" xfId="0" applyFont="true" applyBorder="false" applyAlignment="true" applyProtection="false">
      <alignment horizontal="center" vertical="bottom" textRotation="0" wrapText="false" indent="0" shrinkToFit="false"/>
      <protection locked="true" hidden="false"/>
    </xf>
    <xf numFmtId="164" fontId="18" fillId="6" borderId="0" xfId="0" applyFont="true" applyBorder="false" applyAlignment="true" applyProtection="false">
      <alignment horizontal="center" vertical="bottom" textRotation="0" wrapText="true" indent="0" shrinkToFit="false"/>
      <protection locked="true" hidden="false"/>
    </xf>
    <xf numFmtId="164" fontId="25" fillId="9" borderId="0" xfId="0" applyFont="true" applyBorder="fals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70" fontId="26" fillId="0" borderId="0" xfId="0" applyFont="true" applyBorder="false" applyAlignment="true" applyProtection="false">
      <alignment horizontal="general" vertical="top" textRotation="0" wrapText="true" indent="0" shrinkToFit="false"/>
      <protection locked="true" hidden="false"/>
    </xf>
    <xf numFmtId="170" fontId="26" fillId="0" borderId="0" xfId="0" applyFont="true" applyBorder="fals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1" fillId="10" borderId="1"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F9FA"/>
          <bgColor rgb="FF000000"/>
        </patternFill>
      </fill>
    </dxf>
    <dxf>
      <fill>
        <patternFill patternType="solid">
          <fgColor rgb="FF000000"/>
          <bgColor rgb="FF000000"/>
        </patternFill>
      </fill>
    </dxf>
    <dxf>
      <fill>
        <patternFill patternType="solid">
          <fgColor rgb="FF434343"/>
          <bgColor rgb="FF000000"/>
        </patternFill>
      </fill>
    </dxf>
    <dxf>
      <fill>
        <patternFill patternType="solid">
          <fgColor rgb="FFFFFF00"/>
          <bgColor rgb="FF000000"/>
        </patternFill>
      </fill>
    </dxf>
    <dxf>
      <fill>
        <patternFill patternType="solid">
          <fgColor rgb="FFF3ECE6"/>
          <bgColor rgb="FF000000"/>
        </patternFill>
      </fill>
    </dxf>
    <dxf>
      <fill>
        <patternFill patternType="solid">
          <fgColor rgb="FF1F1F1F"/>
          <bgColor rgb="FF000000"/>
        </patternFill>
      </fill>
    </dxf>
    <dxf>
      <fill>
        <patternFill patternType="solid">
          <fgColor rgb="FF1F4E7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EF2F8"/>
      <rgbColor rgb="FF660066"/>
      <rgbColor rgb="FFFF8080"/>
      <rgbColor rgb="FF1F4E78"/>
      <rgbColor rgb="FFD9E2F3"/>
      <rgbColor rgb="FF000080"/>
      <rgbColor rgb="FFFF00FF"/>
      <rgbColor rgb="FFFFFF00"/>
      <rgbColor rgb="FF00FFFF"/>
      <rgbColor rgb="FF800080"/>
      <rgbColor rgb="FF800000"/>
      <rgbColor rgb="FF008080"/>
      <rgbColor rgb="FF0000FF"/>
      <rgbColor rgb="FF00CCFF"/>
      <rgbColor rgb="FFF8F9FA"/>
      <rgbColor rgb="FFE2F0D9"/>
      <rgbColor rgb="FFF3ECE6"/>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1F1F1F"/>
      <rgbColor rgb="FF993300"/>
      <rgbColor rgb="FF993366"/>
      <rgbColor rgb="FF442F6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CombinedData" displayName="CombinedData" ref="A1:AR733" headerRowCount="1" totalsRowCount="0" totalsRowShown="0">
  <autoFilter ref="A1:AR733"/>
  <tableColumns count="44">
    <tableColumn id="1" name="Respondent ID"/>
    <tableColumn id="2" name="Group"/>
    <tableColumn id="3" name="Source row"/>
    <tableColumn id="4" name="Interviewer"/>
    <tableColumn id="5" name="Response timestamp"/>
    <tableColumn id="6" name="Age"/>
    <tableColumn id="7" name="Age category"/>
    <tableColumn id="8" name="Gender"/>
    <tableColumn id="9" name="From – State/Province"/>
    <tableColumn id="10" name="From – Country"/>
    <tableColumn id="11" name="From (State, Country)"/>
    <tableColumn id="12" name="Residence – State/Province"/>
    <tableColumn id="13" name="Residence – Country"/>
    <tableColumn id="14" name="Residence (State, Country)"/>
    <tableColumn id="15" name="Q5 How would you define aging?"/>
    <tableColumn id="16" name="Q6 Est. % of US population 65+"/>
    <tableColumn id="17" name="Q6 Estimate (range)"/>
    <tableColumn id="18" name="Q7 Greatest challenge facing the aging population"/>
    <tableColumn id="19" name="Q8 Challenge to solve in the short term"/>
    <tableColumn id="20" name="Q8 Why prioritize it"/>
    <tableColumn id="21" name="Q9 Action being taken on this challenge?"/>
    <tableColumn id="22" name="Q10 Three things to maintain through life"/>
    <tableColumn id="23" name="Q11 What you can do to maintain them"/>
    <tableColumn id="24" name="Q12 Description of the three topics"/>
    <tableColumn id="25" name="Personal rank – Reproductive health &amp; longevity"/>
    <tableColumn id="26" name="Personal rank – Democratizing longevity"/>
    <tableColumn id="27" name="Personal rank – AI/ML for aging &amp; health"/>
    <tableColumn id="28" name="Societal rank – Reproductive health &amp; longevity"/>
    <tableColumn id="29" name="Societal rank – Democratizing longevity"/>
    <tableColumn id="30" name="Societal rank – AI/ML for aging &amp; health"/>
    <tableColumn id="31" name="Reason for ranking"/>
    <tableColumn id="32" name="Most exciting topic"/>
    <tableColumn id="33" name="What excites you"/>
    <tableColumn id="34" name="Most concerning topic"/>
    <tableColumn id="35" name="Greatest concern"/>
    <tableColumn id="36" name="Ethical considerations needed?"/>
    <tableColumn id="37" name="Ethical considerations (details)"/>
    <tableColumn id="38" name="Excited about future of aging research?"/>
    <tableColumn id="39" name="Excitement rating (1–5)"/>
    <tableColumn id="40" name="Excitement comment"/>
    <tableColumn id="41" name="Bioengineers can help?"/>
    <tableColumn id="42" name="Bioengineer role rating (1–5)"/>
    <tableColumn id="43" name="Bioengineers comment"/>
    <tableColumn id="44" name="Data notes"/>
  </tableColumns>
</table>
</file>

<file path=xl/tables/table2.xml><?xml version="1.0" encoding="utf-8"?>
<table xmlns="http://schemas.openxmlformats.org/spreadsheetml/2006/main" id="2" name="CombinedResponsesTable" displayName="CombinedResponsesTable" ref="A1:AD123" headerRowCount="1" totalsRowCount="0" totalsRowShown="0">
  <tableColumns count="30">
    <tableColumn id="1" name="Respondent ID"/>
    <tableColumn id="2" name="Q1. Age"/>
    <tableColumn id="3" name="Q2. Gender"/>
    <tableColumn id="4" name="Q3. State/Country of Origin"/>
    <tableColumn id="5" name="Q4. Current State/Country of Residence"/>
    <tableColumn id="6" name="Q5. Definition of Aging"/>
    <tableColumn id="7" name="Q6. Estimated Percentage of U.S. Population Age 65+"/>
    <tableColumn id="8" name="Q7. Greatest Challenge Facing the Aging Population"/>
    <tableColumn id="9" name="Q8A. Challenge to Prioritize in the Short Term"/>
    <tableColumn id="10" name="Q8B. Why This Challenge Should Be Prioritized [Select up to 2]"/>
    <tableColumn id="11" name="Q9. Is Enough Action Currently Being Taken?"/>
    <tableColumn id="12" name="Q10. Three Things to Maintain Throughout Life [Select exactly 3]"/>
    <tableColumn id="13" name="Q11A. Can Personal Actions Help Maintain These?"/>
    <tableColumn id="14" name="Q11B. Most Helpful Actions [Select up to 3]"/>
    <tableColumn id="15" name="Q12A-1. Understanding of Topic 1: Reproductive Health and Longevity"/>
    <tableColumn id="16" name="Q12A-2. Understanding of Topic 2: Democratizing Longevity Science/Solutions"/>
    <tableColumn id="17" name="Q12A-3. Understanding of Topic 3: AI/ML for Aging and Health"/>
    <tableColumn id="18" name="Q12B. Personal Importance Rank — Topic 1"/>
    <tableColumn id="19" name="Q12B. Personal Importance Rank — Topic 2"/>
    <tableColumn id="20" name="Q12B. Personal Importance Rank — Topic 3"/>
    <tableColumn id="21" name="Q12C. Societal Importance Rank — Topic 1"/>
    <tableColumn id="22" name="Q12C. Societal Importance Rank — Topic 2"/>
    <tableColumn id="23" name="Q12C. Societal Importance Rank — Topic 3"/>
    <tableColumn id="24" name="Q12D. Factors Influencing Ranking [Select up to 2]"/>
    <tableColumn id="25" name="Q12E. Most Exciting/Interesting Topic"/>
    <tableColumn id="26" name="Q12F. Greatest Concern About These Technologies"/>
    <tableColumn id="27" name="Q12G-1. Should Specific Ethical Safeguards Be in Place?"/>
    <tableColumn id="28" name="Q12G-2. Most Important Ethical Considerations [Select up to 3]"/>
    <tableColumn id="29" name="Q12H. Excitement About the Future of Aging Research (1–5)"/>
    <tableColumn id="30" name="Q12I. Perceived Role of Bioengineers in Aging Solutions (1–5)"/>
  </tableColumns>
</table>
</file>

<file path=xl/tables/table3.xml><?xml version="1.0" encoding="utf-8"?>
<table xmlns="http://schemas.openxmlformats.org/spreadsheetml/2006/main" id="3" name="Form_Responses" displayName="Form_Responses" ref="A1:AC107" headerRowCount="1" totalsRowCount="0" totalsRowShown="0">
  <tableColumns count="29">
    <tableColumn id="1" name="Time"/>
    <tableColumn id="2" name="What is your age?"/>
    <tableColumn id="3" name="Where are you from (state/country)?"/>
    <tableColumn id="4" name="What state or country do you currently reside?"/>
    <tableColumn id="5" name="What is your gender?"/>
    <tableColumn id="6" name="What percentage of the U.S. population do you think is above 65 years old?"/>
    <tableColumn id="7" name="Which best describes aging?"/>
    <tableColumn id="8" name="What is the greatest challenge facing the aging population (Select the one that matters the most in your opinion)?"/>
    <tableColumn id="9" name="Which challenge should be addressed in the short-term (Select the one that matters the most in your opinion)?"/>
    <tableColumn id="10" name="Why do you think this challenge should be prioritized?"/>
    <tableColumn id="11" name="Do you think there are currently actions being taken to address this challenge?"/>
    <tableColumn id="12" name="Which THREE aspects of your life would you most like to maintain as you age? (Select 3) "/>
    <tableColumn id="13" name="Are there things that you can do to help ensure that you do maintain them? "/>
    <tableColumn id="14" name="How would you describe what Topic A mean in a few words? "/>
    <tableColumn id="15" name="How would you describe what Topic B mean in a few words? "/>
    <tableColumn id="16" name="How would you describe what Topic C mean in a few words? "/>
    <tableColumn id="17" name="Rank them in order of importance to you as an individual [Most important]"/>
    <tableColumn id="18" name="Rank them in order of importance to you as an individual [Next important]"/>
    <tableColumn id="19" name="Rank them in order of importance to you as an individual [Least important]"/>
    <tableColumn id="20" name="What are the MAIN reason for your rank?"/>
    <tableColumn id="21" name="Rank them in order of importance to society  [Most important]"/>
    <tableColumn id="22" name="Rank them in order of importance to society  [Next important]"/>
    <tableColumn id="23" name="Rank them in order of importance to society  [Least important ]"/>
    <tableColumn id="24" name="What are the MAIN reason for your rank? 2"/>
    <tableColumn id="25" name="Which topic excites you the most?"/>
    <tableColumn id="26" name="What is the greatest concern about the topic you chose? "/>
    <tableColumn id="27" name="Should ethical guidelines be required when developing aging technologies?"/>
    <tableColumn id="28" name="Are you excited about the future of aging reasearch? (Rate out of 5)"/>
    <tableColumn id="29" name="Do you think bioengineers an play an important role in developing solutions?  (Rate out of 5)"/>
  </tableColumns>
</table>
</file>

<file path=xl/tables/table4.xml><?xml version="1.0" encoding="utf-8"?>
<table xmlns="http://schemas.openxmlformats.org/spreadsheetml/2006/main" id="4" name="Table1" displayName="Table1" ref="A1:X103" headerRowCount="1" totalsRowCount="0" totalsRowShown="0">
  <tableColumns count="24">
    <tableColumn id="1" name="What is your age"/>
    <tableColumn id="2" name="What is your gender?"/>
    <tableColumn id="3" name="What state/country are you from?"/>
    <tableColumn id="4" name="What state or country do you currently reside?"/>
    <tableColumn id="5" name="How would you define aging?"/>
    <tableColumn id="6" name=" If you had to guess, what fraction of the population in the United States is above 65 years old (percent)?  "/>
    <tableColumn id="7" name="What do you think is the greatest challenge facing our aging population?  "/>
    <tableColumn id="8" name="What do you think is the greatest challenge facing our aging population that should be solved in the short term, and why should it be prioritized?  "/>
    <tableColumn id="9" name="Do you see any action to address this challenge?  "/>
    <tableColumn id="10" name="What are the three things that you would like to maintain/retain throughout your life (from young to older)?  "/>
    <tableColumn id="11" name="Are there things that you can do to help ensure that you do maintain them?  "/>
    <tableColumn id="12" name="Here are three topics: (i) Boosting reproductive health and longevity, (ii) Democratizing longevity science/solutions (having longevity and health solutions that are accessible, affordable, and generalizable), and (iii) Applying machine learning and artificial intelligence (AI) to enable modern solutions for aging and health (e.g., predicting disease risk or disease trajectories, precision health, etc.).  &#10;How would you describe what they mean in 1 sentence each?  "/>
    <tableColumn id="13" name="Rank them in order of importance to you as an individual?   [Topic i]"/>
    <tableColumn id="14" name="Rank them in order of importance to you as an individual?   [Topic ii]"/>
    <tableColumn id="15" name="Rank them in order of importance to you as an individual?   [Topic iii]"/>
    <tableColumn id="16" name="Why did you rank them this way?  "/>
    <tableColumn id="17" name="Rank them in order of importance to society?   [Topic i]"/>
    <tableColumn id="18" name="Rank them in order of importance to society?   [Topic ii]"/>
    <tableColumn id="19" name="Rank them in order of importance to society?   [Topic iii]"/>
    <tableColumn id="20" name="What excites you most about the topic (pick one)?"/>
    <tableColumn id="21" name="What is your greatest concern about the topic (pick one)?  "/>
    <tableColumn id="22" name="Are there ethical considerations that should be in place when developing solutions for these topics?  "/>
    <tableColumn id="23" name="Are you excited about the future of aging research?  "/>
    <tableColumn id="24" name="Do you think Bioengineers can play a role in developing solutions?  "/>
  </tableColumns>
</table>
</file>

<file path=xl/tables/table5.xml><?xml version="1.0" encoding="utf-8"?>
<table xmlns="http://schemas.openxmlformats.org/spreadsheetml/2006/main" id="5" name="Table_1" displayName="Table_1" ref="A2:U19" headerRowCount="0" totalsRowCount="0" totalsRowShown="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
</file>

<file path=xl/tables/table6.xml><?xml version="1.0" encoding="utf-8"?>
<table xmlns="http://schemas.openxmlformats.org/spreadsheetml/2006/main" id="6" name="Table_2" displayName="Table_2" ref="A20:U20" headerRowCount="0" totalsRowCount="0" totalsRowShown="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
</file>

<file path=xl/tables/table7.xml><?xml version="1.0" encoding="utf-8"?>
<table xmlns="http://schemas.openxmlformats.org/spreadsheetml/2006/main" id="7" name="Table_3" displayName="Table_3" ref="A21:U21" headerRowCount="0" totalsRowCount="0" totalsRowShown="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
</file>

<file path=xl/tables/table8.xml><?xml version="1.0" encoding="utf-8"?>
<table xmlns="http://schemas.openxmlformats.org/spreadsheetml/2006/main" id="8" name="Table_4" displayName="Table_4" ref="A83:V102" headerRowCount="0" totalsRowCount="0" totalsRowShown="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
</file>

<file path=xl/tables/table9.xml><?xml version="1.0" encoding="utf-8"?>
<table xmlns="http://schemas.openxmlformats.org/spreadsheetml/2006/main" id="9" name="TaggedResponses" displayName="TaggedResponses" ref="A1:AA733" headerRowCount="1" totalsRowCount="0" totalsRowShown="0">
  <autoFilter ref="A1:AA733"/>
  <tableColumns count="27">
    <tableColumn id="1" name="Respondent ID"/>
    <tableColumn id="2" name="Group"/>
    <tableColumn id="3" name="Age"/>
    <tableColumn id="4" name="Age category"/>
    <tableColumn id="5" name="Gender"/>
    <tableColumn id="6" name="From – Country"/>
    <tableColumn id="7" name="Residence – Country"/>
    <tableColumn id="8" name="Q5 Definition of aging – response"/>
    <tableColumn id="9" name="Q5 Definition of aging – themes"/>
    <tableColumn id="10" name="Q7 Greatest challenge – response"/>
    <tableColumn id="11" name="Q7 Greatest challenge – themes"/>
    <tableColumn id="12" name="Q8 Short-term priority – response"/>
    <tableColumn id="13" name="Q8 Short-term priority – themes"/>
    <tableColumn id="14" name="Q9 Is action being taken? – response"/>
    <tableColumn id="15" name="Q9 Is action being taken? – status"/>
    <tableColumn id="16" name="Q10 Things to maintain – response"/>
    <tableColumn id="17" name="Q10 Things to maintain – themes"/>
    <tableColumn id="18" name="Q11 What you can do – response"/>
    <tableColumn id="19" name="Q11 What you can do – themes"/>
    <tableColumn id="20" name="Reason for topic ranking – response"/>
    <tableColumn id="21" name="Reason for topic ranking – themes"/>
    <tableColumn id="22" name="What excites you – response"/>
    <tableColumn id="23" name="What excites you – themes"/>
    <tableColumn id="24" name="Greatest concern – response"/>
    <tableColumn id="25" name="Greatest concern – themes"/>
    <tableColumn id="26" name="Ethical considerations – response"/>
    <tableColumn id="27" name="Ethical considerations – them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Relationship Id="rId3" Type="http://schemas.openxmlformats.org/officeDocument/2006/relationships/table" Target="../tables/table7.xml"/><Relationship Id="rId4"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7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21093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8"/>
    <col collapsed="false" customWidth="true" hidden="false" outlineLevel="0" max="4" min="4" style="1" width="16"/>
    <col collapsed="false" customWidth="true" hidden="false" outlineLevel="0" max="5" min="5" style="1" width="18"/>
    <col collapsed="false" customWidth="true" hidden="false" outlineLevel="0" max="6" min="6" style="1" width="6"/>
    <col collapsed="false" customWidth="true" hidden="false" outlineLevel="0" max="8" min="7" style="1" width="14"/>
    <col collapsed="false" customWidth="true" hidden="false" outlineLevel="0" max="9" min="9" style="1" width="18"/>
    <col collapsed="false" customWidth="true" hidden="false" outlineLevel="0" max="10" min="10" style="1" width="16"/>
    <col collapsed="false" customWidth="true" hidden="false" outlineLevel="0" max="11" min="11" style="1" width="26"/>
    <col collapsed="false" customWidth="true" hidden="false" outlineLevel="0" max="12" min="12" style="1" width="18"/>
    <col collapsed="false" customWidth="true" hidden="false" outlineLevel="0" max="13" min="13" style="1" width="16"/>
    <col collapsed="false" customWidth="true" hidden="false" outlineLevel="0" max="14" min="14" style="1" width="26"/>
    <col collapsed="false" customWidth="true" hidden="false" outlineLevel="0" max="15" min="15" style="1" width="40"/>
    <col collapsed="false" customWidth="true" hidden="false" outlineLevel="0" max="17" min="16" style="1" width="12"/>
    <col collapsed="false" customWidth="true" hidden="false" outlineLevel="0" max="19" min="18" style="1" width="40"/>
    <col collapsed="false" customWidth="true" hidden="false" outlineLevel="0" max="21" min="20" style="1" width="30"/>
    <col collapsed="false" customWidth="true" hidden="false" outlineLevel="0" max="23" min="22" style="1" width="34"/>
    <col collapsed="false" customWidth="true" hidden="false" outlineLevel="0" max="24" min="24" style="1" width="40"/>
    <col collapsed="false" customWidth="true" hidden="false" outlineLevel="0" max="30" min="25" style="1" width="13"/>
    <col collapsed="false" customWidth="true" hidden="false" outlineLevel="0" max="31" min="31" style="1" width="40"/>
    <col collapsed="false" customWidth="true" hidden="false" outlineLevel="0" max="32" min="32" style="1" width="22"/>
    <col collapsed="false" customWidth="true" hidden="false" outlineLevel="0" max="33" min="33" style="1" width="36"/>
    <col collapsed="false" customWidth="true" hidden="false" outlineLevel="0" max="34" min="34" style="1" width="22"/>
    <col collapsed="false" customWidth="true" hidden="false" outlineLevel="0" max="35" min="35" style="1" width="36"/>
    <col collapsed="false" customWidth="true" hidden="false" outlineLevel="0" max="36" min="36" style="1" width="12"/>
    <col collapsed="false" customWidth="true" hidden="false" outlineLevel="0" max="37" min="37" style="1" width="36"/>
    <col collapsed="false" customWidth="true" hidden="false" outlineLevel="0" max="38" min="38" style="1" width="12"/>
    <col collapsed="false" customWidth="true" hidden="false" outlineLevel="0" max="39" min="39" style="1" width="10"/>
    <col collapsed="false" customWidth="true" hidden="false" outlineLevel="0" max="40" min="40" style="1" width="30"/>
    <col collapsed="false" customWidth="true" hidden="false" outlineLevel="0" max="41" min="41" style="1" width="12"/>
    <col collapsed="false" customWidth="true" hidden="false" outlineLevel="0" max="42" min="42" style="1" width="10"/>
    <col collapsed="false" customWidth="true" hidden="false" outlineLevel="0" max="43" min="43" style="1" width="30"/>
    <col collapsed="false" customWidth="true" hidden="false" outlineLevel="0" max="44" min="44" style="1" width="36"/>
  </cols>
  <sheetData>
    <row r="1" customFormat="false" ht="5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customFormat="false" ht="15" hidden="false" customHeight="true" outlineLevel="0" collapsed="false">
      <c r="A2" s="3" t="s">
        <v>44</v>
      </c>
      <c r="B2" s="3" t="n">
        <v>1</v>
      </c>
      <c r="C2" s="3" t="n">
        <v>2</v>
      </c>
      <c r="D2" s="3"/>
      <c r="E2" s="4"/>
      <c r="F2" s="3" t="n">
        <v>25</v>
      </c>
      <c r="G2" s="3" t="str">
        <f aca="false">IF(F2="","",IF(F2&gt;=Notes!$B$5,"Elderly ("&amp;Notes!$B$5&amp;"+)",IF(F2&lt;=Notes!$B$4,"Student age (≤"&amp;Notes!$B$4&amp;")","Middle-aged ("&amp;(Notes!$B$4+1)&amp;"–"&amp;(Notes!$B$5-1)&amp;")")))</f>
        <v>Student age (≤29)</v>
      </c>
      <c r="H2" s="3" t="s">
        <v>45</v>
      </c>
      <c r="I2" s="3" t="s">
        <v>46</v>
      </c>
      <c r="J2" s="3" t="s">
        <v>47</v>
      </c>
      <c r="K2" s="3" t="s">
        <v>48</v>
      </c>
      <c r="L2" s="3" t="s">
        <v>49</v>
      </c>
      <c r="M2" s="3" t="s">
        <v>47</v>
      </c>
      <c r="N2" s="3" t="s">
        <v>50</v>
      </c>
      <c r="O2" s="3" t="s">
        <v>51</v>
      </c>
      <c r="P2" s="3" t="n">
        <v>35</v>
      </c>
      <c r="Q2" s="3" t="s">
        <v>52</v>
      </c>
      <c r="R2" s="3" t="s">
        <v>53</v>
      </c>
      <c r="S2" s="3" t="s">
        <v>54</v>
      </c>
      <c r="T2" s="3"/>
      <c r="U2" s="3" t="s">
        <v>55</v>
      </c>
      <c r="V2" s="3" t="s">
        <v>56</v>
      </c>
      <c r="W2" s="3" t="s">
        <v>57</v>
      </c>
      <c r="X2" s="3"/>
      <c r="Y2" s="3" t="n">
        <v>3</v>
      </c>
      <c r="Z2" s="3" t="n">
        <v>1</v>
      </c>
      <c r="AA2" s="3" t="n">
        <v>2</v>
      </c>
      <c r="AB2" s="3" t="n">
        <v>2</v>
      </c>
      <c r="AC2" s="3" t="n">
        <v>1</v>
      </c>
      <c r="AD2" s="3" t="n">
        <v>3</v>
      </c>
      <c r="AE2" s="3"/>
      <c r="AF2" s="3"/>
      <c r="AG2" s="3" t="s">
        <v>58</v>
      </c>
      <c r="AH2" s="3"/>
      <c r="AI2" s="3"/>
      <c r="AJ2" s="3" t="s">
        <v>59</v>
      </c>
      <c r="AK2" s="3"/>
      <c r="AL2" s="3" t="s">
        <v>59</v>
      </c>
      <c r="AM2" s="3"/>
      <c r="AN2" s="3"/>
      <c r="AO2" s="3" t="s">
        <v>59</v>
      </c>
      <c r="AP2" s="3"/>
      <c r="AQ2" s="3"/>
      <c r="AR2" s="3"/>
    </row>
    <row r="3" customFormat="false" ht="15" hidden="false" customHeight="true" outlineLevel="0" collapsed="false">
      <c r="A3" s="3" t="s">
        <v>60</v>
      </c>
      <c r="B3" s="3" t="n">
        <v>1</v>
      </c>
      <c r="C3" s="3" t="n">
        <v>3</v>
      </c>
      <c r="D3" s="3"/>
      <c r="E3" s="4"/>
      <c r="F3" s="3" t="n">
        <v>24</v>
      </c>
      <c r="G3" s="3" t="str">
        <f aca="false">IF(F3="","",IF(F3&gt;=Notes!$B$5,"Elderly ("&amp;Notes!$B$5&amp;"+)",IF(F3&lt;=Notes!$B$4,"Student age (≤"&amp;Notes!$B$4&amp;")","Middle-aged ("&amp;(Notes!$B$4+1)&amp;"–"&amp;(Notes!$B$5-1)&amp;")")))</f>
        <v>Student age (≤29)</v>
      </c>
      <c r="H3" s="3" t="s">
        <v>45</v>
      </c>
      <c r="I3" s="3" t="s">
        <v>61</v>
      </c>
      <c r="J3" s="3" t="s">
        <v>47</v>
      </c>
      <c r="K3" s="3" t="s">
        <v>62</v>
      </c>
      <c r="L3" s="3" t="s">
        <v>49</v>
      </c>
      <c r="M3" s="3" t="s">
        <v>47</v>
      </c>
      <c r="N3" s="3" t="s">
        <v>50</v>
      </c>
      <c r="O3" s="3" t="s">
        <v>63</v>
      </c>
      <c r="P3" s="3" t="n">
        <v>38</v>
      </c>
      <c r="Q3" s="3" t="s">
        <v>52</v>
      </c>
      <c r="R3" s="3" t="s">
        <v>64</v>
      </c>
      <c r="S3" s="3" t="s">
        <v>65</v>
      </c>
      <c r="T3" s="3"/>
      <c r="U3" s="3" t="s">
        <v>66</v>
      </c>
      <c r="V3" s="3" t="s">
        <v>67</v>
      </c>
      <c r="W3" s="3" t="s">
        <v>68</v>
      </c>
      <c r="X3" s="3"/>
      <c r="Y3" s="3" t="n">
        <v>2</v>
      </c>
      <c r="Z3" s="3" t="n">
        <v>1</v>
      </c>
      <c r="AA3" s="3" t="n">
        <v>3</v>
      </c>
      <c r="AB3" s="3" t="n">
        <v>3</v>
      </c>
      <c r="AC3" s="3" t="n">
        <v>2</v>
      </c>
      <c r="AD3" s="3" t="n">
        <v>1</v>
      </c>
      <c r="AE3" s="3"/>
      <c r="AF3" s="3"/>
      <c r="AG3" s="3" t="s">
        <v>69</v>
      </c>
      <c r="AH3" s="3"/>
      <c r="AI3" s="3"/>
      <c r="AJ3" s="3" t="s">
        <v>59</v>
      </c>
      <c r="AK3" s="3"/>
      <c r="AL3" s="3" t="s">
        <v>59</v>
      </c>
      <c r="AM3" s="3"/>
      <c r="AN3" s="3"/>
      <c r="AO3" s="3" t="s">
        <v>59</v>
      </c>
      <c r="AP3" s="3"/>
      <c r="AQ3" s="3"/>
      <c r="AR3" s="3"/>
    </row>
    <row r="4" customFormat="false" ht="15" hidden="false" customHeight="true" outlineLevel="0" collapsed="false">
      <c r="A4" s="3" t="s">
        <v>70</v>
      </c>
      <c r="B4" s="3" t="n">
        <v>1</v>
      </c>
      <c r="C4" s="3" t="n">
        <v>4</v>
      </c>
      <c r="D4" s="3"/>
      <c r="E4" s="4"/>
      <c r="F4" s="3" t="n">
        <v>19</v>
      </c>
      <c r="G4" s="3" t="str">
        <f aca="false">IF(F4="","",IF(F4&gt;=Notes!$B$5,"Elderly ("&amp;Notes!$B$5&amp;"+)",IF(F4&lt;=Notes!$B$4,"Student age (≤"&amp;Notes!$B$4&amp;")","Middle-aged ("&amp;(Notes!$B$4+1)&amp;"–"&amp;(Notes!$B$5-1)&amp;")")))</f>
        <v>Student age (≤29)</v>
      </c>
      <c r="H4" s="3" t="s">
        <v>45</v>
      </c>
      <c r="I4" s="3" t="s">
        <v>71</v>
      </c>
      <c r="J4" s="3" t="s">
        <v>47</v>
      </c>
      <c r="K4" s="3" t="s">
        <v>72</v>
      </c>
      <c r="L4" s="3" t="s">
        <v>49</v>
      </c>
      <c r="M4" s="3" t="s">
        <v>47</v>
      </c>
      <c r="N4" s="3" t="s">
        <v>50</v>
      </c>
      <c r="O4" s="3" t="s">
        <v>73</v>
      </c>
      <c r="P4" s="3" t="n">
        <v>10</v>
      </c>
      <c r="Q4" s="3" t="s">
        <v>74</v>
      </c>
      <c r="R4" s="3" t="s">
        <v>75</v>
      </c>
      <c r="S4" s="3" t="s">
        <v>76</v>
      </c>
      <c r="T4" s="3"/>
      <c r="U4" s="3" t="s">
        <v>77</v>
      </c>
      <c r="V4" s="3" t="s">
        <v>78</v>
      </c>
      <c r="W4" s="3" t="s">
        <v>79</v>
      </c>
      <c r="X4" s="3"/>
      <c r="Y4" s="3" t="n">
        <v>3</v>
      </c>
      <c r="Z4" s="3" t="n">
        <v>3</v>
      </c>
      <c r="AA4" s="3" t="n">
        <v>2</v>
      </c>
      <c r="AB4" s="3" t="n">
        <v>2</v>
      </c>
      <c r="AC4" s="3" t="n">
        <v>1</v>
      </c>
      <c r="AD4" s="3" t="n">
        <v>1</v>
      </c>
      <c r="AE4" s="3"/>
      <c r="AF4" s="3"/>
      <c r="AG4" s="3" t="s">
        <v>80</v>
      </c>
      <c r="AH4" s="3"/>
      <c r="AI4" s="3"/>
      <c r="AJ4" s="3" t="s">
        <v>59</v>
      </c>
      <c r="AK4" s="3"/>
      <c r="AL4" s="3" t="s">
        <v>59</v>
      </c>
      <c r="AM4" s="3"/>
      <c r="AN4" s="3"/>
      <c r="AO4" s="3" t="s">
        <v>59</v>
      </c>
      <c r="AP4" s="3"/>
      <c r="AQ4" s="3"/>
      <c r="AR4" s="3" t="s">
        <v>81</v>
      </c>
    </row>
    <row r="5" customFormat="false" ht="15" hidden="false" customHeight="true" outlineLevel="0" collapsed="false">
      <c r="A5" s="3" t="s">
        <v>82</v>
      </c>
      <c r="B5" s="3" t="n">
        <v>1</v>
      </c>
      <c r="C5" s="3" t="n">
        <v>5</v>
      </c>
      <c r="D5" s="3"/>
      <c r="E5" s="4"/>
      <c r="F5" s="3" t="n">
        <v>21</v>
      </c>
      <c r="G5" s="3" t="str">
        <f aca="false">IF(F5="","",IF(F5&gt;=Notes!$B$5,"Elderly ("&amp;Notes!$B$5&amp;"+)",IF(F5&lt;=Notes!$B$4,"Student age (≤"&amp;Notes!$B$4&amp;")","Middle-aged ("&amp;(Notes!$B$4+1)&amp;"–"&amp;(Notes!$B$5-1)&amp;")")))</f>
        <v>Student age (≤29)</v>
      </c>
      <c r="H5" s="3" t="s">
        <v>83</v>
      </c>
      <c r="I5" s="3" t="s">
        <v>49</v>
      </c>
      <c r="J5" s="3" t="s">
        <v>47</v>
      </c>
      <c r="K5" s="3" t="s">
        <v>50</v>
      </c>
      <c r="L5" s="3" t="s">
        <v>49</v>
      </c>
      <c r="M5" s="3" t="s">
        <v>47</v>
      </c>
      <c r="N5" s="3" t="s">
        <v>50</v>
      </c>
      <c r="O5" s="3" t="s">
        <v>84</v>
      </c>
      <c r="P5" s="3" t="n">
        <v>40</v>
      </c>
      <c r="Q5" s="3" t="s">
        <v>52</v>
      </c>
      <c r="R5" s="3" t="s">
        <v>85</v>
      </c>
      <c r="S5" s="3" t="s">
        <v>86</v>
      </c>
      <c r="T5" s="3"/>
      <c r="U5" s="3" t="s">
        <v>87</v>
      </c>
      <c r="V5" s="3" t="s">
        <v>88</v>
      </c>
      <c r="W5" s="3" t="s">
        <v>89</v>
      </c>
      <c r="X5" s="3"/>
      <c r="Y5" s="3" t="n">
        <v>3</v>
      </c>
      <c r="Z5" s="3" t="n">
        <v>2</v>
      </c>
      <c r="AA5" s="3" t="n">
        <v>1</v>
      </c>
      <c r="AB5" s="3" t="n">
        <v>3</v>
      </c>
      <c r="AC5" s="3" t="n">
        <v>2</v>
      </c>
      <c r="AD5" s="3" t="n">
        <v>1</v>
      </c>
      <c r="AE5" s="3"/>
      <c r="AF5" s="3"/>
      <c r="AG5" s="3" t="s">
        <v>90</v>
      </c>
      <c r="AH5" s="3"/>
      <c r="AI5" s="3"/>
      <c r="AJ5" s="3" t="s">
        <v>59</v>
      </c>
      <c r="AK5" s="3"/>
      <c r="AL5" s="3" t="s">
        <v>59</v>
      </c>
      <c r="AM5" s="3"/>
      <c r="AN5" s="3"/>
      <c r="AO5" s="3" t="s">
        <v>59</v>
      </c>
      <c r="AP5" s="3"/>
      <c r="AQ5" s="3"/>
      <c r="AR5" s="3"/>
    </row>
    <row r="6" customFormat="false" ht="15" hidden="false" customHeight="true" outlineLevel="0" collapsed="false">
      <c r="A6" s="3" t="s">
        <v>91</v>
      </c>
      <c r="B6" s="3" t="n">
        <v>1</v>
      </c>
      <c r="C6" s="3" t="n">
        <v>6</v>
      </c>
      <c r="D6" s="3"/>
      <c r="E6" s="4"/>
      <c r="F6" s="3" t="n">
        <v>21</v>
      </c>
      <c r="G6" s="3" t="str">
        <f aca="false">IF(F6="","",IF(F6&gt;=Notes!$B$5,"Elderly ("&amp;Notes!$B$5&amp;"+)",IF(F6&lt;=Notes!$B$4,"Student age (≤"&amp;Notes!$B$4&amp;")","Middle-aged ("&amp;(Notes!$B$4+1)&amp;"–"&amp;(Notes!$B$5-1)&amp;")")))</f>
        <v>Student age (≤29)</v>
      </c>
      <c r="H6" s="3" t="s">
        <v>83</v>
      </c>
      <c r="I6" s="3" t="s">
        <v>92</v>
      </c>
      <c r="J6" s="3" t="s">
        <v>47</v>
      </c>
      <c r="K6" s="3" t="s">
        <v>93</v>
      </c>
      <c r="L6" s="3" t="s">
        <v>49</v>
      </c>
      <c r="M6" s="3" t="s">
        <v>47</v>
      </c>
      <c r="N6" s="3" t="s">
        <v>50</v>
      </c>
      <c r="O6" s="3" t="s">
        <v>94</v>
      </c>
      <c r="P6" s="3" t="n">
        <v>20</v>
      </c>
      <c r="Q6" s="3" t="s">
        <v>95</v>
      </c>
      <c r="R6" s="3" t="s">
        <v>96</v>
      </c>
      <c r="S6" s="3" t="s">
        <v>97</v>
      </c>
      <c r="T6" s="3"/>
      <c r="U6" s="3" t="s">
        <v>98</v>
      </c>
      <c r="V6" s="3" t="s">
        <v>99</v>
      </c>
      <c r="W6" s="3" t="s">
        <v>100</v>
      </c>
      <c r="X6" s="3" t="s">
        <v>101</v>
      </c>
      <c r="Y6" s="3" t="n">
        <v>2</v>
      </c>
      <c r="Z6" s="3" t="n">
        <v>1</v>
      </c>
      <c r="AA6" s="3" t="n">
        <v>3</v>
      </c>
      <c r="AB6" s="3" t="n">
        <v>2</v>
      </c>
      <c r="AC6" s="3" t="n">
        <v>1</v>
      </c>
      <c r="AD6" s="3" t="n">
        <v>3</v>
      </c>
      <c r="AE6" s="3" t="s">
        <v>102</v>
      </c>
      <c r="AF6" s="3"/>
      <c r="AG6" s="3" t="s">
        <v>102</v>
      </c>
      <c r="AH6" s="3"/>
      <c r="AI6" s="3"/>
      <c r="AJ6" s="3" t="s">
        <v>59</v>
      </c>
      <c r="AK6" s="3"/>
      <c r="AL6" s="3" t="s">
        <v>98</v>
      </c>
      <c r="AM6" s="3"/>
      <c r="AN6" s="3"/>
      <c r="AO6" s="3" t="s">
        <v>98</v>
      </c>
      <c r="AP6" s="3"/>
      <c r="AQ6" s="3"/>
      <c r="AR6" s="3"/>
    </row>
    <row r="7" customFormat="false" ht="15" hidden="false" customHeight="true" outlineLevel="0" collapsed="false">
      <c r="A7" s="3" t="s">
        <v>103</v>
      </c>
      <c r="B7" s="3" t="n">
        <v>1</v>
      </c>
      <c r="C7" s="3" t="n">
        <v>7</v>
      </c>
      <c r="D7" s="3"/>
      <c r="E7" s="4"/>
      <c r="F7" s="3" t="n">
        <v>24</v>
      </c>
      <c r="G7" s="3" t="str">
        <f aca="false">IF(F7="","",IF(F7&gt;=Notes!$B$5,"Elderly ("&amp;Notes!$B$5&amp;"+)",IF(F7&lt;=Notes!$B$4,"Student age (≤"&amp;Notes!$B$4&amp;")","Middle-aged ("&amp;(Notes!$B$4+1)&amp;"–"&amp;(Notes!$B$5-1)&amp;")")))</f>
        <v>Student age (≤29)</v>
      </c>
      <c r="H7" s="3" t="s">
        <v>83</v>
      </c>
      <c r="I7" s="3" t="s">
        <v>71</v>
      </c>
      <c r="J7" s="3" t="s">
        <v>47</v>
      </c>
      <c r="K7" s="3" t="s">
        <v>72</v>
      </c>
      <c r="L7" s="3" t="s">
        <v>71</v>
      </c>
      <c r="M7" s="3" t="s">
        <v>47</v>
      </c>
      <c r="N7" s="3" t="s">
        <v>72</v>
      </c>
      <c r="O7" s="3" t="s">
        <v>104</v>
      </c>
      <c r="P7" s="3" t="n">
        <v>32</v>
      </c>
      <c r="Q7" s="3" t="s">
        <v>52</v>
      </c>
      <c r="R7" s="3" t="s">
        <v>105</v>
      </c>
      <c r="S7" s="3" t="s">
        <v>106</v>
      </c>
      <c r="T7" s="3"/>
      <c r="U7" s="3" t="s">
        <v>107</v>
      </c>
      <c r="V7" s="3" t="s">
        <v>108</v>
      </c>
      <c r="W7" s="3" t="s">
        <v>109</v>
      </c>
      <c r="X7" s="3" t="s">
        <v>110</v>
      </c>
      <c r="Y7" s="3" t="n">
        <v>2</v>
      </c>
      <c r="Z7" s="3" t="n">
        <v>1</v>
      </c>
      <c r="AA7" s="3" t="n">
        <v>3</v>
      </c>
      <c r="AB7" s="3" t="n">
        <v>2</v>
      </c>
      <c r="AC7" s="3" t="n">
        <v>1</v>
      </c>
      <c r="AD7" s="3" t="n">
        <v>3</v>
      </c>
      <c r="AE7" s="3" t="s">
        <v>111</v>
      </c>
      <c r="AF7" s="3"/>
      <c r="AG7" s="3" t="s">
        <v>112</v>
      </c>
      <c r="AH7" s="3"/>
      <c r="AI7" s="3"/>
      <c r="AJ7" s="3" t="s">
        <v>59</v>
      </c>
      <c r="AK7" s="3"/>
      <c r="AL7" s="3" t="s">
        <v>59</v>
      </c>
      <c r="AM7" s="3"/>
      <c r="AN7" s="3"/>
      <c r="AO7" s="3" t="s">
        <v>59</v>
      </c>
      <c r="AP7" s="3"/>
      <c r="AQ7" s="3"/>
      <c r="AR7" s="3"/>
    </row>
    <row r="8" customFormat="false" ht="15" hidden="false" customHeight="true" outlineLevel="0" collapsed="false">
      <c r="A8" s="3" t="s">
        <v>113</v>
      </c>
      <c r="B8" s="3" t="n">
        <v>1</v>
      </c>
      <c r="C8" s="3" t="n">
        <v>10</v>
      </c>
      <c r="D8" s="3"/>
      <c r="E8" s="4"/>
      <c r="F8" s="3" t="n">
        <v>20</v>
      </c>
      <c r="G8" s="3" t="str">
        <f aca="false">IF(F8="","",IF(F8&gt;=Notes!$B$5,"Elderly ("&amp;Notes!$B$5&amp;"+)",IF(F8&lt;=Notes!$B$4,"Student age (≤"&amp;Notes!$B$4&amp;")","Middle-aged ("&amp;(Notes!$B$4+1)&amp;"–"&amp;(Notes!$B$5-1)&amp;")")))</f>
        <v>Student age (≤29)</v>
      </c>
      <c r="H8" s="3" t="s">
        <v>83</v>
      </c>
      <c r="I8" s="3" t="s">
        <v>114</v>
      </c>
      <c r="J8" s="3" t="s">
        <v>47</v>
      </c>
      <c r="K8" s="3" t="s">
        <v>115</v>
      </c>
      <c r="L8" s="3" t="s">
        <v>49</v>
      </c>
      <c r="M8" s="3" t="s">
        <v>47</v>
      </c>
      <c r="N8" s="3" t="s">
        <v>50</v>
      </c>
      <c r="O8" s="3" t="s">
        <v>116</v>
      </c>
      <c r="P8" s="3" t="n">
        <v>25</v>
      </c>
      <c r="Q8" s="3" t="s">
        <v>117</v>
      </c>
      <c r="R8" s="3" t="s">
        <v>118</v>
      </c>
      <c r="S8" s="3" t="s">
        <v>119</v>
      </c>
      <c r="T8" s="3"/>
      <c r="U8" s="3" t="s">
        <v>120</v>
      </c>
      <c r="V8" s="3" t="s">
        <v>121</v>
      </c>
      <c r="W8" s="3" t="s">
        <v>122</v>
      </c>
      <c r="X8" s="3" t="s">
        <v>123</v>
      </c>
      <c r="Y8" s="3" t="n">
        <v>2</v>
      </c>
      <c r="Z8" s="3" t="n">
        <v>1</v>
      </c>
      <c r="AA8" s="3" t="n">
        <v>3</v>
      </c>
      <c r="AB8" s="3" t="n">
        <v>2</v>
      </c>
      <c r="AC8" s="3" t="n">
        <v>1</v>
      </c>
      <c r="AD8" s="3" t="n">
        <v>3</v>
      </c>
      <c r="AE8" s="3" t="s">
        <v>124</v>
      </c>
      <c r="AF8" s="3"/>
      <c r="AG8" s="3" t="s">
        <v>125</v>
      </c>
      <c r="AH8" s="3"/>
      <c r="AI8" s="3"/>
      <c r="AJ8" s="3" t="s">
        <v>59</v>
      </c>
      <c r="AK8" s="3"/>
      <c r="AL8" s="3" t="s">
        <v>59</v>
      </c>
      <c r="AM8" s="3"/>
      <c r="AN8" s="3"/>
      <c r="AO8" s="3" t="s">
        <v>59</v>
      </c>
      <c r="AP8" s="3"/>
      <c r="AQ8" s="3"/>
      <c r="AR8" s="3"/>
    </row>
    <row r="9" customFormat="false" ht="15" hidden="false" customHeight="true" outlineLevel="0" collapsed="false">
      <c r="A9" s="3" t="s">
        <v>126</v>
      </c>
      <c r="B9" s="3" t="n">
        <v>1</v>
      </c>
      <c r="C9" s="3" t="n">
        <v>11</v>
      </c>
      <c r="D9" s="3"/>
      <c r="E9" s="4"/>
      <c r="F9" s="3" t="n">
        <v>20</v>
      </c>
      <c r="G9" s="3" t="str">
        <f aca="false">IF(F9="","",IF(F9&gt;=Notes!$B$5,"Elderly ("&amp;Notes!$B$5&amp;"+)",IF(F9&lt;=Notes!$B$4,"Student age (≤"&amp;Notes!$B$4&amp;")","Middle-aged ("&amp;(Notes!$B$4+1)&amp;"–"&amp;(Notes!$B$5-1)&amp;")")))</f>
        <v>Student age (≤29)</v>
      </c>
      <c r="H9" s="3" t="s">
        <v>83</v>
      </c>
      <c r="I9" s="3" t="s">
        <v>127</v>
      </c>
      <c r="J9" s="3" t="s">
        <v>47</v>
      </c>
      <c r="K9" s="3" t="s">
        <v>128</v>
      </c>
      <c r="L9" s="3" t="s">
        <v>49</v>
      </c>
      <c r="M9" s="3" t="s">
        <v>47</v>
      </c>
      <c r="N9" s="3" t="s">
        <v>50</v>
      </c>
      <c r="O9" s="3" t="s">
        <v>129</v>
      </c>
      <c r="P9" s="3" t="n">
        <v>12</v>
      </c>
      <c r="Q9" s="3" t="s">
        <v>74</v>
      </c>
      <c r="R9" s="3" t="s">
        <v>130</v>
      </c>
      <c r="S9" s="3" t="s">
        <v>131</v>
      </c>
      <c r="T9" s="3"/>
      <c r="U9" s="3" t="s">
        <v>132</v>
      </c>
      <c r="V9" s="3" t="s">
        <v>133</v>
      </c>
      <c r="W9" s="3" t="s">
        <v>134</v>
      </c>
      <c r="X9" s="3" t="s">
        <v>135</v>
      </c>
      <c r="Y9" s="3" t="n">
        <v>2</v>
      </c>
      <c r="Z9" s="3" t="n">
        <v>3</v>
      </c>
      <c r="AA9" s="3" t="n">
        <v>1</v>
      </c>
      <c r="AB9" s="3" t="n">
        <v>3</v>
      </c>
      <c r="AC9" s="3" t="n">
        <v>1</v>
      </c>
      <c r="AD9" s="3" t="n">
        <v>2</v>
      </c>
      <c r="AE9" s="3" t="s">
        <v>136</v>
      </c>
      <c r="AF9" s="3"/>
      <c r="AG9" s="3" t="s">
        <v>137</v>
      </c>
      <c r="AH9" s="3"/>
      <c r="AI9" s="3"/>
      <c r="AJ9" s="3" t="s">
        <v>59</v>
      </c>
      <c r="AK9" s="3"/>
      <c r="AL9" s="3" t="s">
        <v>59</v>
      </c>
      <c r="AM9" s="3"/>
      <c r="AN9" s="3"/>
      <c r="AO9" s="3" t="s">
        <v>59</v>
      </c>
      <c r="AP9" s="3"/>
      <c r="AQ9" s="3"/>
      <c r="AR9" s="3"/>
    </row>
    <row r="10" customFormat="false" ht="15" hidden="false" customHeight="true" outlineLevel="0" collapsed="false">
      <c r="A10" s="3" t="s">
        <v>138</v>
      </c>
      <c r="B10" s="3" t="n">
        <v>1</v>
      </c>
      <c r="C10" s="3" t="n">
        <v>12</v>
      </c>
      <c r="D10" s="3"/>
      <c r="E10" s="4"/>
      <c r="F10" s="3" t="n">
        <v>21</v>
      </c>
      <c r="G10" s="3" t="str">
        <f aca="false">IF(F10="","",IF(F10&gt;=Notes!$B$5,"Elderly ("&amp;Notes!$B$5&amp;"+)",IF(F10&lt;=Notes!$B$4,"Student age (≤"&amp;Notes!$B$4&amp;")","Middle-aged ("&amp;(Notes!$B$4+1)&amp;"–"&amp;(Notes!$B$5-1)&amp;")")))</f>
        <v>Student age (≤29)</v>
      </c>
      <c r="H10" s="3" t="s">
        <v>83</v>
      </c>
      <c r="I10" s="3" t="s">
        <v>49</v>
      </c>
      <c r="J10" s="3" t="s">
        <v>47</v>
      </c>
      <c r="K10" s="3" t="s">
        <v>50</v>
      </c>
      <c r="L10" s="3" t="s">
        <v>49</v>
      </c>
      <c r="M10" s="3" t="s">
        <v>47</v>
      </c>
      <c r="N10" s="3" t="s">
        <v>50</v>
      </c>
      <c r="O10" s="3" t="s">
        <v>139</v>
      </c>
      <c r="P10" s="3" t="n">
        <v>30</v>
      </c>
      <c r="Q10" s="3" t="s">
        <v>117</v>
      </c>
      <c r="R10" s="3" t="s">
        <v>140</v>
      </c>
      <c r="S10" s="3" t="s">
        <v>141</v>
      </c>
      <c r="T10" s="3"/>
      <c r="U10" s="3" t="s">
        <v>142</v>
      </c>
      <c r="V10" s="3" t="s">
        <v>143</v>
      </c>
      <c r="W10" s="3" t="s">
        <v>144</v>
      </c>
      <c r="X10" s="3" t="s">
        <v>145</v>
      </c>
      <c r="Y10" s="3" t="n">
        <v>2</v>
      </c>
      <c r="Z10" s="3" t="n">
        <v>1</v>
      </c>
      <c r="AA10" s="3" t="n">
        <v>3</v>
      </c>
      <c r="AB10" s="3" t="n">
        <v>2</v>
      </c>
      <c r="AC10" s="3" t="n">
        <v>3</v>
      </c>
      <c r="AD10" s="3" t="n">
        <v>1</v>
      </c>
      <c r="AE10" s="3" t="s">
        <v>146</v>
      </c>
      <c r="AF10" s="3"/>
      <c r="AG10" s="3" t="s">
        <v>147</v>
      </c>
      <c r="AH10" s="3"/>
      <c r="AI10" s="3"/>
      <c r="AJ10" s="3" t="s">
        <v>59</v>
      </c>
      <c r="AK10" s="3"/>
      <c r="AL10" s="3" t="s">
        <v>59</v>
      </c>
      <c r="AM10" s="3"/>
      <c r="AN10" s="3"/>
      <c r="AO10" s="3" t="s">
        <v>59</v>
      </c>
      <c r="AP10" s="3"/>
      <c r="AQ10" s="3"/>
      <c r="AR10" s="3"/>
    </row>
    <row r="11" customFormat="false" ht="15" hidden="false" customHeight="true" outlineLevel="0" collapsed="false">
      <c r="A11" s="3" t="s">
        <v>148</v>
      </c>
      <c r="B11" s="3" t="n">
        <v>1</v>
      </c>
      <c r="C11" s="3" t="n">
        <v>15</v>
      </c>
      <c r="D11" s="3"/>
      <c r="E11" s="4"/>
      <c r="F11" s="3" t="n">
        <v>20</v>
      </c>
      <c r="G11" s="3" t="str">
        <f aca="false">IF(F11="","",IF(F11&gt;=Notes!$B$5,"Elderly ("&amp;Notes!$B$5&amp;"+)",IF(F11&lt;=Notes!$B$4,"Student age (≤"&amp;Notes!$B$4&amp;")","Middle-aged ("&amp;(Notes!$B$4+1)&amp;"–"&amp;(Notes!$B$5-1)&amp;")")))</f>
        <v>Student age (≤29)</v>
      </c>
      <c r="H11" s="3" t="s">
        <v>83</v>
      </c>
      <c r="I11" s="3" t="s">
        <v>49</v>
      </c>
      <c r="J11" s="3" t="s">
        <v>47</v>
      </c>
      <c r="K11" s="3" t="s">
        <v>50</v>
      </c>
      <c r="L11" s="3" t="s">
        <v>49</v>
      </c>
      <c r="M11" s="3" t="s">
        <v>47</v>
      </c>
      <c r="N11" s="3" t="s">
        <v>50</v>
      </c>
      <c r="O11" s="3" t="s">
        <v>149</v>
      </c>
      <c r="P11" s="3" t="n">
        <v>32</v>
      </c>
      <c r="Q11" s="3" t="s">
        <v>52</v>
      </c>
      <c r="R11" s="3" t="s">
        <v>150</v>
      </c>
      <c r="S11" s="3" t="s">
        <v>151</v>
      </c>
      <c r="T11" s="3"/>
      <c r="U11" s="3" t="s">
        <v>152</v>
      </c>
      <c r="V11" s="3" t="s">
        <v>153</v>
      </c>
      <c r="W11" s="3" t="s">
        <v>154</v>
      </c>
      <c r="X11" s="3" t="s">
        <v>155</v>
      </c>
      <c r="Y11" s="3" t="n">
        <v>1</v>
      </c>
      <c r="Z11" s="3" t="n">
        <v>3</v>
      </c>
      <c r="AA11" s="3" t="n">
        <v>2</v>
      </c>
      <c r="AB11" s="3" t="n">
        <v>1</v>
      </c>
      <c r="AC11" s="3" t="n">
        <v>3</v>
      </c>
      <c r="AD11" s="3" t="n">
        <v>2</v>
      </c>
      <c r="AE11" s="3" t="s">
        <v>156</v>
      </c>
      <c r="AF11" s="3"/>
      <c r="AG11" s="3" t="s">
        <v>157</v>
      </c>
      <c r="AH11" s="3"/>
      <c r="AI11" s="3"/>
      <c r="AJ11" s="3" t="s">
        <v>59</v>
      </c>
      <c r="AK11" s="3"/>
      <c r="AL11" s="3" t="s">
        <v>59</v>
      </c>
      <c r="AM11" s="3"/>
      <c r="AN11" s="3"/>
      <c r="AO11" s="3" t="s">
        <v>59</v>
      </c>
      <c r="AP11" s="3"/>
      <c r="AQ11" s="3"/>
      <c r="AR11" s="3"/>
    </row>
    <row r="12" customFormat="false" ht="15" hidden="false" customHeight="true" outlineLevel="0" collapsed="false">
      <c r="A12" s="3" t="s">
        <v>158</v>
      </c>
      <c r="B12" s="3" t="n">
        <v>1</v>
      </c>
      <c r="C12" s="3" t="n">
        <v>18</v>
      </c>
      <c r="D12" s="3"/>
      <c r="E12" s="4"/>
      <c r="F12" s="3" t="n">
        <v>22</v>
      </c>
      <c r="G12" s="3" t="str">
        <f aca="false">IF(F12="","",IF(F12&gt;=Notes!$B$5,"Elderly ("&amp;Notes!$B$5&amp;"+)",IF(F12&lt;=Notes!$B$4,"Student age (≤"&amp;Notes!$B$4&amp;")","Middle-aged ("&amp;(Notes!$B$4+1)&amp;"–"&amp;(Notes!$B$5-1)&amp;")")))</f>
        <v>Student age (≤29)</v>
      </c>
      <c r="H12" s="3" t="s">
        <v>45</v>
      </c>
      <c r="I12" s="3" t="s">
        <v>159</v>
      </c>
      <c r="J12" s="3" t="s">
        <v>47</v>
      </c>
      <c r="K12" s="3" t="s">
        <v>160</v>
      </c>
      <c r="L12" s="3" t="s">
        <v>49</v>
      </c>
      <c r="M12" s="3" t="s">
        <v>47</v>
      </c>
      <c r="N12" s="3" t="s">
        <v>50</v>
      </c>
      <c r="O12" s="3" t="s">
        <v>161</v>
      </c>
      <c r="P12" s="3" t="n">
        <v>30</v>
      </c>
      <c r="Q12" s="3" t="s">
        <v>117</v>
      </c>
      <c r="R12" s="3" t="s">
        <v>162</v>
      </c>
      <c r="S12" s="3" t="s">
        <v>163</v>
      </c>
      <c r="T12" s="3"/>
      <c r="U12" s="3" t="s">
        <v>164</v>
      </c>
      <c r="V12" s="3" t="s">
        <v>165</v>
      </c>
      <c r="W12" s="3" t="s">
        <v>166</v>
      </c>
      <c r="X12" s="3" t="s">
        <v>167</v>
      </c>
      <c r="Y12" s="3" t="n">
        <v>1</v>
      </c>
      <c r="Z12" s="3" t="n">
        <v>2</v>
      </c>
      <c r="AA12" s="3" t="n">
        <v>3</v>
      </c>
      <c r="AB12" s="3" t="n">
        <v>2</v>
      </c>
      <c r="AC12" s="3" t="n">
        <v>1</v>
      </c>
      <c r="AD12" s="3" t="n">
        <v>3</v>
      </c>
      <c r="AE12" s="3" t="s">
        <v>168</v>
      </c>
      <c r="AF12" s="3"/>
      <c r="AG12" s="3" t="s">
        <v>169</v>
      </c>
      <c r="AH12" s="3"/>
      <c r="AI12" s="3"/>
      <c r="AJ12" s="3" t="s">
        <v>59</v>
      </c>
      <c r="AK12" s="3"/>
      <c r="AL12" s="3" t="s">
        <v>59</v>
      </c>
      <c r="AM12" s="3"/>
      <c r="AN12" s="3"/>
      <c r="AO12" s="3" t="s">
        <v>59</v>
      </c>
      <c r="AP12" s="3"/>
      <c r="AQ12" s="3"/>
      <c r="AR12" s="3"/>
    </row>
    <row r="13" customFormat="false" ht="15" hidden="false" customHeight="true" outlineLevel="0" collapsed="false">
      <c r="A13" s="3" t="s">
        <v>170</v>
      </c>
      <c r="B13" s="3" t="n">
        <v>1</v>
      </c>
      <c r="C13" s="3" t="n">
        <v>19</v>
      </c>
      <c r="D13" s="3"/>
      <c r="E13" s="4"/>
      <c r="F13" s="3" t="n">
        <v>22</v>
      </c>
      <c r="G13" s="3" t="str">
        <f aca="false">IF(F13="","",IF(F13&gt;=Notes!$B$5,"Elderly ("&amp;Notes!$B$5&amp;"+)",IF(F13&lt;=Notes!$B$4,"Student age (≤"&amp;Notes!$B$4&amp;")","Middle-aged ("&amp;(Notes!$B$4+1)&amp;"–"&amp;(Notes!$B$5-1)&amp;")")))</f>
        <v>Student age (≤29)</v>
      </c>
      <c r="H13" s="3" t="s">
        <v>83</v>
      </c>
      <c r="I13" s="3" t="s">
        <v>171</v>
      </c>
      <c r="J13" s="3" t="s">
        <v>47</v>
      </c>
      <c r="K13" s="3" t="s">
        <v>172</v>
      </c>
      <c r="L13" s="3" t="s">
        <v>49</v>
      </c>
      <c r="M13" s="3" t="s">
        <v>47</v>
      </c>
      <c r="N13" s="3" t="s">
        <v>50</v>
      </c>
      <c r="O13" s="3" t="s">
        <v>173</v>
      </c>
      <c r="P13" s="3" t="n">
        <v>25</v>
      </c>
      <c r="Q13" s="3" t="s">
        <v>117</v>
      </c>
      <c r="R13" s="3" t="s">
        <v>174</v>
      </c>
      <c r="S13" s="3" t="s">
        <v>175</v>
      </c>
      <c r="T13" s="3"/>
      <c r="U13" s="3" t="s">
        <v>176</v>
      </c>
      <c r="V13" s="3" t="s">
        <v>177</v>
      </c>
      <c r="W13" s="3" t="s">
        <v>178</v>
      </c>
      <c r="X13" s="3" t="s">
        <v>179</v>
      </c>
      <c r="Y13" s="3" t="n">
        <v>1</v>
      </c>
      <c r="Z13" s="3" t="n">
        <v>2</v>
      </c>
      <c r="AA13" s="3" t="n">
        <v>3</v>
      </c>
      <c r="AB13" s="3" t="n">
        <v>2</v>
      </c>
      <c r="AC13" s="3" t="n">
        <v>1</v>
      </c>
      <c r="AD13" s="3" t="n">
        <v>3</v>
      </c>
      <c r="AE13" s="3" t="s">
        <v>180</v>
      </c>
      <c r="AF13" s="3"/>
      <c r="AG13" s="3" t="s">
        <v>181</v>
      </c>
      <c r="AH13" s="3"/>
      <c r="AI13" s="3"/>
      <c r="AJ13" s="3" t="s">
        <v>59</v>
      </c>
      <c r="AK13" s="3"/>
      <c r="AL13" s="3" t="s">
        <v>98</v>
      </c>
      <c r="AM13" s="3"/>
      <c r="AN13" s="3"/>
      <c r="AO13" s="3" t="s">
        <v>59</v>
      </c>
      <c r="AP13" s="3"/>
      <c r="AQ13" s="3"/>
      <c r="AR13" s="3"/>
    </row>
    <row r="14" customFormat="false" ht="15" hidden="false" customHeight="true" outlineLevel="0" collapsed="false">
      <c r="A14" s="3" t="s">
        <v>182</v>
      </c>
      <c r="B14" s="3" t="n">
        <v>1</v>
      </c>
      <c r="C14" s="3" t="n">
        <v>20</v>
      </c>
      <c r="D14" s="3"/>
      <c r="E14" s="4"/>
      <c r="F14" s="3" t="n">
        <v>22</v>
      </c>
      <c r="G14" s="3" t="str">
        <f aca="false">IF(F14="","",IF(F14&gt;=Notes!$B$5,"Elderly ("&amp;Notes!$B$5&amp;"+)",IF(F14&lt;=Notes!$B$4,"Student age (≤"&amp;Notes!$B$4&amp;")","Middle-aged ("&amp;(Notes!$B$4+1)&amp;"–"&amp;(Notes!$B$5-1)&amp;")")))</f>
        <v>Student age (≤29)</v>
      </c>
      <c r="H14" s="3" t="s">
        <v>83</v>
      </c>
      <c r="I14" s="3" t="s">
        <v>49</v>
      </c>
      <c r="J14" s="3" t="s">
        <v>47</v>
      </c>
      <c r="K14" s="3" t="s">
        <v>50</v>
      </c>
      <c r="L14" s="3" t="s">
        <v>71</v>
      </c>
      <c r="M14" s="3" t="s">
        <v>47</v>
      </c>
      <c r="N14" s="3" t="s">
        <v>72</v>
      </c>
      <c r="O14" s="3" t="s">
        <v>183</v>
      </c>
      <c r="P14" s="3" t="n">
        <v>30</v>
      </c>
      <c r="Q14" s="3" t="s">
        <v>117</v>
      </c>
      <c r="R14" s="3" t="s">
        <v>184</v>
      </c>
      <c r="S14" s="3" t="s">
        <v>185</v>
      </c>
      <c r="T14" s="3"/>
      <c r="U14" s="3" t="s">
        <v>186</v>
      </c>
      <c r="V14" s="3" t="s">
        <v>187</v>
      </c>
      <c r="W14" s="3" t="s">
        <v>188</v>
      </c>
      <c r="X14" s="3" t="s">
        <v>189</v>
      </c>
      <c r="Y14" s="3" t="n">
        <v>1</v>
      </c>
      <c r="Z14" s="3" t="n">
        <v>2</v>
      </c>
      <c r="AA14" s="3" t="n">
        <v>3</v>
      </c>
      <c r="AB14" s="3" t="n">
        <v>1</v>
      </c>
      <c r="AC14" s="3" t="n">
        <v>3</v>
      </c>
      <c r="AD14" s="3" t="n">
        <v>2</v>
      </c>
      <c r="AE14" s="3" t="s">
        <v>190</v>
      </c>
      <c r="AF14" s="3"/>
      <c r="AG14" s="3" t="s">
        <v>191</v>
      </c>
      <c r="AH14" s="3"/>
      <c r="AI14" s="3"/>
      <c r="AJ14" s="3" t="s">
        <v>59</v>
      </c>
      <c r="AK14" s="3"/>
      <c r="AL14" s="3" t="s">
        <v>59</v>
      </c>
      <c r="AM14" s="3"/>
      <c r="AN14" s="3"/>
      <c r="AO14" s="3" t="s">
        <v>59</v>
      </c>
      <c r="AP14" s="3"/>
      <c r="AQ14" s="3"/>
      <c r="AR14" s="3"/>
    </row>
    <row r="15" customFormat="false" ht="15" hidden="false" customHeight="true" outlineLevel="0" collapsed="false">
      <c r="A15" s="3" t="s">
        <v>192</v>
      </c>
      <c r="B15" s="3" t="n">
        <v>1</v>
      </c>
      <c r="C15" s="3" t="n">
        <v>33</v>
      </c>
      <c r="D15" s="3"/>
      <c r="E15" s="4"/>
      <c r="F15" s="3" t="n">
        <v>24</v>
      </c>
      <c r="G15" s="3" t="str">
        <f aca="false">IF(F15="","",IF(F15&gt;=Notes!$B$5,"Elderly ("&amp;Notes!$B$5&amp;"+)",IF(F15&lt;=Notes!$B$4,"Student age (≤"&amp;Notes!$B$4&amp;")","Middle-aged ("&amp;(Notes!$B$4+1)&amp;"–"&amp;(Notes!$B$5-1)&amp;")")))</f>
        <v>Student age (≤29)</v>
      </c>
      <c r="H15" s="3" t="s">
        <v>45</v>
      </c>
      <c r="I15" s="3" t="s">
        <v>46</v>
      </c>
      <c r="J15" s="3" t="s">
        <v>47</v>
      </c>
      <c r="K15" s="3" t="s">
        <v>48</v>
      </c>
      <c r="L15" s="3" t="s">
        <v>49</v>
      </c>
      <c r="M15" s="3" t="s">
        <v>47</v>
      </c>
      <c r="N15" s="3" t="s">
        <v>50</v>
      </c>
      <c r="O15" s="3" t="s">
        <v>193</v>
      </c>
      <c r="P15" s="3" t="n">
        <v>23</v>
      </c>
      <c r="Q15" s="3" t="s">
        <v>117</v>
      </c>
      <c r="R15" s="3" t="s">
        <v>130</v>
      </c>
      <c r="S15" s="3" t="s">
        <v>194</v>
      </c>
      <c r="T15" s="3"/>
      <c r="U15" s="3" t="s">
        <v>195</v>
      </c>
      <c r="V15" s="3" t="s">
        <v>196</v>
      </c>
      <c r="W15" s="3" t="s">
        <v>197</v>
      </c>
      <c r="X15" s="3" t="s">
        <v>198</v>
      </c>
      <c r="Y15" s="3" t="n">
        <v>3</v>
      </c>
      <c r="Z15" s="3" t="n">
        <v>1</v>
      </c>
      <c r="AA15" s="3" t="n">
        <v>2</v>
      </c>
      <c r="AB15" s="3" t="n">
        <v>2</v>
      </c>
      <c r="AC15" s="3" t="n">
        <v>3</v>
      </c>
      <c r="AD15" s="3" t="n">
        <v>1</v>
      </c>
      <c r="AE15" s="3" t="s">
        <v>199</v>
      </c>
      <c r="AF15" s="3"/>
      <c r="AG15" s="3" t="s">
        <v>200</v>
      </c>
      <c r="AH15" s="3"/>
      <c r="AI15" s="3"/>
      <c r="AJ15" s="3" t="s">
        <v>59</v>
      </c>
      <c r="AK15" s="3"/>
      <c r="AL15" s="3" t="s">
        <v>59</v>
      </c>
      <c r="AM15" s="3"/>
      <c r="AN15" s="3"/>
      <c r="AO15" s="3" t="s">
        <v>59</v>
      </c>
      <c r="AP15" s="3"/>
      <c r="AQ15" s="3"/>
      <c r="AR15" s="3"/>
    </row>
    <row r="16" customFormat="false" ht="15" hidden="false" customHeight="true" outlineLevel="0" collapsed="false">
      <c r="A16" s="3" t="s">
        <v>201</v>
      </c>
      <c r="B16" s="3" t="n">
        <v>1</v>
      </c>
      <c r="C16" s="3" t="n">
        <v>34</v>
      </c>
      <c r="D16" s="3"/>
      <c r="E16" s="4"/>
      <c r="F16" s="3" t="n">
        <v>23</v>
      </c>
      <c r="G16" s="3" t="str">
        <f aca="false">IF(F16="","",IF(F16&gt;=Notes!$B$5,"Elderly ("&amp;Notes!$B$5&amp;"+)",IF(F16&lt;=Notes!$B$4,"Student age (≤"&amp;Notes!$B$4&amp;")","Middle-aged ("&amp;(Notes!$B$4+1)&amp;"–"&amp;(Notes!$B$5-1)&amp;")")))</f>
        <v>Student age (≤29)</v>
      </c>
      <c r="H16" s="3" t="s">
        <v>83</v>
      </c>
      <c r="I16" s="3" t="s">
        <v>46</v>
      </c>
      <c r="J16" s="3" t="s">
        <v>47</v>
      </c>
      <c r="K16" s="3" t="s">
        <v>48</v>
      </c>
      <c r="L16" s="3" t="s">
        <v>49</v>
      </c>
      <c r="M16" s="3" t="s">
        <v>47</v>
      </c>
      <c r="N16" s="3" t="s">
        <v>50</v>
      </c>
      <c r="O16" s="3" t="s">
        <v>202</v>
      </c>
      <c r="P16" s="3" t="n">
        <v>20</v>
      </c>
      <c r="Q16" s="3" t="s">
        <v>95</v>
      </c>
      <c r="R16" s="3" t="s">
        <v>203</v>
      </c>
      <c r="S16" s="3" t="s">
        <v>204</v>
      </c>
      <c r="T16" s="3"/>
      <c r="U16" s="3" t="s">
        <v>205</v>
      </c>
      <c r="V16" s="3" t="s">
        <v>206</v>
      </c>
      <c r="W16" s="3" t="s">
        <v>207</v>
      </c>
      <c r="X16" s="3" t="s">
        <v>208</v>
      </c>
      <c r="Y16" s="3" t="n">
        <v>1</v>
      </c>
      <c r="Z16" s="3" t="n">
        <v>2</v>
      </c>
      <c r="AA16" s="3" t="n">
        <v>3</v>
      </c>
      <c r="AB16" s="3" t="n">
        <v>2</v>
      </c>
      <c r="AC16" s="3" t="n">
        <v>3</v>
      </c>
      <c r="AD16" s="3" t="n">
        <v>1</v>
      </c>
      <c r="AE16" s="3" t="s">
        <v>209</v>
      </c>
      <c r="AF16" s="3"/>
      <c r="AG16" s="3" t="s">
        <v>210</v>
      </c>
      <c r="AH16" s="3"/>
      <c r="AI16" s="3"/>
      <c r="AJ16" s="3" t="s">
        <v>98</v>
      </c>
      <c r="AK16" s="3"/>
      <c r="AL16" s="3" t="s">
        <v>59</v>
      </c>
      <c r="AM16" s="3"/>
      <c r="AN16" s="3"/>
      <c r="AO16" s="3" t="s">
        <v>59</v>
      </c>
      <c r="AP16" s="3"/>
      <c r="AQ16" s="3"/>
      <c r="AR16" s="3"/>
    </row>
    <row r="17" customFormat="false" ht="15" hidden="false" customHeight="true" outlineLevel="0" collapsed="false">
      <c r="A17" s="3" t="s">
        <v>211</v>
      </c>
      <c r="B17" s="3" t="n">
        <v>1</v>
      </c>
      <c r="C17" s="3" t="n">
        <v>37</v>
      </c>
      <c r="D17" s="3"/>
      <c r="E17" s="4"/>
      <c r="F17" s="3" t="n">
        <v>22</v>
      </c>
      <c r="G17" s="3" t="str">
        <f aca="false">IF(F17="","",IF(F17&gt;=Notes!$B$5,"Elderly ("&amp;Notes!$B$5&amp;"+)",IF(F17&lt;=Notes!$B$4,"Student age (≤"&amp;Notes!$B$4&amp;")","Middle-aged ("&amp;(Notes!$B$4+1)&amp;"–"&amp;(Notes!$B$5-1)&amp;")")))</f>
        <v>Student age (≤29)</v>
      </c>
      <c r="H17" s="3" t="s">
        <v>83</v>
      </c>
      <c r="I17" s="3"/>
      <c r="J17" s="3" t="s">
        <v>47</v>
      </c>
      <c r="K17" s="3" t="s">
        <v>47</v>
      </c>
      <c r="L17" s="3"/>
      <c r="M17" s="3" t="s">
        <v>47</v>
      </c>
      <c r="N17" s="3" t="s">
        <v>47</v>
      </c>
      <c r="O17" s="3" t="s">
        <v>212</v>
      </c>
      <c r="P17" s="3" t="n">
        <v>30</v>
      </c>
      <c r="Q17" s="3" t="s">
        <v>117</v>
      </c>
      <c r="R17" s="3" t="s">
        <v>213</v>
      </c>
      <c r="S17" s="3" t="s">
        <v>214</v>
      </c>
      <c r="T17" s="3"/>
      <c r="U17" s="3" t="s">
        <v>215</v>
      </c>
      <c r="V17" s="3" t="s">
        <v>216</v>
      </c>
      <c r="W17" s="3" t="s">
        <v>217</v>
      </c>
      <c r="X17" s="3" t="s">
        <v>218</v>
      </c>
      <c r="Y17" s="3" t="n">
        <v>1</v>
      </c>
      <c r="Z17" s="3" t="n">
        <v>2</v>
      </c>
      <c r="AA17" s="3" t="n">
        <v>3</v>
      </c>
      <c r="AB17" s="3" t="n">
        <v>3</v>
      </c>
      <c r="AC17" s="3" t="n">
        <v>1</v>
      </c>
      <c r="AD17" s="3" t="n">
        <v>2</v>
      </c>
      <c r="AE17" s="3" t="s">
        <v>219</v>
      </c>
      <c r="AF17" s="3"/>
      <c r="AG17" s="3" t="s">
        <v>220</v>
      </c>
      <c r="AH17" s="3"/>
      <c r="AI17" s="3"/>
      <c r="AJ17" s="3" t="s">
        <v>59</v>
      </c>
      <c r="AK17" s="3"/>
      <c r="AL17" s="3" t="s">
        <v>59</v>
      </c>
      <c r="AM17" s="3"/>
      <c r="AN17" s="3"/>
      <c r="AO17" s="3" t="s">
        <v>59</v>
      </c>
      <c r="AP17" s="3"/>
      <c r="AQ17" s="3"/>
      <c r="AR17" s="3"/>
    </row>
    <row r="18" customFormat="false" ht="15" hidden="false" customHeight="true" outlineLevel="0" collapsed="false">
      <c r="A18" s="3" t="s">
        <v>221</v>
      </c>
      <c r="B18" s="3" t="n">
        <v>1</v>
      </c>
      <c r="C18" s="3" t="n">
        <v>38</v>
      </c>
      <c r="D18" s="3"/>
      <c r="E18" s="4"/>
      <c r="F18" s="3" t="n">
        <v>24</v>
      </c>
      <c r="G18" s="3" t="str">
        <f aca="false">IF(F18="","",IF(F18&gt;=Notes!$B$5,"Elderly ("&amp;Notes!$B$5&amp;"+)",IF(F18&lt;=Notes!$B$4,"Student age (≤"&amp;Notes!$B$4&amp;")","Middle-aged ("&amp;(Notes!$B$4+1)&amp;"–"&amp;(Notes!$B$5-1)&amp;")")))</f>
        <v>Student age (≤29)</v>
      </c>
      <c r="H18" s="3" t="s">
        <v>83</v>
      </c>
      <c r="I18" s="3" t="s">
        <v>46</v>
      </c>
      <c r="J18" s="3" t="s">
        <v>47</v>
      </c>
      <c r="K18" s="3" t="s">
        <v>48</v>
      </c>
      <c r="L18" s="3" t="s">
        <v>49</v>
      </c>
      <c r="M18" s="3" t="s">
        <v>47</v>
      </c>
      <c r="N18" s="3" t="s">
        <v>50</v>
      </c>
      <c r="O18" s="3" t="s">
        <v>222</v>
      </c>
      <c r="P18" s="3" t="n">
        <v>40</v>
      </c>
      <c r="Q18" s="3" t="s">
        <v>52</v>
      </c>
      <c r="R18" s="3" t="s">
        <v>223</v>
      </c>
      <c r="S18" s="3" t="s">
        <v>224</v>
      </c>
      <c r="T18" s="3"/>
      <c r="U18" s="3" t="s">
        <v>225</v>
      </c>
      <c r="V18" s="3" t="s">
        <v>226</v>
      </c>
      <c r="W18" s="3" t="s">
        <v>227</v>
      </c>
      <c r="X18" s="3" t="s">
        <v>228</v>
      </c>
      <c r="Y18" s="3" t="n">
        <v>3</v>
      </c>
      <c r="Z18" s="3" t="n">
        <v>2</v>
      </c>
      <c r="AA18" s="3" t="n">
        <v>1</v>
      </c>
      <c r="AB18" s="3" t="n">
        <v>3</v>
      </c>
      <c r="AC18" s="3" t="n">
        <v>1</v>
      </c>
      <c r="AD18" s="3" t="n">
        <v>2</v>
      </c>
      <c r="AE18" s="3" t="s">
        <v>229</v>
      </c>
      <c r="AF18" s="3"/>
      <c r="AG18" s="3" t="s">
        <v>230</v>
      </c>
      <c r="AH18" s="3"/>
      <c r="AI18" s="3"/>
      <c r="AJ18" s="3" t="s">
        <v>59</v>
      </c>
      <c r="AK18" s="3"/>
      <c r="AL18" s="3" t="s">
        <v>59</v>
      </c>
      <c r="AM18" s="3"/>
      <c r="AN18" s="3"/>
      <c r="AO18" s="3" t="s">
        <v>59</v>
      </c>
      <c r="AP18" s="3"/>
      <c r="AQ18" s="3"/>
      <c r="AR18" s="3"/>
    </row>
    <row r="19" customFormat="false" ht="15" hidden="false" customHeight="true" outlineLevel="0" collapsed="false">
      <c r="A19" s="3" t="s">
        <v>231</v>
      </c>
      <c r="B19" s="3" t="n">
        <v>1</v>
      </c>
      <c r="C19" s="3" t="n">
        <v>39</v>
      </c>
      <c r="D19" s="3"/>
      <c r="E19" s="4"/>
      <c r="F19" s="3" t="n">
        <v>22</v>
      </c>
      <c r="G19" s="3" t="str">
        <f aca="false">IF(F19="","",IF(F19&gt;=Notes!$B$5,"Elderly ("&amp;Notes!$B$5&amp;"+)",IF(F19&lt;=Notes!$B$4,"Student age (≤"&amp;Notes!$B$4&amp;")","Middle-aged ("&amp;(Notes!$B$4+1)&amp;"–"&amp;(Notes!$B$5-1)&amp;")")))</f>
        <v>Student age (≤29)</v>
      </c>
      <c r="H19" s="3" t="s">
        <v>83</v>
      </c>
      <c r="I19" s="3" t="s">
        <v>92</v>
      </c>
      <c r="J19" s="3" t="s">
        <v>47</v>
      </c>
      <c r="K19" s="3" t="s">
        <v>93</v>
      </c>
      <c r="L19" s="3" t="s">
        <v>232</v>
      </c>
      <c r="M19" s="3" t="s">
        <v>47</v>
      </c>
      <c r="N19" s="3" t="s">
        <v>233</v>
      </c>
      <c r="O19" s="3" t="s">
        <v>234</v>
      </c>
      <c r="P19" s="3" t="n">
        <v>15</v>
      </c>
      <c r="Q19" s="3" t="s">
        <v>74</v>
      </c>
      <c r="R19" s="3" t="s">
        <v>235</v>
      </c>
      <c r="S19" s="3" t="s">
        <v>236</v>
      </c>
      <c r="T19" s="3"/>
      <c r="U19" s="3" t="s">
        <v>237</v>
      </c>
      <c r="V19" s="3" t="s">
        <v>238</v>
      </c>
      <c r="W19" s="3" t="s">
        <v>239</v>
      </c>
      <c r="X19" s="3" t="s">
        <v>240</v>
      </c>
      <c r="Y19" s="3" t="n">
        <v>2</v>
      </c>
      <c r="Z19" s="3" t="n">
        <v>1</v>
      </c>
      <c r="AA19" s="3" t="n">
        <v>3</v>
      </c>
      <c r="AB19" s="3" t="n">
        <v>2</v>
      </c>
      <c r="AC19" s="3" t="n">
        <v>3</v>
      </c>
      <c r="AD19" s="3" t="n">
        <v>1</v>
      </c>
      <c r="AE19" s="3" t="s">
        <v>241</v>
      </c>
      <c r="AF19" s="3"/>
      <c r="AG19" s="3" t="s">
        <v>242</v>
      </c>
      <c r="AH19" s="3"/>
      <c r="AI19" s="3"/>
      <c r="AJ19" s="3" t="s">
        <v>59</v>
      </c>
      <c r="AK19" s="3"/>
      <c r="AL19" s="3" t="s">
        <v>59</v>
      </c>
      <c r="AM19" s="3"/>
      <c r="AN19" s="3"/>
      <c r="AO19" s="3" t="s">
        <v>59</v>
      </c>
      <c r="AP19" s="3"/>
      <c r="AQ19" s="3"/>
      <c r="AR19" s="3"/>
    </row>
    <row r="20" customFormat="false" ht="15" hidden="false" customHeight="true" outlineLevel="0" collapsed="false">
      <c r="A20" s="3" t="s">
        <v>243</v>
      </c>
      <c r="B20" s="3" t="n">
        <v>1</v>
      </c>
      <c r="C20" s="3" t="n">
        <v>47</v>
      </c>
      <c r="D20" s="3"/>
      <c r="E20" s="4"/>
      <c r="F20" s="3" t="n">
        <v>26</v>
      </c>
      <c r="G20" s="3" t="str">
        <f aca="false">IF(F20="","",IF(F20&gt;=Notes!$B$5,"Elderly ("&amp;Notes!$B$5&amp;"+)",IF(F20&lt;=Notes!$B$4,"Student age (≤"&amp;Notes!$B$4&amp;")","Middle-aged ("&amp;(Notes!$B$4+1)&amp;"–"&amp;(Notes!$B$5-1)&amp;")")))</f>
        <v>Student age (≤29)</v>
      </c>
      <c r="H20" s="3" t="s">
        <v>83</v>
      </c>
      <c r="I20" s="3" t="s">
        <v>159</v>
      </c>
      <c r="J20" s="3" t="s">
        <v>47</v>
      </c>
      <c r="K20" s="3" t="s">
        <v>160</v>
      </c>
      <c r="L20" s="3" t="s">
        <v>159</v>
      </c>
      <c r="M20" s="3" t="s">
        <v>47</v>
      </c>
      <c r="N20" s="3" t="s">
        <v>160</v>
      </c>
      <c r="O20" s="3" t="s">
        <v>244</v>
      </c>
      <c r="P20" s="3" t="n">
        <v>15</v>
      </c>
      <c r="Q20" s="3" t="s">
        <v>74</v>
      </c>
      <c r="R20" s="3" t="s">
        <v>245</v>
      </c>
      <c r="S20" s="3" t="s">
        <v>246</v>
      </c>
      <c r="T20" s="3"/>
      <c r="U20" s="3" t="s">
        <v>247</v>
      </c>
      <c r="V20" s="3" t="s">
        <v>248</v>
      </c>
      <c r="W20" s="3" t="s">
        <v>249</v>
      </c>
      <c r="X20" s="3" t="s">
        <v>250</v>
      </c>
      <c r="Y20" s="3" t="n">
        <v>2</v>
      </c>
      <c r="Z20" s="3" t="n">
        <v>2</v>
      </c>
      <c r="AA20" s="3" t="n">
        <v>1</v>
      </c>
      <c r="AB20" s="3" t="n">
        <v>3</v>
      </c>
      <c r="AC20" s="3" t="n">
        <v>3</v>
      </c>
      <c r="AD20" s="3" t="n">
        <v>1</v>
      </c>
      <c r="AE20" s="3" t="s">
        <v>251</v>
      </c>
      <c r="AF20" s="3"/>
      <c r="AG20" s="3" t="s">
        <v>252</v>
      </c>
      <c r="AH20" s="3"/>
      <c r="AI20" s="3"/>
      <c r="AJ20" s="3" t="s">
        <v>98</v>
      </c>
      <c r="AK20" s="3"/>
      <c r="AL20" s="3" t="s">
        <v>98</v>
      </c>
      <c r="AM20" s="3"/>
      <c r="AN20" s="3"/>
      <c r="AO20" s="3" t="s">
        <v>59</v>
      </c>
      <c r="AP20" s="3"/>
      <c r="AQ20" s="3"/>
      <c r="AR20" s="3" t="s">
        <v>81</v>
      </c>
    </row>
    <row r="21" customFormat="false" ht="15" hidden="false" customHeight="true" outlineLevel="0" collapsed="false">
      <c r="A21" s="3" t="s">
        <v>253</v>
      </c>
      <c r="B21" s="3" t="n">
        <v>1</v>
      </c>
      <c r="C21" s="3" t="n">
        <v>50</v>
      </c>
      <c r="D21" s="3"/>
      <c r="E21" s="4"/>
      <c r="F21" s="3" t="n">
        <v>24</v>
      </c>
      <c r="G21" s="3" t="str">
        <f aca="false">IF(F21="","",IF(F21&gt;=Notes!$B$5,"Elderly ("&amp;Notes!$B$5&amp;"+)",IF(F21&lt;=Notes!$B$4,"Student age (≤"&amp;Notes!$B$4&amp;")","Middle-aged ("&amp;(Notes!$B$4+1)&amp;"–"&amp;(Notes!$B$5-1)&amp;")")))</f>
        <v>Student age (≤29)</v>
      </c>
      <c r="H21" s="3" t="s">
        <v>83</v>
      </c>
      <c r="I21" s="3" t="s">
        <v>254</v>
      </c>
      <c r="J21" s="3" t="s">
        <v>47</v>
      </c>
      <c r="K21" s="3" t="s">
        <v>255</v>
      </c>
      <c r="L21" s="3" t="s">
        <v>256</v>
      </c>
      <c r="M21" s="3" t="s">
        <v>47</v>
      </c>
      <c r="N21" s="3" t="s">
        <v>257</v>
      </c>
      <c r="O21" s="3" t="s">
        <v>258</v>
      </c>
      <c r="P21" s="3" t="n">
        <v>30</v>
      </c>
      <c r="Q21" s="3" t="s">
        <v>117</v>
      </c>
      <c r="R21" s="3" t="s">
        <v>259</v>
      </c>
      <c r="S21" s="3" t="s">
        <v>260</v>
      </c>
      <c r="T21" s="3"/>
      <c r="U21" s="3" t="s">
        <v>261</v>
      </c>
      <c r="V21" s="3" t="s">
        <v>262</v>
      </c>
      <c r="W21" s="3" t="s">
        <v>263</v>
      </c>
      <c r="X21" s="3" t="s">
        <v>264</v>
      </c>
      <c r="Y21" s="3" t="n">
        <v>2</v>
      </c>
      <c r="Z21" s="3" t="n">
        <v>2</v>
      </c>
      <c r="AA21" s="3" t="n">
        <v>3</v>
      </c>
      <c r="AB21" s="3" t="n">
        <v>1</v>
      </c>
      <c r="AC21" s="3" t="n">
        <v>1</v>
      </c>
      <c r="AD21" s="3" t="n">
        <v>2</v>
      </c>
      <c r="AE21" s="3" t="s">
        <v>265</v>
      </c>
      <c r="AF21" s="3"/>
      <c r="AG21" s="3" t="s">
        <v>266</v>
      </c>
      <c r="AH21" s="3"/>
      <c r="AI21" s="3"/>
      <c r="AJ21" s="3" t="s">
        <v>59</v>
      </c>
      <c r="AK21" s="3"/>
      <c r="AL21" s="3" t="s">
        <v>59</v>
      </c>
      <c r="AM21" s="3"/>
      <c r="AN21" s="3"/>
      <c r="AO21" s="3" t="s">
        <v>59</v>
      </c>
      <c r="AP21" s="3"/>
      <c r="AQ21" s="3"/>
      <c r="AR21" s="3" t="s">
        <v>81</v>
      </c>
    </row>
    <row r="22" customFormat="false" ht="15" hidden="false" customHeight="true" outlineLevel="0" collapsed="false">
      <c r="A22" s="3" t="s">
        <v>267</v>
      </c>
      <c r="B22" s="3" t="n">
        <v>1</v>
      </c>
      <c r="C22" s="3" t="n">
        <v>53</v>
      </c>
      <c r="D22" s="3"/>
      <c r="E22" s="4"/>
      <c r="F22" s="3" t="n">
        <v>28</v>
      </c>
      <c r="G22" s="3" t="str">
        <f aca="false">IF(F22="","",IF(F22&gt;=Notes!$B$5,"Elderly ("&amp;Notes!$B$5&amp;"+)",IF(F22&lt;=Notes!$B$4,"Student age (≤"&amp;Notes!$B$4&amp;")","Middle-aged ("&amp;(Notes!$B$4+1)&amp;"–"&amp;(Notes!$B$5-1)&amp;")")))</f>
        <v>Student age (≤29)</v>
      </c>
      <c r="H22" s="3" t="s">
        <v>83</v>
      </c>
      <c r="I22" s="3" t="s">
        <v>159</v>
      </c>
      <c r="J22" s="3" t="s">
        <v>47</v>
      </c>
      <c r="K22" s="3" t="s">
        <v>160</v>
      </c>
      <c r="L22" s="3" t="s">
        <v>49</v>
      </c>
      <c r="M22" s="3" t="s">
        <v>47</v>
      </c>
      <c r="N22" s="3" t="s">
        <v>50</v>
      </c>
      <c r="O22" s="3" t="s">
        <v>268</v>
      </c>
      <c r="P22" s="3" t="n">
        <v>20</v>
      </c>
      <c r="Q22" s="3" t="s">
        <v>95</v>
      </c>
      <c r="R22" s="3" t="s">
        <v>269</v>
      </c>
      <c r="S22" s="3" t="s">
        <v>270</v>
      </c>
      <c r="T22" s="3"/>
      <c r="U22" s="3" t="s">
        <v>271</v>
      </c>
      <c r="V22" s="3" t="s">
        <v>272</v>
      </c>
      <c r="W22" s="3" t="s">
        <v>273</v>
      </c>
      <c r="X22" s="3" t="s">
        <v>274</v>
      </c>
      <c r="Y22" s="3" t="n">
        <v>1</v>
      </c>
      <c r="Z22" s="3" t="n">
        <v>2</v>
      </c>
      <c r="AA22" s="3" t="n">
        <v>3</v>
      </c>
      <c r="AB22" s="3" t="n">
        <v>2</v>
      </c>
      <c r="AC22" s="3" t="n">
        <v>1</v>
      </c>
      <c r="AD22" s="3" t="n">
        <v>3</v>
      </c>
      <c r="AE22" s="3" t="s">
        <v>275</v>
      </c>
      <c r="AF22" s="3"/>
      <c r="AG22" s="3" t="s">
        <v>276</v>
      </c>
      <c r="AH22" s="3"/>
      <c r="AI22" s="3"/>
      <c r="AJ22" s="3" t="s">
        <v>59</v>
      </c>
      <c r="AK22" s="3"/>
      <c r="AL22" s="3" t="s">
        <v>59</v>
      </c>
      <c r="AM22" s="3"/>
      <c r="AN22" s="3"/>
      <c r="AO22" s="3" t="s">
        <v>59</v>
      </c>
      <c r="AP22" s="3"/>
      <c r="AQ22" s="3"/>
      <c r="AR22" s="3"/>
    </row>
    <row r="23" customFormat="false" ht="15" hidden="false" customHeight="true" outlineLevel="0" collapsed="false">
      <c r="A23" s="3" t="s">
        <v>277</v>
      </c>
      <c r="B23" s="3" t="n">
        <v>1</v>
      </c>
      <c r="C23" s="3" t="n">
        <v>54</v>
      </c>
      <c r="D23" s="3"/>
      <c r="E23" s="4"/>
      <c r="F23" s="3" t="n">
        <v>21</v>
      </c>
      <c r="G23" s="3" t="str">
        <f aca="false">IF(F23="","",IF(F23&gt;=Notes!$B$5,"Elderly ("&amp;Notes!$B$5&amp;"+)",IF(F23&lt;=Notes!$B$4,"Student age (≤"&amp;Notes!$B$4&amp;")","Middle-aged ("&amp;(Notes!$B$4+1)&amp;"–"&amp;(Notes!$B$5-1)&amp;")")))</f>
        <v>Student age (≤29)</v>
      </c>
      <c r="H23" s="3" t="s">
        <v>83</v>
      </c>
      <c r="I23" s="3" t="s">
        <v>71</v>
      </c>
      <c r="J23" s="3" t="s">
        <v>47</v>
      </c>
      <c r="K23" s="3" t="s">
        <v>72</v>
      </c>
      <c r="L23" s="3" t="s">
        <v>49</v>
      </c>
      <c r="M23" s="3" t="s">
        <v>47</v>
      </c>
      <c r="N23" s="3" t="s">
        <v>50</v>
      </c>
      <c r="O23" s="3" t="s">
        <v>278</v>
      </c>
      <c r="P23" s="3" t="n">
        <v>20</v>
      </c>
      <c r="Q23" s="3" t="s">
        <v>95</v>
      </c>
      <c r="R23" s="3" t="s">
        <v>279</v>
      </c>
      <c r="S23" s="3" t="s">
        <v>280</v>
      </c>
      <c r="T23" s="3"/>
      <c r="U23" s="3" t="s">
        <v>281</v>
      </c>
      <c r="V23" s="3" t="s">
        <v>282</v>
      </c>
      <c r="W23" s="3" t="s">
        <v>283</v>
      </c>
      <c r="X23" s="3" t="s">
        <v>284</v>
      </c>
      <c r="Y23" s="3" t="n">
        <v>3</v>
      </c>
      <c r="Z23" s="3" t="n">
        <v>3</v>
      </c>
      <c r="AA23" s="3" t="n">
        <v>2</v>
      </c>
      <c r="AB23" s="3" t="n">
        <v>2</v>
      </c>
      <c r="AC23" s="3" t="n">
        <v>1</v>
      </c>
      <c r="AD23" s="3" t="n">
        <v>3</v>
      </c>
      <c r="AE23" s="3" t="s">
        <v>285</v>
      </c>
      <c r="AF23" s="3"/>
      <c r="AG23" s="3" t="s">
        <v>286</v>
      </c>
      <c r="AH23" s="3"/>
      <c r="AI23" s="3"/>
      <c r="AJ23" s="3" t="s">
        <v>59</v>
      </c>
      <c r="AK23" s="3"/>
      <c r="AL23" s="3" t="s">
        <v>59</v>
      </c>
      <c r="AM23" s="3"/>
      <c r="AN23" s="3"/>
      <c r="AO23" s="3" t="s">
        <v>59</v>
      </c>
      <c r="AP23" s="3"/>
      <c r="AQ23" s="3"/>
      <c r="AR23" s="3" t="s">
        <v>287</v>
      </c>
    </row>
    <row r="24" customFormat="false" ht="15" hidden="false" customHeight="true" outlineLevel="0" collapsed="false">
      <c r="A24" s="3" t="s">
        <v>288</v>
      </c>
      <c r="B24" s="3" t="n">
        <v>1</v>
      </c>
      <c r="C24" s="3" t="n">
        <v>55</v>
      </c>
      <c r="D24" s="3"/>
      <c r="E24" s="4"/>
      <c r="F24" s="3" t="n">
        <v>21</v>
      </c>
      <c r="G24" s="3" t="str">
        <f aca="false">IF(F24="","",IF(F24&gt;=Notes!$B$5,"Elderly ("&amp;Notes!$B$5&amp;"+)",IF(F24&lt;=Notes!$B$4,"Student age (≤"&amp;Notes!$B$4&amp;")","Middle-aged ("&amp;(Notes!$B$4+1)&amp;"–"&amp;(Notes!$B$5-1)&amp;")")))</f>
        <v>Student age (≤29)</v>
      </c>
      <c r="H24" s="3" t="s">
        <v>83</v>
      </c>
      <c r="I24" s="3" t="s">
        <v>289</v>
      </c>
      <c r="J24" s="3" t="s">
        <v>47</v>
      </c>
      <c r="K24" s="3" t="s">
        <v>290</v>
      </c>
      <c r="L24" s="3" t="s">
        <v>49</v>
      </c>
      <c r="M24" s="3" t="s">
        <v>47</v>
      </c>
      <c r="N24" s="3" t="s">
        <v>50</v>
      </c>
      <c r="O24" s="3" t="s">
        <v>291</v>
      </c>
      <c r="P24" s="3" t="n">
        <v>20</v>
      </c>
      <c r="Q24" s="3" t="s">
        <v>95</v>
      </c>
      <c r="R24" s="3" t="s">
        <v>292</v>
      </c>
      <c r="S24" s="3" t="s">
        <v>293</v>
      </c>
      <c r="T24" s="3"/>
      <c r="U24" s="3" t="s">
        <v>294</v>
      </c>
      <c r="V24" s="3" t="s">
        <v>295</v>
      </c>
      <c r="W24" s="3" t="s">
        <v>296</v>
      </c>
      <c r="X24" s="3" t="s">
        <v>297</v>
      </c>
      <c r="Y24" s="3" t="n">
        <v>1</v>
      </c>
      <c r="Z24" s="3" t="n">
        <v>2</v>
      </c>
      <c r="AA24" s="3" t="n">
        <v>3</v>
      </c>
      <c r="AB24" s="3" t="n">
        <v>1</v>
      </c>
      <c r="AC24" s="3" t="n">
        <v>3</v>
      </c>
      <c r="AD24" s="3" t="n">
        <v>2</v>
      </c>
      <c r="AE24" s="3" t="s">
        <v>298</v>
      </c>
      <c r="AF24" s="3"/>
      <c r="AG24" s="3" t="s">
        <v>299</v>
      </c>
      <c r="AH24" s="3"/>
      <c r="AI24" s="3"/>
      <c r="AJ24" s="3" t="s">
        <v>59</v>
      </c>
      <c r="AK24" s="3"/>
      <c r="AL24" s="3" t="s">
        <v>98</v>
      </c>
      <c r="AM24" s="3"/>
      <c r="AN24" s="3"/>
      <c r="AO24" s="3" t="s">
        <v>59</v>
      </c>
      <c r="AP24" s="3"/>
      <c r="AQ24" s="3"/>
      <c r="AR24" s="3"/>
    </row>
    <row r="25" customFormat="false" ht="15" hidden="false" customHeight="true" outlineLevel="0" collapsed="false">
      <c r="A25" s="3" t="s">
        <v>300</v>
      </c>
      <c r="B25" s="3" t="n">
        <v>1</v>
      </c>
      <c r="C25" s="3" t="n">
        <v>56</v>
      </c>
      <c r="D25" s="3"/>
      <c r="E25" s="4"/>
      <c r="F25" s="3" t="n">
        <v>18</v>
      </c>
      <c r="G25" s="3" t="str">
        <f aca="false">IF(F25="","",IF(F25&gt;=Notes!$B$5,"Elderly ("&amp;Notes!$B$5&amp;"+)",IF(F25&lt;=Notes!$B$4,"Student age (≤"&amp;Notes!$B$4&amp;")","Middle-aged ("&amp;(Notes!$B$4+1)&amp;"–"&amp;(Notes!$B$5-1)&amp;")")))</f>
        <v>Student age (≤29)</v>
      </c>
      <c r="H25" s="3" t="s">
        <v>45</v>
      </c>
      <c r="I25" s="3" t="s">
        <v>289</v>
      </c>
      <c r="J25" s="3" t="s">
        <v>47</v>
      </c>
      <c r="K25" s="3" t="s">
        <v>290</v>
      </c>
      <c r="L25" s="3" t="s">
        <v>289</v>
      </c>
      <c r="M25" s="3" t="s">
        <v>47</v>
      </c>
      <c r="N25" s="3" t="s">
        <v>290</v>
      </c>
      <c r="O25" s="3" t="s">
        <v>301</v>
      </c>
      <c r="P25" s="3" t="n">
        <v>25</v>
      </c>
      <c r="Q25" s="3" t="s">
        <v>117</v>
      </c>
      <c r="R25" s="3" t="s">
        <v>302</v>
      </c>
      <c r="S25" s="3" t="s">
        <v>303</v>
      </c>
      <c r="T25" s="3"/>
      <c r="U25" s="3" t="s">
        <v>304</v>
      </c>
      <c r="V25" s="3" t="s">
        <v>305</v>
      </c>
      <c r="W25" s="3" t="s">
        <v>306</v>
      </c>
      <c r="X25" s="3" t="s">
        <v>307</v>
      </c>
      <c r="Y25" s="3" t="n">
        <v>1</v>
      </c>
      <c r="Z25" s="3" t="n">
        <v>2</v>
      </c>
      <c r="AA25" s="3" t="n">
        <v>3</v>
      </c>
      <c r="AB25" s="3" t="n">
        <v>2</v>
      </c>
      <c r="AC25" s="3" t="n">
        <v>1</v>
      </c>
      <c r="AD25" s="3" t="n">
        <v>3</v>
      </c>
      <c r="AE25" s="3" t="s">
        <v>308</v>
      </c>
      <c r="AF25" s="3"/>
      <c r="AG25" s="3" t="s">
        <v>309</v>
      </c>
      <c r="AH25" s="3"/>
      <c r="AI25" s="3"/>
      <c r="AJ25" s="3" t="s">
        <v>59</v>
      </c>
      <c r="AK25" s="3"/>
      <c r="AL25" s="3" t="s">
        <v>59</v>
      </c>
      <c r="AM25" s="3"/>
      <c r="AN25" s="3"/>
      <c r="AO25" s="3" t="s">
        <v>59</v>
      </c>
      <c r="AP25" s="3"/>
      <c r="AQ25" s="3"/>
      <c r="AR25" s="3"/>
    </row>
    <row r="26" customFormat="false" ht="15" hidden="false" customHeight="true" outlineLevel="0" collapsed="false">
      <c r="A26" s="3" t="s">
        <v>310</v>
      </c>
      <c r="B26" s="3" t="n">
        <v>1</v>
      </c>
      <c r="C26" s="3" t="n">
        <v>57</v>
      </c>
      <c r="D26" s="3"/>
      <c r="E26" s="4"/>
      <c r="F26" s="3" t="n">
        <v>21</v>
      </c>
      <c r="G26" s="3" t="str">
        <f aca="false">IF(F26="","",IF(F26&gt;=Notes!$B$5,"Elderly ("&amp;Notes!$B$5&amp;"+)",IF(F26&lt;=Notes!$B$4,"Student age (≤"&amp;Notes!$B$4&amp;")","Middle-aged ("&amp;(Notes!$B$4+1)&amp;"–"&amp;(Notes!$B$5-1)&amp;")")))</f>
        <v>Student age (≤29)</v>
      </c>
      <c r="H26" s="3" t="s">
        <v>83</v>
      </c>
      <c r="I26" s="3" t="s">
        <v>71</v>
      </c>
      <c r="J26" s="3" t="s">
        <v>47</v>
      </c>
      <c r="K26" s="3" t="s">
        <v>72</v>
      </c>
      <c r="L26" s="3" t="s">
        <v>49</v>
      </c>
      <c r="M26" s="3" t="s">
        <v>47</v>
      </c>
      <c r="N26" s="3" t="s">
        <v>50</v>
      </c>
      <c r="O26" s="3" t="s">
        <v>311</v>
      </c>
      <c r="P26" s="3" t="n">
        <v>25</v>
      </c>
      <c r="Q26" s="3" t="s">
        <v>117</v>
      </c>
      <c r="R26" s="3" t="s">
        <v>312</v>
      </c>
      <c r="S26" s="3" t="s">
        <v>313</v>
      </c>
      <c r="T26" s="3"/>
      <c r="U26" s="3" t="s">
        <v>314</v>
      </c>
      <c r="V26" s="3" t="s">
        <v>315</v>
      </c>
      <c r="W26" s="3" t="s">
        <v>316</v>
      </c>
      <c r="X26" s="3" t="s">
        <v>317</v>
      </c>
      <c r="Y26" s="3" t="n">
        <v>3</v>
      </c>
      <c r="Z26" s="3" t="n">
        <v>1</v>
      </c>
      <c r="AA26" s="3" t="n">
        <v>2</v>
      </c>
      <c r="AB26" s="3" t="n">
        <v>2</v>
      </c>
      <c r="AC26" s="3" t="n">
        <v>1</v>
      </c>
      <c r="AD26" s="3" t="n">
        <v>3</v>
      </c>
      <c r="AE26" s="3" t="s">
        <v>318</v>
      </c>
      <c r="AF26" s="3"/>
      <c r="AG26" s="3" t="s">
        <v>319</v>
      </c>
      <c r="AH26" s="3"/>
      <c r="AI26" s="3"/>
      <c r="AJ26" s="3" t="s">
        <v>59</v>
      </c>
      <c r="AK26" s="3"/>
      <c r="AL26" s="3" t="s">
        <v>59</v>
      </c>
      <c r="AM26" s="3"/>
      <c r="AN26" s="3"/>
      <c r="AO26" s="3" t="s">
        <v>59</v>
      </c>
      <c r="AP26" s="3"/>
      <c r="AQ26" s="3"/>
      <c r="AR26" s="3"/>
    </row>
    <row r="27" customFormat="false" ht="15" hidden="false" customHeight="true" outlineLevel="0" collapsed="false">
      <c r="A27" s="3" t="s">
        <v>320</v>
      </c>
      <c r="B27" s="3" t="n">
        <v>1</v>
      </c>
      <c r="C27" s="3" t="n">
        <v>58</v>
      </c>
      <c r="D27" s="3"/>
      <c r="E27" s="4"/>
      <c r="F27" s="3" t="n">
        <v>21</v>
      </c>
      <c r="G27" s="3" t="str">
        <f aca="false">IF(F27="","",IF(F27&gt;=Notes!$B$5,"Elderly ("&amp;Notes!$B$5&amp;"+)",IF(F27&lt;=Notes!$B$4,"Student age (≤"&amp;Notes!$B$4&amp;")","Middle-aged ("&amp;(Notes!$B$4+1)&amp;"–"&amp;(Notes!$B$5-1)&amp;")")))</f>
        <v>Student age (≤29)</v>
      </c>
      <c r="H27" s="3" t="s">
        <v>83</v>
      </c>
      <c r="I27" s="3" t="s">
        <v>46</v>
      </c>
      <c r="J27" s="3" t="s">
        <v>47</v>
      </c>
      <c r="K27" s="3" t="s">
        <v>48</v>
      </c>
      <c r="L27" s="3" t="s">
        <v>321</v>
      </c>
      <c r="M27" s="3" t="s">
        <v>47</v>
      </c>
      <c r="N27" s="3" t="s">
        <v>322</v>
      </c>
      <c r="O27" s="3" t="s">
        <v>323</v>
      </c>
      <c r="P27" s="3" t="n">
        <v>25</v>
      </c>
      <c r="Q27" s="3" t="s">
        <v>117</v>
      </c>
      <c r="R27" s="3" t="s">
        <v>324</v>
      </c>
      <c r="S27" s="3" t="s">
        <v>325</v>
      </c>
      <c r="T27" s="3"/>
      <c r="U27" s="3" t="s">
        <v>326</v>
      </c>
      <c r="V27" s="3" t="s">
        <v>327</v>
      </c>
      <c r="W27" s="3" t="s">
        <v>328</v>
      </c>
      <c r="X27" s="3" t="s">
        <v>329</v>
      </c>
      <c r="Y27" s="3" t="n">
        <v>3</v>
      </c>
      <c r="Z27" s="3" t="n">
        <v>1</v>
      </c>
      <c r="AA27" s="3" t="n">
        <v>2</v>
      </c>
      <c r="AB27" s="3" t="n">
        <v>2</v>
      </c>
      <c r="AC27" s="3" t="n">
        <v>1</v>
      </c>
      <c r="AD27" s="3" t="n">
        <v>3</v>
      </c>
      <c r="AE27" s="3" t="s">
        <v>330</v>
      </c>
      <c r="AF27" s="3"/>
      <c r="AG27" s="3" t="s">
        <v>331</v>
      </c>
      <c r="AH27" s="3"/>
      <c r="AI27" s="3"/>
      <c r="AJ27" s="3" t="s">
        <v>59</v>
      </c>
      <c r="AK27" s="3"/>
      <c r="AL27" s="3" t="s">
        <v>59</v>
      </c>
      <c r="AM27" s="3"/>
      <c r="AN27" s="3"/>
      <c r="AO27" s="3" t="s">
        <v>59</v>
      </c>
      <c r="AP27" s="3"/>
      <c r="AQ27" s="3"/>
      <c r="AR27" s="3"/>
    </row>
    <row r="28" customFormat="false" ht="15" hidden="false" customHeight="true" outlineLevel="0" collapsed="false">
      <c r="A28" s="3" t="s">
        <v>332</v>
      </c>
      <c r="B28" s="3" t="n">
        <v>1</v>
      </c>
      <c r="C28" s="3" t="n">
        <v>59</v>
      </c>
      <c r="D28" s="3"/>
      <c r="E28" s="4"/>
      <c r="F28" s="3" t="n">
        <v>26</v>
      </c>
      <c r="G28" s="3" t="str">
        <f aca="false">IF(F28="","",IF(F28&gt;=Notes!$B$5,"Elderly ("&amp;Notes!$B$5&amp;"+)",IF(F28&lt;=Notes!$B$4,"Student age (≤"&amp;Notes!$B$4&amp;")","Middle-aged ("&amp;(Notes!$B$4+1)&amp;"–"&amp;(Notes!$B$5-1)&amp;")")))</f>
        <v>Student age (≤29)</v>
      </c>
      <c r="H28" s="3" t="s">
        <v>45</v>
      </c>
      <c r="I28" s="3"/>
      <c r="J28" s="3" t="s">
        <v>333</v>
      </c>
      <c r="K28" s="3" t="s">
        <v>333</v>
      </c>
      <c r="L28" s="3" t="s">
        <v>171</v>
      </c>
      <c r="M28" s="3" t="s">
        <v>47</v>
      </c>
      <c r="N28" s="3" t="s">
        <v>172</v>
      </c>
      <c r="O28" s="3" t="s">
        <v>334</v>
      </c>
      <c r="P28" s="3" t="n">
        <v>22</v>
      </c>
      <c r="Q28" s="3" t="s">
        <v>117</v>
      </c>
      <c r="R28" s="3" t="s">
        <v>335</v>
      </c>
      <c r="S28" s="3" t="s">
        <v>336</v>
      </c>
      <c r="T28" s="3"/>
      <c r="U28" s="3" t="s">
        <v>337</v>
      </c>
      <c r="V28" s="3" t="s">
        <v>338</v>
      </c>
      <c r="W28" s="3" t="s">
        <v>339</v>
      </c>
      <c r="X28" s="3" t="s">
        <v>340</v>
      </c>
      <c r="Y28" s="3" t="n">
        <v>1</v>
      </c>
      <c r="Z28" s="3" t="n">
        <v>2</v>
      </c>
      <c r="AA28" s="3" t="n">
        <v>3</v>
      </c>
      <c r="AB28" s="3" t="n">
        <v>2</v>
      </c>
      <c r="AC28" s="3" t="n">
        <v>1</v>
      </c>
      <c r="AD28" s="3" t="n">
        <v>3</v>
      </c>
      <c r="AE28" s="3" t="s">
        <v>341</v>
      </c>
      <c r="AF28" s="3"/>
      <c r="AG28" s="3" t="s">
        <v>342</v>
      </c>
      <c r="AH28" s="3"/>
      <c r="AI28" s="3"/>
      <c r="AJ28" s="3" t="s">
        <v>59</v>
      </c>
      <c r="AK28" s="3"/>
      <c r="AL28" s="3" t="s">
        <v>59</v>
      </c>
      <c r="AM28" s="3"/>
      <c r="AN28" s="3"/>
      <c r="AO28" s="3" t="s">
        <v>59</v>
      </c>
      <c r="AP28" s="3"/>
      <c r="AQ28" s="3"/>
      <c r="AR28" s="3"/>
    </row>
    <row r="29" customFormat="false" ht="15" hidden="false" customHeight="true" outlineLevel="0" collapsed="false">
      <c r="A29" s="3" t="s">
        <v>343</v>
      </c>
      <c r="B29" s="3" t="n">
        <v>1</v>
      </c>
      <c r="C29" s="3" t="n">
        <v>60</v>
      </c>
      <c r="D29" s="3"/>
      <c r="E29" s="4"/>
      <c r="F29" s="3" t="n">
        <v>22</v>
      </c>
      <c r="G29" s="3" t="str">
        <f aca="false">IF(F29="","",IF(F29&gt;=Notes!$B$5,"Elderly ("&amp;Notes!$B$5&amp;"+)",IF(F29&lt;=Notes!$B$4,"Student age (≤"&amp;Notes!$B$4&amp;")","Middle-aged ("&amp;(Notes!$B$4+1)&amp;"–"&amp;(Notes!$B$5-1)&amp;")")))</f>
        <v>Student age (≤29)</v>
      </c>
      <c r="H29" s="3" t="s">
        <v>83</v>
      </c>
      <c r="I29" s="3" t="s">
        <v>344</v>
      </c>
      <c r="J29" s="3" t="s">
        <v>47</v>
      </c>
      <c r="K29" s="3" t="s">
        <v>345</v>
      </c>
      <c r="L29" s="3" t="s">
        <v>49</v>
      </c>
      <c r="M29" s="3" t="s">
        <v>47</v>
      </c>
      <c r="N29" s="3" t="s">
        <v>50</v>
      </c>
      <c r="O29" s="3" t="s">
        <v>346</v>
      </c>
      <c r="P29" s="3" t="n">
        <v>30</v>
      </c>
      <c r="Q29" s="3" t="s">
        <v>117</v>
      </c>
      <c r="R29" s="3" t="s">
        <v>347</v>
      </c>
      <c r="S29" s="3" t="s">
        <v>348</v>
      </c>
      <c r="T29" s="3"/>
      <c r="U29" s="3" t="s">
        <v>98</v>
      </c>
      <c r="V29" s="3" t="s">
        <v>349</v>
      </c>
      <c r="W29" s="3" t="s">
        <v>350</v>
      </c>
      <c r="X29" s="3" t="s">
        <v>351</v>
      </c>
      <c r="Y29" s="3" t="n">
        <v>1</v>
      </c>
      <c r="Z29" s="3" t="n">
        <v>3</v>
      </c>
      <c r="AA29" s="3" t="n">
        <v>2</v>
      </c>
      <c r="AB29" s="3" t="n">
        <v>3</v>
      </c>
      <c r="AC29" s="3" t="n">
        <v>1</v>
      </c>
      <c r="AD29" s="3" t="n">
        <v>2</v>
      </c>
      <c r="AE29" s="3" t="s">
        <v>352</v>
      </c>
      <c r="AF29" s="3"/>
      <c r="AG29" s="3" t="s">
        <v>353</v>
      </c>
      <c r="AH29" s="3"/>
      <c r="AI29" s="3"/>
      <c r="AJ29" s="3" t="s">
        <v>59</v>
      </c>
      <c r="AK29" s="3"/>
      <c r="AL29" s="3" t="s">
        <v>59</v>
      </c>
      <c r="AM29" s="3"/>
      <c r="AN29" s="3"/>
      <c r="AO29" s="3" t="s">
        <v>59</v>
      </c>
      <c r="AP29" s="3"/>
      <c r="AQ29" s="3"/>
      <c r="AR29" s="3"/>
    </row>
    <row r="30" customFormat="false" ht="15" hidden="false" customHeight="true" outlineLevel="0" collapsed="false">
      <c r="A30" s="3" t="s">
        <v>354</v>
      </c>
      <c r="B30" s="3" t="n">
        <v>1</v>
      </c>
      <c r="C30" s="3" t="n">
        <v>61</v>
      </c>
      <c r="D30" s="3"/>
      <c r="E30" s="4"/>
      <c r="F30" s="3" t="n">
        <v>22</v>
      </c>
      <c r="G30" s="3" t="str">
        <f aca="false">IF(F30="","",IF(F30&gt;=Notes!$B$5,"Elderly ("&amp;Notes!$B$5&amp;"+)",IF(F30&lt;=Notes!$B$4,"Student age (≤"&amp;Notes!$B$4&amp;")","Middle-aged ("&amp;(Notes!$B$4+1)&amp;"–"&amp;(Notes!$B$5-1)&amp;")")))</f>
        <v>Student age (≤29)</v>
      </c>
      <c r="H30" s="3" t="s">
        <v>45</v>
      </c>
      <c r="I30" s="3"/>
      <c r="J30" s="3" t="s">
        <v>47</v>
      </c>
      <c r="K30" s="3" t="s">
        <v>47</v>
      </c>
      <c r="L30" s="3" t="s">
        <v>49</v>
      </c>
      <c r="M30" s="3" t="s">
        <v>47</v>
      </c>
      <c r="N30" s="3" t="s">
        <v>50</v>
      </c>
      <c r="O30" s="3" t="s">
        <v>355</v>
      </c>
      <c r="P30" s="3" t="n">
        <v>30</v>
      </c>
      <c r="Q30" s="3" t="s">
        <v>117</v>
      </c>
      <c r="R30" s="3" t="s">
        <v>356</v>
      </c>
      <c r="S30" s="3" t="s">
        <v>357</v>
      </c>
      <c r="T30" s="3"/>
      <c r="U30" s="3" t="s">
        <v>358</v>
      </c>
      <c r="V30" s="3" t="s">
        <v>359</v>
      </c>
      <c r="W30" s="3" t="s">
        <v>360</v>
      </c>
      <c r="X30" s="3" t="s">
        <v>361</v>
      </c>
      <c r="Y30" s="3" t="n">
        <v>2</v>
      </c>
      <c r="Z30" s="3" t="n">
        <v>3</v>
      </c>
      <c r="AA30" s="3" t="n">
        <v>1</v>
      </c>
      <c r="AB30" s="3" t="n">
        <v>2</v>
      </c>
      <c r="AC30" s="3" t="n">
        <v>3</v>
      </c>
      <c r="AD30" s="3" t="n">
        <v>1</v>
      </c>
      <c r="AE30" s="3" t="s">
        <v>362</v>
      </c>
      <c r="AF30" s="3"/>
      <c r="AG30" s="3" t="s">
        <v>363</v>
      </c>
      <c r="AH30" s="3"/>
      <c r="AI30" s="3"/>
      <c r="AJ30" s="3" t="s">
        <v>59</v>
      </c>
      <c r="AK30" s="3"/>
      <c r="AL30" s="3" t="s">
        <v>59</v>
      </c>
      <c r="AM30" s="3"/>
      <c r="AN30" s="3"/>
      <c r="AO30" s="3" t="s">
        <v>59</v>
      </c>
      <c r="AP30" s="3"/>
      <c r="AQ30" s="3"/>
      <c r="AR30" s="3"/>
    </row>
    <row r="31" customFormat="false" ht="15" hidden="false" customHeight="true" outlineLevel="0" collapsed="false">
      <c r="A31" s="3" t="s">
        <v>364</v>
      </c>
      <c r="B31" s="3" t="n">
        <v>1</v>
      </c>
      <c r="C31" s="3" t="n">
        <v>62</v>
      </c>
      <c r="D31" s="3"/>
      <c r="E31" s="4"/>
      <c r="F31" s="3" t="n">
        <v>23</v>
      </c>
      <c r="G31" s="3" t="str">
        <f aca="false">IF(F31="","",IF(F31&gt;=Notes!$B$5,"Elderly ("&amp;Notes!$B$5&amp;"+)",IF(F31&lt;=Notes!$B$4,"Student age (≤"&amp;Notes!$B$4&amp;")","Middle-aged ("&amp;(Notes!$B$4+1)&amp;"–"&amp;(Notes!$B$5-1)&amp;")")))</f>
        <v>Student age (≤29)</v>
      </c>
      <c r="H31" s="3" t="s">
        <v>45</v>
      </c>
      <c r="I31" s="3" t="s">
        <v>49</v>
      </c>
      <c r="J31" s="3" t="s">
        <v>47</v>
      </c>
      <c r="K31" s="3" t="s">
        <v>50</v>
      </c>
      <c r="L31" s="3" t="s">
        <v>49</v>
      </c>
      <c r="M31" s="3" t="s">
        <v>47</v>
      </c>
      <c r="N31" s="3" t="s">
        <v>50</v>
      </c>
      <c r="O31" s="3" t="s">
        <v>365</v>
      </c>
      <c r="P31" s="3" t="n">
        <v>25</v>
      </c>
      <c r="Q31" s="3" t="s">
        <v>117</v>
      </c>
      <c r="R31" s="3" t="s">
        <v>366</v>
      </c>
      <c r="S31" s="3" t="s">
        <v>367</v>
      </c>
      <c r="T31" s="3"/>
      <c r="U31" s="3" t="s">
        <v>368</v>
      </c>
      <c r="V31" s="3" t="s">
        <v>369</v>
      </c>
      <c r="W31" s="3" t="s">
        <v>370</v>
      </c>
      <c r="X31" s="3" t="s">
        <v>371</v>
      </c>
      <c r="Y31" s="3" t="n">
        <v>1</v>
      </c>
      <c r="Z31" s="3" t="n">
        <v>2</v>
      </c>
      <c r="AA31" s="3" t="n">
        <v>3</v>
      </c>
      <c r="AB31" s="3" t="n">
        <v>1</v>
      </c>
      <c r="AC31" s="3" t="n">
        <v>3</v>
      </c>
      <c r="AD31" s="3" t="n">
        <v>2</v>
      </c>
      <c r="AE31" s="3" t="s">
        <v>372</v>
      </c>
      <c r="AF31" s="3"/>
      <c r="AG31" s="3" t="s">
        <v>373</v>
      </c>
      <c r="AH31" s="3"/>
      <c r="AI31" s="3"/>
      <c r="AJ31" s="3" t="s">
        <v>59</v>
      </c>
      <c r="AK31" s="3"/>
      <c r="AL31" s="3" t="s">
        <v>59</v>
      </c>
      <c r="AM31" s="3"/>
      <c r="AN31" s="3"/>
      <c r="AO31" s="3" t="s">
        <v>59</v>
      </c>
      <c r="AP31" s="3"/>
      <c r="AQ31" s="3"/>
      <c r="AR31" s="3"/>
    </row>
    <row r="32" customFormat="false" ht="15" hidden="false" customHeight="true" outlineLevel="0" collapsed="false">
      <c r="A32" s="3" t="s">
        <v>374</v>
      </c>
      <c r="B32" s="3" t="n">
        <v>1</v>
      </c>
      <c r="C32" s="3" t="n">
        <v>63</v>
      </c>
      <c r="D32" s="3"/>
      <c r="E32" s="4"/>
      <c r="F32" s="3" t="n">
        <v>25</v>
      </c>
      <c r="G32" s="3" t="str">
        <f aca="false">IF(F32="","",IF(F32&gt;=Notes!$B$5,"Elderly ("&amp;Notes!$B$5&amp;"+)",IF(F32&lt;=Notes!$B$4,"Student age (≤"&amp;Notes!$B$4&amp;")","Middle-aged ("&amp;(Notes!$B$4+1)&amp;"–"&amp;(Notes!$B$5-1)&amp;")")))</f>
        <v>Student age (≤29)</v>
      </c>
      <c r="H32" s="3" t="s">
        <v>83</v>
      </c>
      <c r="I32" s="3" t="s">
        <v>61</v>
      </c>
      <c r="J32" s="3" t="s">
        <v>47</v>
      </c>
      <c r="K32" s="3" t="s">
        <v>62</v>
      </c>
      <c r="L32" s="3" t="s">
        <v>49</v>
      </c>
      <c r="M32" s="3" t="s">
        <v>47</v>
      </c>
      <c r="N32" s="3" t="s">
        <v>50</v>
      </c>
      <c r="O32" s="3" t="s">
        <v>375</v>
      </c>
      <c r="P32" s="3" t="n">
        <v>35</v>
      </c>
      <c r="Q32" s="3" t="s">
        <v>52</v>
      </c>
      <c r="R32" s="3" t="s">
        <v>376</v>
      </c>
      <c r="S32" s="3" t="s">
        <v>377</v>
      </c>
      <c r="T32" s="3"/>
      <c r="U32" s="3" t="s">
        <v>378</v>
      </c>
      <c r="V32" s="3" t="s">
        <v>379</v>
      </c>
      <c r="W32" s="3" t="s">
        <v>380</v>
      </c>
      <c r="X32" s="3" t="s">
        <v>381</v>
      </c>
      <c r="Y32" s="3" t="n">
        <v>2</v>
      </c>
      <c r="Z32" s="3" t="n">
        <v>2</v>
      </c>
      <c r="AA32" s="3" t="n">
        <v>2</v>
      </c>
      <c r="AB32" s="3" t="n">
        <v>1</v>
      </c>
      <c r="AC32" s="3" t="n">
        <v>3</v>
      </c>
      <c r="AD32" s="3" t="n">
        <v>2</v>
      </c>
      <c r="AE32" s="3" t="s">
        <v>382</v>
      </c>
      <c r="AF32" s="3"/>
      <c r="AG32" s="3" t="s">
        <v>383</v>
      </c>
      <c r="AH32" s="3"/>
      <c r="AI32" s="3"/>
      <c r="AJ32" s="3" t="s">
        <v>59</v>
      </c>
      <c r="AK32" s="3"/>
      <c r="AL32" s="3" t="s">
        <v>59</v>
      </c>
      <c r="AM32" s="3"/>
      <c r="AN32" s="3"/>
      <c r="AO32" s="3" t="s">
        <v>59</v>
      </c>
      <c r="AP32" s="3"/>
      <c r="AQ32" s="3"/>
      <c r="AR32" s="3" t="s">
        <v>287</v>
      </c>
    </row>
    <row r="33" customFormat="false" ht="15" hidden="false" customHeight="true" outlineLevel="0" collapsed="false">
      <c r="A33" s="3" t="s">
        <v>384</v>
      </c>
      <c r="B33" s="3" t="n">
        <v>1</v>
      </c>
      <c r="C33" s="3" t="n">
        <v>65</v>
      </c>
      <c r="D33" s="3"/>
      <c r="E33" s="4"/>
      <c r="F33" s="3" t="n">
        <v>20</v>
      </c>
      <c r="G33" s="3" t="str">
        <f aca="false">IF(F33="","",IF(F33&gt;=Notes!$B$5,"Elderly ("&amp;Notes!$B$5&amp;"+)",IF(F33&lt;=Notes!$B$4,"Student age (≤"&amp;Notes!$B$4&amp;")","Middle-aged ("&amp;(Notes!$B$4+1)&amp;"–"&amp;(Notes!$B$5-1)&amp;")")))</f>
        <v>Student age (≤29)</v>
      </c>
      <c r="H33" s="3" t="s">
        <v>83</v>
      </c>
      <c r="I33" s="3" t="s">
        <v>92</v>
      </c>
      <c r="J33" s="3" t="s">
        <v>47</v>
      </c>
      <c r="K33" s="3" t="s">
        <v>93</v>
      </c>
      <c r="L33" s="3" t="s">
        <v>49</v>
      </c>
      <c r="M33" s="3" t="s">
        <v>47</v>
      </c>
      <c r="N33" s="3" t="s">
        <v>50</v>
      </c>
      <c r="O33" s="3" t="s">
        <v>385</v>
      </c>
      <c r="P33" s="3" t="n">
        <v>15</v>
      </c>
      <c r="Q33" s="3" t="s">
        <v>74</v>
      </c>
      <c r="R33" s="3" t="s">
        <v>386</v>
      </c>
      <c r="S33" s="3" t="s">
        <v>387</v>
      </c>
      <c r="T33" s="3"/>
      <c r="U33" s="3" t="s">
        <v>388</v>
      </c>
      <c r="V33" s="3" t="s">
        <v>389</v>
      </c>
      <c r="W33" s="3" t="s">
        <v>390</v>
      </c>
      <c r="X33" s="3" t="s">
        <v>391</v>
      </c>
      <c r="Y33" s="3" t="n">
        <v>1</v>
      </c>
      <c r="Z33" s="3" t="n">
        <v>2</v>
      </c>
      <c r="AA33" s="3" t="n">
        <v>3</v>
      </c>
      <c r="AB33" s="3" t="n">
        <v>3</v>
      </c>
      <c r="AC33" s="3" t="n">
        <v>1</v>
      </c>
      <c r="AD33" s="3" t="n">
        <v>2</v>
      </c>
      <c r="AE33" s="3" t="s">
        <v>392</v>
      </c>
      <c r="AF33" s="3"/>
      <c r="AG33" s="3" t="s">
        <v>393</v>
      </c>
      <c r="AH33" s="3"/>
      <c r="AI33" s="3"/>
      <c r="AJ33" s="3" t="s">
        <v>59</v>
      </c>
      <c r="AK33" s="3"/>
      <c r="AL33" s="3" t="s">
        <v>59</v>
      </c>
      <c r="AM33" s="3"/>
      <c r="AN33" s="3"/>
      <c r="AO33" s="3" t="s">
        <v>59</v>
      </c>
      <c r="AP33" s="3"/>
      <c r="AQ33" s="3"/>
      <c r="AR33" s="3"/>
    </row>
    <row r="34" customFormat="false" ht="15" hidden="false" customHeight="true" outlineLevel="0" collapsed="false">
      <c r="A34" s="3" t="s">
        <v>394</v>
      </c>
      <c r="B34" s="3" t="n">
        <v>1</v>
      </c>
      <c r="C34" s="3" t="n">
        <v>66</v>
      </c>
      <c r="D34" s="3"/>
      <c r="E34" s="4"/>
      <c r="F34" s="3" t="n">
        <v>21</v>
      </c>
      <c r="G34" s="3" t="str">
        <f aca="false">IF(F34="","",IF(F34&gt;=Notes!$B$5,"Elderly ("&amp;Notes!$B$5&amp;"+)",IF(F34&lt;=Notes!$B$4,"Student age (≤"&amp;Notes!$B$4&amp;")","Middle-aged ("&amp;(Notes!$B$4+1)&amp;"–"&amp;(Notes!$B$5-1)&amp;")")))</f>
        <v>Student age (≤29)</v>
      </c>
      <c r="H34" s="3" t="s">
        <v>83</v>
      </c>
      <c r="I34" s="3" t="s">
        <v>49</v>
      </c>
      <c r="J34" s="3" t="s">
        <v>47</v>
      </c>
      <c r="K34" s="3" t="s">
        <v>50</v>
      </c>
      <c r="L34" s="3" t="s">
        <v>49</v>
      </c>
      <c r="M34" s="3" t="s">
        <v>47</v>
      </c>
      <c r="N34" s="3" t="s">
        <v>50</v>
      </c>
      <c r="O34" s="3" t="s">
        <v>395</v>
      </c>
      <c r="P34" s="3" t="n">
        <v>20</v>
      </c>
      <c r="Q34" s="3" t="s">
        <v>95</v>
      </c>
      <c r="R34" s="3" t="s">
        <v>396</v>
      </c>
      <c r="S34" s="3" t="s">
        <v>397</v>
      </c>
      <c r="T34" s="3"/>
      <c r="U34" s="3" t="s">
        <v>398</v>
      </c>
      <c r="V34" s="3" t="s">
        <v>399</v>
      </c>
      <c r="W34" s="3" t="s">
        <v>59</v>
      </c>
      <c r="X34" s="3" t="s">
        <v>400</v>
      </c>
      <c r="Y34" s="3" t="n">
        <v>1</v>
      </c>
      <c r="Z34" s="3" t="n">
        <v>2</v>
      </c>
      <c r="AA34" s="3" t="n">
        <v>2</v>
      </c>
      <c r="AB34" s="3" t="n">
        <v>2</v>
      </c>
      <c r="AC34" s="3" t="n">
        <v>2</v>
      </c>
      <c r="AD34" s="3" t="n">
        <v>2</v>
      </c>
      <c r="AE34" s="3" t="s">
        <v>401</v>
      </c>
      <c r="AF34" s="3"/>
      <c r="AG34" s="3" t="s">
        <v>402</v>
      </c>
      <c r="AH34" s="3"/>
      <c r="AI34" s="3"/>
      <c r="AJ34" s="3" t="s">
        <v>59</v>
      </c>
      <c r="AK34" s="3"/>
      <c r="AL34" s="3" t="s">
        <v>59</v>
      </c>
      <c r="AM34" s="3"/>
      <c r="AN34" s="3"/>
      <c r="AO34" s="3" t="s">
        <v>59</v>
      </c>
      <c r="AP34" s="3"/>
      <c r="AQ34" s="3"/>
      <c r="AR34" s="3" t="s">
        <v>81</v>
      </c>
    </row>
    <row r="35" customFormat="false" ht="15" hidden="false" customHeight="true" outlineLevel="0" collapsed="false">
      <c r="A35" s="3" t="s">
        <v>403</v>
      </c>
      <c r="B35" s="3" t="n">
        <v>1</v>
      </c>
      <c r="C35" s="3" t="n">
        <v>67</v>
      </c>
      <c r="D35" s="3"/>
      <c r="E35" s="4"/>
      <c r="F35" s="3" t="n">
        <v>21</v>
      </c>
      <c r="G35" s="3" t="str">
        <f aca="false">IF(F35="","",IF(F35&gt;=Notes!$B$5,"Elderly ("&amp;Notes!$B$5&amp;"+)",IF(F35&lt;=Notes!$B$4,"Student age (≤"&amp;Notes!$B$4&amp;")","Middle-aged ("&amp;(Notes!$B$4+1)&amp;"–"&amp;(Notes!$B$5-1)&amp;")")))</f>
        <v>Student age (≤29)</v>
      </c>
      <c r="H35" s="3" t="s">
        <v>83</v>
      </c>
      <c r="I35" s="3" t="s">
        <v>254</v>
      </c>
      <c r="J35" s="3" t="s">
        <v>47</v>
      </c>
      <c r="K35" s="3" t="s">
        <v>255</v>
      </c>
      <c r="L35" s="3" t="s">
        <v>49</v>
      </c>
      <c r="M35" s="3" t="s">
        <v>47</v>
      </c>
      <c r="N35" s="3" t="s">
        <v>50</v>
      </c>
      <c r="O35" s="3" t="s">
        <v>404</v>
      </c>
      <c r="P35" s="3" t="n">
        <v>23</v>
      </c>
      <c r="Q35" s="3" t="s">
        <v>117</v>
      </c>
      <c r="R35" s="3" t="s">
        <v>405</v>
      </c>
      <c r="S35" s="3" t="s">
        <v>406</v>
      </c>
      <c r="T35" s="3"/>
      <c r="U35" s="3" t="s">
        <v>407</v>
      </c>
      <c r="V35" s="3" t="s">
        <v>408</v>
      </c>
      <c r="W35" s="3" t="s">
        <v>409</v>
      </c>
      <c r="X35" s="3" t="s">
        <v>410</v>
      </c>
      <c r="Y35" s="3" t="n">
        <v>2</v>
      </c>
      <c r="Z35" s="3" t="n">
        <v>3</v>
      </c>
      <c r="AA35" s="3" t="n">
        <v>1</v>
      </c>
      <c r="AB35" s="3" t="n">
        <v>2</v>
      </c>
      <c r="AC35" s="3" t="n">
        <v>3</v>
      </c>
      <c r="AD35" s="3" t="n">
        <v>1</v>
      </c>
      <c r="AE35" s="3" t="s">
        <v>411</v>
      </c>
      <c r="AF35" s="3"/>
      <c r="AG35" s="3" t="s">
        <v>412</v>
      </c>
      <c r="AH35" s="3"/>
      <c r="AI35" s="3"/>
      <c r="AJ35" s="3" t="s">
        <v>59</v>
      </c>
      <c r="AK35" s="3"/>
      <c r="AL35" s="3" t="s">
        <v>98</v>
      </c>
      <c r="AM35" s="3"/>
      <c r="AN35" s="3"/>
      <c r="AO35" s="3" t="s">
        <v>59</v>
      </c>
      <c r="AP35" s="3"/>
      <c r="AQ35" s="3"/>
      <c r="AR35" s="3"/>
    </row>
    <row r="36" customFormat="false" ht="15" hidden="false" customHeight="true" outlineLevel="0" collapsed="false">
      <c r="A36" s="3" t="s">
        <v>413</v>
      </c>
      <c r="B36" s="3" t="n">
        <v>1</v>
      </c>
      <c r="C36" s="3" t="n">
        <v>68</v>
      </c>
      <c r="D36" s="3"/>
      <c r="E36" s="4"/>
      <c r="F36" s="3" t="n">
        <v>25</v>
      </c>
      <c r="G36" s="3" t="str">
        <f aca="false">IF(F36="","",IF(F36&gt;=Notes!$B$5,"Elderly ("&amp;Notes!$B$5&amp;"+)",IF(F36&lt;=Notes!$B$4,"Student age (≤"&amp;Notes!$B$4&amp;")","Middle-aged ("&amp;(Notes!$B$4+1)&amp;"–"&amp;(Notes!$B$5-1)&amp;")")))</f>
        <v>Student age (≤29)</v>
      </c>
      <c r="H36" s="3" t="s">
        <v>45</v>
      </c>
      <c r="I36" s="3" t="s">
        <v>49</v>
      </c>
      <c r="J36" s="3" t="s">
        <v>47</v>
      </c>
      <c r="K36" s="3" t="s">
        <v>50</v>
      </c>
      <c r="L36" s="3" t="s">
        <v>49</v>
      </c>
      <c r="M36" s="3" t="s">
        <v>47</v>
      </c>
      <c r="N36" s="3" t="s">
        <v>50</v>
      </c>
      <c r="O36" s="3" t="s">
        <v>414</v>
      </c>
      <c r="P36" s="3" t="n">
        <v>20</v>
      </c>
      <c r="Q36" s="3" t="s">
        <v>95</v>
      </c>
      <c r="R36" s="3" t="s">
        <v>415</v>
      </c>
      <c r="S36" s="3" t="s">
        <v>416</v>
      </c>
      <c r="T36" s="3"/>
      <c r="U36" s="3" t="s">
        <v>417</v>
      </c>
      <c r="V36" s="3" t="s">
        <v>418</v>
      </c>
      <c r="W36" s="3" t="s">
        <v>419</v>
      </c>
      <c r="X36" s="3" t="s">
        <v>420</v>
      </c>
      <c r="Y36" s="3" t="n">
        <v>2</v>
      </c>
      <c r="Z36" s="3" t="n">
        <v>1</v>
      </c>
      <c r="AA36" s="3" t="n">
        <v>3</v>
      </c>
      <c r="AB36" s="3" t="n">
        <v>2</v>
      </c>
      <c r="AC36" s="3" t="n">
        <v>3</v>
      </c>
      <c r="AD36" s="3" t="n">
        <v>1</v>
      </c>
      <c r="AE36" s="3" t="s">
        <v>421</v>
      </c>
      <c r="AF36" s="3"/>
      <c r="AG36" s="3" t="s">
        <v>422</v>
      </c>
      <c r="AH36" s="3"/>
      <c r="AI36" s="3"/>
      <c r="AJ36" s="3" t="s">
        <v>59</v>
      </c>
      <c r="AK36" s="3"/>
      <c r="AL36" s="3" t="s">
        <v>59</v>
      </c>
      <c r="AM36" s="3"/>
      <c r="AN36" s="3"/>
      <c r="AO36" s="3" t="s">
        <v>59</v>
      </c>
      <c r="AP36" s="3"/>
      <c r="AQ36" s="3"/>
      <c r="AR36" s="3"/>
    </row>
    <row r="37" customFormat="false" ht="15" hidden="false" customHeight="true" outlineLevel="0" collapsed="false">
      <c r="A37" s="3" t="s">
        <v>423</v>
      </c>
      <c r="B37" s="3" t="n">
        <v>1</v>
      </c>
      <c r="C37" s="3" t="n">
        <v>69</v>
      </c>
      <c r="D37" s="3"/>
      <c r="E37" s="4"/>
      <c r="F37" s="3" t="n">
        <v>22</v>
      </c>
      <c r="G37" s="3" t="str">
        <f aca="false">IF(F37="","",IF(F37&gt;=Notes!$B$5,"Elderly ("&amp;Notes!$B$5&amp;"+)",IF(F37&lt;=Notes!$B$4,"Student age (≤"&amp;Notes!$B$4&amp;")","Middle-aged ("&amp;(Notes!$B$4+1)&amp;"–"&amp;(Notes!$B$5-1)&amp;")")))</f>
        <v>Student age (≤29)</v>
      </c>
      <c r="H37" s="3" t="s">
        <v>83</v>
      </c>
      <c r="I37" s="3" t="s">
        <v>171</v>
      </c>
      <c r="J37" s="3" t="s">
        <v>47</v>
      </c>
      <c r="K37" s="3" t="s">
        <v>172</v>
      </c>
      <c r="L37" s="3" t="s">
        <v>424</v>
      </c>
      <c r="M37" s="3" t="s">
        <v>47</v>
      </c>
      <c r="N37" s="3" t="s">
        <v>425</v>
      </c>
      <c r="O37" s="3" t="s">
        <v>426</v>
      </c>
      <c r="P37" s="3" t="n">
        <v>25</v>
      </c>
      <c r="Q37" s="3" t="s">
        <v>117</v>
      </c>
      <c r="R37" s="3" t="s">
        <v>427</v>
      </c>
      <c r="S37" s="3" t="s">
        <v>428</v>
      </c>
      <c r="T37" s="3"/>
      <c r="U37" s="3" t="s">
        <v>429</v>
      </c>
      <c r="V37" s="3" t="s">
        <v>430</v>
      </c>
      <c r="W37" s="3" t="s">
        <v>431</v>
      </c>
      <c r="X37" s="3" t="s">
        <v>432</v>
      </c>
      <c r="Y37" s="3" t="n">
        <v>1</v>
      </c>
      <c r="Z37" s="3" t="n">
        <v>2</v>
      </c>
      <c r="AA37" s="3" t="n">
        <v>3</v>
      </c>
      <c r="AB37" s="3" t="n">
        <v>1</v>
      </c>
      <c r="AC37" s="3" t="n">
        <v>2</v>
      </c>
      <c r="AD37" s="3" t="n">
        <v>3</v>
      </c>
      <c r="AE37" s="3" t="s">
        <v>433</v>
      </c>
      <c r="AF37" s="3"/>
      <c r="AG37" s="3" t="s">
        <v>434</v>
      </c>
      <c r="AH37" s="3"/>
      <c r="AI37" s="3"/>
      <c r="AJ37" s="3" t="s">
        <v>59</v>
      </c>
      <c r="AK37" s="3"/>
      <c r="AL37" s="3" t="s">
        <v>59</v>
      </c>
      <c r="AM37" s="3"/>
      <c r="AN37" s="3"/>
      <c r="AO37" s="3" t="s">
        <v>59</v>
      </c>
      <c r="AP37" s="3"/>
      <c r="AQ37" s="3"/>
      <c r="AR37" s="3"/>
    </row>
    <row r="38" customFormat="false" ht="15" hidden="false" customHeight="true" outlineLevel="0" collapsed="false">
      <c r="A38" s="3" t="s">
        <v>435</v>
      </c>
      <c r="B38" s="3" t="n">
        <v>1</v>
      </c>
      <c r="C38" s="3" t="n">
        <v>70</v>
      </c>
      <c r="D38" s="3"/>
      <c r="E38" s="4"/>
      <c r="F38" s="3" t="n">
        <v>23</v>
      </c>
      <c r="G38" s="3" t="str">
        <f aca="false">IF(F38="","",IF(F38&gt;=Notes!$B$5,"Elderly ("&amp;Notes!$B$5&amp;"+)",IF(F38&lt;=Notes!$B$4,"Student age (≤"&amp;Notes!$B$4&amp;")","Middle-aged ("&amp;(Notes!$B$4+1)&amp;"–"&amp;(Notes!$B$5-1)&amp;")")))</f>
        <v>Student age (≤29)</v>
      </c>
      <c r="H38" s="3" t="s">
        <v>45</v>
      </c>
      <c r="I38" s="3" t="s">
        <v>436</v>
      </c>
      <c r="J38" s="3" t="s">
        <v>437</v>
      </c>
      <c r="K38" s="3" t="s">
        <v>438</v>
      </c>
      <c r="L38" s="3" t="s">
        <v>49</v>
      </c>
      <c r="M38" s="3" t="s">
        <v>47</v>
      </c>
      <c r="N38" s="3" t="s">
        <v>50</v>
      </c>
      <c r="O38" s="3" t="s">
        <v>439</v>
      </c>
      <c r="P38" s="3" t="n">
        <v>30</v>
      </c>
      <c r="Q38" s="3" t="s">
        <v>117</v>
      </c>
      <c r="R38" s="3" t="s">
        <v>440</v>
      </c>
      <c r="S38" s="3" t="s">
        <v>441</v>
      </c>
      <c r="T38" s="3"/>
      <c r="U38" s="3" t="s">
        <v>442</v>
      </c>
      <c r="V38" s="3" t="s">
        <v>443</v>
      </c>
      <c r="W38" s="3" t="s">
        <v>444</v>
      </c>
      <c r="X38" s="3" t="s">
        <v>445</v>
      </c>
      <c r="Y38" s="3" t="n">
        <v>3</v>
      </c>
      <c r="Z38" s="3" t="n">
        <v>2</v>
      </c>
      <c r="AA38" s="3" t="n">
        <v>1</v>
      </c>
      <c r="AB38" s="3" t="n">
        <v>3</v>
      </c>
      <c r="AC38" s="3" t="n">
        <v>3</v>
      </c>
      <c r="AD38" s="3" t="n">
        <v>3</v>
      </c>
      <c r="AE38" s="3" t="s">
        <v>446</v>
      </c>
      <c r="AF38" s="3"/>
      <c r="AG38" s="3" t="s">
        <v>447</v>
      </c>
      <c r="AH38" s="3"/>
      <c r="AI38" s="3"/>
      <c r="AJ38" s="3" t="s">
        <v>59</v>
      </c>
      <c r="AK38" s="3"/>
      <c r="AL38" s="3" t="s">
        <v>59</v>
      </c>
      <c r="AM38" s="3"/>
      <c r="AN38" s="3"/>
      <c r="AO38" s="3" t="s">
        <v>59</v>
      </c>
      <c r="AP38" s="3"/>
      <c r="AQ38" s="3"/>
      <c r="AR38" s="3" t="s">
        <v>448</v>
      </c>
    </row>
    <row r="39" customFormat="false" ht="15" hidden="false" customHeight="true" outlineLevel="0" collapsed="false">
      <c r="A39" s="3" t="s">
        <v>449</v>
      </c>
      <c r="B39" s="3" t="n">
        <v>1</v>
      </c>
      <c r="C39" s="3" t="n">
        <v>71</v>
      </c>
      <c r="D39" s="3"/>
      <c r="E39" s="4"/>
      <c r="F39" s="3" t="n">
        <v>22</v>
      </c>
      <c r="G39" s="3" t="str">
        <f aca="false">IF(F39="","",IF(F39&gt;=Notes!$B$5,"Elderly ("&amp;Notes!$B$5&amp;"+)",IF(F39&lt;=Notes!$B$4,"Student age (≤"&amp;Notes!$B$4&amp;")","Middle-aged ("&amp;(Notes!$B$4+1)&amp;"–"&amp;(Notes!$B$5-1)&amp;")")))</f>
        <v>Student age (≤29)</v>
      </c>
      <c r="H39" s="3" t="s">
        <v>45</v>
      </c>
      <c r="I39" s="3" t="s">
        <v>450</v>
      </c>
      <c r="J39" s="3" t="s">
        <v>437</v>
      </c>
      <c r="K39" s="3" t="s">
        <v>451</v>
      </c>
      <c r="L39" s="3" t="s">
        <v>452</v>
      </c>
      <c r="M39" s="3" t="s">
        <v>453</v>
      </c>
      <c r="N39" s="3" t="s">
        <v>454</v>
      </c>
      <c r="O39" s="3" t="s">
        <v>455</v>
      </c>
      <c r="P39" s="3" t="n">
        <v>20</v>
      </c>
      <c r="Q39" s="3" t="s">
        <v>95</v>
      </c>
      <c r="R39" s="3" t="s">
        <v>456</v>
      </c>
      <c r="S39" s="3" t="s">
        <v>457</v>
      </c>
      <c r="T39" s="3"/>
      <c r="U39" s="3" t="s">
        <v>458</v>
      </c>
      <c r="V39" s="3" t="s">
        <v>459</v>
      </c>
      <c r="W39" s="3" t="s">
        <v>460</v>
      </c>
      <c r="X39" s="3" t="s">
        <v>461</v>
      </c>
      <c r="Y39" s="3" t="n">
        <v>3</v>
      </c>
      <c r="Z39" s="3" t="n">
        <v>1</v>
      </c>
      <c r="AA39" s="3" t="n">
        <v>2</v>
      </c>
      <c r="AB39" s="3" t="n">
        <v>3</v>
      </c>
      <c r="AC39" s="3" t="n">
        <v>1</v>
      </c>
      <c r="AD39" s="3" t="n">
        <v>2</v>
      </c>
      <c r="AE39" s="3" t="s">
        <v>462</v>
      </c>
      <c r="AF39" s="3"/>
      <c r="AG39" s="3" t="s">
        <v>463</v>
      </c>
      <c r="AH39" s="3"/>
      <c r="AI39" s="3"/>
      <c r="AJ39" s="3" t="s">
        <v>59</v>
      </c>
      <c r="AK39" s="3"/>
      <c r="AL39" s="3" t="s">
        <v>59</v>
      </c>
      <c r="AM39" s="3"/>
      <c r="AN39" s="3"/>
      <c r="AO39" s="3" t="s">
        <v>59</v>
      </c>
      <c r="AP39" s="3"/>
      <c r="AQ39" s="3"/>
      <c r="AR39" s="3"/>
    </row>
    <row r="40" customFormat="false" ht="15" hidden="false" customHeight="true" outlineLevel="0" collapsed="false">
      <c r="A40" s="3" t="s">
        <v>464</v>
      </c>
      <c r="B40" s="3" t="n">
        <v>1</v>
      </c>
      <c r="C40" s="3" t="n">
        <v>72</v>
      </c>
      <c r="D40" s="3"/>
      <c r="E40" s="4"/>
      <c r="F40" s="3" t="n">
        <v>23</v>
      </c>
      <c r="G40" s="3" t="str">
        <f aca="false">IF(F40="","",IF(F40&gt;=Notes!$B$5,"Elderly ("&amp;Notes!$B$5&amp;"+)",IF(F40&lt;=Notes!$B$4,"Student age (≤"&amp;Notes!$B$4&amp;")","Middle-aged ("&amp;(Notes!$B$4+1)&amp;"–"&amp;(Notes!$B$5-1)&amp;")")))</f>
        <v>Student age (≤29)</v>
      </c>
      <c r="H40" s="3" t="s">
        <v>45</v>
      </c>
      <c r="I40" s="3"/>
      <c r="J40" s="3" t="s">
        <v>437</v>
      </c>
      <c r="K40" s="3" t="s">
        <v>437</v>
      </c>
      <c r="L40" s="3"/>
      <c r="M40" s="3" t="s">
        <v>47</v>
      </c>
      <c r="N40" s="3" t="s">
        <v>47</v>
      </c>
      <c r="O40" s="3" t="s">
        <v>465</v>
      </c>
      <c r="P40" s="3" t="n">
        <v>15</v>
      </c>
      <c r="Q40" s="3" t="s">
        <v>74</v>
      </c>
      <c r="R40" s="3" t="s">
        <v>466</v>
      </c>
      <c r="S40" s="3" t="s">
        <v>467</v>
      </c>
      <c r="T40" s="3"/>
      <c r="U40" s="3" t="s">
        <v>468</v>
      </c>
      <c r="V40" s="3" t="s">
        <v>469</v>
      </c>
      <c r="W40" s="3" t="s">
        <v>470</v>
      </c>
      <c r="X40" s="3" t="s">
        <v>471</v>
      </c>
      <c r="Y40" s="3" t="n">
        <v>3</v>
      </c>
      <c r="Z40" s="3" t="n">
        <v>3</v>
      </c>
      <c r="AA40" s="3" t="n">
        <v>3</v>
      </c>
      <c r="AB40" s="3" t="n">
        <v>3</v>
      </c>
      <c r="AC40" s="3" t="n">
        <v>2</v>
      </c>
      <c r="AD40" s="3" t="n">
        <v>1</v>
      </c>
      <c r="AE40" s="3" t="s">
        <v>472</v>
      </c>
      <c r="AF40" s="3"/>
      <c r="AG40" s="3" t="s">
        <v>473</v>
      </c>
      <c r="AH40" s="3"/>
      <c r="AI40" s="3"/>
      <c r="AJ40" s="3" t="s">
        <v>59</v>
      </c>
      <c r="AK40" s="3"/>
      <c r="AL40" s="3" t="s">
        <v>59</v>
      </c>
      <c r="AM40" s="3"/>
      <c r="AN40" s="3"/>
      <c r="AO40" s="3" t="s">
        <v>59</v>
      </c>
      <c r="AP40" s="3"/>
      <c r="AQ40" s="3"/>
      <c r="AR40" s="3" t="s">
        <v>287</v>
      </c>
    </row>
    <row r="41" customFormat="false" ht="15" hidden="false" customHeight="true" outlineLevel="0" collapsed="false">
      <c r="A41" s="3" t="s">
        <v>474</v>
      </c>
      <c r="B41" s="3" t="n">
        <v>1</v>
      </c>
      <c r="C41" s="3" t="n">
        <v>73</v>
      </c>
      <c r="D41" s="3"/>
      <c r="E41" s="4"/>
      <c r="F41" s="3" t="n">
        <v>22</v>
      </c>
      <c r="G41" s="3" t="str">
        <f aca="false">IF(F41="","",IF(F41&gt;=Notes!$B$5,"Elderly ("&amp;Notes!$B$5&amp;"+)",IF(F41&lt;=Notes!$B$4,"Student age (≤"&amp;Notes!$B$4&amp;")","Middle-aged ("&amp;(Notes!$B$4+1)&amp;"–"&amp;(Notes!$B$5-1)&amp;")")))</f>
        <v>Student age (≤29)</v>
      </c>
      <c r="H41" s="3" t="s">
        <v>45</v>
      </c>
      <c r="I41" s="3" t="s">
        <v>475</v>
      </c>
      <c r="J41" s="3" t="s">
        <v>47</v>
      </c>
      <c r="K41" s="3" t="s">
        <v>476</v>
      </c>
      <c r="L41" s="3" t="s">
        <v>127</v>
      </c>
      <c r="M41" s="3" t="s">
        <v>47</v>
      </c>
      <c r="N41" s="3" t="s">
        <v>128</v>
      </c>
      <c r="O41" s="3" t="s">
        <v>477</v>
      </c>
      <c r="P41" s="3" t="n">
        <v>35</v>
      </c>
      <c r="Q41" s="3" t="s">
        <v>52</v>
      </c>
      <c r="R41" s="3" t="s">
        <v>478</v>
      </c>
      <c r="S41" s="3" t="s">
        <v>479</v>
      </c>
      <c r="T41" s="3"/>
      <c r="U41" s="3" t="s">
        <v>480</v>
      </c>
      <c r="V41" s="3" t="s">
        <v>481</v>
      </c>
      <c r="W41" s="3" t="s">
        <v>482</v>
      </c>
      <c r="X41" s="3" t="s">
        <v>483</v>
      </c>
      <c r="Y41" s="3" t="n">
        <v>1</v>
      </c>
      <c r="Z41" s="3" t="n">
        <v>3</v>
      </c>
      <c r="AA41" s="3" t="n">
        <v>2</v>
      </c>
      <c r="AB41" s="3" t="n">
        <v>2</v>
      </c>
      <c r="AC41" s="3" t="n">
        <v>3</v>
      </c>
      <c r="AD41" s="3" t="n">
        <v>1</v>
      </c>
      <c r="AE41" s="3" t="s">
        <v>484</v>
      </c>
      <c r="AF41" s="3"/>
      <c r="AG41" s="3" t="s">
        <v>485</v>
      </c>
      <c r="AH41" s="3"/>
      <c r="AI41" s="3"/>
      <c r="AJ41" s="3" t="s">
        <v>59</v>
      </c>
      <c r="AK41" s="3"/>
      <c r="AL41" s="3" t="s">
        <v>59</v>
      </c>
      <c r="AM41" s="3"/>
      <c r="AN41" s="3"/>
      <c r="AO41" s="3" t="s">
        <v>59</v>
      </c>
      <c r="AP41" s="3"/>
      <c r="AQ41" s="3"/>
      <c r="AR41" s="3"/>
    </row>
    <row r="42" customFormat="false" ht="15" hidden="false" customHeight="true" outlineLevel="0" collapsed="false">
      <c r="A42" s="3" t="s">
        <v>486</v>
      </c>
      <c r="B42" s="3" t="n">
        <v>1</v>
      </c>
      <c r="C42" s="3" t="n">
        <v>74</v>
      </c>
      <c r="D42" s="3"/>
      <c r="E42" s="4"/>
      <c r="F42" s="3" t="n">
        <v>24</v>
      </c>
      <c r="G42" s="3" t="str">
        <f aca="false">IF(F42="","",IF(F42&gt;=Notes!$B$5,"Elderly ("&amp;Notes!$B$5&amp;"+)",IF(F42&lt;=Notes!$B$4,"Student age (≤"&amp;Notes!$B$4&amp;")","Middle-aged ("&amp;(Notes!$B$4+1)&amp;"–"&amp;(Notes!$B$5-1)&amp;")")))</f>
        <v>Student age (≤29)</v>
      </c>
      <c r="H42" s="3" t="s">
        <v>45</v>
      </c>
      <c r="I42" s="3"/>
      <c r="J42" s="3" t="s">
        <v>47</v>
      </c>
      <c r="K42" s="3" t="s">
        <v>47</v>
      </c>
      <c r="L42" s="3"/>
      <c r="M42" s="3" t="s">
        <v>47</v>
      </c>
      <c r="N42" s="3" t="s">
        <v>47</v>
      </c>
      <c r="O42" s="3" t="s">
        <v>487</v>
      </c>
      <c r="P42" s="3" t="n">
        <v>36</v>
      </c>
      <c r="Q42" s="3" t="s">
        <v>52</v>
      </c>
      <c r="R42" s="3" t="s">
        <v>488</v>
      </c>
      <c r="S42" s="3" t="s">
        <v>489</v>
      </c>
      <c r="T42" s="3"/>
      <c r="U42" s="3" t="s">
        <v>98</v>
      </c>
      <c r="V42" s="3" t="s">
        <v>490</v>
      </c>
      <c r="W42" s="3" t="s">
        <v>59</v>
      </c>
      <c r="X42" s="3" t="s">
        <v>491</v>
      </c>
      <c r="Y42" s="3" t="n">
        <v>2</v>
      </c>
      <c r="Z42" s="3" t="n">
        <v>3</v>
      </c>
      <c r="AA42" s="3" t="n">
        <v>1</v>
      </c>
      <c r="AB42" s="3" t="n">
        <v>2</v>
      </c>
      <c r="AC42" s="3" t="n">
        <v>3</v>
      </c>
      <c r="AD42" s="3" t="n">
        <v>1</v>
      </c>
      <c r="AE42" s="3" t="s">
        <v>492</v>
      </c>
      <c r="AF42" s="3"/>
      <c r="AG42" s="3" t="s">
        <v>493</v>
      </c>
      <c r="AH42" s="3"/>
      <c r="AI42" s="3"/>
      <c r="AJ42" s="3" t="s">
        <v>59</v>
      </c>
      <c r="AK42" s="3"/>
      <c r="AL42" s="3" t="s">
        <v>59</v>
      </c>
      <c r="AM42" s="3"/>
      <c r="AN42" s="3"/>
      <c r="AO42" s="3" t="s">
        <v>59</v>
      </c>
      <c r="AP42" s="3"/>
      <c r="AQ42" s="3"/>
      <c r="AR42" s="3"/>
    </row>
    <row r="43" customFormat="false" ht="15" hidden="false" customHeight="true" outlineLevel="0" collapsed="false">
      <c r="A43" s="3" t="s">
        <v>494</v>
      </c>
      <c r="B43" s="3" t="n">
        <v>1</v>
      </c>
      <c r="C43" s="3" t="n">
        <v>76</v>
      </c>
      <c r="D43" s="3"/>
      <c r="E43" s="4"/>
      <c r="F43" s="3" t="n">
        <v>27</v>
      </c>
      <c r="G43" s="3" t="str">
        <f aca="false">IF(F43="","",IF(F43&gt;=Notes!$B$5,"Elderly ("&amp;Notes!$B$5&amp;"+)",IF(F43&lt;=Notes!$B$4,"Student age (≤"&amp;Notes!$B$4&amp;")","Middle-aged ("&amp;(Notes!$B$4+1)&amp;"–"&amp;(Notes!$B$5-1)&amp;")")))</f>
        <v>Student age (≤29)</v>
      </c>
      <c r="H43" s="3" t="s">
        <v>45</v>
      </c>
      <c r="I43" s="3"/>
      <c r="J43" s="3" t="s">
        <v>437</v>
      </c>
      <c r="K43" s="3" t="s">
        <v>437</v>
      </c>
      <c r="L43" s="3" t="s">
        <v>475</v>
      </c>
      <c r="M43" s="3" t="s">
        <v>47</v>
      </c>
      <c r="N43" s="3" t="s">
        <v>476</v>
      </c>
      <c r="O43" s="3" t="s">
        <v>495</v>
      </c>
      <c r="P43" s="3" t="n">
        <v>20</v>
      </c>
      <c r="Q43" s="3" t="s">
        <v>95</v>
      </c>
      <c r="R43" s="3" t="s">
        <v>496</v>
      </c>
      <c r="S43" s="3" t="s">
        <v>497</v>
      </c>
      <c r="T43" s="3"/>
      <c r="U43" s="3" t="s">
        <v>59</v>
      </c>
      <c r="V43" s="3" t="s">
        <v>498</v>
      </c>
      <c r="W43" s="3" t="s">
        <v>499</v>
      </c>
      <c r="X43" s="3" t="s">
        <v>500</v>
      </c>
      <c r="Y43" s="3" t="n">
        <v>2</v>
      </c>
      <c r="Z43" s="3" t="n">
        <v>1</v>
      </c>
      <c r="AA43" s="3" t="n">
        <v>3</v>
      </c>
      <c r="AB43" s="3" t="n">
        <v>1</v>
      </c>
      <c r="AC43" s="3" t="n">
        <v>1</v>
      </c>
      <c r="AD43" s="3" t="n">
        <v>2</v>
      </c>
      <c r="AE43" s="3" t="s">
        <v>501</v>
      </c>
      <c r="AF43" s="3"/>
      <c r="AG43" s="3" t="s">
        <v>502</v>
      </c>
      <c r="AH43" s="3"/>
      <c r="AI43" s="3"/>
      <c r="AJ43" s="3" t="s">
        <v>59</v>
      </c>
      <c r="AK43" s="3"/>
      <c r="AL43" s="3" t="s">
        <v>59</v>
      </c>
      <c r="AM43" s="3"/>
      <c r="AN43" s="3"/>
      <c r="AO43" s="3" t="s">
        <v>59</v>
      </c>
      <c r="AP43" s="3"/>
      <c r="AQ43" s="3"/>
      <c r="AR43" s="3" t="s">
        <v>448</v>
      </c>
    </row>
    <row r="44" customFormat="false" ht="15" hidden="false" customHeight="true" outlineLevel="0" collapsed="false">
      <c r="A44" s="3" t="s">
        <v>503</v>
      </c>
      <c r="B44" s="3" t="n">
        <v>1</v>
      </c>
      <c r="C44" s="3" t="n">
        <v>77</v>
      </c>
      <c r="D44" s="3"/>
      <c r="E44" s="4"/>
      <c r="F44" s="3" t="n">
        <v>22</v>
      </c>
      <c r="G44" s="3" t="str">
        <f aca="false">IF(F44="","",IF(F44&gt;=Notes!$B$5,"Elderly ("&amp;Notes!$B$5&amp;"+)",IF(F44&lt;=Notes!$B$4,"Student age (≤"&amp;Notes!$B$4&amp;")","Middle-aged ("&amp;(Notes!$B$4+1)&amp;"–"&amp;(Notes!$B$5-1)&amp;")")))</f>
        <v>Student age (≤29)</v>
      </c>
      <c r="H44" s="3" t="s">
        <v>45</v>
      </c>
      <c r="I44" s="3"/>
      <c r="J44" s="3" t="s">
        <v>437</v>
      </c>
      <c r="K44" s="3" t="s">
        <v>437</v>
      </c>
      <c r="L44" s="3"/>
      <c r="M44" s="3" t="s">
        <v>47</v>
      </c>
      <c r="N44" s="3" t="s">
        <v>47</v>
      </c>
      <c r="O44" s="3" t="s">
        <v>504</v>
      </c>
      <c r="P44" s="3" t="n">
        <v>15</v>
      </c>
      <c r="Q44" s="3" t="s">
        <v>74</v>
      </c>
      <c r="R44" s="3" t="s">
        <v>505</v>
      </c>
      <c r="S44" s="3" t="s">
        <v>506</v>
      </c>
      <c r="T44" s="3"/>
      <c r="U44" s="3" t="s">
        <v>59</v>
      </c>
      <c r="V44" s="3" t="s">
        <v>507</v>
      </c>
      <c r="W44" s="3" t="s">
        <v>508</v>
      </c>
      <c r="X44" s="3" t="s">
        <v>509</v>
      </c>
      <c r="Y44" s="3" t="n">
        <v>3</v>
      </c>
      <c r="Z44" s="3" t="n">
        <v>1</v>
      </c>
      <c r="AA44" s="3" t="n">
        <v>2</v>
      </c>
      <c r="AB44" s="3" t="n">
        <v>1</v>
      </c>
      <c r="AC44" s="3" t="n">
        <v>2</v>
      </c>
      <c r="AD44" s="3" t="n">
        <v>3</v>
      </c>
      <c r="AE44" s="3" t="s">
        <v>510</v>
      </c>
      <c r="AF44" s="3"/>
      <c r="AG44" s="3" t="s">
        <v>511</v>
      </c>
      <c r="AH44" s="3"/>
      <c r="AI44" s="3"/>
      <c r="AJ44" s="3" t="s">
        <v>59</v>
      </c>
      <c r="AK44" s="3"/>
      <c r="AL44" s="3" t="s">
        <v>59</v>
      </c>
      <c r="AM44" s="3"/>
      <c r="AN44" s="3"/>
      <c r="AO44" s="3" t="s">
        <v>59</v>
      </c>
      <c r="AP44" s="3"/>
      <c r="AQ44" s="3"/>
      <c r="AR44" s="3"/>
    </row>
    <row r="45" customFormat="false" ht="15" hidden="false" customHeight="true" outlineLevel="0" collapsed="false">
      <c r="A45" s="3" t="s">
        <v>512</v>
      </c>
      <c r="B45" s="3" t="n">
        <v>1</v>
      </c>
      <c r="C45" s="3" t="n">
        <v>78</v>
      </c>
      <c r="D45" s="3"/>
      <c r="E45" s="4"/>
      <c r="F45" s="3" t="n">
        <v>21</v>
      </c>
      <c r="G45" s="3" t="str">
        <f aca="false">IF(F45="","",IF(F45&gt;=Notes!$B$5,"Elderly ("&amp;Notes!$B$5&amp;"+)",IF(F45&lt;=Notes!$B$4,"Student age (≤"&amp;Notes!$B$4&amp;")","Middle-aged ("&amp;(Notes!$B$4+1)&amp;"–"&amp;(Notes!$B$5-1)&amp;")")))</f>
        <v>Student age (≤29)</v>
      </c>
      <c r="H45" s="3" t="s">
        <v>83</v>
      </c>
      <c r="I45" s="3"/>
      <c r="J45" s="3" t="s">
        <v>437</v>
      </c>
      <c r="K45" s="3" t="s">
        <v>437</v>
      </c>
      <c r="L45" s="3" t="s">
        <v>71</v>
      </c>
      <c r="M45" s="3" t="s">
        <v>47</v>
      </c>
      <c r="N45" s="3" t="s">
        <v>72</v>
      </c>
      <c r="O45" s="3" t="s">
        <v>513</v>
      </c>
      <c r="P45" s="3" t="n">
        <v>10</v>
      </c>
      <c r="Q45" s="3" t="s">
        <v>74</v>
      </c>
      <c r="R45" s="3" t="s">
        <v>514</v>
      </c>
      <c r="S45" s="3" t="s">
        <v>515</v>
      </c>
      <c r="T45" s="3"/>
      <c r="U45" s="3" t="s">
        <v>516</v>
      </c>
      <c r="V45" s="3" t="s">
        <v>517</v>
      </c>
      <c r="W45" s="3" t="s">
        <v>518</v>
      </c>
      <c r="X45" s="3" t="s">
        <v>519</v>
      </c>
      <c r="Y45" s="3" t="n">
        <v>3</v>
      </c>
      <c r="Z45" s="3" t="n">
        <v>2</v>
      </c>
      <c r="AA45" s="3" t="n">
        <v>1</v>
      </c>
      <c r="AB45" s="3" t="n">
        <v>1</v>
      </c>
      <c r="AC45" s="3" t="n">
        <v>3</v>
      </c>
      <c r="AD45" s="3" t="n">
        <v>2</v>
      </c>
      <c r="AE45" s="3" t="s">
        <v>520</v>
      </c>
      <c r="AF45" s="3"/>
      <c r="AG45" s="3" t="s">
        <v>521</v>
      </c>
      <c r="AH45" s="3"/>
      <c r="AI45" s="3"/>
      <c r="AJ45" s="3" t="s">
        <v>59</v>
      </c>
      <c r="AK45" s="3"/>
      <c r="AL45" s="3" t="s">
        <v>59</v>
      </c>
      <c r="AM45" s="3"/>
      <c r="AN45" s="3"/>
      <c r="AO45" s="3" t="s">
        <v>59</v>
      </c>
      <c r="AP45" s="3"/>
      <c r="AQ45" s="3"/>
      <c r="AR45" s="3"/>
    </row>
    <row r="46" customFormat="false" ht="15" hidden="false" customHeight="true" outlineLevel="0" collapsed="false">
      <c r="A46" s="3" t="s">
        <v>522</v>
      </c>
      <c r="B46" s="3" t="n">
        <v>1</v>
      </c>
      <c r="C46" s="3" t="n">
        <v>79</v>
      </c>
      <c r="D46" s="3"/>
      <c r="E46" s="4"/>
      <c r="F46" s="3" t="n">
        <v>49</v>
      </c>
      <c r="G46" s="3" t="str">
        <f aca="false">IF(F46="","",IF(F46&gt;=Notes!$B$5,"Elderly ("&amp;Notes!$B$5&amp;"+)",IF(F46&lt;=Notes!$B$4,"Student age (≤"&amp;Notes!$B$4&amp;")","Middle-aged ("&amp;(Notes!$B$4+1)&amp;"–"&amp;(Notes!$B$5-1)&amp;")")))</f>
        <v>Middle-aged (30–64)</v>
      </c>
      <c r="H46" s="3" t="s">
        <v>45</v>
      </c>
      <c r="I46" s="3" t="s">
        <v>436</v>
      </c>
      <c r="J46" s="3" t="s">
        <v>437</v>
      </c>
      <c r="K46" s="3" t="s">
        <v>438</v>
      </c>
      <c r="L46" s="3" t="s">
        <v>436</v>
      </c>
      <c r="M46" s="3" t="s">
        <v>437</v>
      </c>
      <c r="N46" s="3" t="s">
        <v>438</v>
      </c>
      <c r="O46" s="3" t="s">
        <v>523</v>
      </c>
      <c r="P46" s="3" t="n">
        <v>35</v>
      </c>
      <c r="Q46" s="3" t="s">
        <v>52</v>
      </c>
      <c r="R46" s="3" t="s">
        <v>524</v>
      </c>
      <c r="S46" s="3" t="s">
        <v>525</v>
      </c>
      <c r="T46" s="3"/>
      <c r="U46" s="3" t="s">
        <v>59</v>
      </c>
      <c r="V46" s="3" t="s">
        <v>526</v>
      </c>
      <c r="W46" s="3" t="s">
        <v>527</v>
      </c>
      <c r="X46" s="3" t="s">
        <v>528</v>
      </c>
      <c r="Y46" s="3" t="n">
        <v>1</v>
      </c>
      <c r="Z46" s="3" t="n">
        <v>1</v>
      </c>
      <c r="AA46" s="3" t="n">
        <v>3</v>
      </c>
      <c r="AB46" s="3" t="n">
        <v>1</v>
      </c>
      <c r="AC46" s="3" t="n">
        <v>1</v>
      </c>
      <c r="AD46" s="3" t="n">
        <v>1</v>
      </c>
      <c r="AE46" s="3" t="s">
        <v>529</v>
      </c>
      <c r="AF46" s="3"/>
      <c r="AG46" s="3" t="s">
        <v>530</v>
      </c>
      <c r="AH46" s="3"/>
      <c r="AI46" s="3"/>
      <c r="AJ46" s="3" t="s">
        <v>59</v>
      </c>
      <c r="AK46" s="3"/>
      <c r="AL46" s="3" t="s">
        <v>59</v>
      </c>
      <c r="AM46" s="3"/>
      <c r="AN46" s="3"/>
      <c r="AO46" s="3" t="s">
        <v>59</v>
      </c>
      <c r="AP46" s="3"/>
      <c r="AQ46" s="3"/>
      <c r="AR46" s="3" t="s">
        <v>81</v>
      </c>
    </row>
    <row r="47" customFormat="false" ht="15" hidden="false" customHeight="true" outlineLevel="0" collapsed="false">
      <c r="A47" s="3" t="s">
        <v>531</v>
      </c>
      <c r="B47" s="3" t="n">
        <v>1</v>
      </c>
      <c r="C47" s="3" t="n">
        <v>80</v>
      </c>
      <c r="D47" s="3"/>
      <c r="E47" s="4"/>
      <c r="F47" s="3" t="n">
        <v>28</v>
      </c>
      <c r="G47" s="3" t="str">
        <f aca="false">IF(F47="","",IF(F47&gt;=Notes!$B$5,"Elderly ("&amp;Notes!$B$5&amp;"+)",IF(F47&lt;=Notes!$B$4,"Student age (≤"&amp;Notes!$B$4&amp;")","Middle-aged ("&amp;(Notes!$B$4+1)&amp;"–"&amp;(Notes!$B$5-1)&amp;")")))</f>
        <v>Student age (≤29)</v>
      </c>
      <c r="H47" s="3" t="s">
        <v>83</v>
      </c>
      <c r="I47" s="3" t="s">
        <v>532</v>
      </c>
      <c r="J47" s="3" t="s">
        <v>47</v>
      </c>
      <c r="K47" s="3" t="s">
        <v>533</v>
      </c>
      <c r="L47" s="3" t="s">
        <v>49</v>
      </c>
      <c r="M47" s="3" t="s">
        <v>47</v>
      </c>
      <c r="N47" s="3" t="s">
        <v>50</v>
      </c>
      <c r="O47" s="3" t="s">
        <v>534</v>
      </c>
      <c r="P47" s="3" t="n">
        <v>20</v>
      </c>
      <c r="Q47" s="3" t="s">
        <v>95</v>
      </c>
      <c r="R47" s="3" t="s">
        <v>535</v>
      </c>
      <c r="S47" s="3" t="s">
        <v>536</v>
      </c>
      <c r="T47" s="3"/>
      <c r="U47" s="3" t="s">
        <v>537</v>
      </c>
      <c r="V47" s="3" t="s">
        <v>538</v>
      </c>
      <c r="W47" s="3" t="s">
        <v>539</v>
      </c>
      <c r="X47" s="3" t="s">
        <v>540</v>
      </c>
      <c r="Y47" s="3" t="n">
        <v>2</v>
      </c>
      <c r="Z47" s="3" t="n">
        <v>3</v>
      </c>
      <c r="AA47" s="3" t="n">
        <v>1</v>
      </c>
      <c r="AB47" s="3" t="n">
        <v>2</v>
      </c>
      <c r="AC47" s="3" t="n">
        <v>1</v>
      </c>
      <c r="AD47" s="3" t="n">
        <v>3</v>
      </c>
      <c r="AE47" s="3" t="s">
        <v>541</v>
      </c>
      <c r="AF47" s="3"/>
      <c r="AG47" s="3" t="s">
        <v>542</v>
      </c>
      <c r="AH47" s="3"/>
      <c r="AI47" s="3"/>
      <c r="AJ47" s="3" t="s">
        <v>98</v>
      </c>
      <c r="AK47" s="3"/>
      <c r="AL47" s="3" t="s">
        <v>59</v>
      </c>
      <c r="AM47" s="3"/>
      <c r="AN47" s="3"/>
      <c r="AO47" s="3" t="s">
        <v>59</v>
      </c>
      <c r="AP47" s="3"/>
      <c r="AQ47" s="3"/>
      <c r="AR47" s="3"/>
    </row>
    <row r="48" customFormat="false" ht="15" hidden="false" customHeight="true" outlineLevel="0" collapsed="false">
      <c r="A48" s="3" t="s">
        <v>543</v>
      </c>
      <c r="B48" s="3" t="n">
        <v>1</v>
      </c>
      <c r="C48" s="3" t="n">
        <v>81</v>
      </c>
      <c r="D48" s="3"/>
      <c r="E48" s="4"/>
      <c r="F48" s="3" t="n">
        <v>56</v>
      </c>
      <c r="G48" s="3" t="str">
        <f aca="false">IF(F48="","",IF(F48&gt;=Notes!$B$5,"Elderly ("&amp;Notes!$B$5&amp;"+)",IF(F48&lt;=Notes!$B$4,"Student age (≤"&amp;Notes!$B$4&amp;")","Middle-aged ("&amp;(Notes!$B$4+1)&amp;"–"&amp;(Notes!$B$5-1)&amp;")")))</f>
        <v>Middle-aged (30–64)</v>
      </c>
      <c r="H48" s="3" t="s">
        <v>45</v>
      </c>
      <c r="I48" s="3" t="s">
        <v>61</v>
      </c>
      <c r="J48" s="3" t="s">
        <v>47</v>
      </c>
      <c r="K48" s="3" t="s">
        <v>62</v>
      </c>
      <c r="L48" s="3" t="s">
        <v>544</v>
      </c>
      <c r="M48" s="3" t="s">
        <v>47</v>
      </c>
      <c r="N48" s="3" t="s">
        <v>545</v>
      </c>
      <c r="O48" s="3" t="s">
        <v>546</v>
      </c>
      <c r="P48" s="3" t="n">
        <v>40</v>
      </c>
      <c r="Q48" s="3" t="s">
        <v>52</v>
      </c>
      <c r="R48" s="3" t="s">
        <v>547</v>
      </c>
      <c r="S48" s="3" t="s">
        <v>548</v>
      </c>
      <c r="T48" s="3"/>
      <c r="U48" s="3" t="s">
        <v>549</v>
      </c>
      <c r="V48" s="3" t="s">
        <v>550</v>
      </c>
      <c r="W48" s="3" t="s">
        <v>551</v>
      </c>
      <c r="X48" s="3" t="s">
        <v>552</v>
      </c>
      <c r="Y48" s="3" t="n">
        <v>2</v>
      </c>
      <c r="Z48" s="3" t="n">
        <v>1</v>
      </c>
      <c r="AA48" s="3" t="n">
        <v>3</v>
      </c>
      <c r="AB48" s="3" t="n">
        <v>1</v>
      </c>
      <c r="AC48" s="3" t="n">
        <v>2</v>
      </c>
      <c r="AD48" s="3" t="n">
        <v>3</v>
      </c>
      <c r="AE48" s="3" t="s">
        <v>553</v>
      </c>
      <c r="AF48" s="3"/>
      <c r="AG48" s="3" t="s">
        <v>554</v>
      </c>
      <c r="AH48" s="3"/>
      <c r="AI48" s="3"/>
      <c r="AJ48" s="3" t="s">
        <v>59</v>
      </c>
      <c r="AK48" s="3"/>
      <c r="AL48" s="3" t="s">
        <v>98</v>
      </c>
      <c r="AM48" s="3"/>
      <c r="AN48" s="3"/>
      <c r="AO48" s="3" t="s">
        <v>98</v>
      </c>
      <c r="AP48" s="3"/>
      <c r="AQ48" s="3"/>
      <c r="AR48" s="3"/>
    </row>
    <row r="49" customFormat="false" ht="15" hidden="false" customHeight="true" outlineLevel="0" collapsed="false">
      <c r="A49" s="3" t="s">
        <v>555</v>
      </c>
      <c r="B49" s="3" t="n">
        <v>1</v>
      </c>
      <c r="C49" s="3" t="n">
        <v>82</v>
      </c>
      <c r="D49" s="3"/>
      <c r="E49" s="4"/>
      <c r="F49" s="3" t="n">
        <v>23</v>
      </c>
      <c r="G49" s="3" t="str">
        <f aca="false">IF(F49="","",IF(F49&gt;=Notes!$B$5,"Elderly ("&amp;Notes!$B$5&amp;"+)",IF(F49&lt;=Notes!$B$4,"Student age (≤"&amp;Notes!$B$4&amp;")","Middle-aged ("&amp;(Notes!$B$4+1)&amp;"–"&amp;(Notes!$B$5-1)&amp;")")))</f>
        <v>Student age (≤29)</v>
      </c>
      <c r="H49" s="3" t="s">
        <v>45</v>
      </c>
      <c r="I49" s="3" t="s">
        <v>171</v>
      </c>
      <c r="J49" s="3" t="s">
        <v>47</v>
      </c>
      <c r="K49" s="3" t="s">
        <v>172</v>
      </c>
      <c r="L49" s="3" t="s">
        <v>171</v>
      </c>
      <c r="M49" s="3" t="s">
        <v>47</v>
      </c>
      <c r="N49" s="3" t="s">
        <v>172</v>
      </c>
      <c r="O49" s="3" t="s">
        <v>556</v>
      </c>
      <c r="P49" s="3" t="n">
        <v>45</v>
      </c>
      <c r="Q49" s="3" t="s">
        <v>52</v>
      </c>
      <c r="R49" s="3" t="s">
        <v>557</v>
      </c>
      <c r="S49" s="3" t="s">
        <v>558</v>
      </c>
      <c r="T49" s="3"/>
      <c r="U49" s="3" t="s">
        <v>559</v>
      </c>
      <c r="V49" s="3" t="s">
        <v>560</v>
      </c>
      <c r="W49" s="3" t="s">
        <v>561</v>
      </c>
      <c r="X49" s="3" t="s">
        <v>562</v>
      </c>
      <c r="Y49" s="3" t="n">
        <v>3</v>
      </c>
      <c r="Z49" s="3" t="n">
        <v>1</v>
      </c>
      <c r="AA49" s="3" t="n">
        <v>2</v>
      </c>
      <c r="AB49" s="3" t="n">
        <v>3</v>
      </c>
      <c r="AC49" s="3" t="n">
        <v>1</v>
      </c>
      <c r="AD49" s="3" t="n">
        <v>2</v>
      </c>
      <c r="AE49" s="3" t="s">
        <v>563</v>
      </c>
      <c r="AF49" s="3"/>
      <c r="AG49" s="3" t="s">
        <v>564</v>
      </c>
      <c r="AH49" s="3"/>
      <c r="AI49" s="3"/>
      <c r="AJ49" s="3" t="s">
        <v>59</v>
      </c>
      <c r="AK49" s="3"/>
      <c r="AL49" s="3" t="s">
        <v>59</v>
      </c>
      <c r="AM49" s="3"/>
      <c r="AN49" s="3"/>
      <c r="AO49" s="3" t="s">
        <v>59</v>
      </c>
      <c r="AP49" s="3"/>
      <c r="AQ49" s="3"/>
      <c r="AR49" s="3"/>
    </row>
    <row r="50" customFormat="false" ht="15" hidden="false" customHeight="true" outlineLevel="0" collapsed="false">
      <c r="A50" s="3" t="s">
        <v>565</v>
      </c>
      <c r="B50" s="3" t="n">
        <v>1</v>
      </c>
      <c r="C50" s="3" t="n">
        <v>83</v>
      </c>
      <c r="D50" s="3"/>
      <c r="E50" s="4"/>
      <c r="F50" s="3" t="n">
        <v>24</v>
      </c>
      <c r="G50" s="3" t="str">
        <f aca="false">IF(F50="","",IF(F50&gt;=Notes!$B$5,"Elderly ("&amp;Notes!$B$5&amp;"+)",IF(F50&lt;=Notes!$B$4,"Student age (≤"&amp;Notes!$B$4&amp;")","Middle-aged ("&amp;(Notes!$B$4+1)&amp;"–"&amp;(Notes!$B$5-1)&amp;")")))</f>
        <v>Student age (≤29)</v>
      </c>
      <c r="H50" s="3" t="s">
        <v>83</v>
      </c>
      <c r="I50" s="3" t="s">
        <v>159</v>
      </c>
      <c r="J50" s="3" t="s">
        <v>47</v>
      </c>
      <c r="K50" s="3" t="s">
        <v>160</v>
      </c>
      <c r="L50" s="3" t="s">
        <v>159</v>
      </c>
      <c r="M50" s="3" t="s">
        <v>47</v>
      </c>
      <c r="N50" s="3" t="s">
        <v>160</v>
      </c>
      <c r="O50" s="3" t="s">
        <v>566</v>
      </c>
      <c r="P50" s="3" t="n">
        <v>40</v>
      </c>
      <c r="Q50" s="3" t="s">
        <v>52</v>
      </c>
      <c r="R50" s="3" t="s">
        <v>567</v>
      </c>
      <c r="S50" s="3" t="s">
        <v>568</v>
      </c>
      <c r="T50" s="3"/>
      <c r="U50" s="3" t="s">
        <v>569</v>
      </c>
      <c r="V50" s="3" t="s">
        <v>570</v>
      </c>
      <c r="W50" s="3" t="s">
        <v>571</v>
      </c>
      <c r="X50" s="3" t="s">
        <v>572</v>
      </c>
      <c r="Y50" s="3" t="n">
        <v>1</v>
      </c>
      <c r="Z50" s="3" t="n">
        <v>3</v>
      </c>
      <c r="AA50" s="3" t="n">
        <v>2</v>
      </c>
      <c r="AB50" s="3" t="n">
        <v>1</v>
      </c>
      <c r="AC50" s="3" t="n">
        <v>3</v>
      </c>
      <c r="AD50" s="3" t="n">
        <v>2</v>
      </c>
      <c r="AE50" s="3" t="s">
        <v>573</v>
      </c>
      <c r="AF50" s="3"/>
      <c r="AG50" s="3" t="s">
        <v>574</v>
      </c>
      <c r="AH50" s="3"/>
      <c r="AI50" s="3"/>
      <c r="AJ50" s="3" t="s">
        <v>98</v>
      </c>
      <c r="AK50" s="3"/>
      <c r="AL50" s="3" t="s">
        <v>59</v>
      </c>
      <c r="AM50" s="3"/>
      <c r="AN50" s="3"/>
      <c r="AO50" s="3" t="s">
        <v>59</v>
      </c>
      <c r="AP50" s="3"/>
      <c r="AQ50" s="3"/>
      <c r="AR50" s="3"/>
    </row>
    <row r="51" customFormat="false" ht="15" hidden="false" customHeight="true" outlineLevel="0" collapsed="false">
      <c r="A51" s="3" t="s">
        <v>575</v>
      </c>
      <c r="B51" s="3" t="n">
        <v>1</v>
      </c>
      <c r="C51" s="3" t="n">
        <v>84</v>
      </c>
      <c r="D51" s="3"/>
      <c r="E51" s="4"/>
      <c r="F51" s="3" t="n">
        <v>21</v>
      </c>
      <c r="G51" s="3" t="str">
        <f aca="false">IF(F51="","",IF(F51&gt;=Notes!$B$5,"Elderly ("&amp;Notes!$B$5&amp;"+)",IF(F51&lt;=Notes!$B$4,"Student age (≤"&amp;Notes!$B$4&amp;")","Middle-aged ("&amp;(Notes!$B$4+1)&amp;"–"&amp;(Notes!$B$5-1)&amp;")")))</f>
        <v>Student age (≤29)</v>
      </c>
      <c r="H51" s="3" t="s">
        <v>83</v>
      </c>
      <c r="I51" s="3" t="s">
        <v>289</v>
      </c>
      <c r="J51" s="3" t="s">
        <v>47</v>
      </c>
      <c r="K51" s="3" t="s">
        <v>290</v>
      </c>
      <c r="L51" s="3" t="s">
        <v>49</v>
      </c>
      <c r="M51" s="3" t="s">
        <v>47</v>
      </c>
      <c r="N51" s="3" t="s">
        <v>50</v>
      </c>
      <c r="O51" s="3" t="s">
        <v>576</v>
      </c>
      <c r="P51" s="3" t="n">
        <v>20</v>
      </c>
      <c r="Q51" s="3" t="s">
        <v>95</v>
      </c>
      <c r="R51" s="3" t="s">
        <v>577</v>
      </c>
      <c r="S51" s="3" t="s">
        <v>578</v>
      </c>
      <c r="T51" s="3"/>
      <c r="U51" s="3" t="s">
        <v>579</v>
      </c>
      <c r="V51" s="3" t="s">
        <v>580</v>
      </c>
      <c r="W51" s="3" t="s">
        <v>581</v>
      </c>
      <c r="X51" s="3" t="s">
        <v>582</v>
      </c>
      <c r="Y51" s="3" t="n">
        <v>2</v>
      </c>
      <c r="Z51" s="3" t="n">
        <v>1</v>
      </c>
      <c r="AA51" s="3" t="n">
        <v>3</v>
      </c>
      <c r="AB51" s="3" t="n">
        <v>2</v>
      </c>
      <c r="AC51" s="3" t="n">
        <v>1</v>
      </c>
      <c r="AD51" s="3" t="n">
        <v>3</v>
      </c>
      <c r="AE51" s="3" t="s">
        <v>583</v>
      </c>
      <c r="AF51" s="3"/>
      <c r="AG51" s="3" t="s">
        <v>584</v>
      </c>
      <c r="AH51" s="3"/>
      <c r="AI51" s="3"/>
      <c r="AJ51" s="3" t="s">
        <v>59</v>
      </c>
      <c r="AK51" s="3"/>
      <c r="AL51" s="3" t="s">
        <v>59</v>
      </c>
      <c r="AM51" s="3"/>
      <c r="AN51" s="3"/>
      <c r="AO51" s="3" t="s">
        <v>59</v>
      </c>
      <c r="AP51" s="3"/>
      <c r="AQ51" s="3"/>
      <c r="AR51" s="3"/>
    </row>
    <row r="52" customFormat="false" ht="15" hidden="false" customHeight="true" outlineLevel="0" collapsed="false">
      <c r="A52" s="3" t="s">
        <v>585</v>
      </c>
      <c r="B52" s="3" t="n">
        <v>1</v>
      </c>
      <c r="C52" s="3" t="n">
        <v>85</v>
      </c>
      <c r="D52" s="3"/>
      <c r="E52" s="4"/>
      <c r="F52" s="3" t="n">
        <v>20</v>
      </c>
      <c r="G52" s="3" t="str">
        <f aca="false">IF(F52="","",IF(F52&gt;=Notes!$B$5,"Elderly ("&amp;Notes!$B$5&amp;"+)",IF(F52&lt;=Notes!$B$4,"Student age (≤"&amp;Notes!$B$4&amp;")","Middle-aged ("&amp;(Notes!$B$4+1)&amp;"–"&amp;(Notes!$B$5-1)&amp;")")))</f>
        <v>Student age (≤29)</v>
      </c>
      <c r="H52" s="3" t="s">
        <v>83</v>
      </c>
      <c r="I52" s="3" t="s">
        <v>49</v>
      </c>
      <c r="J52" s="3" t="s">
        <v>47</v>
      </c>
      <c r="K52" s="3" t="s">
        <v>50</v>
      </c>
      <c r="L52" s="3" t="s">
        <v>49</v>
      </c>
      <c r="M52" s="3" t="s">
        <v>47</v>
      </c>
      <c r="N52" s="3" t="s">
        <v>50</v>
      </c>
      <c r="O52" s="3" t="s">
        <v>586</v>
      </c>
      <c r="P52" s="3" t="n">
        <v>20</v>
      </c>
      <c r="Q52" s="3" t="s">
        <v>95</v>
      </c>
      <c r="R52" s="3" t="s">
        <v>587</v>
      </c>
      <c r="S52" s="3" t="s">
        <v>588</v>
      </c>
      <c r="T52" s="3"/>
      <c r="U52" s="3" t="s">
        <v>589</v>
      </c>
      <c r="V52" s="3" t="s">
        <v>590</v>
      </c>
      <c r="W52" s="3" t="s">
        <v>591</v>
      </c>
      <c r="X52" s="3" t="s">
        <v>391</v>
      </c>
      <c r="Y52" s="3" t="n">
        <v>3</v>
      </c>
      <c r="Z52" s="3" t="n">
        <v>2</v>
      </c>
      <c r="AA52" s="3" t="n">
        <v>1</v>
      </c>
      <c r="AB52" s="3" t="n">
        <v>1</v>
      </c>
      <c r="AC52" s="3" t="n">
        <v>2</v>
      </c>
      <c r="AD52" s="3" t="n">
        <v>3</v>
      </c>
      <c r="AE52" s="3" t="s">
        <v>592</v>
      </c>
      <c r="AF52" s="3"/>
      <c r="AG52" s="3" t="s">
        <v>593</v>
      </c>
      <c r="AH52" s="3"/>
      <c r="AI52" s="3"/>
      <c r="AJ52" s="3" t="s">
        <v>59</v>
      </c>
      <c r="AK52" s="3"/>
      <c r="AL52" s="3" t="s">
        <v>59</v>
      </c>
      <c r="AM52" s="3"/>
      <c r="AN52" s="3"/>
      <c r="AO52" s="3" t="s">
        <v>59</v>
      </c>
      <c r="AP52" s="3"/>
      <c r="AQ52" s="3"/>
      <c r="AR52" s="3"/>
    </row>
    <row r="53" customFormat="false" ht="15" hidden="false" customHeight="true" outlineLevel="0" collapsed="false">
      <c r="A53" s="3" t="s">
        <v>594</v>
      </c>
      <c r="B53" s="3" t="n">
        <v>1</v>
      </c>
      <c r="C53" s="3" t="n">
        <v>88</v>
      </c>
      <c r="D53" s="3"/>
      <c r="E53" s="4"/>
      <c r="F53" s="3" t="n">
        <v>20</v>
      </c>
      <c r="G53" s="3" t="str">
        <f aca="false">IF(F53="","",IF(F53&gt;=Notes!$B$5,"Elderly ("&amp;Notes!$B$5&amp;"+)",IF(F53&lt;=Notes!$B$4,"Student age (≤"&amp;Notes!$B$4&amp;")","Middle-aged ("&amp;(Notes!$B$4+1)&amp;"–"&amp;(Notes!$B$5-1)&amp;")")))</f>
        <v>Student age (≤29)</v>
      </c>
      <c r="H53" s="3" t="s">
        <v>45</v>
      </c>
      <c r="I53" s="3" t="s">
        <v>159</v>
      </c>
      <c r="J53" s="3" t="s">
        <v>47</v>
      </c>
      <c r="K53" s="3" t="s">
        <v>160</v>
      </c>
      <c r="L53" s="3" t="s">
        <v>159</v>
      </c>
      <c r="M53" s="3" t="s">
        <v>47</v>
      </c>
      <c r="N53" s="3" t="s">
        <v>160</v>
      </c>
      <c r="O53" s="3" t="s">
        <v>595</v>
      </c>
      <c r="P53" s="3" t="n">
        <v>20</v>
      </c>
      <c r="Q53" s="3" t="s">
        <v>95</v>
      </c>
      <c r="R53" s="3" t="s">
        <v>596</v>
      </c>
      <c r="S53" s="3" t="s">
        <v>597</v>
      </c>
      <c r="T53" s="3"/>
      <c r="U53" s="3" t="s">
        <v>598</v>
      </c>
      <c r="V53" s="3" t="s">
        <v>599</v>
      </c>
      <c r="W53" s="3" t="s">
        <v>600</v>
      </c>
      <c r="X53" s="3" t="s">
        <v>601</v>
      </c>
      <c r="Y53" s="3" t="n">
        <v>3</v>
      </c>
      <c r="Z53" s="3" t="n">
        <v>1</v>
      </c>
      <c r="AA53" s="3" t="n">
        <v>2</v>
      </c>
      <c r="AB53" s="3" t="n">
        <v>3</v>
      </c>
      <c r="AC53" s="3" t="n">
        <v>2</v>
      </c>
      <c r="AD53" s="3" t="n">
        <v>1</v>
      </c>
      <c r="AE53" s="3" t="s">
        <v>602</v>
      </c>
      <c r="AF53" s="3"/>
      <c r="AG53" s="3" t="s">
        <v>603</v>
      </c>
      <c r="AH53" s="3"/>
      <c r="AI53" s="3"/>
      <c r="AJ53" s="3" t="s">
        <v>59</v>
      </c>
      <c r="AK53" s="3"/>
      <c r="AL53" s="3" t="s">
        <v>59</v>
      </c>
      <c r="AM53" s="3"/>
      <c r="AN53" s="3"/>
      <c r="AO53" s="3" t="s">
        <v>59</v>
      </c>
      <c r="AP53" s="3"/>
      <c r="AQ53" s="3"/>
      <c r="AR53" s="3"/>
    </row>
    <row r="54" customFormat="false" ht="15" hidden="false" customHeight="true" outlineLevel="0" collapsed="false">
      <c r="A54" s="3" t="s">
        <v>604</v>
      </c>
      <c r="B54" s="3" t="n">
        <v>1</v>
      </c>
      <c r="C54" s="3" t="n">
        <v>89</v>
      </c>
      <c r="D54" s="3"/>
      <c r="E54" s="4"/>
      <c r="F54" s="3" t="n">
        <v>20</v>
      </c>
      <c r="G54" s="3" t="str">
        <f aca="false">IF(F54="","",IF(F54&gt;=Notes!$B$5,"Elderly ("&amp;Notes!$B$5&amp;"+)",IF(F54&lt;=Notes!$B$4,"Student age (≤"&amp;Notes!$B$4&amp;")","Middle-aged ("&amp;(Notes!$B$4+1)&amp;"–"&amp;(Notes!$B$5-1)&amp;")")))</f>
        <v>Student age (≤29)</v>
      </c>
      <c r="H54" s="3" t="s">
        <v>83</v>
      </c>
      <c r="I54" s="3"/>
      <c r="J54" s="3" t="s">
        <v>47</v>
      </c>
      <c r="K54" s="3" t="s">
        <v>47</v>
      </c>
      <c r="L54" s="3" t="s">
        <v>49</v>
      </c>
      <c r="M54" s="3" t="s">
        <v>47</v>
      </c>
      <c r="N54" s="3" t="s">
        <v>50</v>
      </c>
      <c r="O54" s="3" t="s">
        <v>605</v>
      </c>
      <c r="P54" s="3" t="n">
        <v>30</v>
      </c>
      <c r="Q54" s="3" t="s">
        <v>117</v>
      </c>
      <c r="R54" s="3" t="s">
        <v>606</v>
      </c>
      <c r="S54" s="3" t="s">
        <v>607</v>
      </c>
      <c r="T54" s="3"/>
      <c r="U54" s="3" t="s">
        <v>608</v>
      </c>
      <c r="V54" s="3" t="s">
        <v>609</v>
      </c>
      <c r="W54" s="3" t="s">
        <v>610</v>
      </c>
      <c r="X54" s="3" t="s">
        <v>611</v>
      </c>
      <c r="Y54" s="3" t="n">
        <v>1</v>
      </c>
      <c r="Z54" s="3" t="n">
        <v>2</v>
      </c>
      <c r="AA54" s="3" t="n">
        <v>3</v>
      </c>
      <c r="AB54" s="3" t="n">
        <v>1</v>
      </c>
      <c r="AC54" s="3" t="n">
        <v>2</v>
      </c>
      <c r="AD54" s="3" t="n">
        <v>3</v>
      </c>
      <c r="AE54" s="3" t="s">
        <v>612</v>
      </c>
      <c r="AF54" s="3"/>
      <c r="AG54" s="3" t="s">
        <v>613</v>
      </c>
      <c r="AH54" s="3"/>
      <c r="AI54" s="3"/>
      <c r="AJ54" s="3" t="s">
        <v>59</v>
      </c>
      <c r="AK54" s="3"/>
      <c r="AL54" s="3" t="s">
        <v>59</v>
      </c>
      <c r="AM54" s="3"/>
      <c r="AN54" s="3"/>
      <c r="AO54" s="3" t="s">
        <v>59</v>
      </c>
      <c r="AP54" s="3"/>
      <c r="AQ54" s="3"/>
      <c r="AR54" s="3"/>
    </row>
    <row r="55" customFormat="false" ht="15" hidden="false" customHeight="true" outlineLevel="0" collapsed="false">
      <c r="A55" s="3" t="s">
        <v>614</v>
      </c>
      <c r="B55" s="3" t="n">
        <v>1</v>
      </c>
      <c r="C55" s="3" t="n">
        <v>90</v>
      </c>
      <c r="D55" s="3"/>
      <c r="E55" s="4"/>
      <c r="F55" s="3" t="n">
        <v>59</v>
      </c>
      <c r="G55" s="3" t="str">
        <f aca="false">IF(F55="","",IF(F55&gt;=Notes!$B$5,"Elderly ("&amp;Notes!$B$5&amp;"+)",IF(F55&lt;=Notes!$B$4,"Student age (≤"&amp;Notes!$B$4&amp;")","Middle-aged ("&amp;(Notes!$B$4+1)&amp;"–"&amp;(Notes!$B$5-1)&amp;")")))</f>
        <v>Middle-aged (30–64)</v>
      </c>
      <c r="H55" s="3" t="s">
        <v>83</v>
      </c>
      <c r="I55" s="3"/>
      <c r="J55" s="3" t="s">
        <v>47</v>
      </c>
      <c r="K55" s="3" t="s">
        <v>47</v>
      </c>
      <c r="L55" s="3" t="s">
        <v>321</v>
      </c>
      <c r="M55" s="3" t="s">
        <v>47</v>
      </c>
      <c r="N55" s="3" t="s">
        <v>322</v>
      </c>
      <c r="O55" s="3" t="s">
        <v>615</v>
      </c>
      <c r="P55" s="3" t="n">
        <v>25</v>
      </c>
      <c r="Q55" s="3" t="s">
        <v>117</v>
      </c>
      <c r="R55" s="3" t="s">
        <v>616</v>
      </c>
      <c r="S55" s="3" t="s">
        <v>617</v>
      </c>
      <c r="T55" s="3"/>
      <c r="U55" s="3" t="s">
        <v>618</v>
      </c>
      <c r="V55" s="3" t="s">
        <v>619</v>
      </c>
      <c r="W55" s="3" t="s">
        <v>620</v>
      </c>
      <c r="X55" s="3" t="s">
        <v>621</v>
      </c>
      <c r="Y55" s="3" t="n">
        <v>1</v>
      </c>
      <c r="Z55" s="3" t="n">
        <v>2</v>
      </c>
      <c r="AA55" s="3" t="n">
        <v>3</v>
      </c>
      <c r="AB55" s="3" t="n">
        <v>2</v>
      </c>
      <c r="AC55" s="3" t="n">
        <v>1</v>
      </c>
      <c r="AD55" s="3" t="n">
        <v>3</v>
      </c>
      <c r="AE55" s="3" t="s">
        <v>622</v>
      </c>
      <c r="AF55" s="3"/>
      <c r="AG55" s="3" t="s">
        <v>623</v>
      </c>
      <c r="AH55" s="3"/>
      <c r="AI55" s="3"/>
      <c r="AJ55" s="3" t="s">
        <v>59</v>
      </c>
      <c r="AK55" s="3"/>
      <c r="AL55" s="3" t="s">
        <v>59</v>
      </c>
      <c r="AM55" s="3"/>
      <c r="AN55" s="3"/>
      <c r="AO55" s="3" t="s">
        <v>59</v>
      </c>
      <c r="AP55" s="3"/>
      <c r="AQ55" s="3"/>
      <c r="AR55" s="3"/>
    </row>
    <row r="56" customFormat="false" ht="15" hidden="false" customHeight="true" outlineLevel="0" collapsed="false">
      <c r="A56" s="3" t="s">
        <v>624</v>
      </c>
      <c r="B56" s="3" t="n">
        <v>1</v>
      </c>
      <c r="C56" s="3" t="n">
        <v>91</v>
      </c>
      <c r="D56" s="3"/>
      <c r="E56" s="4"/>
      <c r="F56" s="3" t="n">
        <v>54</v>
      </c>
      <c r="G56" s="3" t="str">
        <f aca="false">IF(F56="","",IF(F56&gt;=Notes!$B$5,"Elderly ("&amp;Notes!$B$5&amp;"+)",IF(F56&lt;=Notes!$B$4,"Student age (≤"&amp;Notes!$B$4&amp;")","Middle-aged ("&amp;(Notes!$B$4+1)&amp;"–"&amp;(Notes!$B$5-1)&amp;")")))</f>
        <v>Middle-aged (30–64)</v>
      </c>
      <c r="H56" s="3" t="s">
        <v>45</v>
      </c>
      <c r="I56" s="3"/>
      <c r="J56" s="3" t="s">
        <v>47</v>
      </c>
      <c r="K56" s="3" t="s">
        <v>47</v>
      </c>
      <c r="L56" s="3" t="s">
        <v>321</v>
      </c>
      <c r="M56" s="3" t="s">
        <v>47</v>
      </c>
      <c r="N56" s="3" t="s">
        <v>322</v>
      </c>
      <c r="O56" s="3" t="s">
        <v>625</v>
      </c>
      <c r="P56" s="3" t="n">
        <v>20</v>
      </c>
      <c r="Q56" s="3" t="s">
        <v>95</v>
      </c>
      <c r="R56" s="3" t="s">
        <v>626</v>
      </c>
      <c r="S56" s="3" t="s">
        <v>627</v>
      </c>
      <c r="T56" s="3"/>
      <c r="U56" s="3" t="s">
        <v>628</v>
      </c>
      <c r="V56" s="3" t="s">
        <v>629</v>
      </c>
      <c r="W56" s="3" t="s">
        <v>630</v>
      </c>
      <c r="X56" s="3" t="s">
        <v>631</v>
      </c>
      <c r="Y56" s="3" t="n">
        <v>2</v>
      </c>
      <c r="Z56" s="3" t="n">
        <v>1</v>
      </c>
      <c r="AA56" s="3" t="n">
        <v>3</v>
      </c>
      <c r="AB56" s="3" t="n">
        <v>2</v>
      </c>
      <c r="AC56" s="3" t="n">
        <v>1</v>
      </c>
      <c r="AD56" s="3" t="n">
        <v>3</v>
      </c>
      <c r="AE56" s="3" t="s">
        <v>632</v>
      </c>
      <c r="AF56" s="3"/>
      <c r="AG56" s="3" t="s">
        <v>633</v>
      </c>
      <c r="AH56" s="3"/>
      <c r="AI56" s="3"/>
      <c r="AJ56" s="3" t="s">
        <v>59</v>
      </c>
      <c r="AK56" s="3"/>
      <c r="AL56" s="3" t="s">
        <v>59</v>
      </c>
      <c r="AM56" s="3"/>
      <c r="AN56" s="3"/>
      <c r="AO56" s="3" t="s">
        <v>59</v>
      </c>
      <c r="AP56" s="3"/>
      <c r="AQ56" s="3"/>
      <c r="AR56" s="3"/>
    </row>
    <row r="57" customFormat="false" ht="15" hidden="false" customHeight="true" outlineLevel="0" collapsed="false">
      <c r="A57" s="3" t="s">
        <v>634</v>
      </c>
      <c r="B57" s="3" t="n">
        <v>1</v>
      </c>
      <c r="C57" s="3" t="n">
        <v>92</v>
      </c>
      <c r="D57" s="3"/>
      <c r="E57" s="4"/>
      <c r="F57" s="3" t="n">
        <v>21</v>
      </c>
      <c r="G57" s="3" t="str">
        <f aca="false">IF(F57="","",IF(F57&gt;=Notes!$B$5,"Elderly ("&amp;Notes!$B$5&amp;"+)",IF(F57&lt;=Notes!$B$4,"Student age (≤"&amp;Notes!$B$4&amp;")","Middle-aged ("&amp;(Notes!$B$4+1)&amp;"–"&amp;(Notes!$B$5-1)&amp;")")))</f>
        <v>Student age (≤29)</v>
      </c>
      <c r="H57" s="3" t="s">
        <v>83</v>
      </c>
      <c r="I57" s="3"/>
      <c r="J57" s="3" t="s">
        <v>47</v>
      </c>
      <c r="K57" s="3" t="s">
        <v>47</v>
      </c>
      <c r="L57" s="3" t="s">
        <v>49</v>
      </c>
      <c r="M57" s="3" t="s">
        <v>47</v>
      </c>
      <c r="N57" s="3" t="s">
        <v>50</v>
      </c>
      <c r="O57" s="3" t="s">
        <v>635</v>
      </c>
      <c r="P57" s="3" t="n">
        <v>25</v>
      </c>
      <c r="Q57" s="3" t="s">
        <v>117</v>
      </c>
      <c r="R57" s="3" t="s">
        <v>636</v>
      </c>
      <c r="S57" s="3" t="s">
        <v>637</v>
      </c>
      <c r="T57" s="3"/>
      <c r="U57" s="3" t="s">
        <v>638</v>
      </c>
      <c r="V57" s="3" t="s">
        <v>639</v>
      </c>
      <c r="W57" s="3" t="s">
        <v>640</v>
      </c>
      <c r="X57" s="3" t="s">
        <v>641</v>
      </c>
      <c r="Y57" s="3" t="n">
        <v>1</v>
      </c>
      <c r="Z57" s="3" t="n">
        <v>2</v>
      </c>
      <c r="AA57" s="3" t="n">
        <v>3</v>
      </c>
      <c r="AB57" s="3" t="n">
        <v>1</v>
      </c>
      <c r="AC57" s="3" t="n">
        <v>2</v>
      </c>
      <c r="AD57" s="3" t="n">
        <v>3</v>
      </c>
      <c r="AE57" s="3" t="s">
        <v>642</v>
      </c>
      <c r="AF57" s="3"/>
      <c r="AG57" s="3" t="s">
        <v>643</v>
      </c>
      <c r="AH57" s="3"/>
      <c r="AI57" s="3"/>
      <c r="AJ57" s="3" t="s">
        <v>59</v>
      </c>
      <c r="AK57" s="3"/>
      <c r="AL57" s="3" t="s">
        <v>59</v>
      </c>
      <c r="AM57" s="3"/>
      <c r="AN57" s="3"/>
      <c r="AO57" s="3" t="s">
        <v>59</v>
      </c>
      <c r="AP57" s="3"/>
      <c r="AQ57" s="3"/>
      <c r="AR57" s="3"/>
    </row>
    <row r="58" customFormat="false" ht="15" hidden="false" customHeight="true" outlineLevel="0" collapsed="false">
      <c r="A58" s="3" t="s">
        <v>644</v>
      </c>
      <c r="B58" s="3" t="n">
        <v>1</v>
      </c>
      <c r="C58" s="3" t="n">
        <v>93</v>
      </c>
      <c r="D58" s="3"/>
      <c r="E58" s="4"/>
      <c r="F58" s="3" t="n">
        <v>25</v>
      </c>
      <c r="G58" s="3" t="str">
        <f aca="false">IF(F58="","",IF(F58&gt;=Notes!$B$5,"Elderly ("&amp;Notes!$B$5&amp;"+)",IF(F58&lt;=Notes!$B$4,"Student age (≤"&amp;Notes!$B$4&amp;")","Middle-aged ("&amp;(Notes!$B$4+1)&amp;"–"&amp;(Notes!$B$5-1)&amp;")")))</f>
        <v>Student age (≤29)</v>
      </c>
      <c r="H58" s="3" t="s">
        <v>83</v>
      </c>
      <c r="I58" s="3"/>
      <c r="J58" s="3" t="s">
        <v>47</v>
      </c>
      <c r="K58" s="3" t="s">
        <v>47</v>
      </c>
      <c r="L58" s="3" t="s">
        <v>71</v>
      </c>
      <c r="M58" s="3" t="s">
        <v>47</v>
      </c>
      <c r="N58" s="3" t="s">
        <v>72</v>
      </c>
      <c r="O58" s="3" t="s">
        <v>645</v>
      </c>
      <c r="P58" s="3" t="n">
        <v>20</v>
      </c>
      <c r="Q58" s="3" t="s">
        <v>95</v>
      </c>
      <c r="R58" s="3" t="s">
        <v>646</v>
      </c>
      <c r="S58" s="3" t="s">
        <v>647</v>
      </c>
      <c r="T58" s="3"/>
      <c r="U58" s="3" t="s">
        <v>648</v>
      </c>
      <c r="V58" s="3" t="s">
        <v>649</v>
      </c>
      <c r="W58" s="3" t="s">
        <v>650</v>
      </c>
      <c r="X58" s="3" t="s">
        <v>651</v>
      </c>
      <c r="Y58" s="3" t="n">
        <v>1</v>
      </c>
      <c r="Z58" s="3" t="n">
        <v>2</v>
      </c>
      <c r="AA58" s="3" t="n">
        <v>3</v>
      </c>
      <c r="AB58" s="3" t="n">
        <v>1</v>
      </c>
      <c r="AC58" s="3" t="n">
        <v>2</v>
      </c>
      <c r="AD58" s="3" t="n">
        <v>3</v>
      </c>
      <c r="AE58" s="3" t="s">
        <v>652</v>
      </c>
      <c r="AF58" s="3"/>
      <c r="AG58" s="3" t="s">
        <v>653</v>
      </c>
      <c r="AH58" s="3"/>
      <c r="AI58" s="3"/>
      <c r="AJ58" s="3" t="s">
        <v>59</v>
      </c>
      <c r="AK58" s="3"/>
      <c r="AL58" s="3" t="s">
        <v>59</v>
      </c>
      <c r="AM58" s="3"/>
      <c r="AN58" s="3"/>
      <c r="AO58" s="3" t="s">
        <v>59</v>
      </c>
      <c r="AP58" s="3"/>
      <c r="AQ58" s="3"/>
      <c r="AR58" s="3"/>
    </row>
    <row r="59" customFormat="false" ht="15" hidden="false" customHeight="true" outlineLevel="0" collapsed="false">
      <c r="A59" s="3" t="s">
        <v>654</v>
      </c>
      <c r="B59" s="3" t="n">
        <v>1</v>
      </c>
      <c r="C59" s="3" t="n">
        <v>94</v>
      </c>
      <c r="D59" s="3"/>
      <c r="E59" s="4"/>
      <c r="F59" s="3" t="n">
        <v>22</v>
      </c>
      <c r="G59" s="3" t="str">
        <f aca="false">IF(F59="","",IF(F59&gt;=Notes!$B$5,"Elderly ("&amp;Notes!$B$5&amp;"+)",IF(F59&lt;=Notes!$B$4,"Student age (≤"&amp;Notes!$B$4&amp;")","Middle-aged ("&amp;(Notes!$B$4+1)&amp;"–"&amp;(Notes!$B$5-1)&amp;")")))</f>
        <v>Student age (≤29)</v>
      </c>
      <c r="H59" s="3" t="s">
        <v>83</v>
      </c>
      <c r="I59" s="3" t="s">
        <v>71</v>
      </c>
      <c r="J59" s="3" t="s">
        <v>47</v>
      </c>
      <c r="K59" s="3" t="s">
        <v>72</v>
      </c>
      <c r="L59" s="3" t="s">
        <v>49</v>
      </c>
      <c r="M59" s="3" t="s">
        <v>47</v>
      </c>
      <c r="N59" s="3" t="s">
        <v>50</v>
      </c>
      <c r="O59" s="3" t="s">
        <v>655</v>
      </c>
      <c r="P59" s="3" t="n">
        <v>30</v>
      </c>
      <c r="Q59" s="3" t="s">
        <v>117</v>
      </c>
      <c r="R59" s="3" t="s">
        <v>656</v>
      </c>
      <c r="S59" s="3" t="s">
        <v>657</v>
      </c>
      <c r="T59" s="3"/>
      <c r="U59" s="3" t="s">
        <v>658</v>
      </c>
      <c r="V59" s="3" t="s">
        <v>659</v>
      </c>
      <c r="W59" s="3" t="s">
        <v>660</v>
      </c>
      <c r="X59" s="3" t="s">
        <v>661</v>
      </c>
      <c r="Y59" s="3" t="n">
        <v>3</v>
      </c>
      <c r="Z59" s="3" t="n">
        <v>2</v>
      </c>
      <c r="AA59" s="3" t="n">
        <v>1</v>
      </c>
      <c r="AB59" s="3" t="n">
        <v>3</v>
      </c>
      <c r="AC59" s="3" t="n">
        <v>1</v>
      </c>
      <c r="AD59" s="3" t="n">
        <v>2</v>
      </c>
      <c r="AE59" s="3" t="s">
        <v>662</v>
      </c>
      <c r="AF59" s="3"/>
      <c r="AG59" s="3" t="s">
        <v>663</v>
      </c>
      <c r="AH59" s="3"/>
      <c r="AI59" s="3"/>
      <c r="AJ59" s="3" t="s">
        <v>59</v>
      </c>
      <c r="AK59" s="3"/>
      <c r="AL59" s="3" t="s">
        <v>59</v>
      </c>
      <c r="AM59" s="3"/>
      <c r="AN59" s="3"/>
      <c r="AO59" s="3" t="s">
        <v>59</v>
      </c>
      <c r="AP59" s="3"/>
      <c r="AQ59" s="3"/>
      <c r="AR59" s="3"/>
    </row>
    <row r="60" customFormat="false" ht="15" hidden="false" customHeight="true" outlineLevel="0" collapsed="false">
      <c r="A60" s="3" t="s">
        <v>664</v>
      </c>
      <c r="B60" s="3" t="n">
        <v>1</v>
      </c>
      <c r="C60" s="3" t="n">
        <v>95</v>
      </c>
      <c r="D60" s="3"/>
      <c r="E60" s="4"/>
      <c r="F60" s="3" t="n">
        <v>21</v>
      </c>
      <c r="G60" s="3" t="str">
        <f aca="false">IF(F60="","",IF(F60&gt;=Notes!$B$5,"Elderly ("&amp;Notes!$B$5&amp;"+)",IF(F60&lt;=Notes!$B$4,"Student age (≤"&amp;Notes!$B$4&amp;")","Middle-aged ("&amp;(Notes!$B$4+1)&amp;"–"&amp;(Notes!$B$5-1)&amp;")")))</f>
        <v>Student age (≤29)</v>
      </c>
      <c r="H60" s="3" t="s">
        <v>83</v>
      </c>
      <c r="I60" s="3" t="s">
        <v>321</v>
      </c>
      <c r="J60" s="3" t="s">
        <v>47</v>
      </c>
      <c r="K60" s="3" t="s">
        <v>322</v>
      </c>
      <c r="L60" s="3" t="s">
        <v>49</v>
      </c>
      <c r="M60" s="3" t="s">
        <v>47</v>
      </c>
      <c r="N60" s="3" t="s">
        <v>50</v>
      </c>
      <c r="O60" s="3" t="s">
        <v>665</v>
      </c>
      <c r="P60" s="3" t="n">
        <v>25</v>
      </c>
      <c r="Q60" s="3" t="s">
        <v>117</v>
      </c>
      <c r="R60" s="3" t="s">
        <v>666</v>
      </c>
      <c r="S60" s="3" t="s">
        <v>667</v>
      </c>
      <c r="T60" s="3"/>
      <c r="U60" s="3" t="s">
        <v>668</v>
      </c>
      <c r="V60" s="3" t="s">
        <v>669</v>
      </c>
      <c r="W60" s="3" t="s">
        <v>670</v>
      </c>
      <c r="X60" s="3" t="s">
        <v>671</v>
      </c>
      <c r="Y60" s="3" t="n">
        <v>3</v>
      </c>
      <c r="Z60" s="3" t="n">
        <v>2</v>
      </c>
      <c r="AA60" s="3" t="n">
        <v>1</v>
      </c>
      <c r="AB60" s="3" t="n">
        <v>3</v>
      </c>
      <c r="AC60" s="3" t="n">
        <v>1</v>
      </c>
      <c r="AD60" s="3" t="n">
        <v>2</v>
      </c>
      <c r="AE60" s="3" t="s">
        <v>672</v>
      </c>
      <c r="AF60" s="3"/>
      <c r="AG60" s="3" t="s">
        <v>673</v>
      </c>
      <c r="AH60" s="3"/>
      <c r="AI60" s="3"/>
      <c r="AJ60" s="3" t="s">
        <v>59</v>
      </c>
      <c r="AK60" s="3"/>
      <c r="AL60" s="3" t="s">
        <v>59</v>
      </c>
      <c r="AM60" s="3"/>
      <c r="AN60" s="3"/>
      <c r="AO60" s="3" t="s">
        <v>59</v>
      </c>
      <c r="AP60" s="3"/>
      <c r="AQ60" s="3"/>
      <c r="AR60" s="3"/>
    </row>
    <row r="61" customFormat="false" ht="15" hidden="false" customHeight="true" outlineLevel="0" collapsed="false">
      <c r="A61" s="3" t="s">
        <v>674</v>
      </c>
      <c r="B61" s="3" t="n">
        <v>1</v>
      </c>
      <c r="C61" s="3" t="n">
        <v>96</v>
      </c>
      <c r="D61" s="3"/>
      <c r="E61" s="4"/>
      <c r="F61" s="3" t="n">
        <v>30</v>
      </c>
      <c r="G61" s="3" t="str">
        <f aca="false">IF(F61="","",IF(F61&gt;=Notes!$B$5,"Elderly ("&amp;Notes!$B$5&amp;"+)",IF(F61&lt;=Notes!$B$4,"Student age (≤"&amp;Notes!$B$4&amp;")","Middle-aged ("&amp;(Notes!$B$4+1)&amp;"–"&amp;(Notes!$B$5-1)&amp;")")))</f>
        <v>Middle-aged (30–64)</v>
      </c>
      <c r="H61" s="3" t="s">
        <v>83</v>
      </c>
      <c r="I61" s="3" t="s">
        <v>71</v>
      </c>
      <c r="J61" s="3" t="s">
        <v>47</v>
      </c>
      <c r="K61" s="3" t="s">
        <v>72</v>
      </c>
      <c r="L61" s="3" t="s">
        <v>92</v>
      </c>
      <c r="M61" s="3" t="s">
        <v>47</v>
      </c>
      <c r="N61" s="3" t="s">
        <v>93</v>
      </c>
      <c r="O61" s="3" t="s">
        <v>675</v>
      </c>
      <c r="P61" s="3" t="n">
        <v>20</v>
      </c>
      <c r="Q61" s="3" t="s">
        <v>95</v>
      </c>
      <c r="R61" s="3" t="s">
        <v>676</v>
      </c>
      <c r="S61" s="3" t="s">
        <v>677</v>
      </c>
      <c r="T61" s="3"/>
      <c r="U61" s="3" t="s">
        <v>678</v>
      </c>
      <c r="V61" s="3" t="s">
        <v>679</v>
      </c>
      <c r="W61" s="3" t="s">
        <v>680</v>
      </c>
      <c r="X61" s="3" t="s">
        <v>681</v>
      </c>
      <c r="Y61" s="3" t="n">
        <v>3</v>
      </c>
      <c r="Z61" s="3" t="n">
        <v>1</v>
      </c>
      <c r="AA61" s="3" t="n">
        <v>2</v>
      </c>
      <c r="AB61" s="3" t="n">
        <v>3</v>
      </c>
      <c r="AC61" s="3" t="n">
        <v>1</v>
      </c>
      <c r="AD61" s="3" t="n">
        <v>2</v>
      </c>
      <c r="AE61" s="3" t="s">
        <v>682</v>
      </c>
      <c r="AF61" s="3"/>
      <c r="AG61" s="3" t="s">
        <v>683</v>
      </c>
      <c r="AH61" s="3"/>
      <c r="AI61" s="3"/>
      <c r="AJ61" s="3" t="s">
        <v>59</v>
      </c>
      <c r="AK61" s="3"/>
      <c r="AL61" s="3" t="s">
        <v>59</v>
      </c>
      <c r="AM61" s="3"/>
      <c r="AN61" s="3"/>
      <c r="AO61" s="3" t="s">
        <v>59</v>
      </c>
      <c r="AP61" s="3"/>
      <c r="AQ61" s="3"/>
      <c r="AR61" s="3"/>
    </row>
    <row r="62" customFormat="false" ht="15" hidden="false" customHeight="true" outlineLevel="0" collapsed="false">
      <c r="A62" s="3" t="s">
        <v>684</v>
      </c>
      <c r="B62" s="3" t="n">
        <v>1</v>
      </c>
      <c r="C62" s="3" t="n">
        <v>97</v>
      </c>
      <c r="D62" s="3"/>
      <c r="E62" s="4"/>
      <c r="F62" s="3" t="n">
        <v>22</v>
      </c>
      <c r="G62" s="3" t="str">
        <f aca="false">IF(F62="","",IF(F62&gt;=Notes!$B$5,"Elderly ("&amp;Notes!$B$5&amp;"+)",IF(F62&lt;=Notes!$B$4,"Student age (≤"&amp;Notes!$B$4&amp;")","Middle-aged ("&amp;(Notes!$B$4+1)&amp;"–"&amp;(Notes!$B$5-1)&amp;")")))</f>
        <v>Student age (≤29)</v>
      </c>
      <c r="H62" s="3" t="s">
        <v>83</v>
      </c>
      <c r="I62" s="3" t="s">
        <v>321</v>
      </c>
      <c r="J62" s="3" t="s">
        <v>47</v>
      </c>
      <c r="K62" s="3" t="s">
        <v>322</v>
      </c>
      <c r="L62" s="3" t="s">
        <v>321</v>
      </c>
      <c r="M62" s="3" t="s">
        <v>47</v>
      </c>
      <c r="N62" s="3" t="s">
        <v>322</v>
      </c>
      <c r="O62" s="3" t="s">
        <v>685</v>
      </c>
      <c r="P62" s="3" t="n">
        <v>24</v>
      </c>
      <c r="Q62" s="3" t="s">
        <v>117</v>
      </c>
      <c r="R62" s="3" t="s">
        <v>686</v>
      </c>
      <c r="S62" s="3" t="s">
        <v>687</v>
      </c>
      <c r="T62" s="3"/>
      <c r="U62" s="3" t="s">
        <v>688</v>
      </c>
      <c r="V62" s="3" t="s">
        <v>689</v>
      </c>
      <c r="W62" s="3" t="s">
        <v>690</v>
      </c>
      <c r="X62" s="3" t="s">
        <v>691</v>
      </c>
      <c r="Y62" s="3" t="n">
        <v>3</v>
      </c>
      <c r="Z62" s="3" t="n">
        <v>1</v>
      </c>
      <c r="AA62" s="3" t="n">
        <v>2</v>
      </c>
      <c r="AB62" s="3" t="n">
        <v>2</v>
      </c>
      <c r="AC62" s="3" t="n">
        <v>1</v>
      </c>
      <c r="AD62" s="3" t="n">
        <v>3</v>
      </c>
      <c r="AE62" s="3" t="s">
        <v>692</v>
      </c>
      <c r="AF62" s="3"/>
      <c r="AG62" s="3" t="s">
        <v>693</v>
      </c>
      <c r="AH62" s="3"/>
      <c r="AI62" s="3"/>
      <c r="AJ62" s="3" t="s">
        <v>59</v>
      </c>
      <c r="AK62" s="3"/>
      <c r="AL62" s="3" t="s">
        <v>59</v>
      </c>
      <c r="AM62" s="3"/>
      <c r="AN62" s="3"/>
      <c r="AO62" s="3" t="s">
        <v>59</v>
      </c>
      <c r="AP62" s="3"/>
      <c r="AQ62" s="3"/>
      <c r="AR62" s="3"/>
    </row>
    <row r="63" customFormat="false" ht="15" hidden="false" customHeight="true" outlineLevel="0" collapsed="false">
      <c r="A63" s="3" t="s">
        <v>694</v>
      </c>
      <c r="B63" s="3" t="n">
        <v>1</v>
      </c>
      <c r="C63" s="3" t="n">
        <v>98</v>
      </c>
      <c r="D63" s="3"/>
      <c r="E63" s="4"/>
      <c r="F63" s="3" t="n">
        <v>23</v>
      </c>
      <c r="G63" s="3" t="str">
        <f aca="false">IF(F63="","",IF(F63&gt;=Notes!$B$5,"Elderly ("&amp;Notes!$B$5&amp;"+)",IF(F63&lt;=Notes!$B$4,"Student age (≤"&amp;Notes!$B$4&amp;")","Middle-aged ("&amp;(Notes!$B$4+1)&amp;"–"&amp;(Notes!$B$5-1)&amp;")")))</f>
        <v>Student age (≤29)</v>
      </c>
      <c r="H63" s="3" t="s">
        <v>83</v>
      </c>
      <c r="I63" s="3" t="s">
        <v>321</v>
      </c>
      <c r="J63" s="3" t="s">
        <v>47</v>
      </c>
      <c r="K63" s="3" t="s">
        <v>322</v>
      </c>
      <c r="L63" s="3" t="s">
        <v>321</v>
      </c>
      <c r="M63" s="3" t="s">
        <v>47</v>
      </c>
      <c r="N63" s="3" t="s">
        <v>322</v>
      </c>
      <c r="O63" s="3" t="s">
        <v>695</v>
      </c>
      <c r="P63" s="3" t="n">
        <v>15</v>
      </c>
      <c r="Q63" s="3" t="s">
        <v>74</v>
      </c>
      <c r="R63" s="3" t="s">
        <v>696</v>
      </c>
      <c r="S63" s="3" t="s">
        <v>697</v>
      </c>
      <c r="T63" s="3"/>
      <c r="U63" s="3" t="s">
        <v>698</v>
      </c>
      <c r="V63" s="3" t="s">
        <v>699</v>
      </c>
      <c r="W63" s="3" t="s">
        <v>700</v>
      </c>
      <c r="X63" s="3" t="s">
        <v>701</v>
      </c>
      <c r="Y63" s="3" t="n">
        <v>3</v>
      </c>
      <c r="Z63" s="3" t="n">
        <v>1</v>
      </c>
      <c r="AA63" s="3" t="n">
        <v>2</v>
      </c>
      <c r="AB63" s="3" t="n">
        <v>3</v>
      </c>
      <c r="AC63" s="3" t="n">
        <v>1</v>
      </c>
      <c r="AD63" s="3" t="n">
        <v>2</v>
      </c>
      <c r="AE63" s="3" t="s">
        <v>702</v>
      </c>
      <c r="AF63" s="3"/>
      <c r="AG63" s="3" t="s">
        <v>703</v>
      </c>
      <c r="AH63" s="3"/>
      <c r="AI63" s="3"/>
      <c r="AJ63" s="3" t="s">
        <v>59</v>
      </c>
      <c r="AK63" s="3"/>
      <c r="AL63" s="3" t="s">
        <v>59</v>
      </c>
      <c r="AM63" s="3"/>
      <c r="AN63" s="3"/>
      <c r="AO63" s="3" t="s">
        <v>59</v>
      </c>
      <c r="AP63" s="3"/>
      <c r="AQ63" s="3"/>
      <c r="AR63" s="3"/>
    </row>
    <row r="64" customFormat="false" ht="15" hidden="false" customHeight="true" outlineLevel="0" collapsed="false">
      <c r="A64" s="3" t="s">
        <v>704</v>
      </c>
      <c r="B64" s="3" t="n">
        <v>1</v>
      </c>
      <c r="C64" s="3" t="n">
        <v>99</v>
      </c>
      <c r="D64" s="3"/>
      <c r="E64" s="4"/>
      <c r="F64" s="3" t="n">
        <v>20</v>
      </c>
      <c r="G64" s="3" t="str">
        <f aca="false">IF(F64="","",IF(F64&gt;=Notes!$B$5,"Elderly ("&amp;Notes!$B$5&amp;"+)",IF(F64&lt;=Notes!$B$4,"Student age (≤"&amp;Notes!$B$4&amp;")","Middle-aged ("&amp;(Notes!$B$4+1)&amp;"–"&amp;(Notes!$B$5-1)&amp;")")))</f>
        <v>Student age (≤29)</v>
      </c>
      <c r="H64" s="3" t="s">
        <v>45</v>
      </c>
      <c r="I64" s="3"/>
      <c r="J64" s="3" t="s">
        <v>705</v>
      </c>
      <c r="K64" s="3" t="s">
        <v>705</v>
      </c>
      <c r="L64" s="3" t="s">
        <v>159</v>
      </c>
      <c r="M64" s="3" t="s">
        <v>47</v>
      </c>
      <c r="N64" s="3" t="s">
        <v>160</v>
      </c>
      <c r="O64" s="3" t="s">
        <v>706</v>
      </c>
      <c r="P64" s="3" t="n">
        <v>70</v>
      </c>
      <c r="Q64" s="3" t="s">
        <v>52</v>
      </c>
      <c r="R64" s="3" t="s">
        <v>707</v>
      </c>
      <c r="S64" s="3" t="s">
        <v>708</v>
      </c>
      <c r="T64" s="3"/>
      <c r="U64" s="3" t="s">
        <v>709</v>
      </c>
      <c r="V64" s="3" t="s">
        <v>710</v>
      </c>
      <c r="W64" s="3" t="s">
        <v>711</v>
      </c>
      <c r="X64" s="3" t="s">
        <v>712</v>
      </c>
      <c r="Y64" s="3" t="n">
        <v>1</v>
      </c>
      <c r="Z64" s="3" t="n">
        <v>2</v>
      </c>
      <c r="AA64" s="3" t="n">
        <v>3</v>
      </c>
      <c r="AB64" s="3" t="n">
        <v>2</v>
      </c>
      <c r="AC64" s="3" t="n">
        <v>1</v>
      </c>
      <c r="AD64" s="3" t="n">
        <v>3</v>
      </c>
      <c r="AE64" s="3" t="s">
        <v>713</v>
      </c>
      <c r="AF64" s="3"/>
      <c r="AG64" s="3" t="s">
        <v>714</v>
      </c>
      <c r="AH64" s="3"/>
      <c r="AI64" s="3"/>
      <c r="AJ64" s="3" t="s">
        <v>59</v>
      </c>
      <c r="AK64" s="3"/>
      <c r="AL64" s="3" t="s">
        <v>59</v>
      </c>
      <c r="AM64" s="3"/>
      <c r="AN64" s="3"/>
      <c r="AO64" s="3" t="s">
        <v>59</v>
      </c>
      <c r="AP64" s="3"/>
      <c r="AQ64" s="3"/>
      <c r="AR64" s="3"/>
    </row>
    <row r="65" customFormat="false" ht="15" hidden="false" customHeight="true" outlineLevel="0" collapsed="false">
      <c r="A65" s="3" t="s">
        <v>715</v>
      </c>
      <c r="B65" s="3" t="n">
        <v>1</v>
      </c>
      <c r="C65" s="3" t="n">
        <v>100</v>
      </c>
      <c r="D65" s="3"/>
      <c r="E65" s="4"/>
      <c r="F65" s="3" t="n">
        <v>22</v>
      </c>
      <c r="G65" s="3" t="str">
        <f aca="false">IF(F65="","",IF(F65&gt;=Notes!$B$5,"Elderly ("&amp;Notes!$B$5&amp;"+)",IF(F65&lt;=Notes!$B$4,"Student age (≤"&amp;Notes!$B$4&amp;")","Middle-aged ("&amp;(Notes!$B$4+1)&amp;"–"&amp;(Notes!$B$5-1)&amp;")")))</f>
        <v>Student age (≤29)</v>
      </c>
      <c r="H65" s="3" t="s">
        <v>83</v>
      </c>
      <c r="I65" s="3" t="s">
        <v>71</v>
      </c>
      <c r="J65" s="3" t="s">
        <v>47</v>
      </c>
      <c r="K65" s="3" t="s">
        <v>72</v>
      </c>
      <c r="L65" s="3" t="s">
        <v>49</v>
      </c>
      <c r="M65" s="3" t="s">
        <v>47</v>
      </c>
      <c r="N65" s="3" t="s">
        <v>50</v>
      </c>
      <c r="O65" s="3" t="s">
        <v>716</v>
      </c>
      <c r="P65" s="3" t="n">
        <v>35</v>
      </c>
      <c r="Q65" s="3" t="s">
        <v>52</v>
      </c>
      <c r="R65" s="3" t="s">
        <v>717</v>
      </c>
      <c r="S65" s="3" t="s">
        <v>718</v>
      </c>
      <c r="T65" s="3"/>
      <c r="U65" s="3" t="s">
        <v>719</v>
      </c>
      <c r="V65" s="3" t="s">
        <v>720</v>
      </c>
      <c r="W65" s="3" t="s">
        <v>721</v>
      </c>
      <c r="X65" s="3" t="s">
        <v>722</v>
      </c>
      <c r="Y65" s="3" t="n">
        <v>1</v>
      </c>
      <c r="Z65" s="3" t="n">
        <v>2</v>
      </c>
      <c r="AA65" s="3" t="n">
        <v>3</v>
      </c>
      <c r="AB65" s="3" t="n">
        <v>1</v>
      </c>
      <c r="AC65" s="3" t="n">
        <v>2</v>
      </c>
      <c r="AD65" s="3" t="n">
        <v>3</v>
      </c>
      <c r="AE65" s="3" t="s">
        <v>723</v>
      </c>
      <c r="AF65" s="3"/>
      <c r="AG65" s="3" t="s">
        <v>724</v>
      </c>
      <c r="AH65" s="3"/>
      <c r="AI65" s="3"/>
      <c r="AJ65" s="3" t="s">
        <v>59</v>
      </c>
      <c r="AK65" s="3"/>
      <c r="AL65" s="3" t="s">
        <v>59</v>
      </c>
      <c r="AM65" s="3"/>
      <c r="AN65" s="3"/>
      <c r="AO65" s="3" t="s">
        <v>59</v>
      </c>
      <c r="AP65" s="3"/>
      <c r="AQ65" s="3"/>
      <c r="AR65" s="3"/>
    </row>
    <row r="66" customFormat="false" ht="15" hidden="false" customHeight="true" outlineLevel="0" collapsed="false">
      <c r="A66" s="3" t="s">
        <v>725</v>
      </c>
      <c r="B66" s="3" t="n">
        <v>1</v>
      </c>
      <c r="C66" s="3" t="n">
        <v>102</v>
      </c>
      <c r="D66" s="3"/>
      <c r="E66" s="4"/>
      <c r="F66" s="3" t="n">
        <v>27</v>
      </c>
      <c r="G66" s="3" t="str">
        <f aca="false">IF(F66="","",IF(F66&gt;=Notes!$B$5,"Elderly ("&amp;Notes!$B$5&amp;"+)",IF(F66&lt;=Notes!$B$4,"Student age (≤"&amp;Notes!$B$4&amp;")","Middle-aged ("&amp;(Notes!$B$4+1)&amp;"–"&amp;(Notes!$B$5-1)&amp;")")))</f>
        <v>Student age (≤29)</v>
      </c>
      <c r="H66" s="3" t="s">
        <v>83</v>
      </c>
      <c r="I66" s="3" t="s">
        <v>321</v>
      </c>
      <c r="J66" s="3" t="s">
        <v>47</v>
      </c>
      <c r="K66" s="3" t="s">
        <v>322</v>
      </c>
      <c r="L66" s="3" t="s">
        <v>321</v>
      </c>
      <c r="M66" s="3" t="s">
        <v>47</v>
      </c>
      <c r="N66" s="3" t="s">
        <v>322</v>
      </c>
      <c r="O66" s="3" t="s">
        <v>726</v>
      </c>
      <c r="P66" s="3" t="n">
        <v>18</v>
      </c>
      <c r="Q66" s="3" t="s">
        <v>95</v>
      </c>
      <c r="R66" s="3" t="s">
        <v>727</v>
      </c>
      <c r="S66" s="3" t="s">
        <v>728</v>
      </c>
      <c r="T66" s="3"/>
      <c r="U66" s="3" t="s">
        <v>729</v>
      </c>
      <c r="V66" s="3" t="s">
        <v>730</v>
      </c>
      <c r="W66" s="3" t="s">
        <v>731</v>
      </c>
      <c r="X66" s="3" t="s">
        <v>732</v>
      </c>
      <c r="Y66" s="3" t="n">
        <v>3</v>
      </c>
      <c r="Z66" s="3" t="n">
        <v>2</v>
      </c>
      <c r="AA66" s="3" t="n">
        <v>1</v>
      </c>
      <c r="AB66" s="3" t="n">
        <v>3</v>
      </c>
      <c r="AC66" s="3" t="n">
        <v>1</v>
      </c>
      <c r="AD66" s="3" t="n">
        <v>2</v>
      </c>
      <c r="AE66" s="3" t="s">
        <v>733</v>
      </c>
      <c r="AF66" s="3"/>
      <c r="AG66" s="3" t="s">
        <v>734</v>
      </c>
      <c r="AH66" s="3"/>
      <c r="AI66" s="3"/>
      <c r="AJ66" s="3" t="s">
        <v>59</v>
      </c>
      <c r="AK66" s="3"/>
      <c r="AL66" s="3" t="s">
        <v>59</v>
      </c>
      <c r="AM66" s="3"/>
      <c r="AN66" s="3"/>
      <c r="AO66" s="3" t="s">
        <v>59</v>
      </c>
      <c r="AP66" s="3"/>
      <c r="AQ66" s="3"/>
      <c r="AR66" s="3"/>
    </row>
    <row r="67" customFormat="false" ht="15" hidden="false" customHeight="true" outlineLevel="0" collapsed="false">
      <c r="A67" s="3" t="s">
        <v>735</v>
      </c>
      <c r="B67" s="3" t="n">
        <v>1</v>
      </c>
      <c r="C67" s="3" t="n">
        <v>103</v>
      </c>
      <c r="D67" s="3"/>
      <c r="E67" s="4"/>
      <c r="F67" s="3" t="n">
        <v>24</v>
      </c>
      <c r="G67" s="3" t="str">
        <f aca="false">IF(F67="","",IF(F67&gt;=Notes!$B$5,"Elderly ("&amp;Notes!$B$5&amp;"+)",IF(F67&lt;=Notes!$B$4,"Student age (≤"&amp;Notes!$B$4&amp;")","Middle-aged ("&amp;(Notes!$B$4+1)&amp;"–"&amp;(Notes!$B$5-1)&amp;")")))</f>
        <v>Student age (≤29)</v>
      </c>
      <c r="H67" s="3" t="s">
        <v>83</v>
      </c>
      <c r="I67" s="3" t="s">
        <v>321</v>
      </c>
      <c r="J67" s="3" t="s">
        <v>47</v>
      </c>
      <c r="K67" s="3" t="s">
        <v>322</v>
      </c>
      <c r="L67" s="3" t="s">
        <v>321</v>
      </c>
      <c r="M67" s="3" t="s">
        <v>47</v>
      </c>
      <c r="N67" s="3" t="s">
        <v>322</v>
      </c>
      <c r="O67" s="3" t="s">
        <v>736</v>
      </c>
      <c r="P67" s="3" t="n">
        <v>23</v>
      </c>
      <c r="Q67" s="3" t="s">
        <v>117</v>
      </c>
      <c r="R67" s="3" t="s">
        <v>737</v>
      </c>
      <c r="S67" s="3" t="s">
        <v>738</v>
      </c>
      <c r="T67" s="3"/>
      <c r="U67" s="3" t="s">
        <v>739</v>
      </c>
      <c r="V67" s="3" t="s">
        <v>740</v>
      </c>
      <c r="W67" s="3" t="s">
        <v>741</v>
      </c>
      <c r="X67" s="3" t="s">
        <v>742</v>
      </c>
      <c r="Y67" s="3" t="n">
        <v>3</v>
      </c>
      <c r="Z67" s="3" t="n">
        <v>2</v>
      </c>
      <c r="AA67" s="3" t="n">
        <v>1</v>
      </c>
      <c r="AB67" s="3" t="n">
        <v>3</v>
      </c>
      <c r="AC67" s="3" t="n">
        <v>1</v>
      </c>
      <c r="AD67" s="3" t="n">
        <v>2</v>
      </c>
      <c r="AE67" s="3" t="s">
        <v>743</v>
      </c>
      <c r="AF67" s="3"/>
      <c r="AG67" s="3" t="s">
        <v>744</v>
      </c>
      <c r="AH67" s="3"/>
      <c r="AI67" s="3"/>
      <c r="AJ67" s="3" t="s">
        <v>59</v>
      </c>
      <c r="AK67" s="3"/>
      <c r="AL67" s="3" t="s">
        <v>59</v>
      </c>
      <c r="AM67" s="3"/>
      <c r="AN67" s="3"/>
      <c r="AO67" s="3" t="s">
        <v>59</v>
      </c>
      <c r="AP67" s="3"/>
      <c r="AQ67" s="3"/>
      <c r="AR67" s="3"/>
    </row>
    <row r="68" customFormat="false" ht="15" hidden="false" customHeight="true" outlineLevel="0" collapsed="false">
      <c r="A68" s="3" t="s">
        <v>745</v>
      </c>
      <c r="B68" s="3" t="n">
        <v>1</v>
      </c>
      <c r="C68" s="3" t="n">
        <v>104</v>
      </c>
      <c r="D68" s="3"/>
      <c r="E68" s="4"/>
      <c r="F68" s="3" t="n">
        <v>22</v>
      </c>
      <c r="G68" s="3" t="str">
        <f aca="false">IF(F68="","",IF(F68&gt;=Notes!$B$5,"Elderly ("&amp;Notes!$B$5&amp;"+)",IF(F68&lt;=Notes!$B$4,"Student age (≤"&amp;Notes!$B$4&amp;")","Middle-aged ("&amp;(Notes!$B$4+1)&amp;"–"&amp;(Notes!$B$5-1)&amp;")")))</f>
        <v>Student age (≤29)</v>
      </c>
      <c r="H68" s="3" t="s">
        <v>83</v>
      </c>
      <c r="I68" s="3" t="s">
        <v>71</v>
      </c>
      <c r="J68" s="3" t="s">
        <v>47</v>
      </c>
      <c r="K68" s="3" t="s">
        <v>72</v>
      </c>
      <c r="L68" s="3" t="s">
        <v>71</v>
      </c>
      <c r="M68" s="3" t="s">
        <v>47</v>
      </c>
      <c r="N68" s="3" t="s">
        <v>72</v>
      </c>
      <c r="O68" s="3" t="s">
        <v>746</v>
      </c>
      <c r="P68" s="3" t="n">
        <v>22</v>
      </c>
      <c r="Q68" s="3" t="s">
        <v>117</v>
      </c>
      <c r="R68" s="3" t="s">
        <v>747</v>
      </c>
      <c r="S68" s="3" t="s">
        <v>748</v>
      </c>
      <c r="T68" s="3"/>
      <c r="U68" s="3" t="s">
        <v>749</v>
      </c>
      <c r="V68" s="3" t="s">
        <v>750</v>
      </c>
      <c r="W68" s="3" t="s">
        <v>751</v>
      </c>
      <c r="X68" s="3" t="s">
        <v>752</v>
      </c>
      <c r="Y68" s="3" t="n">
        <v>3</v>
      </c>
      <c r="Z68" s="3" t="n">
        <v>1</v>
      </c>
      <c r="AA68" s="3" t="n">
        <v>2</v>
      </c>
      <c r="AB68" s="3" t="n">
        <v>3</v>
      </c>
      <c r="AC68" s="3" t="n">
        <v>1</v>
      </c>
      <c r="AD68" s="3" t="n">
        <v>2</v>
      </c>
      <c r="AE68" s="3" t="s">
        <v>753</v>
      </c>
      <c r="AF68" s="3"/>
      <c r="AG68" s="3" t="s">
        <v>754</v>
      </c>
      <c r="AH68" s="3"/>
      <c r="AI68" s="3"/>
      <c r="AJ68" s="3" t="s">
        <v>59</v>
      </c>
      <c r="AK68" s="3"/>
      <c r="AL68" s="3" t="s">
        <v>59</v>
      </c>
      <c r="AM68" s="3"/>
      <c r="AN68" s="3"/>
      <c r="AO68" s="3" t="s">
        <v>59</v>
      </c>
      <c r="AP68" s="3"/>
      <c r="AQ68" s="3"/>
      <c r="AR68" s="3"/>
    </row>
    <row r="69" customFormat="false" ht="15" hidden="false" customHeight="true" outlineLevel="0" collapsed="false">
      <c r="A69" s="3" t="s">
        <v>755</v>
      </c>
      <c r="B69" s="3" t="n">
        <v>1</v>
      </c>
      <c r="C69" s="3" t="n">
        <v>105</v>
      </c>
      <c r="D69" s="3"/>
      <c r="E69" s="4"/>
      <c r="F69" s="3" t="n">
        <v>23</v>
      </c>
      <c r="G69" s="3" t="str">
        <f aca="false">IF(F69="","",IF(F69&gt;=Notes!$B$5,"Elderly ("&amp;Notes!$B$5&amp;"+)",IF(F69&lt;=Notes!$B$4,"Student age (≤"&amp;Notes!$B$4&amp;")","Middle-aged ("&amp;(Notes!$B$4+1)&amp;"–"&amp;(Notes!$B$5-1)&amp;")")))</f>
        <v>Student age (≤29)</v>
      </c>
      <c r="H69" s="3" t="s">
        <v>45</v>
      </c>
      <c r="I69" s="3" t="s">
        <v>71</v>
      </c>
      <c r="J69" s="3" t="s">
        <v>47</v>
      </c>
      <c r="K69" s="3" t="s">
        <v>72</v>
      </c>
      <c r="L69" s="3" t="s">
        <v>49</v>
      </c>
      <c r="M69" s="3" t="s">
        <v>47</v>
      </c>
      <c r="N69" s="3" t="s">
        <v>50</v>
      </c>
      <c r="O69" s="3" t="s">
        <v>756</v>
      </c>
      <c r="P69" s="3" t="n">
        <v>15</v>
      </c>
      <c r="Q69" s="3" t="s">
        <v>74</v>
      </c>
      <c r="R69" s="3" t="s">
        <v>757</v>
      </c>
      <c r="S69" s="3" t="s">
        <v>758</v>
      </c>
      <c r="T69" s="3"/>
      <c r="U69" s="3" t="s">
        <v>759</v>
      </c>
      <c r="V69" s="3" t="s">
        <v>760</v>
      </c>
      <c r="W69" s="3" t="s">
        <v>761</v>
      </c>
      <c r="X69" s="3" t="s">
        <v>762</v>
      </c>
      <c r="Y69" s="3" t="n">
        <v>2</v>
      </c>
      <c r="Z69" s="3" t="n">
        <v>1</v>
      </c>
      <c r="AA69" s="3" t="n">
        <v>3</v>
      </c>
      <c r="AB69" s="3" t="n">
        <v>3</v>
      </c>
      <c r="AC69" s="3" t="n">
        <v>1</v>
      </c>
      <c r="AD69" s="3" t="n">
        <v>2</v>
      </c>
      <c r="AE69" s="3" t="s">
        <v>763</v>
      </c>
      <c r="AF69" s="3"/>
      <c r="AG69" s="3" t="s">
        <v>764</v>
      </c>
      <c r="AH69" s="3"/>
      <c r="AI69" s="3"/>
      <c r="AJ69" s="3" t="s">
        <v>59</v>
      </c>
      <c r="AK69" s="3"/>
      <c r="AL69" s="3" t="s">
        <v>59</v>
      </c>
      <c r="AM69" s="3"/>
      <c r="AN69" s="3"/>
      <c r="AO69" s="3" t="s">
        <v>59</v>
      </c>
      <c r="AP69" s="3"/>
      <c r="AQ69" s="3"/>
      <c r="AR69" s="3"/>
    </row>
    <row r="70" customFormat="false" ht="15" hidden="false" customHeight="true" outlineLevel="0" collapsed="false">
      <c r="A70" s="3" t="s">
        <v>765</v>
      </c>
      <c r="B70" s="3" t="n">
        <v>1</v>
      </c>
      <c r="C70" s="3" t="n">
        <v>106</v>
      </c>
      <c r="D70" s="3"/>
      <c r="E70" s="4"/>
      <c r="F70" s="3" t="n">
        <v>48</v>
      </c>
      <c r="G70" s="3" t="str">
        <f aca="false">IF(F70="","",IF(F70&gt;=Notes!$B$5,"Elderly ("&amp;Notes!$B$5&amp;"+)",IF(F70&lt;=Notes!$B$4,"Student age (≤"&amp;Notes!$B$4&amp;")","Middle-aged ("&amp;(Notes!$B$4+1)&amp;"–"&amp;(Notes!$B$5-1)&amp;")")))</f>
        <v>Middle-aged (30–64)</v>
      </c>
      <c r="H70" s="3" t="s">
        <v>83</v>
      </c>
      <c r="I70" s="3" t="s">
        <v>321</v>
      </c>
      <c r="J70" s="3" t="s">
        <v>47</v>
      </c>
      <c r="K70" s="3" t="s">
        <v>322</v>
      </c>
      <c r="L70" s="3" t="s">
        <v>321</v>
      </c>
      <c r="M70" s="3" t="s">
        <v>47</v>
      </c>
      <c r="N70" s="3" t="s">
        <v>322</v>
      </c>
      <c r="O70" s="3" t="s">
        <v>766</v>
      </c>
      <c r="P70" s="3" t="n">
        <v>20</v>
      </c>
      <c r="Q70" s="3" t="s">
        <v>95</v>
      </c>
      <c r="R70" s="3" t="s">
        <v>767</v>
      </c>
      <c r="S70" s="3" t="s">
        <v>768</v>
      </c>
      <c r="T70" s="3"/>
      <c r="U70" s="3" t="s">
        <v>769</v>
      </c>
      <c r="V70" s="3" t="s">
        <v>770</v>
      </c>
      <c r="W70" s="3" t="s">
        <v>771</v>
      </c>
      <c r="X70" s="3" t="s">
        <v>772</v>
      </c>
      <c r="Y70" s="3" t="n">
        <v>3</v>
      </c>
      <c r="Z70" s="3" t="n">
        <v>1</v>
      </c>
      <c r="AA70" s="3" t="n">
        <v>2</v>
      </c>
      <c r="AB70" s="3" t="n">
        <v>3</v>
      </c>
      <c r="AC70" s="3" t="n">
        <v>1</v>
      </c>
      <c r="AD70" s="3" t="n">
        <v>2</v>
      </c>
      <c r="AE70" s="3" t="s">
        <v>773</v>
      </c>
      <c r="AF70" s="3"/>
      <c r="AG70" s="3" t="s">
        <v>774</v>
      </c>
      <c r="AH70" s="3"/>
      <c r="AI70" s="3"/>
      <c r="AJ70" s="3" t="s">
        <v>59</v>
      </c>
      <c r="AK70" s="3"/>
      <c r="AL70" s="3" t="s">
        <v>59</v>
      </c>
      <c r="AM70" s="3"/>
      <c r="AN70" s="3"/>
      <c r="AO70" s="3" t="s">
        <v>59</v>
      </c>
      <c r="AP70" s="3"/>
      <c r="AQ70" s="3"/>
      <c r="AR70" s="3"/>
    </row>
    <row r="71" customFormat="false" ht="15" hidden="false" customHeight="true" outlineLevel="0" collapsed="false">
      <c r="A71" s="3" t="s">
        <v>775</v>
      </c>
      <c r="B71" s="3" t="n">
        <v>1</v>
      </c>
      <c r="C71" s="3" t="n">
        <v>107</v>
      </c>
      <c r="D71" s="3"/>
      <c r="E71" s="4"/>
      <c r="F71" s="3" t="n">
        <v>45</v>
      </c>
      <c r="G71" s="3" t="str">
        <f aca="false">IF(F71="","",IF(F71&gt;=Notes!$B$5,"Elderly ("&amp;Notes!$B$5&amp;"+)",IF(F71&lt;=Notes!$B$4,"Student age (≤"&amp;Notes!$B$4&amp;")","Middle-aged ("&amp;(Notes!$B$4+1)&amp;"–"&amp;(Notes!$B$5-1)&amp;")")))</f>
        <v>Middle-aged (30–64)</v>
      </c>
      <c r="H71" s="3" t="s">
        <v>45</v>
      </c>
      <c r="I71" s="3" t="s">
        <v>92</v>
      </c>
      <c r="J71" s="3" t="s">
        <v>47</v>
      </c>
      <c r="K71" s="3" t="s">
        <v>93</v>
      </c>
      <c r="L71" s="3" t="s">
        <v>321</v>
      </c>
      <c r="M71" s="3" t="s">
        <v>47</v>
      </c>
      <c r="N71" s="3" t="s">
        <v>322</v>
      </c>
      <c r="O71" s="3" t="s">
        <v>776</v>
      </c>
      <c r="P71" s="3" t="n">
        <v>20</v>
      </c>
      <c r="Q71" s="3" t="s">
        <v>95</v>
      </c>
      <c r="R71" s="3" t="s">
        <v>777</v>
      </c>
      <c r="S71" s="3" t="s">
        <v>778</v>
      </c>
      <c r="T71" s="3"/>
      <c r="U71" s="3" t="s">
        <v>779</v>
      </c>
      <c r="V71" s="3" t="s">
        <v>780</v>
      </c>
      <c r="W71" s="3" t="s">
        <v>781</v>
      </c>
      <c r="X71" s="3" t="s">
        <v>782</v>
      </c>
      <c r="Y71" s="3" t="n">
        <v>3</v>
      </c>
      <c r="Z71" s="3" t="n">
        <v>1</v>
      </c>
      <c r="AA71" s="3" t="n">
        <v>2</v>
      </c>
      <c r="AB71" s="3" t="n">
        <v>3</v>
      </c>
      <c r="AC71" s="3" t="n">
        <v>1</v>
      </c>
      <c r="AD71" s="3" t="n">
        <v>2</v>
      </c>
      <c r="AE71" s="3" t="s">
        <v>783</v>
      </c>
      <c r="AF71" s="3"/>
      <c r="AG71" s="3" t="s">
        <v>784</v>
      </c>
      <c r="AH71" s="3"/>
      <c r="AI71" s="3"/>
      <c r="AJ71" s="3" t="s">
        <v>59</v>
      </c>
      <c r="AK71" s="3"/>
      <c r="AL71" s="3" t="s">
        <v>59</v>
      </c>
      <c r="AM71" s="3"/>
      <c r="AN71" s="3"/>
      <c r="AO71" s="3" t="s">
        <v>59</v>
      </c>
      <c r="AP71" s="3"/>
      <c r="AQ71" s="3"/>
      <c r="AR71" s="3"/>
    </row>
    <row r="72" customFormat="false" ht="15" hidden="false" customHeight="true" outlineLevel="0" collapsed="false">
      <c r="A72" s="3" t="s">
        <v>785</v>
      </c>
      <c r="B72" s="3" t="n">
        <v>1</v>
      </c>
      <c r="C72" s="3" t="n">
        <v>108</v>
      </c>
      <c r="D72" s="3"/>
      <c r="E72" s="4"/>
      <c r="F72" s="3" t="n">
        <v>50</v>
      </c>
      <c r="G72" s="3" t="str">
        <f aca="false">IF(F72="","",IF(F72&gt;=Notes!$B$5,"Elderly ("&amp;Notes!$B$5&amp;"+)",IF(F72&lt;=Notes!$B$4,"Student age (≤"&amp;Notes!$B$4&amp;")","Middle-aged ("&amp;(Notes!$B$4+1)&amp;"–"&amp;(Notes!$B$5-1)&amp;")")))</f>
        <v>Middle-aged (30–64)</v>
      </c>
      <c r="H72" s="3" t="s">
        <v>45</v>
      </c>
      <c r="I72" s="3" t="s">
        <v>321</v>
      </c>
      <c r="J72" s="3" t="s">
        <v>47</v>
      </c>
      <c r="K72" s="3" t="s">
        <v>322</v>
      </c>
      <c r="L72" s="3" t="s">
        <v>321</v>
      </c>
      <c r="M72" s="3" t="s">
        <v>47</v>
      </c>
      <c r="N72" s="3" t="s">
        <v>322</v>
      </c>
      <c r="O72" s="3" t="s">
        <v>786</v>
      </c>
      <c r="P72" s="3" t="n">
        <v>20</v>
      </c>
      <c r="Q72" s="3" t="s">
        <v>95</v>
      </c>
      <c r="R72" s="3" t="s">
        <v>787</v>
      </c>
      <c r="S72" s="3" t="s">
        <v>788</v>
      </c>
      <c r="T72" s="3"/>
      <c r="U72" s="3" t="s">
        <v>789</v>
      </c>
      <c r="V72" s="3" t="s">
        <v>790</v>
      </c>
      <c r="W72" s="3" t="s">
        <v>791</v>
      </c>
      <c r="X72" s="3" t="s">
        <v>792</v>
      </c>
      <c r="Y72" s="3" t="n">
        <v>3</v>
      </c>
      <c r="Z72" s="3" t="n">
        <v>2</v>
      </c>
      <c r="AA72" s="3" t="n">
        <v>1</v>
      </c>
      <c r="AB72" s="3" t="n">
        <v>3</v>
      </c>
      <c r="AC72" s="3" t="n">
        <v>1</v>
      </c>
      <c r="AD72" s="3" t="n">
        <v>2</v>
      </c>
      <c r="AE72" s="3" t="s">
        <v>793</v>
      </c>
      <c r="AF72" s="3"/>
      <c r="AG72" s="3" t="s">
        <v>794</v>
      </c>
      <c r="AH72" s="3"/>
      <c r="AI72" s="3"/>
      <c r="AJ72" s="3" t="s">
        <v>59</v>
      </c>
      <c r="AK72" s="3"/>
      <c r="AL72" s="3" t="s">
        <v>59</v>
      </c>
      <c r="AM72" s="3"/>
      <c r="AN72" s="3"/>
      <c r="AO72" s="3" t="s">
        <v>59</v>
      </c>
      <c r="AP72" s="3"/>
      <c r="AQ72" s="3"/>
      <c r="AR72" s="3"/>
    </row>
    <row r="73" customFormat="false" ht="15" hidden="false" customHeight="true" outlineLevel="0" collapsed="false">
      <c r="A73" s="3" t="s">
        <v>795</v>
      </c>
      <c r="B73" s="3" t="n">
        <v>1</v>
      </c>
      <c r="C73" s="3" t="n">
        <v>109</v>
      </c>
      <c r="D73" s="3"/>
      <c r="E73" s="4"/>
      <c r="F73" s="3" t="n">
        <v>22</v>
      </c>
      <c r="G73" s="3" t="str">
        <f aca="false">IF(F73="","",IF(F73&gt;=Notes!$B$5,"Elderly ("&amp;Notes!$B$5&amp;"+)",IF(F73&lt;=Notes!$B$4,"Student age (≤"&amp;Notes!$B$4&amp;")","Middle-aged ("&amp;(Notes!$B$4+1)&amp;"–"&amp;(Notes!$B$5-1)&amp;")")))</f>
        <v>Student age (≤29)</v>
      </c>
      <c r="H73" s="3" t="s">
        <v>83</v>
      </c>
      <c r="I73" s="3" t="s">
        <v>321</v>
      </c>
      <c r="J73" s="3" t="s">
        <v>47</v>
      </c>
      <c r="K73" s="3" t="s">
        <v>322</v>
      </c>
      <c r="L73" s="3" t="s">
        <v>321</v>
      </c>
      <c r="M73" s="3" t="s">
        <v>47</v>
      </c>
      <c r="N73" s="3" t="s">
        <v>322</v>
      </c>
      <c r="O73" s="3" t="s">
        <v>796</v>
      </c>
      <c r="P73" s="3" t="n">
        <v>20</v>
      </c>
      <c r="Q73" s="3" t="s">
        <v>95</v>
      </c>
      <c r="R73" s="3" t="s">
        <v>797</v>
      </c>
      <c r="S73" s="3" t="s">
        <v>798</v>
      </c>
      <c r="T73" s="3"/>
      <c r="U73" s="3" t="s">
        <v>799</v>
      </c>
      <c r="V73" s="3" t="s">
        <v>800</v>
      </c>
      <c r="W73" s="3" t="s">
        <v>801</v>
      </c>
      <c r="X73" s="3" t="s">
        <v>802</v>
      </c>
      <c r="Y73" s="3" t="n">
        <v>3</v>
      </c>
      <c r="Z73" s="3" t="n">
        <v>1</v>
      </c>
      <c r="AA73" s="3" t="n">
        <v>2</v>
      </c>
      <c r="AB73" s="3" t="n">
        <v>2</v>
      </c>
      <c r="AC73" s="3" t="n">
        <v>1</v>
      </c>
      <c r="AD73" s="3" t="n">
        <v>3</v>
      </c>
      <c r="AE73" s="3" t="s">
        <v>803</v>
      </c>
      <c r="AF73" s="3"/>
      <c r="AG73" s="3" t="s">
        <v>804</v>
      </c>
      <c r="AH73" s="3"/>
      <c r="AI73" s="3"/>
      <c r="AJ73" s="3" t="s">
        <v>59</v>
      </c>
      <c r="AK73" s="3"/>
      <c r="AL73" s="3" t="s">
        <v>59</v>
      </c>
      <c r="AM73" s="3"/>
      <c r="AN73" s="3"/>
      <c r="AO73" s="3" t="s">
        <v>59</v>
      </c>
      <c r="AP73" s="3"/>
      <c r="AQ73" s="3"/>
      <c r="AR73" s="3"/>
    </row>
    <row r="74" customFormat="false" ht="15" hidden="false" customHeight="true" outlineLevel="0" collapsed="false">
      <c r="A74" s="3" t="s">
        <v>805</v>
      </c>
      <c r="B74" s="3" t="n">
        <v>1</v>
      </c>
      <c r="C74" s="3" t="n">
        <v>110</v>
      </c>
      <c r="D74" s="3"/>
      <c r="E74" s="4"/>
      <c r="F74" s="3" t="n">
        <v>23</v>
      </c>
      <c r="G74" s="3" t="str">
        <f aca="false">IF(F74="","",IF(F74&gt;=Notes!$B$5,"Elderly ("&amp;Notes!$B$5&amp;"+)",IF(F74&lt;=Notes!$B$4,"Student age (≤"&amp;Notes!$B$4&amp;")","Middle-aged ("&amp;(Notes!$B$4+1)&amp;"–"&amp;(Notes!$B$5-1)&amp;")")))</f>
        <v>Student age (≤29)</v>
      </c>
      <c r="H74" s="3" t="s">
        <v>83</v>
      </c>
      <c r="I74" s="3" t="s">
        <v>321</v>
      </c>
      <c r="J74" s="3" t="s">
        <v>47</v>
      </c>
      <c r="K74" s="3" t="s">
        <v>322</v>
      </c>
      <c r="L74" s="3" t="s">
        <v>321</v>
      </c>
      <c r="M74" s="3" t="s">
        <v>47</v>
      </c>
      <c r="N74" s="3" t="s">
        <v>322</v>
      </c>
      <c r="O74" s="3" t="s">
        <v>806</v>
      </c>
      <c r="P74" s="3" t="n">
        <v>20</v>
      </c>
      <c r="Q74" s="3" t="s">
        <v>95</v>
      </c>
      <c r="R74" s="3" t="s">
        <v>807</v>
      </c>
      <c r="S74" s="3" t="s">
        <v>808</v>
      </c>
      <c r="T74" s="3"/>
      <c r="U74" s="3" t="s">
        <v>809</v>
      </c>
      <c r="V74" s="3" t="s">
        <v>770</v>
      </c>
      <c r="W74" s="3" t="s">
        <v>810</v>
      </c>
      <c r="X74" s="3" t="s">
        <v>811</v>
      </c>
      <c r="Y74" s="3" t="n">
        <v>3</v>
      </c>
      <c r="Z74" s="3" t="n">
        <v>1</v>
      </c>
      <c r="AA74" s="3" t="n">
        <v>2</v>
      </c>
      <c r="AB74" s="3" t="n">
        <v>3</v>
      </c>
      <c r="AC74" s="3" t="n">
        <v>1</v>
      </c>
      <c r="AD74" s="3" t="n">
        <v>2</v>
      </c>
      <c r="AE74" s="3" t="s">
        <v>812</v>
      </c>
      <c r="AF74" s="3"/>
      <c r="AG74" s="3" t="s">
        <v>813</v>
      </c>
      <c r="AH74" s="3"/>
      <c r="AI74" s="3"/>
      <c r="AJ74" s="3" t="s">
        <v>59</v>
      </c>
      <c r="AK74" s="3"/>
      <c r="AL74" s="3" t="s">
        <v>59</v>
      </c>
      <c r="AM74" s="3"/>
      <c r="AN74" s="3"/>
      <c r="AO74" s="3" t="s">
        <v>59</v>
      </c>
      <c r="AP74" s="3"/>
      <c r="AQ74" s="3"/>
      <c r="AR74" s="3"/>
    </row>
    <row r="75" customFormat="false" ht="15" hidden="false" customHeight="true" outlineLevel="0" collapsed="false">
      <c r="A75" s="3" t="s">
        <v>814</v>
      </c>
      <c r="B75" s="3" t="n">
        <v>1</v>
      </c>
      <c r="C75" s="3" t="n">
        <v>111</v>
      </c>
      <c r="D75" s="3"/>
      <c r="E75" s="4"/>
      <c r="F75" s="3" t="n">
        <v>22</v>
      </c>
      <c r="G75" s="3" t="str">
        <f aca="false">IF(F75="","",IF(F75&gt;=Notes!$B$5,"Elderly ("&amp;Notes!$B$5&amp;"+)",IF(F75&lt;=Notes!$B$4,"Student age (≤"&amp;Notes!$B$4&amp;")","Middle-aged ("&amp;(Notes!$B$4+1)&amp;"–"&amp;(Notes!$B$5-1)&amp;")")))</f>
        <v>Student age (≤29)</v>
      </c>
      <c r="H75" s="3" t="s">
        <v>83</v>
      </c>
      <c r="I75" s="3" t="s">
        <v>321</v>
      </c>
      <c r="J75" s="3" t="s">
        <v>47</v>
      </c>
      <c r="K75" s="3" t="s">
        <v>322</v>
      </c>
      <c r="L75" s="3" t="s">
        <v>321</v>
      </c>
      <c r="M75" s="3" t="s">
        <v>47</v>
      </c>
      <c r="N75" s="3" t="s">
        <v>322</v>
      </c>
      <c r="O75" s="3" t="s">
        <v>815</v>
      </c>
      <c r="P75" s="3" t="n">
        <v>25</v>
      </c>
      <c r="Q75" s="3" t="s">
        <v>117</v>
      </c>
      <c r="R75" s="3" t="s">
        <v>816</v>
      </c>
      <c r="S75" s="3" t="s">
        <v>817</v>
      </c>
      <c r="T75" s="3"/>
      <c r="U75" s="3" t="s">
        <v>818</v>
      </c>
      <c r="V75" s="3" t="s">
        <v>819</v>
      </c>
      <c r="W75" s="3" t="s">
        <v>820</v>
      </c>
      <c r="X75" s="3" t="s">
        <v>821</v>
      </c>
      <c r="Y75" s="3" t="n">
        <v>3</v>
      </c>
      <c r="Z75" s="3" t="n">
        <v>1</v>
      </c>
      <c r="AA75" s="3" t="n">
        <v>2</v>
      </c>
      <c r="AB75" s="3" t="n">
        <v>2</v>
      </c>
      <c r="AC75" s="3" t="n">
        <v>1</v>
      </c>
      <c r="AD75" s="3" t="n">
        <v>3</v>
      </c>
      <c r="AE75" s="3" t="s">
        <v>822</v>
      </c>
      <c r="AF75" s="3"/>
      <c r="AG75" s="3" t="s">
        <v>823</v>
      </c>
      <c r="AH75" s="3"/>
      <c r="AI75" s="3"/>
      <c r="AJ75" s="3" t="s">
        <v>59</v>
      </c>
      <c r="AK75" s="3"/>
      <c r="AL75" s="3" t="s">
        <v>59</v>
      </c>
      <c r="AM75" s="3"/>
      <c r="AN75" s="3"/>
      <c r="AO75" s="3" t="s">
        <v>59</v>
      </c>
      <c r="AP75" s="3"/>
      <c r="AQ75" s="3"/>
      <c r="AR75" s="3"/>
    </row>
    <row r="76" customFormat="false" ht="15" hidden="false" customHeight="true" outlineLevel="0" collapsed="false">
      <c r="A76" s="3" t="s">
        <v>824</v>
      </c>
      <c r="B76" s="3" t="n">
        <v>1</v>
      </c>
      <c r="C76" s="3" t="n">
        <v>112</v>
      </c>
      <c r="D76" s="3"/>
      <c r="E76" s="4"/>
      <c r="F76" s="3" t="n">
        <v>23</v>
      </c>
      <c r="G76" s="3" t="str">
        <f aca="false">IF(F76="","",IF(F76&gt;=Notes!$B$5,"Elderly ("&amp;Notes!$B$5&amp;"+)",IF(F76&lt;=Notes!$B$4,"Student age (≤"&amp;Notes!$B$4&amp;")","Middle-aged ("&amp;(Notes!$B$4+1)&amp;"–"&amp;(Notes!$B$5-1)&amp;")")))</f>
        <v>Student age (≤29)</v>
      </c>
      <c r="H76" s="3" t="s">
        <v>45</v>
      </c>
      <c r="I76" s="3" t="s">
        <v>825</v>
      </c>
      <c r="J76" s="3" t="s">
        <v>47</v>
      </c>
      <c r="K76" s="3" t="s">
        <v>826</v>
      </c>
      <c r="L76" s="3" t="s">
        <v>825</v>
      </c>
      <c r="M76" s="3" t="s">
        <v>47</v>
      </c>
      <c r="N76" s="3" t="s">
        <v>826</v>
      </c>
      <c r="O76" s="3" t="s">
        <v>827</v>
      </c>
      <c r="P76" s="3" t="n">
        <v>20</v>
      </c>
      <c r="Q76" s="3" t="s">
        <v>95</v>
      </c>
      <c r="R76" s="3" t="s">
        <v>828</v>
      </c>
      <c r="S76" s="3" t="s">
        <v>829</v>
      </c>
      <c r="T76" s="3"/>
      <c r="U76" s="3" t="s">
        <v>830</v>
      </c>
      <c r="V76" s="3" t="s">
        <v>831</v>
      </c>
      <c r="W76" s="3" t="s">
        <v>832</v>
      </c>
      <c r="X76" s="3" t="s">
        <v>833</v>
      </c>
      <c r="Y76" s="3" t="n">
        <v>2</v>
      </c>
      <c r="Z76" s="3" t="n">
        <v>1</v>
      </c>
      <c r="AA76" s="3" t="n">
        <v>3</v>
      </c>
      <c r="AB76" s="3" t="n">
        <v>2</v>
      </c>
      <c r="AC76" s="3" t="n">
        <v>1</v>
      </c>
      <c r="AD76" s="3" t="n">
        <v>3</v>
      </c>
      <c r="AE76" s="3" t="s">
        <v>834</v>
      </c>
      <c r="AF76" s="3"/>
      <c r="AG76" s="3" t="s">
        <v>835</v>
      </c>
      <c r="AH76" s="3"/>
      <c r="AI76" s="3"/>
      <c r="AJ76" s="3" t="s">
        <v>59</v>
      </c>
      <c r="AK76" s="3"/>
      <c r="AL76" s="3" t="s">
        <v>59</v>
      </c>
      <c r="AM76" s="3"/>
      <c r="AN76" s="3"/>
      <c r="AO76" s="3" t="s">
        <v>59</v>
      </c>
      <c r="AP76" s="3"/>
      <c r="AQ76" s="3"/>
      <c r="AR76" s="3"/>
    </row>
    <row r="77" customFormat="false" ht="15" hidden="false" customHeight="true" outlineLevel="0" collapsed="false">
      <c r="A77" s="3" t="s">
        <v>836</v>
      </c>
      <c r="B77" s="3" t="n">
        <v>2</v>
      </c>
      <c r="C77" s="3" t="n">
        <v>9</v>
      </c>
      <c r="D77" s="3"/>
      <c r="E77" s="4"/>
      <c r="F77" s="3" t="n">
        <v>20</v>
      </c>
      <c r="G77" s="3" t="str">
        <f aca="false">IF(F77="","",IF(F77&gt;=Notes!$B$5,"Elderly ("&amp;Notes!$B$5&amp;"+)",IF(F77&lt;=Notes!$B$4,"Student age (≤"&amp;Notes!$B$4&amp;")","Middle-aged ("&amp;(Notes!$B$4+1)&amp;"–"&amp;(Notes!$B$5-1)&amp;")")))</f>
        <v>Student age (≤29)</v>
      </c>
      <c r="H77" s="3" t="s">
        <v>83</v>
      </c>
      <c r="I77" s="3" t="s">
        <v>837</v>
      </c>
      <c r="J77" s="3" t="s">
        <v>47</v>
      </c>
      <c r="K77" s="3" t="s">
        <v>838</v>
      </c>
      <c r="L77" s="3" t="s">
        <v>837</v>
      </c>
      <c r="M77" s="3" t="s">
        <v>47</v>
      </c>
      <c r="N77" s="3" t="s">
        <v>838</v>
      </c>
      <c r="O77" s="3" t="s">
        <v>839</v>
      </c>
      <c r="P77" s="3" t="n">
        <v>40</v>
      </c>
      <c r="Q77" s="3" t="s">
        <v>52</v>
      </c>
      <c r="R77" s="3" t="s">
        <v>840</v>
      </c>
      <c r="S77" s="3" t="s">
        <v>841</v>
      </c>
      <c r="T77" s="3"/>
      <c r="U77" s="3" t="s">
        <v>98</v>
      </c>
      <c r="V77" s="3" t="s">
        <v>842</v>
      </c>
      <c r="W77" s="3" t="s">
        <v>843</v>
      </c>
      <c r="X77" s="3" t="s">
        <v>844</v>
      </c>
      <c r="Y77" s="3" t="n">
        <v>1</v>
      </c>
      <c r="Z77" s="3" t="n">
        <v>2</v>
      </c>
      <c r="AA77" s="3" t="n">
        <v>3</v>
      </c>
      <c r="AB77" s="3" t="n">
        <v>3</v>
      </c>
      <c r="AC77" s="3" t="n">
        <v>1</v>
      </c>
      <c r="AD77" s="3" t="n">
        <v>2</v>
      </c>
      <c r="AE77" s="3" t="s">
        <v>845</v>
      </c>
      <c r="AF77" s="3" t="s">
        <v>846</v>
      </c>
      <c r="AG77" s="3"/>
      <c r="AH77" s="3" t="s">
        <v>847</v>
      </c>
      <c r="AI77" s="3"/>
      <c r="AJ77" s="3" t="s">
        <v>59</v>
      </c>
      <c r="AK77" s="3" t="s">
        <v>848</v>
      </c>
      <c r="AL77" s="3" t="s">
        <v>59</v>
      </c>
      <c r="AM77" s="3"/>
      <c r="AN77" s="3"/>
      <c r="AO77" s="3" t="s">
        <v>59</v>
      </c>
      <c r="AP77" s="3"/>
      <c r="AQ77" s="3"/>
      <c r="AR77" s="3"/>
    </row>
    <row r="78" customFormat="false" ht="15" hidden="false" customHeight="true" outlineLevel="0" collapsed="false">
      <c r="A78" s="3" t="s">
        <v>849</v>
      </c>
      <c r="B78" s="3" t="n">
        <v>2</v>
      </c>
      <c r="C78" s="3" t="n">
        <v>10</v>
      </c>
      <c r="D78" s="3"/>
      <c r="E78" s="4"/>
      <c r="F78" s="3" t="n">
        <v>19</v>
      </c>
      <c r="G78" s="3" t="str">
        <f aca="false">IF(F78="","",IF(F78&gt;=Notes!$B$5,"Elderly ("&amp;Notes!$B$5&amp;"+)",IF(F78&lt;=Notes!$B$4,"Student age (≤"&amp;Notes!$B$4&amp;")","Middle-aged ("&amp;(Notes!$B$4+1)&amp;"–"&amp;(Notes!$B$5-1)&amp;")")))</f>
        <v>Student age (≤29)</v>
      </c>
      <c r="H78" s="3" t="s">
        <v>83</v>
      </c>
      <c r="I78" s="3" t="s">
        <v>850</v>
      </c>
      <c r="J78" s="3" t="s">
        <v>47</v>
      </c>
      <c r="K78" s="3" t="s">
        <v>851</v>
      </c>
      <c r="L78" s="3" t="s">
        <v>49</v>
      </c>
      <c r="M78" s="3" t="s">
        <v>47</v>
      </c>
      <c r="N78" s="3" t="s">
        <v>50</v>
      </c>
      <c r="O78" s="3" t="s">
        <v>852</v>
      </c>
      <c r="P78" s="3" t="n">
        <v>15</v>
      </c>
      <c r="Q78" s="3" t="s">
        <v>74</v>
      </c>
      <c r="R78" s="3" t="s">
        <v>853</v>
      </c>
      <c r="S78" s="3" t="s">
        <v>854</v>
      </c>
      <c r="T78" s="3"/>
      <c r="U78" s="3" t="s">
        <v>855</v>
      </c>
      <c r="V78" s="3" t="s">
        <v>856</v>
      </c>
      <c r="W78" s="3" t="s">
        <v>857</v>
      </c>
      <c r="X78" s="3" t="s">
        <v>858</v>
      </c>
      <c r="Y78" s="3" t="n">
        <v>2</v>
      </c>
      <c r="Z78" s="3" t="n">
        <v>1</v>
      </c>
      <c r="AA78" s="3" t="n">
        <v>3</v>
      </c>
      <c r="AB78" s="3" t="n">
        <v>2</v>
      </c>
      <c r="AC78" s="3" t="n">
        <v>1</v>
      </c>
      <c r="AD78" s="3" t="n">
        <v>3</v>
      </c>
      <c r="AE78" s="3" t="s">
        <v>859</v>
      </c>
      <c r="AF78" s="3" t="s">
        <v>846</v>
      </c>
      <c r="AG78" s="3"/>
      <c r="AH78" s="3" t="s">
        <v>860</v>
      </c>
      <c r="AI78" s="3"/>
      <c r="AJ78" s="3" t="s">
        <v>59</v>
      </c>
      <c r="AK78" s="3" t="s">
        <v>861</v>
      </c>
      <c r="AL78" s="3" t="s">
        <v>59</v>
      </c>
      <c r="AM78" s="3"/>
      <c r="AN78" s="3"/>
      <c r="AO78" s="3" t="s">
        <v>59</v>
      </c>
      <c r="AP78" s="3"/>
      <c r="AQ78" s="3"/>
      <c r="AR78" s="3"/>
    </row>
    <row r="79" customFormat="false" ht="15" hidden="false" customHeight="true" outlineLevel="0" collapsed="false">
      <c r="A79" s="3" t="s">
        <v>862</v>
      </c>
      <c r="B79" s="3" t="n">
        <v>2</v>
      </c>
      <c r="C79" s="3" t="n">
        <v>11</v>
      </c>
      <c r="D79" s="3"/>
      <c r="E79" s="4"/>
      <c r="F79" s="3" t="n">
        <v>19</v>
      </c>
      <c r="G79" s="3" t="str">
        <f aca="false">IF(F79="","",IF(F79&gt;=Notes!$B$5,"Elderly ("&amp;Notes!$B$5&amp;"+)",IF(F79&lt;=Notes!$B$4,"Student age (≤"&amp;Notes!$B$4&amp;")","Middle-aged ("&amp;(Notes!$B$4+1)&amp;"–"&amp;(Notes!$B$5-1)&amp;")")))</f>
        <v>Student age (≤29)</v>
      </c>
      <c r="H79" s="3" t="s">
        <v>45</v>
      </c>
      <c r="I79" s="3" t="s">
        <v>256</v>
      </c>
      <c r="J79" s="3" t="s">
        <v>47</v>
      </c>
      <c r="K79" s="3" t="s">
        <v>257</v>
      </c>
      <c r="L79" s="3" t="s">
        <v>49</v>
      </c>
      <c r="M79" s="3" t="s">
        <v>47</v>
      </c>
      <c r="N79" s="3" t="s">
        <v>50</v>
      </c>
      <c r="O79" s="3" t="s">
        <v>863</v>
      </c>
      <c r="P79" s="3" t="n">
        <v>20</v>
      </c>
      <c r="Q79" s="3" t="s">
        <v>95</v>
      </c>
      <c r="R79" s="3" t="s">
        <v>864</v>
      </c>
      <c r="S79" s="3" t="s">
        <v>865</v>
      </c>
      <c r="T79" s="3"/>
      <c r="U79" s="3" t="s">
        <v>98</v>
      </c>
      <c r="V79" s="3" t="s">
        <v>866</v>
      </c>
      <c r="W79" s="3" t="s">
        <v>867</v>
      </c>
      <c r="X79" s="3" t="s">
        <v>868</v>
      </c>
      <c r="Y79" s="3" t="n">
        <v>3</v>
      </c>
      <c r="Z79" s="3" t="n">
        <v>1</v>
      </c>
      <c r="AA79" s="3" t="n">
        <v>2</v>
      </c>
      <c r="AB79" s="3" t="n">
        <v>3</v>
      </c>
      <c r="AC79" s="3" t="n">
        <v>1</v>
      </c>
      <c r="AD79" s="3" t="n">
        <v>2</v>
      </c>
      <c r="AE79" s="3" t="s">
        <v>869</v>
      </c>
      <c r="AF79" s="3" t="s">
        <v>847</v>
      </c>
      <c r="AG79" s="3"/>
      <c r="AH79" s="3" t="s">
        <v>846</v>
      </c>
      <c r="AI79" s="3"/>
      <c r="AJ79" s="3" t="s">
        <v>59</v>
      </c>
      <c r="AK79" s="3" t="s">
        <v>870</v>
      </c>
      <c r="AL79" s="3" t="s">
        <v>59</v>
      </c>
      <c r="AM79" s="3"/>
      <c r="AN79" s="3"/>
      <c r="AO79" s="3" t="s">
        <v>59</v>
      </c>
      <c r="AP79" s="3"/>
      <c r="AQ79" s="3"/>
      <c r="AR79" s="3"/>
    </row>
    <row r="80" customFormat="false" ht="15" hidden="false" customHeight="true" outlineLevel="0" collapsed="false">
      <c r="A80" s="3" t="s">
        <v>871</v>
      </c>
      <c r="B80" s="3" t="n">
        <v>2</v>
      </c>
      <c r="C80" s="3" t="n">
        <v>14</v>
      </c>
      <c r="D80" s="3"/>
      <c r="E80" s="4"/>
      <c r="F80" s="3" t="n">
        <v>21</v>
      </c>
      <c r="G80" s="3" t="str">
        <f aca="false">IF(F80="","",IF(F80&gt;=Notes!$B$5,"Elderly ("&amp;Notes!$B$5&amp;"+)",IF(F80&lt;=Notes!$B$4,"Student age (≤"&amp;Notes!$B$4&amp;")","Middle-aged ("&amp;(Notes!$B$4+1)&amp;"–"&amp;(Notes!$B$5-1)&amp;")")))</f>
        <v>Student age (≤29)</v>
      </c>
      <c r="H80" s="3" t="s">
        <v>45</v>
      </c>
      <c r="I80" s="3" t="s">
        <v>289</v>
      </c>
      <c r="J80" s="3" t="s">
        <v>47</v>
      </c>
      <c r="K80" s="3" t="s">
        <v>290</v>
      </c>
      <c r="L80" s="3" t="s">
        <v>49</v>
      </c>
      <c r="M80" s="3" t="s">
        <v>47</v>
      </c>
      <c r="N80" s="3" t="s">
        <v>50</v>
      </c>
      <c r="O80" s="3" t="s">
        <v>872</v>
      </c>
      <c r="P80" s="3" t="n">
        <v>20</v>
      </c>
      <c r="Q80" s="3" t="s">
        <v>95</v>
      </c>
      <c r="R80" s="3" t="s">
        <v>873</v>
      </c>
      <c r="S80" s="3" t="s">
        <v>874</v>
      </c>
      <c r="T80" s="3"/>
      <c r="U80" s="3" t="s">
        <v>875</v>
      </c>
      <c r="V80" s="3" t="s">
        <v>876</v>
      </c>
      <c r="W80" s="3" t="s">
        <v>877</v>
      </c>
      <c r="X80" s="3" t="s">
        <v>878</v>
      </c>
      <c r="Y80" s="3" t="n">
        <v>3</v>
      </c>
      <c r="Z80" s="3" t="n">
        <v>1</v>
      </c>
      <c r="AA80" s="3" t="n">
        <v>2</v>
      </c>
      <c r="AB80" s="3" t="n">
        <v>2</v>
      </c>
      <c r="AC80" s="3" t="n">
        <v>1</v>
      </c>
      <c r="AD80" s="3" t="n">
        <v>3</v>
      </c>
      <c r="AE80" s="3" t="s">
        <v>879</v>
      </c>
      <c r="AF80" s="3" t="s">
        <v>846</v>
      </c>
      <c r="AG80" s="3"/>
      <c r="AH80" s="3" t="s">
        <v>847</v>
      </c>
      <c r="AI80" s="3"/>
      <c r="AJ80" s="3" t="s">
        <v>59</v>
      </c>
      <c r="AK80" s="3" t="s">
        <v>880</v>
      </c>
      <c r="AL80" s="3" t="s">
        <v>59</v>
      </c>
      <c r="AM80" s="3"/>
      <c r="AN80" s="3"/>
      <c r="AO80" s="3" t="s">
        <v>59</v>
      </c>
      <c r="AP80" s="3"/>
      <c r="AQ80" s="3"/>
      <c r="AR80" s="3"/>
    </row>
    <row r="81" customFormat="false" ht="15" hidden="false" customHeight="true" outlineLevel="0" collapsed="false">
      <c r="A81" s="3" t="s">
        <v>881</v>
      </c>
      <c r="B81" s="3" t="n">
        <v>2</v>
      </c>
      <c r="C81" s="3" t="n">
        <v>17</v>
      </c>
      <c r="D81" s="3"/>
      <c r="E81" s="4"/>
      <c r="F81" s="3" t="n">
        <v>21</v>
      </c>
      <c r="G81" s="3" t="str">
        <f aca="false">IF(F81="","",IF(F81&gt;=Notes!$B$5,"Elderly ("&amp;Notes!$B$5&amp;"+)",IF(F81&lt;=Notes!$B$4,"Student age (≤"&amp;Notes!$B$4&amp;")","Middle-aged ("&amp;(Notes!$B$4+1)&amp;"–"&amp;(Notes!$B$5-1)&amp;")")))</f>
        <v>Student age (≤29)</v>
      </c>
      <c r="H81" s="3" t="s">
        <v>45</v>
      </c>
      <c r="I81" s="3" t="s">
        <v>49</v>
      </c>
      <c r="J81" s="3" t="s">
        <v>47</v>
      </c>
      <c r="K81" s="3" t="s">
        <v>50</v>
      </c>
      <c r="L81" s="3" t="s">
        <v>49</v>
      </c>
      <c r="M81" s="3" t="s">
        <v>47</v>
      </c>
      <c r="N81" s="3" t="s">
        <v>50</v>
      </c>
      <c r="O81" s="3" t="s">
        <v>882</v>
      </c>
      <c r="P81" s="3" t="n">
        <v>30</v>
      </c>
      <c r="Q81" s="3" t="s">
        <v>117</v>
      </c>
      <c r="R81" s="3" t="s">
        <v>883</v>
      </c>
      <c r="S81" s="3" t="s">
        <v>884</v>
      </c>
      <c r="T81" s="3"/>
      <c r="U81" s="3" t="s">
        <v>885</v>
      </c>
      <c r="V81" s="3" t="s">
        <v>886</v>
      </c>
      <c r="W81" s="3" t="s">
        <v>887</v>
      </c>
      <c r="X81" s="3" t="s">
        <v>888</v>
      </c>
      <c r="Y81" s="3" t="n">
        <v>1</v>
      </c>
      <c r="Z81" s="3" t="n">
        <v>2</v>
      </c>
      <c r="AA81" s="3" t="n">
        <v>3</v>
      </c>
      <c r="AB81" s="3" t="n">
        <v>2</v>
      </c>
      <c r="AC81" s="3" t="n">
        <v>1</v>
      </c>
      <c r="AD81" s="3" t="n">
        <v>3</v>
      </c>
      <c r="AE81" s="3" t="s">
        <v>889</v>
      </c>
      <c r="AF81" s="3" t="s">
        <v>860</v>
      </c>
      <c r="AG81" s="3"/>
      <c r="AH81" s="3" t="s">
        <v>847</v>
      </c>
      <c r="AI81" s="3"/>
      <c r="AJ81" s="3" t="s">
        <v>59</v>
      </c>
      <c r="AK81" s="3" t="s">
        <v>890</v>
      </c>
      <c r="AL81" s="3" t="s">
        <v>59</v>
      </c>
      <c r="AM81" s="3"/>
      <c r="AN81" s="3"/>
      <c r="AO81" s="3" t="s">
        <v>59</v>
      </c>
      <c r="AP81" s="3"/>
      <c r="AQ81" s="3"/>
      <c r="AR81" s="3"/>
    </row>
    <row r="82" customFormat="false" ht="15" hidden="false" customHeight="true" outlineLevel="0" collapsed="false">
      <c r="A82" s="3" t="s">
        <v>891</v>
      </c>
      <c r="B82" s="3" t="n">
        <v>2</v>
      </c>
      <c r="C82" s="3" t="n">
        <v>20</v>
      </c>
      <c r="D82" s="3"/>
      <c r="E82" s="4"/>
      <c r="F82" s="3" t="n">
        <v>21</v>
      </c>
      <c r="G82" s="3" t="str">
        <f aca="false">IF(F82="","",IF(F82&gt;=Notes!$B$5,"Elderly ("&amp;Notes!$B$5&amp;"+)",IF(F82&lt;=Notes!$B$4,"Student age (≤"&amp;Notes!$B$4&amp;")","Middle-aged ("&amp;(Notes!$B$4+1)&amp;"–"&amp;(Notes!$B$5-1)&amp;")")))</f>
        <v>Student age (≤29)</v>
      </c>
      <c r="H82" s="3" t="s">
        <v>45</v>
      </c>
      <c r="I82" s="3" t="s">
        <v>159</v>
      </c>
      <c r="J82" s="3" t="s">
        <v>47</v>
      </c>
      <c r="K82" s="3" t="s">
        <v>160</v>
      </c>
      <c r="L82" s="3" t="s">
        <v>49</v>
      </c>
      <c r="M82" s="3" t="s">
        <v>47</v>
      </c>
      <c r="N82" s="3" t="s">
        <v>50</v>
      </c>
      <c r="O82" s="3" t="s">
        <v>892</v>
      </c>
      <c r="P82" s="3" t="n">
        <v>20</v>
      </c>
      <c r="Q82" s="3" t="s">
        <v>95</v>
      </c>
      <c r="R82" s="3" t="s">
        <v>893</v>
      </c>
      <c r="S82" s="3" t="s">
        <v>894</v>
      </c>
      <c r="T82" s="3"/>
      <c r="U82" s="3" t="s">
        <v>895</v>
      </c>
      <c r="V82" s="3" t="s">
        <v>896</v>
      </c>
      <c r="W82" s="3" t="s">
        <v>897</v>
      </c>
      <c r="X82" s="3" t="s">
        <v>898</v>
      </c>
      <c r="Y82" s="3" t="n">
        <v>2</v>
      </c>
      <c r="Z82" s="3" t="n">
        <v>1</v>
      </c>
      <c r="AA82" s="3" t="n">
        <v>3</v>
      </c>
      <c r="AB82" s="3" t="n">
        <v>2</v>
      </c>
      <c r="AC82" s="3" t="n">
        <v>1</v>
      </c>
      <c r="AD82" s="3" t="n">
        <v>3</v>
      </c>
      <c r="AE82" s="3" t="s">
        <v>899</v>
      </c>
      <c r="AF82" s="3" t="s">
        <v>847</v>
      </c>
      <c r="AG82" s="3"/>
      <c r="AH82" s="3" t="s">
        <v>846</v>
      </c>
      <c r="AI82" s="3"/>
      <c r="AJ82" s="3" t="s">
        <v>59</v>
      </c>
      <c r="AK82" s="3" t="s">
        <v>900</v>
      </c>
      <c r="AL82" s="3" t="s">
        <v>59</v>
      </c>
      <c r="AM82" s="3"/>
      <c r="AN82" s="3"/>
      <c r="AO82" s="3" t="s">
        <v>59</v>
      </c>
      <c r="AP82" s="3"/>
      <c r="AQ82" s="3"/>
      <c r="AR82" s="3"/>
    </row>
    <row r="83" customFormat="false" ht="15" hidden="false" customHeight="true" outlineLevel="0" collapsed="false">
      <c r="A83" s="3" t="s">
        <v>901</v>
      </c>
      <c r="B83" s="3" t="n">
        <v>2</v>
      </c>
      <c r="C83" s="3" t="n">
        <v>21</v>
      </c>
      <c r="D83" s="3"/>
      <c r="E83" s="4"/>
      <c r="F83" s="3" t="n">
        <v>20</v>
      </c>
      <c r="G83" s="3" t="str">
        <f aca="false">IF(F83="","",IF(F83&gt;=Notes!$B$5,"Elderly ("&amp;Notes!$B$5&amp;"+)",IF(F83&lt;=Notes!$B$4,"Student age (≤"&amp;Notes!$B$4&amp;")","Middle-aged ("&amp;(Notes!$B$4+1)&amp;"–"&amp;(Notes!$B$5-1)&amp;")")))</f>
        <v>Student age (≤29)</v>
      </c>
      <c r="H83" s="3" t="s">
        <v>45</v>
      </c>
      <c r="I83" s="3" t="s">
        <v>902</v>
      </c>
      <c r="J83" s="3" t="s">
        <v>47</v>
      </c>
      <c r="K83" s="3" t="s">
        <v>903</v>
      </c>
      <c r="L83" s="3" t="s">
        <v>49</v>
      </c>
      <c r="M83" s="3" t="s">
        <v>47</v>
      </c>
      <c r="N83" s="3" t="s">
        <v>50</v>
      </c>
      <c r="O83" s="3" t="s">
        <v>904</v>
      </c>
      <c r="P83" s="3" t="n">
        <v>15</v>
      </c>
      <c r="Q83" s="3" t="s">
        <v>74</v>
      </c>
      <c r="R83" s="3" t="s">
        <v>905</v>
      </c>
      <c r="S83" s="3" t="s">
        <v>906</v>
      </c>
      <c r="T83" s="3"/>
      <c r="U83" s="3" t="s">
        <v>907</v>
      </c>
      <c r="V83" s="3" t="s">
        <v>908</v>
      </c>
      <c r="W83" s="3" t="s">
        <v>909</v>
      </c>
      <c r="X83" s="3" t="s">
        <v>910</v>
      </c>
      <c r="Y83" s="3" t="n">
        <v>3</v>
      </c>
      <c r="Z83" s="3" t="n">
        <v>1</v>
      </c>
      <c r="AA83" s="3" t="n">
        <v>2</v>
      </c>
      <c r="AB83" s="3" t="n">
        <v>2</v>
      </c>
      <c r="AC83" s="3" t="n">
        <v>3</v>
      </c>
      <c r="AD83" s="3" t="n">
        <v>1</v>
      </c>
      <c r="AE83" s="3" t="s">
        <v>911</v>
      </c>
      <c r="AF83" s="3" t="s">
        <v>847</v>
      </c>
      <c r="AG83" s="3"/>
      <c r="AH83" s="3" t="s">
        <v>847</v>
      </c>
      <c r="AI83" s="3"/>
      <c r="AJ83" s="3" t="s">
        <v>59</v>
      </c>
      <c r="AK83" s="3" t="s">
        <v>912</v>
      </c>
      <c r="AL83" s="3" t="s">
        <v>59</v>
      </c>
      <c r="AM83" s="3"/>
      <c r="AN83" s="3"/>
      <c r="AO83" s="3" t="s">
        <v>59</v>
      </c>
      <c r="AP83" s="3"/>
      <c r="AQ83" s="3"/>
      <c r="AR83" s="3"/>
    </row>
    <row r="84" customFormat="false" ht="15" hidden="false" customHeight="true" outlineLevel="0" collapsed="false">
      <c r="A84" s="3" t="s">
        <v>913</v>
      </c>
      <c r="B84" s="3" t="n">
        <v>2</v>
      </c>
      <c r="C84" s="3" t="n">
        <v>24</v>
      </c>
      <c r="D84" s="3"/>
      <c r="E84" s="4"/>
      <c r="F84" s="3" t="n">
        <v>59</v>
      </c>
      <c r="G84" s="3" t="str">
        <f aca="false">IF(F84="","",IF(F84&gt;=Notes!$B$5,"Elderly ("&amp;Notes!$B$5&amp;"+)",IF(F84&lt;=Notes!$B$4,"Student age (≤"&amp;Notes!$B$4&amp;")","Middle-aged ("&amp;(Notes!$B$4+1)&amp;"–"&amp;(Notes!$B$5-1)&amp;")")))</f>
        <v>Middle-aged (30–64)</v>
      </c>
      <c r="H84" s="3" t="s">
        <v>83</v>
      </c>
      <c r="I84" s="3"/>
      <c r="J84" s="3" t="s">
        <v>914</v>
      </c>
      <c r="K84" s="3" t="s">
        <v>914</v>
      </c>
      <c r="L84" s="3"/>
      <c r="M84" s="3" t="s">
        <v>914</v>
      </c>
      <c r="N84" s="3" t="s">
        <v>914</v>
      </c>
      <c r="O84" s="3" t="s">
        <v>915</v>
      </c>
      <c r="P84" s="3" t="n">
        <v>45</v>
      </c>
      <c r="Q84" s="3" t="s">
        <v>52</v>
      </c>
      <c r="R84" s="3" t="s">
        <v>916</v>
      </c>
      <c r="S84" s="3" t="s">
        <v>917</v>
      </c>
      <c r="T84" s="3"/>
      <c r="U84" s="3" t="s">
        <v>918</v>
      </c>
      <c r="V84" s="3" t="s">
        <v>919</v>
      </c>
      <c r="W84" s="3" t="s">
        <v>920</v>
      </c>
      <c r="X84" s="3" t="s">
        <v>921</v>
      </c>
      <c r="Y84" s="3" t="n">
        <v>1</v>
      </c>
      <c r="Z84" s="3" t="n">
        <v>3</v>
      </c>
      <c r="AA84" s="3" t="n">
        <v>2</v>
      </c>
      <c r="AB84" s="3" t="n">
        <v>2</v>
      </c>
      <c r="AC84" s="3" t="n">
        <v>3</v>
      </c>
      <c r="AD84" s="3" t="n">
        <v>1</v>
      </c>
      <c r="AE84" s="3" t="s">
        <v>922</v>
      </c>
      <c r="AF84" s="3" t="s">
        <v>860</v>
      </c>
      <c r="AG84" s="3"/>
      <c r="AH84" s="3" t="s">
        <v>847</v>
      </c>
      <c r="AI84" s="3"/>
      <c r="AJ84" s="3" t="s">
        <v>59</v>
      </c>
      <c r="AK84" s="3" t="s">
        <v>923</v>
      </c>
      <c r="AL84" s="3" t="s">
        <v>59</v>
      </c>
      <c r="AM84" s="3"/>
      <c r="AN84" s="3"/>
      <c r="AO84" s="3" t="s">
        <v>59</v>
      </c>
      <c r="AP84" s="3"/>
      <c r="AQ84" s="3"/>
      <c r="AR84" s="3"/>
    </row>
    <row r="85" customFormat="false" ht="15" hidden="false" customHeight="true" outlineLevel="0" collapsed="false">
      <c r="A85" s="3" t="s">
        <v>924</v>
      </c>
      <c r="B85" s="3" t="n">
        <v>2</v>
      </c>
      <c r="C85" s="3" t="n">
        <v>25</v>
      </c>
      <c r="D85" s="3"/>
      <c r="E85" s="4"/>
      <c r="F85" s="3" t="n">
        <v>43</v>
      </c>
      <c r="G85" s="3" t="str">
        <f aca="false">IF(F85="","",IF(F85&gt;=Notes!$B$5,"Elderly ("&amp;Notes!$B$5&amp;"+)",IF(F85&lt;=Notes!$B$4,"Student age (≤"&amp;Notes!$B$4&amp;")","Middle-aged ("&amp;(Notes!$B$4+1)&amp;"–"&amp;(Notes!$B$5-1)&amp;")")))</f>
        <v>Middle-aged (30–64)</v>
      </c>
      <c r="H85" s="3" t="s">
        <v>83</v>
      </c>
      <c r="I85" s="3"/>
      <c r="J85" s="3" t="s">
        <v>914</v>
      </c>
      <c r="K85" s="3" t="s">
        <v>914</v>
      </c>
      <c r="L85" s="3"/>
      <c r="M85" s="3" t="s">
        <v>914</v>
      </c>
      <c r="N85" s="3" t="s">
        <v>914</v>
      </c>
      <c r="O85" s="3" t="s">
        <v>925</v>
      </c>
      <c r="P85" s="3" t="n">
        <v>25</v>
      </c>
      <c r="Q85" s="3" t="s">
        <v>117</v>
      </c>
      <c r="R85" s="3" t="s">
        <v>926</v>
      </c>
      <c r="S85" s="3" t="s">
        <v>926</v>
      </c>
      <c r="T85" s="3"/>
      <c r="U85" s="3" t="s">
        <v>98</v>
      </c>
      <c r="V85" s="3" t="s">
        <v>927</v>
      </c>
      <c r="W85" s="3" t="s">
        <v>928</v>
      </c>
      <c r="X85" s="3" t="s">
        <v>929</v>
      </c>
      <c r="Y85" s="3" t="n">
        <v>2</v>
      </c>
      <c r="Z85" s="3" t="n">
        <v>1</v>
      </c>
      <c r="AA85" s="3" t="n">
        <v>3</v>
      </c>
      <c r="AB85" s="3" t="n">
        <v>1</v>
      </c>
      <c r="AC85" s="3" t="n">
        <v>2</v>
      </c>
      <c r="AD85" s="3" t="n">
        <v>3</v>
      </c>
      <c r="AE85" s="3" t="s">
        <v>930</v>
      </c>
      <c r="AF85" s="3" t="s">
        <v>847</v>
      </c>
      <c r="AG85" s="3"/>
      <c r="AH85" s="3" t="s">
        <v>860</v>
      </c>
      <c r="AI85" s="3"/>
      <c r="AJ85" s="3" t="s">
        <v>59</v>
      </c>
      <c r="AK85" s="3" t="s">
        <v>931</v>
      </c>
      <c r="AL85" s="3" t="s">
        <v>59</v>
      </c>
      <c r="AM85" s="3"/>
      <c r="AN85" s="3"/>
      <c r="AO85" s="3" t="s">
        <v>59</v>
      </c>
      <c r="AP85" s="3"/>
      <c r="AQ85" s="3"/>
      <c r="AR85" s="3"/>
    </row>
    <row r="86" customFormat="false" ht="15" hidden="false" customHeight="true" outlineLevel="0" collapsed="false">
      <c r="A86" s="3" t="s">
        <v>932</v>
      </c>
      <c r="B86" s="3" t="n">
        <v>2</v>
      </c>
      <c r="C86" s="3" t="n">
        <v>26</v>
      </c>
      <c r="D86" s="3"/>
      <c r="E86" s="4"/>
      <c r="F86" s="3" t="n">
        <v>60</v>
      </c>
      <c r="G86" s="3" t="str">
        <f aca="false">IF(F86="","",IF(F86&gt;=Notes!$B$5,"Elderly ("&amp;Notes!$B$5&amp;"+)",IF(F86&lt;=Notes!$B$4,"Student age (≤"&amp;Notes!$B$4&amp;")","Middle-aged ("&amp;(Notes!$B$4+1)&amp;"–"&amp;(Notes!$B$5-1)&amp;")")))</f>
        <v>Middle-aged (30–64)</v>
      </c>
      <c r="H86" s="3" t="s">
        <v>83</v>
      </c>
      <c r="I86" s="3"/>
      <c r="J86" s="3" t="s">
        <v>914</v>
      </c>
      <c r="K86" s="3" t="s">
        <v>914</v>
      </c>
      <c r="L86" s="3" t="s">
        <v>933</v>
      </c>
      <c r="M86" s="3" t="s">
        <v>914</v>
      </c>
      <c r="N86" s="3" t="s">
        <v>934</v>
      </c>
      <c r="O86" s="3" t="s">
        <v>935</v>
      </c>
      <c r="P86" s="3" t="n">
        <v>25</v>
      </c>
      <c r="Q86" s="3" t="s">
        <v>117</v>
      </c>
      <c r="R86" s="3" t="s">
        <v>936</v>
      </c>
      <c r="S86" s="3" t="s">
        <v>937</v>
      </c>
      <c r="T86" s="3"/>
      <c r="U86" s="3" t="s">
        <v>938</v>
      </c>
      <c r="V86" s="3" t="s">
        <v>939</v>
      </c>
      <c r="W86" s="3" t="s">
        <v>940</v>
      </c>
      <c r="X86" s="3" t="s">
        <v>941</v>
      </c>
      <c r="Y86" s="3" t="n">
        <v>1</v>
      </c>
      <c r="Z86" s="3" t="n">
        <v>2</v>
      </c>
      <c r="AA86" s="3" t="n">
        <v>3</v>
      </c>
      <c r="AB86" s="3" t="n">
        <v>3</v>
      </c>
      <c r="AC86" s="3" t="n">
        <v>1</v>
      </c>
      <c r="AD86" s="3" t="n">
        <v>2</v>
      </c>
      <c r="AE86" s="3" t="s">
        <v>942</v>
      </c>
      <c r="AF86" s="3" t="s">
        <v>847</v>
      </c>
      <c r="AG86" s="3"/>
      <c r="AH86" s="3" t="s">
        <v>847</v>
      </c>
      <c r="AI86" s="3"/>
      <c r="AJ86" s="3" t="s">
        <v>59</v>
      </c>
      <c r="AK86" s="3" t="s">
        <v>943</v>
      </c>
      <c r="AL86" s="3" t="s">
        <v>59</v>
      </c>
      <c r="AM86" s="3"/>
      <c r="AN86" s="3"/>
      <c r="AO86" s="3" t="s">
        <v>59</v>
      </c>
      <c r="AP86" s="3"/>
      <c r="AQ86" s="3"/>
      <c r="AR86" s="3"/>
    </row>
    <row r="87" customFormat="false" ht="15" hidden="false" customHeight="true" outlineLevel="0" collapsed="false">
      <c r="A87" s="3" t="s">
        <v>944</v>
      </c>
      <c r="B87" s="3" t="n">
        <v>2</v>
      </c>
      <c r="C87" s="3" t="n">
        <v>29</v>
      </c>
      <c r="D87" s="3"/>
      <c r="E87" s="4"/>
      <c r="F87" s="3" t="n">
        <v>70</v>
      </c>
      <c r="G87" s="3" t="str">
        <f aca="false">IF(F87="","",IF(F87&gt;=Notes!$B$5,"Elderly ("&amp;Notes!$B$5&amp;"+)",IF(F87&lt;=Notes!$B$4,"Student age (≤"&amp;Notes!$B$4&amp;")","Middle-aged ("&amp;(Notes!$B$4+1)&amp;"–"&amp;(Notes!$B$5-1)&amp;")")))</f>
        <v>Elderly (65+)</v>
      </c>
      <c r="H87" s="3" t="s">
        <v>83</v>
      </c>
      <c r="I87" s="3"/>
      <c r="J87" s="3" t="s">
        <v>914</v>
      </c>
      <c r="K87" s="3" t="s">
        <v>914</v>
      </c>
      <c r="L87" s="3"/>
      <c r="M87" s="3" t="s">
        <v>914</v>
      </c>
      <c r="N87" s="3" t="s">
        <v>914</v>
      </c>
      <c r="O87" s="3" t="s">
        <v>945</v>
      </c>
      <c r="P87" s="3" t="n">
        <v>60</v>
      </c>
      <c r="Q87" s="3" t="s">
        <v>52</v>
      </c>
      <c r="R87" s="3" t="s">
        <v>946</v>
      </c>
      <c r="S87" s="3" t="s">
        <v>947</v>
      </c>
      <c r="T87" s="3"/>
      <c r="U87" s="3" t="s">
        <v>948</v>
      </c>
      <c r="V87" s="3" t="s">
        <v>949</v>
      </c>
      <c r="W87" s="3" t="s">
        <v>950</v>
      </c>
      <c r="X87" s="3" t="s">
        <v>951</v>
      </c>
      <c r="Y87" s="3" t="n">
        <v>1</v>
      </c>
      <c r="Z87" s="3" t="n">
        <v>2</v>
      </c>
      <c r="AA87" s="3" t="n">
        <v>3</v>
      </c>
      <c r="AB87" s="3" t="n">
        <v>1</v>
      </c>
      <c r="AC87" s="3" t="n">
        <v>2</v>
      </c>
      <c r="AD87" s="3" t="n">
        <v>3</v>
      </c>
      <c r="AE87" s="3" t="s">
        <v>952</v>
      </c>
      <c r="AF87" s="3" t="s">
        <v>860</v>
      </c>
      <c r="AG87" s="3"/>
      <c r="AH87" s="3" t="s">
        <v>846</v>
      </c>
      <c r="AI87" s="3"/>
      <c r="AJ87" s="3" t="s">
        <v>59</v>
      </c>
      <c r="AK87" s="3" t="s">
        <v>953</v>
      </c>
      <c r="AL87" s="3"/>
      <c r="AM87" s="3"/>
      <c r="AN87" s="3" t="s">
        <v>954</v>
      </c>
      <c r="AO87" s="3" t="s">
        <v>59</v>
      </c>
      <c r="AP87" s="3"/>
      <c r="AQ87" s="3"/>
      <c r="AR87" s="3"/>
    </row>
    <row r="88" customFormat="false" ht="15" hidden="false" customHeight="true" outlineLevel="0" collapsed="false">
      <c r="A88" s="3" t="s">
        <v>955</v>
      </c>
      <c r="B88" s="3" t="n">
        <v>2</v>
      </c>
      <c r="C88" s="3" t="n">
        <v>30</v>
      </c>
      <c r="D88" s="3"/>
      <c r="E88" s="4"/>
      <c r="F88" s="3" t="n">
        <v>20</v>
      </c>
      <c r="G88" s="3" t="str">
        <f aca="false">IF(F88="","",IF(F88&gt;=Notes!$B$5,"Elderly ("&amp;Notes!$B$5&amp;"+)",IF(F88&lt;=Notes!$B$4,"Student age (≤"&amp;Notes!$B$4&amp;")","Middle-aged ("&amp;(Notes!$B$4+1)&amp;"–"&amp;(Notes!$B$5-1)&amp;")")))</f>
        <v>Student age (≤29)</v>
      </c>
      <c r="H88" s="3" t="s">
        <v>45</v>
      </c>
      <c r="I88" s="3" t="s">
        <v>71</v>
      </c>
      <c r="J88" s="3" t="s">
        <v>47</v>
      </c>
      <c r="K88" s="3" t="s">
        <v>72</v>
      </c>
      <c r="L88" s="3" t="s">
        <v>49</v>
      </c>
      <c r="M88" s="3" t="s">
        <v>47</v>
      </c>
      <c r="N88" s="3" t="s">
        <v>50</v>
      </c>
      <c r="O88" s="3" t="s">
        <v>956</v>
      </c>
      <c r="P88" s="3" t="n">
        <v>35</v>
      </c>
      <c r="Q88" s="3" t="s">
        <v>52</v>
      </c>
      <c r="R88" s="3" t="s">
        <v>957</v>
      </c>
      <c r="S88" s="3" t="s">
        <v>958</v>
      </c>
      <c r="T88" s="3"/>
      <c r="U88" s="3" t="s">
        <v>959</v>
      </c>
      <c r="V88" s="3" t="s">
        <v>960</v>
      </c>
      <c r="W88" s="3" t="s">
        <v>961</v>
      </c>
      <c r="X88" s="3" t="s">
        <v>962</v>
      </c>
      <c r="Y88" s="3" t="n">
        <v>2</v>
      </c>
      <c r="Z88" s="3" t="n">
        <v>1</v>
      </c>
      <c r="AA88" s="3" t="n">
        <v>3</v>
      </c>
      <c r="AB88" s="3" t="n">
        <v>2</v>
      </c>
      <c r="AC88" s="3" t="n">
        <v>3</v>
      </c>
      <c r="AD88" s="3" t="n">
        <v>1</v>
      </c>
      <c r="AE88" s="3" t="s">
        <v>963</v>
      </c>
      <c r="AF88" s="3" t="s">
        <v>847</v>
      </c>
      <c r="AG88" s="3"/>
      <c r="AH88" s="3" t="s">
        <v>847</v>
      </c>
      <c r="AI88" s="3"/>
      <c r="AJ88" s="3" t="s">
        <v>59</v>
      </c>
      <c r="AK88" s="3" t="s">
        <v>964</v>
      </c>
      <c r="AL88" s="3" t="s">
        <v>59</v>
      </c>
      <c r="AM88" s="3"/>
      <c r="AN88" s="3"/>
      <c r="AO88" s="3" t="s">
        <v>59</v>
      </c>
      <c r="AP88" s="3"/>
      <c r="AQ88" s="3"/>
      <c r="AR88" s="3"/>
    </row>
    <row r="89" customFormat="false" ht="15" hidden="false" customHeight="true" outlineLevel="0" collapsed="false">
      <c r="A89" s="3" t="s">
        <v>965</v>
      </c>
      <c r="B89" s="3" t="n">
        <v>2</v>
      </c>
      <c r="C89" s="3" t="n">
        <v>33</v>
      </c>
      <c r="D89" s="3"/>
      <c r="E89" s="4"/>
      <c r="F89" s="3" t="n">
        <v>20</v>
      </c>
      <c r="G89" s="3" t="str">
        <f aca="false">IF(F89="","",IF(F89&gt;=Notes!$B$5,"Elderly ("&amp;Notes!$B$5&amp;"+)",IF(F89&lt;=Notes!$B$4,"Student age (≤"&amp;Notes!$B$4&amp;")","Middle-aged ("&amp;(Notes!$B$4+1)&amp;"–"&amp;(Notes!$B$5-1)&amp;")")))</f>
        <v>Student age (≤29)</v>
      </c>
      <c r="H89" s="3" t="s">
        <v>45</v>
      </c>
      <c r="I89" s="3" t="s">
        <v>61</v>
      </c>
      <c r="J89" s="3" t="s">
        <v>47</v>
      </c>
      <c r="K89" s="3" t="s">
        <v>62</v>
      </c>
      <c r="L89" s="3" t="s">
        <v>49</v>
      </c>
      <c r="M89" s="3" t="s">
        <v>47</v>
      </c>
      <c r="N89" s="3" t="s">
        <v>50</v>
      </c>
      <c r="O89" s="3" t="s">
        <v>966</v>
      </c>
      <c r="P89" s="3" t="n">
        <v>25</v>
      </c>
      <c r="Q89" s="3" t="s">
        <v>117</v>
      </c>
      <c r="R89" s="3" t="s">
        <v>967</v>
      </c>
      <c r="S89" s="3" t="s">
        <v>968</v>
      </c>
      <c r="T89" s="3"/>
      <c r="U89" s="3" t="s">
        <v>98</v>
      </c>
      <c r="V89" s="3" t="s">
        <v>969</v>
      </c>
      <c r="W89" s="3" t="s">
        <v>970</v>
      </c>
      <c r="X89" s="3" t="s">
        <v>971</v>
      </c>
      <c r="Y89" s="3" t="n">
        <v>1</v>
      </c>
      <c r="Z89" s="3" t="n">
        <v>2</v>
      </c>
      <c r="AA89" s="3" t="n">
        <v>3</v>
      </c>
      <c r="AB89" s="3" t="n">
        <v>1</v>
      </c>
      <c r="AC89" s="3" t="n">
        <v>2</v>
      </c>
      <c r="AD89" s="3" t="n">
        <v>3</v>
      </c>
      <c r="AE89" s="3" t="s">
        <v>972</v>
      </c>
      <c r="AF89" s="3" t="s">
        <v>860</v>
      </c>
      <c r="AG89" s="3"/>
      <c r="AH89" s="3" t="s">
        <v>846</v>
      </c>
      <c r="AI89" s="3"/>
      <c r="AJ89" s="3" t="s">
        <v>59</v>
      </c>
      <c r="AK89" s="3" t="s">
        <v>973</v>
      </c>
      <c r="AL89" s="3" t="s">
        <v>59</v>
      </c>
      <c r="AM89" s="3"/>
      <c r="AN89" s="3"/>
      <c r="AO89" s="3" t="s">
        <v>59</v>
      </c>
      <c r="AP89" s="3"/>
      <c r="AQ89" s="3"/>
      <c r="AR89" s="3"/>
    </row>
    <row r="90" customFormat="false" ht="15" hidden="false" customHeight="true" outlineLevel="0" collapsed="false">
      <c r="A90" s="3" t="s">
        <v>974</v>
      </c>
      <c r="B90" s="3" t="n">
        <v>2</v>
      </c>
      <c r="C90" s="3" t="n">
        <v>34</v>
      </c>
      <c r="D90" s="3"/>
      <c r="E90" s="4"/>
      <c r="F90" s="3" t="n">
        <v>22</v>
      </c>
      <c r="G90" s="3" t="str">
        <f aca="false">IF(F90="","",IF(F90&gt;=Notes!$B$5,"Elderly ("&amp;Notes!$B$5&amp;"+)",IF(F90&lt;=Notes!$B$4,"Student age (≤"&amp;Notes!$B$4&amp;")","Middle-aged ("&amp;(Notes!$B$4+1)&amp;"–"&amp;(Notes!$B$5-1)&amp;")")))</f>
        <v>Student age (≤29)</v>
      </c>
      <c r="H90" s="3" t="s">
        <v>45</v>
      </c>
      <c r="I90" s="3" t="s">
        <v>321</v>
      </c>
      <c r="J90" s="3" t="s">
        <v>47</v>
      </c>
      <c r="K90" s="3" t="s">
        <v>322</v>
      </c>
      <c r="L90" s="3" t="s">
        <v>49</v>
      </c>
      <c r="M90" s="3" t="s">
        <v>47</v>
      </c>
      <c r="N90" s="3" t="s">
        <v>50</v>
      </c>
      <c r="O90" s="3" t="s">
        <v>975</v>
      </c>
      <c r="P90" s="3" t="n">
        <v>70</v>
      </c>
      <c r="Q90" s="3" t="s">
        <v>52</v>
      </c>
      <c r="R90" s="3" t="s">
        <v>976</v>
      </c>
      <c r="S90" s="3" t="s">
        <v>977</v>
      </c>
      <c r="T90" s="3"/>
      <c r="U90" s="3" t="s">
        <v>978</v>
      </c>
      <c r="V90" s="3" t="s">
        <v>979</v>
      </c>
      <c r="W90" s="3" t="s">
        <v>980</v>
      </c>
      <c r="X90" s="3" t="s">
        <v>981</v>
      </c>
      <c r="Y90" s="3" t="n">
        <v>2</v>
      </c>
      <c r="Z90" s="3" t="n">
        <v>1</v>
      </c>
      <c r="AA90" s="3" t="n">
        <v>3</v>
      </c>
      <c r="AB90" s="3" t="n">
        <v>3</v>
      </c>
      <c r="AC90" s="3" t="n">
        <v>1</v>
      </c>
      <c r="AD90" s="3" t="n">
        <v>2</v>
      </c>
      <c r="AE90" s="3" t="s">
        <v>982</v>
      </c>
      <c r="AF90" s="3" t="s">
        <v>847</v>
      </c>
      <c r="AG90" s="3"/>
      <c r="AH90" s="3" t="s">
        <v>846</v>
      </c>
      <c r="AI90" s="3"/>
      <c r="AJ90" s="3" t="s">
        <v>59</v>
      </c>
      <c r="AK90" s="3" t="s">
        <v>983</v>
      </c>
      <c r="AL90" s="3" t="s">
        <v>59</v>
      </c>
      <c r="AM90" s="3"/>
      <c r="AN90" s="3"/>
      <c r="AO90" s="3" t="s">
        <v>59</v>
      </c>
      <c r="AP90" s="3"/>
      <c r="AQ90" s="3"/>
      <c r="AR90" s="3"/>
    </row>
    <row r="91" customFormat="false" ht="15" hidden="false" customHeight="true" outlineLevel="0" collapsed="false">
      <c r="A91" s="3" t="s">
        <v>984</v>
      </c>
      <c r="B91" s="3" t="n">
        <v>2</v>
      </c>
      <c r="C91" s="3" t="n">
        <v>37</v>
      </c>
      <c r="D91" s="3"/>
      <c r="E91" s="4"/>
      <c r="F91" s="3" t="n">
        <v>14</v>
      </c>
      <c r="G91" s="3" t="str">
        <f aca="false">IF(F91="","",IF(F91&gt;=Notes!$B$5,"Elderly ("&amp;Notes!$B$5&amp;"+)",IF(F91&lt;=Notes!$B$4,"Student age (≤"&amp;Notes!$B$4&amp;")","Middle-aged ("&amp;(Notes!$B$4+1)&amp;"–"&amp;(Notes!$B$5-1)&amp;")")))</f>
        <v>Student age (≤29)</v>
      </c>
      <c r="H91" s="3" t="s">
        <v>83</v>
      </c>
      <c r="I91" s="3" t="s">
        <v>321</v>
      </c>
      <c r="J91" s="3" t="s">
        <v>47</v>
      </c>
      <c r="K91" s="3" t="s">
        <v>322</v>
      </c>
      <c r="L91" s="3" t="s">
        <v>321</v>
      </c>
      <c r="M91" s="3" t="s">
        <v>47</v>
      </c>
      <c r="N91" s="3" t="s">
        <v>322</v>
      </c>
      <c r="O91" s="3" t="s">
        <v>985</v>
      </c>
      <c r="P91" s="3" t="n">
        <v>40</v>
      </c>
      <c r="Q91" s="3" t="s">
        <v>52</v>
      </c>
      <c r="R91" s="3" t="s">
        <v>986</v>
      </c>
      <c r="S91" s="3" t="s">
        <v>987</v>
      </c>
      <c r="T91" s="3"/>
      <c r="U91" s="3" t="s">
        <v>988</v>
      </c>
      <c r="V91" s="3" t="s">
        <v>989</v>
      </c>
      <c r="W91" s="3" t="s">
        <v>990</v>
      </c>
      <c r="X91" s="3" t="s">
        <v>991</v>
      </c>
      <c r="Y91" s="3" t="n">
        <v>2</v>
      </c>
      <c r="Z91" s="3" t="n">
        <v>1</v>
      </c>
      <c r="AA91" s="3" t="n">
        <v>3</v>
      </c>
      <c r="AB91" s="3" t="n">
        <v>3</v>
      </c>
      <c r="AC91" s="3" t="n">
        <v>1</v>
      </c>
      <c r="AD91" s="3" t="n">
        <v>2</v>
      </c>
      <c r="AE91" s="3" t="s">
        <v>992</v>
      </c>
      <c r="AF91" s="3" t="s">
        <v>847</v>
      </c>
      <c r="AG91" s="3"/>
      <c r="AH91" s="3" t="s">
        <v>846</v>
      </c>
      <c r="AI91" s="3"/>
      <c r="AJ91" s="3" t="s">
        <v>59</v>
      </c>
      <c r="AK91" s="3" t="s">
        <v>993</v>
      </c>
      <c r="AL91" s="3" t="s">
        <v>98</v>
      </c>
      <c r="AM91" s="3"/>
      <c r="AN91" s="3"/>
      <c r="AO91" s="3" t="s">
        <v>59</v>
      </c>
      <c r="AP91" s="3"/>
      <c r="AQ91" s="3"/>
      <c r="AR91" s="3"/>
    </row>
    <row r="92" customFormat="false" ht="15" hidden="false" customHeight="true" outlineLevel="0" collapsed="false">
      <c r="A92" s="3" t="s">
        <v>994</v>
      </c>
      <c r="B92" s="3" t="n">
        <v>2</v>
      </c>
      <c r="C92" s="3" t="n">
        <v>40</v>
      </c>
      <c r="D92" s="3"/>
      <c r="E92" s="4"/>
      <c r="F92" s="3" t="n">
        <v>14</v>
      </c>
      <c r="G92" s="3" t="str">
        <f aca="false">IF(F92="","",IF(F92&gt;=Notes!$B$5,"Elderly ("&amp;Notes!$B$5&amp;"+)",IF(F92&lt;=Notes!$B$4,"Student age (≤"&amp;Notes!$B$4&amp;")","Middle-aged ("&amp;(Notes!$B$4+1)&amp;"–"&amp;(Notes!$B$5-1)&amp;")")))</f>
        <v>Student age (≤29)</v>
      </c>
      <c r="H92" s="3" t="s">
        <v>45</v>
      </c>
      <c r="I92" s="3" t="s">
        <v>321</v>
      </c>
      <c r="J92" s="3" t="s">
        <v>47</v>
      </c>
      <c r="K92" s="3" t="s">
        <v>322</v>
      </c>
      <c r="L92" s="3" t="s">
        <v>321</v>
      </c>
      <c r="M92" s="3" t="s">
        <v>47</v>
      </c>
      <c r="N92" s="3" t="s">
        <v>322</v>
      </c>
      <c r="O92" s="3" t="s">
        <v>995</v>
      </c>
      <c r="P92" s="3" t="n">
        <v>25</v>
      </c>
      <c r="Q92" s="3" t="s">
        <v>117</v>
      </c>
      <c r="R92" s="3" t="s">
        <v>996</v>
      </c>
      <c r="S92" s="3" t="s">
        <v>997</v>
      </c>
      <c r="T92" s="3"/>
      <c r="U92" s="3" t="s">
        <v>998</v>
      </c>
      <c r="V92" s="3" t="s">
        <v>999</v>
      </c>
      <c r="W92" s="3" t="s">
        <v>1000</v>
      </c>
      <c r="X92" s="3" t="s">
        <v>1001</v>
      </c>
      <c r="Y92" s="3" t="n">
        <v>3</v>
      </c>
      <c r="Z92" s="3" t="n">
        <v>1</v>
      </c>
      <c r="AA92" s="3" t="n">
        <v>2</v>
      </c>
      <c r="AB92" s="3" t="n">
        <v>2</v>
      </c>
      <c r="AC92" s="3" t="n">
        <v>3</v>
      </c>
      <c r="AD92" s="3" t="n">
        <v>1</v>
      </c>
      <c r="AE92" s="3" t="s">
        <v>1002</v>
      </c>
      <c r="AF92" s="3" t="s">
        <v>847</v>
      </c>
      <c r="AG92" s="3"/>
      <c r="AH92" s="3" t="s">
        <v>846</v>
      </c>
      <c r="AI92" s="3"/>
      <c r="AJ92" s="3" t="s">
        <v>59</v>
      </c>
      <c r="AK92" s="3" t="s">
        <v>1003</v>
      </c>
      <c r="AL92" s="3" t="s">
        <v>59</v>
      </c>
      <c r="AM92" s="3"/>
      <c r="AN92" s="3"/>
      <c r="AO92" s="3" t="s">
        <v>59</v>
      </c>
      <c r="AP92" s="3"/>
      <c r="AQ92" s="3"/>
      <c r="AR92" s="3"/>
    </row>
    <row r="93" customFormat="false" ht="15" hidden="false" customHeight="true" outlineLevel="0" collapsed="false">
      <c r="A93" s="3" t="s">
        <v>1004</v>
      </c>
      <c r="B93" s="3" t="n">
        <v>2</v>
      </c>
      <c r="C93" s="3" t="n">
        <v>43</v>
      </c>
      <c r="D93" s="3"/>
      <c r="E93" s="4"/>
      <c r="F93" s="3" t="n">
        <v>22</v>
      </c>
      <c r="G93" s="3" t="str">
        <f aca="false">IF(F93="","",IF(F93&gt;=Notes!$B$5,"Elderly ("&amp;Notes!$B$5&amp;"+)",IF(F93&lt;=Notes!$B$4,"Student age (≤"&amp;Notes!$B$4&amp;")","Middle-aged ("&amp;(Notes!$B$4+1)&amp;"–"&amp;(Notes!$B$5-1)&amp;")")))</f>
        <v>Student age (≤29)</v>
      </c>
      <c r="H93" s="3" t="s">
        <v>45</v>
      </c>
      <c r="I93" s="3" t="s">
        <v>321</v>
      </c>
      <c r="J93" s="3" t="s">
        <v>47</v>
      </c>
      <c r="K93" s="3" t="s">
        <v>322</v>
      </c>
      <c r="L93" s="3" t="s">
        <v>321</v>
      </c>
      <c r="M93" s="3" t="s">
        <v>47</v>
      </c>
      <c r="N93" s="3" t="s">
        <v>322</v>
      </c>
      <c r="O93" s="3" t="s">
        <v>1005</v>
      </c>
      <c r="P93" s="3" t="n">
        <v>15</v>
      </c>
      <c r="Q93" s="3" t="s">
        <v>74</v>
      </c>
      <c r="R93" s="3" t="s">
        <v>1006</v>
      </c>
      <c r="S93" s="3" t="s">
        <v>1007</v>
      </c>
      <c r="T93" s="3"/>
      <c r="U93" s="3" t="s">
        <v>1008</v>
      </c>
      <c r="V93" s="3" t="s">
        <v>1009</v>
      </c>
      <c r="W93" s="3" t="s">
        <v>1010</v>
      </c>
      <c r="X93" s="3" t="s">
        <v>1011</v>
      </c>
      <c r="Y93" s="3" t="n">
        <v>1</v>
      </c>
      <c r="Z93" s="3" t="n">
        <v>2</v>
      </c>
      <c r="AA93" s="3" t="n">
        <v>3</v>
      </c>
      <c r="AB93" s="3" t="n">
        <v>3</v>
      </c>
      <c r="AC93" s="3" t="n">
        <v>2</v>
      </c>
      <c r="AD93" s="3" t="n">
        <v>1</v>
      </c>
      <c r="AE93" s="3" t="s">
        <v>1012</v>
      </c>
      <c r="AF93" s="3" t="s">
        <v>860</v>
      </c>
      <c r="AG93" s="3"/>
      <c r="AH93" s="3" t="s">
        <v>846</v>
      </c>
      <c r="AI93" s="3"/>
      <c r="AJ93" s="3" t="s">
        <v>59</v>
      </c>
      <c r="AK93" s="3" t="s">
        <v>1013</v>
      </c>
      <c r="AL93" s="3" t="s">
        <v>59</v>
      </c>
      <c r="AM93" s="3"/>
      <c r="AN93" s="3"/>
      <c r="AO93" s="3" t="s">
        <v>59</v>
      </c>
      <c r="AP93" s="3"/>
      <c r="AQ93" s="3"/>
      <c r="AR93" s="3"/>
    </row>
    <row r="94" customFormat="false" ht="15" hidden="false" customHeight="true" outlineLevel="0" collapsed="false">
      <c r="A94" s="3" t="s">
        <v>1014</v>
      </c>
      <c r="B94" s="3" t="n">
        <v>2</v>
      </c>
      <c r="C94" s="3" t="n">
        <v>44</v>
      </c>
      <c r="D94" s="3"/>
      <c r="E94" s="4"/>
      <c r="F94" s="3" t="n">
        <v>21</v>
      </c>
      <c r="G94" s="3" t="str">
        <f aca="false">IF(F94="","",IF(F94&gt;=Notes!$B$5,"Elderly ("&amp;Notes!$B$5&amp;"+)",IF(F94&lt;=Notes!$B$4,"Student age (≤"&amp;Notes!$B$4&amp;")","Middle-aged ("&amp;(Notes!$B$4+1)&amp;"–"&amp;(Notes!$B$5-1)&amp;")")))</f>
        <v>Student age (≤29)</v>
      </c>
      <c r="H94" s="3" t="s">
        <v>45</v>
      </c>
      <c r="I94" s="3" t="s">
        <v>475</v>
      </c>
      <c r="J94" s="3" t="s">
        <v>47</v>
      </c>
      <c r="K94" s="3" t="s">
        <v>476</v>
      </c>
      <c r="L94" s="3" t="s">
        <v>49</v>
      </c>
      <c r="M94" s="3" t="s">
        <v>47</v>
      </c>
      <c r="N94" s="3" t="s">
        <v>50</v>
      </c>
      <c r="O94" s="3" t="s">
        <v>1015</v>
      </c>
      <c r="P94" s="3" t="n">
        <v>20</v>
      </c>
      <c r="Q94" s="3" t="s">
        <v>95</v>
      </c>
      <c r="R94" s="3" t="s">
        <v>1016</v>
      </c>
      <c r="S94" s="3" t="s">
        <v>1017</v>
      </c>
      <c r="T94" s="3"/>
      <c r="U94" s="3" t="s">
        <v>1018</v>
      </c>
      <c r="V94" s="3" t="s">
        <v>1019</v>
      </c>
      <c r="W94" s="3" t="s">
        <v>1020</v>
      </c>
      <c r="X94" s="3" t="s">
        <v>1021</v>
      </c>
      <c r="Y94" s="3" t="n">
        <v>2</v>
      </c>
      <c r="Z94" s="3" t="n">
        <v>1</v>
      </c>
      <c r="AA94" s="3" t="n">
        <v>3</v>
      </c>
      <c r="AB94" s="3" t="n">
        <v>2</v>
      </c>
      <c r="AC94" s="3" t="n">
        <v>1</v>
      </c>
      <c r="AD94" s="3" t="n">
        <v>3</v>
      </c>
      <c r="AE94" s="3" t="s">
        <v>1022</v>
      </c>
      <c r="AF94" s="3" t="s">
        <v>860</v>
      </c>
      <c r="AG94" s="3"/>
      <c r="AH94" s="3" t="s">
        <v>846</v>
      </c>
      <c r="AI94" s="3"/>
      <c r="AJ94" s="3" t="s">
        <v>59</v>
      </c>
      <c r="AK94" s="3" t="s">
        <v>1023</v>
      </c>
      <c r="AL94" s="3" t="s">
        <v>59</v>
      </c>
      <c r="AM94" s="3"/>
      <c r="AN94" s="3"/>
      <c r="AO94" s="3" t="s">
        <v>59</v>
      </c>
      <c r="AP94" s="3"/>
      <c r="AQ94" s="3"/>
      <c r="AR94" s="3"/>
    </row>
    <row r="95" customFormat="false" ht="15" hidden="false" customHeight="true" outlineLevel="0" collapsed="false">
      <c r="A95" s="3" t="s">
        <v>1024</v>
      </c>
      <c r="B95" s="3" t="n">
        <v>2</v>
      </c>
      <c r="C95" s="3" t="n">
        <v>45</v>
      </c>
      <c r="D95" s="3"/>
      <c r="E95" s="4"/>
      <c r="F95" s="3" t="n">
        <v>48</v>
      </c>
      <c r="G95" s="3" t="str">
        <f aca="false">IF(F95="","",IF(F95&gt;=Notes!$B$5,"Elderly ("&amp;Notes!$B$5&amp;"+)",IF(F95&lt;=Notes!$B$4,"Student age (≤"&amp;Notes!$B$4&amp;")","Middle-aged ("&amp;(Notes!$B$4+1)&amp;"–"&amp;(Notes!$B$5-1)&amp;")")))</f>
        <v>Middle-aged (30–64)</v>
      </c>
      <c r="H95" s="3" t="s">
        <v>45</v>
      </c>
      <c r="I95" s="3"/>
      <c r="J95" s="3" t="s">
        <v>1025</v>
      </c>
      <c r="K95" s="3" t="s">
        <v>1025</v>
      </c>
      <c r="L95" s="3" t="s">
        <v>321</v>
      </c>
      <c r="M95" s="3" t="s">
        <v>47</v>
      </c>
      <c r="N95" s="3" t="s">
        <v>322</v>
      </c>
      <c r="O95" s="3" t="s">
        <v>1026</v>
      </c>
      <c r="P95" s="3" t="n">
        <v>60</v>
      </c>
      <c r="Q95" s="3" t="s">
        <v>52</v>
      </c>
      <c r="R95" s="3" t="s">
        <v>1027</v>
      </c>
      <c r="S95" s="3" t="s">
        <v>1028</v>
      </c>
      <c r="T95" s="3"/>
      <c r="U95" s="3" t="s">
        <v>1029</v>
      </c>
      <c r="V95" s="3" t="s">
        <v>1030</v>
      </c>
      <c r="W95" s="3" t="s">
        <v>1031</v>
      </c>
      <c r="X95" s="3" t="s">
        <v>1032</v>
      </c>
      <c r="Y95" s="3" t="n">
        <v>3</v>
      </c>
      <c r="Z95" s="3" t="n">
        <v>1</v>
      </c>
      <c r="AA95" s="3" t="n">
        <v>2</v>
      </c>
      <c r="AB95" s="3" t="n">
        <v>2</v>
      </c>
      <c r="AC95" s="3" t="n">
        <v>1</v>
      </c>
      <c r="AD95" s="3" t="n">
        <v>3</v>
      </c>
      <c r="AE95" s="3" t="s">
        <v>1033</v>
      </c>
      <c r="AF95" s="3" t="s">
        <v>846</v>
      </c>
      <c r="AG95" s="3"/>
      <c r="AH95" s="3" t="s">
        <v>847</v>
      </c>
      <c r="AI95" s="3"/>
      <c r="AJ95" s="3" t="s">
        <v>59</v>
      </c>
      <c r="AK95" s="3" t="s">
        <v>1034</v>
      </c>
      <c r="AL95" s="3" t="s">
        <v>59</v>
      </c>
      <c r="AM95" s="3"/>
      <c r="AN95" s="3"/>
      <c r="AO95" s="3" t="s">
        <v>59</v>
      </c>
      <c r="AP95" s="3"/>
      <c r="AQ95" s="3"/>
      <c r="AR95" s="3"/>
    </row>
    <row r="96" customFormat="false" ht="15" hidden="false" customHeight="true" outlineLevel="0" collapsed="false">
      <c r="A96" s="3" t="s">
        <v>1035</v>
      </c>
      <c r="B96" s="3" t="n">
        <v>2</v>
      </c>
      <c r="C96" s="3" t="n">
        <v>48</v>
      </c>
      <c r="D96" s="3"/>
      <c r="E96" s="4"/>
      <c r="F96" s="3" t="n">
        <v>22</v>
      </c>
      <c r="G96" s="3" t="str">
        <f aca="false">IF(F96="","",IF(F96&gt;=Notes!$B$5,"Elderly ("&amp;Notes!$B$5&amp;"+)",IF(F96&lt;=Notes!$B$4,"Student age (≤"&amp;Notes!$B$4&amp;")","Middle-aged ("&amp;(Notes!$B$4+1)&amp;"–"&amp;(Notes!$B$5-1)&amp;")")))</f>
        <v>Student age (≤29)</v>
      </c>
      <c r="H96" s="3" t="s">
        <v>45</v>
      </c>
      <c r="I96" s="3" t="s">
        <v>71</v>
      </c>
      <c r="J96" s="3" t="s">
        <v>47</v>
      </c>
      <c r="K96" s="3" t="s">
        <v>72</v>
      </c>
      <c r="L96" s="3" t="s">
        <v>127</v>
      </c>
      <c r="M96" s="3" t="s">
        <v>47</v>
      </c>
      <c r="N96" s="3" t="s">
        <v>128</v>
      </c>
      <c r="O96" s="3" t="s">
        <v>1036</v>
      </c>
      <c r="P96" s="3" t="n">
        <v>40</v>
      </c>
      <c r="Q96" s="3" t="s">
        <v>52</v>
      </c>
      <c r="R96" s="3" t="s">
        <v>1037</v>
      </c>
      <c r="S96" s="3" t="s">
        <v>1038</v>
      </c>
      <c r="T96" s="3"/>
      <c r="U96" s="3" t="s">
        <v>1039</v>
      </c>
      <c r="V96" s="3" t="s">
        <v>1040</v>
      </c>
      <c r="W96" s="3" t="s">
        <v>1041</v>
      </c>
      <c r="X96" s="3" t="s">
        <v>1042</v>
      </c>
      <c r="Y96" s="3" t="n">
        <v>1</v>
      </c>
      <c r="Z96" s="3" t="n">
        <v>2</v>
      </c>
      <c r="AA96" s="3" t="n">
        <v>3</v>
      </c>
      <c r="AB96" s="3" t="n">
        <v>2</v>
      </c>
      <c r="AC96" s="3" t="n">
        <v>3</v>
      </c>
      <c r="AD96" s="3" t="n">
        <v>1</v>
      </c>
      <c r="AE96" s="3" t="s">
        <v>1043</v>
      </c>
      <c r="AF96" s="3" t="s">
        <v>860</v>
      </c>
      <c r="AG96" s="3"/>
      <c r="AH96" s="3" t="s">
        <v>860</v>
      </c>
      <c r="AI96" s="3"/>
      <c r="AJ96" s="3" t="s">
        <v>59</v>
      </c>
      <c r="AK96" s="3" t="s">
        <v>1044</v>
      </c>
      <c r="AL96" s="3" t="s">
        <v>59</v>
      </c>
      <c r="AM96" s="3"/>
      <c r="AN96" s="3"/>
      <c r="AO96" s="3" t="s">
        <v>59</v>
      </c>
      <c r="AP96" s="3"/>
      <c r="AQ96" s="3"/>
      <c r="AR96" s="3"/>
    </row>
    <row r="97" customFormat="false" ht="15" hidden="false" customHeight="true" outlineLevel="0" collapsed="false">
      <c r="A97" s="3" t="s">
        <v>1045</v>
      </c>
      <c r="B97" s="3" t="n">
        <v>2</v>
      </c>
      <c r="C97" s="3" t="n">
        <v>49</v>
      </c>
      <c r="D97" s="3"/>
      <c r="E97" s="4"/>
      <c r="F97" s="3" t="n">
        <v>21</v>
      </c>
      <c r="G97" s="3" t="str">
        <f aca="false">IF(F97="","",IF(F97&gt;=Notes!$B$5,"Elderly ("&amp;Notes!$B$5&amp;"+)",IF(F97&lt;=Notes!$B$4,"Student age (≤"&amp;Notes!$B$4&amp;")","Middle-aged ("&amp;(Notes!$B$4+1)&amp;"–"&amp;(Notes!$B$5-1)&amp;")")))</f>
        <v>Student age (≤29)</v>
      </c>
      <c r="H97" s="3" t="s">
        <v>83</v>
      </c>
      <c r="I97" s="3" t="s">
        <v>532</v>
      </c>
      <c r="J97" s="3" t="s">
        <v>47</v>
      </c>
      <c r="K97" s="3" t="s">
        <v>533</v>
      </c>
      <c r="L97" s="3" t="s">
        <v>49</v>
      </c>
      <c r="M97" s="3" t="s">
        <v>47</v>
      </c>
      <c r="N97" s="3" t="s">
        <v>50</v>
      </c>
      <c r="O97" s="3" t="s">
        <v>1046</v>
      </c>
      <c r="P97" s="3" t="n">
        <v>25</v>
      </c>
      <c r="Q97" s="3" t="s">
        <v>117</v>
      </c>
      <c r="R97" s="3" t="s">
        <v>1047</v>
      </c>
      <c r="S97" s="3" t="s">
        <v>1048</v>
      </c>
      <c r="T97" s="3"/>
      <c r="U97" s="3" t="s">
        <v>571</v>
      </c>
      <c r="V97" s="3" t="s">
        <v>1049</v>
      </c>
      <c r="W97" s="3" t="s">
        <v>1050</v>
      </c>
      <c r="X97" s="3" t="s">
        <v>1051</v>
      </c>
      <c r="Y97" s="3" t="n">
        <v>1</v>
      </c>
      <c r="Z97" s="3" t="n">
        <v>2</v>
      </c>
      <c r="AA97" s="3" t="n">
        <v>3</v>
      </c>
      <c r="AB97" s="3" t="n">
        <v>1</v>
      </c>
      <c r="AC97" s="3" t="n">
        <v>3</v>
      </c>
      <c r="AD97" s="3" t="n">
        <v>2</v>
      </c>
      <c r="AE97" s="3" t="s">
        <v>1052</v>
      </c>
      <c r="AF97" s="3" t="s">
        <v>846</v>
      </c>
      <c r="AG97" s="3"/>
      <c r="AH97" s="3" t="s">
        <v>860</v>
      </c>
      <c r="AI97" s="3"/>
      <c r="AJ97" s="3" t="s">
        <v>59</v>
      </c>
      <c r="AK97" s="3" t="s">
        <v>1053</v>
      </c>
      <c r="AL97" s="3" t="s">
        <v>59</v>
      </c>
      <c r="AM97" s="3"/>
      <c r="AN97" s="3"/>
      <c r="AO97" s="3" t="s">
        <v>59</v>
      </c>
      <c r="AP97" s="3"/>
      <c r="AQ97" s="3"/>
      <c r="AR97" s="3"/>
    </row>
    <row r="98" customFormat="false" ht="15" hidden="false" customHeight="true" outlineLevel="0" collapsed="false">
      <c r="A98" s="3" t="s">
        <v>1054</v>
      </c>
      <c r="B98" s="3" t="n">
        <v>2</v>
      </c>
      <c r="C98" s="3" t="n">
        <v>52</v>
      </c>
      <c r="D98" s="3"/>
      <c r="E98" s="4"/>
      <c r="F98" s="3" t="n">
        <v>21</v>
      </c>
      <c r="G98" s="3" t="str">
        <f aca="false">IF(F98="","",IF(F98&gt;=Notes!$B$5,"Elderly ("&amp;Notes!$B$5&amp;"+)",IF(F98&lt;=Notes!$B$4,"Student age (≤"&amp;Notes!$B$4&amp;")","Middle-aged ("&amp;(Notes!$B$4+1)&amp;"–"&amp;(Notes!$B$5-1)&amp;")")))</f>
        <v>Student age (≤29)</v>
      </c>
      <c r="H98" s="3" t="s">
        <v>45</v>
      </c>
      <c r="I98" s="3" t="s">
        <v>159</v>
      </c>
      <c r="J98" s="3" t="s">
        <v>47</v>
      </c>
      <c r="K98" s="3" t="s">
        <v>160</v>
      </c>
      <c r="L98" s="3" t="s">
        <v>49</v>
      </c>
      <c r="M98" s="3" t="s">
        <v>47</v>
      </c>
      <c r="N98" s="3" t="s">
        <v>50</v>
      </c>
      <c r="O98" s="3" t="s">
        <v>1055</v>
      </c>
      <c r="P98" s="3" t="n">
        <v>30</v>
      </c>
      <c r="Q98" s="3" t="s">
        <v>117</v>
      </c>
      <c r="R98" s="3" t="s">
        <v>1056</v>
      </c>
      <c r="S98" s="3" t="s">
        <v>1057</v>
      </c>
      <c r="T98" s="3"/>
      <c r="U98" s="3" t="s">
        <v>1058</v>
      </c>
      <c r="V98" s="3" t="s">
        <v>1059</v>
      </c>
      <c r="W98" s="3" t="s">
        <v>1060</v>
      </c>
      <c r="X98" s="3" t="s">
        <v>1061</v>
      </c>
      <c r="Y98" s="3" t="n">
        <v>1</v>
      </c>
      <c r="Z98" s="3" t="n">
        <v>2</v>
      </c>
      <c r="AA98" s="3" t="n">
        <v>3</v>
      </c>
      <c r="AB98" s="3" t="n">
        <v>1</v>
      </c>
      <c r="AC98" s="3" t="n">
        <v>2</v>
      </c>
      <c r="AD98" s="3" t="n">
        <v>3</v>
      </c>
      <c r="AE98" s="3" t="s">
        <v>1062</v>
      </c>
      <c r="AF98" s="3" t="s">
        <v>860</v>
      </c>
      <c r="AG98" s="3"/>
      <c r="AH98" s="3" t="s">
        <v>846</v>
      </c>
      <c r="AI98" s="3"/>
      <c r="AJ98" s="3" t="s">
        <v>59</v>
      </c>
      <c r="AK98" s="3" t="s">
        <v>1063</v>
      </c>
      <c r="AL98" s="3" t="s">
        <v>59</v>
      </c>
      <c r="AM98" s="3"/>
      <c r="AN98" s="3"/>
      <c r="AO98" s="3" t="s">
        <v>59</v>
      </c>
      <c r="AP98" s="3"/>
      <c r="AQ98" s="3"/>
      <c r="AR98" s="3"/>
    </row>
    <row r="99" customFormat="false" ht="15" hidden="false" customHeight="true" outlineLevel="0" collapsed="false">
      <c r="A99" s="3" t="s">
        <v>1064</v>
      </c>
      <c r="B99" s="3" t="n">
        <v>2</v>
      </c>
      <c r="C99" s="3" t="n">
        <v>55</v>
      </c>
      <c r="D99" s="3"/>
      <c r="E99" s="4"/>
      <c r="F99" s="3" t="n">
        <v>21</v>
      </c>
      <c r="G99" s="3" t="str">
        <f aca="false">IF(F99="","",IF(F99&gt;=Notes!$B$5,"Elderly ("&amp;Notes!$B$5&amp;"+)",IF(F99&lt;=Notes!$B$4,"Student age (≤"&amp;Notes!$B$4&amp;")","Middle-aged ("&amp;(Notes!$B$4+1)&amp;"–"&amp;(Notes!$B$5-1)&amp;")")))</f>
        <v>Student age (≤29)</v>
      </c>
      <c r="H99" s="3" t="s">
        <v>45</v>
      </c>
      <c r="I99" s="3" t="s">
        <v>289</v>
      </c>
      <c r="J99" s="3" t="s">
        <v>47</v>
      </c>
      <c r="K99" s="3" t="s">
        <v>290</v>
      </c>
      <c r="L99" s="3" t="s">
        <v>49</v>
      </c>
      <c r="M99" s="3" t="s">
        <v>47</v>
      </c>
      <c r="N99" s="3" t="s">
        <v>50</v>
      </c>
      <c r="O99" s="3" t="s">
        <v>1065</v>
      </c>
      <c r="P99" s="3" t="n">
        <v>20</v>
      </c>
      <c r="Q99" s="3" t="s">
        <v>95</v>
      </c>
      <c r="R99" s="3" t="s">
        <v>1066</v>
      </c>
      <c r="S99" s="3" t="s">
        <v>1067</v>
      </c>
      <c r="T99" s="3"/>
      <c r="U99" s="3" t="s">
        <v>895</v>
      </c>
      <c r="V99" s="3" t="s">
        <v>1068</v>
      </c>
      <c r="W99" s="3" t="s">
        <v>1069</v>
      </c>
      <c r="X99" s="3" t="s">
        <v>1070</v>
      </c>
      <c r="Y99" s="3" t="n">
        <v>2</v>
      </c>
      <c r="Z99" s="3" t="n">
        <v>1</v>
      </c>
      <c r="AA99" s="3" t="n">
        <v>3</v>
      </c>
      <c r="AB99" s="3" t="n">
        <v>1</v>
      </c>
      <c r="AC99" s="3" t="n">
        <v>3</v>
      </c>
      <c r="AD99" s="3" t="n">
        <v>2</v>
      </c>
      <c r="AE99" s="3" t="s">
        <v>1071</v>
      </c>
      <c r="AF99" s="3" t="s">
        <v>847</v>
      </c>
      <c r="AG99" s="3"/>
      <c r="AH99" s="3" t="s">
        <v>846</v>
      </c>
      <c r="AI99" s="3"/>
      <c r="AJ99" s="3" t="s">
        <v>59</v>
      </c>
      <c r="AK99" s="3" t="s">
        <v>1072</v>
      </c>
      <c r="AL99" s="3" t="s">
        <v>59</v>
      </c>
      <c r="AM99" s="3"/>
      <c r="AN99" s="3"/>
      <c r="AO99" s="3" t="s">
        <v>59</v>
      </c>
      <c r="AP99" s="3"/>
      <c r="AQ99" s="3"/>
      <c r="AR99" s="3"/>
    </row>
    <row r="100" customFormat="false" ht="15" hidden="false" customHeight="true" outlineLevel="0" collapsed="false">
      <c r="A100" s="3" t="s">
        <v>1073</v>
      </c>
      <c r="B100" s="3" t="n">
        <v>2</v>
      </c>
      <c r="C100" s="3" t="n">
        <v>56</v>
      </c>
      <c r="D100" s="3"/>
      <c r="E100" s="4"/>
      <c r="F100" s="3" t="n">
        <v>54</v>
      </c>
      <c r="G100" s="3" t="str">
        <f aca="false">IF(F100="","",IF(F100&gt;=Notes!$B$5,"Elderly ("&amp;Notes!$B$5&amp;"+)",IF(F100&lt;=Notes!$B$4,"Student age (≤"&amp;Notes!$B$4&amp;")","Middle-aged ("&amp;(Notes!$B$4+1)&amp;"–"&amp;(Notes!$B$5-1)&amp;")")))</f>
        <v>Middle-aged (30–64)</v>
      </c>
      <c r="H100" s="3" t="s">
        <v>45</v>
      </c>
      <c r="I100" s="3" t="s">
        <v>532</v>
      </c>
      <c r="J100" s="3" t="s">
        <v>47</v>
      </c>
      <c r="K100" s="3" t="s">
        <v>533</v>
      </c>
      <c r="L100" s="3" t="s">
        <v>532</v>
      </c>
      <c r="M100" s="3" t="s">
        <v>47</v>
      </c>
      <c r="N100" s="3" t="s">
        <v>533</v>
      </c>
      <c r="O100" s="3" t="s">
        <v>1074</v>
      </c>
      <c r="P100" s="3" t="n">
        <v>25</v>
      </c>
      <c r="Q100" s="3" t="s">
        <v>117</v>
      </c>
      <c r="R100" s="3" t="s">
        <v>1075</v>
      </c>
      <c r="S100" s="3" t="s">
        <v>1076</v>
      </c>
      <c r="T100" s="3"/>
      <c r="U100" s="3" t="s">
        <v>1077</v>
      </c>
      <c r="V100" s="3" t="s">
        <v>1078</v>
      </c>
      <c r="W100" s="3" t="s">
        <v>1079</v>
      </c>
      <c r="X100" s="3" t="s">
        <v>1080</v>
      </c>
      <c r="Y100" s="3" t="n">
        <v>1</v>
      </c>
      <c r="Z100" s="3" t="n">
        <v>2</v>
      </c>
      <c r="AA100" s="3" t="n">
        <v>3</v>
      </c>
      <c r="AB100" s="3" t="n">
        <v>2</v>
      </c>
      <c r="AC100" s="3" t="n">
        <v>1</v>
      </c>
      <c r="AD100" s="3" t="n">
        <v>3</v>
      </c>
      <c r="AE100" s="3" t="s">
        <v>1081</v>
      </c>
      <c r="AF100" s="3" t="s">
        <v>860</v>
      </c>
      <c r="AG100" s="3"/>
      <c r="AH100" s="3" t="s">
        <v>846</v>
      </c>
      <c r="AI100" s="3"/>
      <c r="AJ100" s="3" t="s">
        <v>59</v>
      </c>
      <c r="AK100" s="3" t="s">
        <v>1082</v>
      </c>
      <c r="AL100" s="3" t="s">
        <v>59</v>
      </c>
      <c r="AM100" s="3"/>
      <c r="AN100" s="3"/>
      <c r="AO100" s="3" t="s">
        <v>59</v>
      </c>
      <c r="AP100" s="3"/>
      <c r="AQ100" s="3"/>
      <c r="AR100" s="3"/>
    </row>
    <row r="101" customFormat="false" ht="15" hidden="false" customHeight="true" outlineLevel="0" collapsed="false">
      <c r="A101" s="3" t="s">
        <v>1083</v>
      </c>
      <c r="B101" s="3" t="n">
        <v>2</v>
      </c>
      <c r="C101" s="3" t="n">
        <v>57</v>
      </c>
      <c r="D101" s="3"/>
      <c r="E101" s="4"/>
      <c r="F101" s="3" t="n">
        <v>21</v>
      </c>
      <c r="G101" s="3" t="str">
        <f aca="false">IF(F101="","",IF(F101&gt;=Notes!$B$5,"Elderly ("&amp;Notes!$B$5&amp;"+)",IF(F101&lt;=Notes!$B$4,"Student age (≤"&amp;Notes!$B$4&amp;")","Middle-aged ("&amp;(Notes!$B$4+1)&amp;"–"&amp;(Notes!$B$5-1)&amp;")")))</f>
        <v>Student age (≤29)</v>
      </c>
      <c r="H101" s="3" t="s">
        <v>83</v>
      </c>
      <c r="I101" s="3"/>
      <c r="J101" s="3" t="s">
        <v>1084</v>
      </c>
      <c r="K101" s="3" t="s">
        <v>1084</v>
      </c>
      <c r="L101" s="3" t="s">
        <v>49</v>
      </c>
      <c r="M101" s="3" t="s">
        <v>47</v>
      </c>
      <c r="N101" s="3" t="s">
        <v>50</v>
      </c>
      <c r="O101" s="3" t="s">
        <v>1085</v>
      </c>
      <c r="P101" s="3" t="n">
        <v>38</v>
      </c>
      <c r="Q101" s="3" t="s">
        <v>52</v>
      </c>
      <c r="R101" s="3" t="s">
        <v>1086</v>
      </c>
      <c r="S101" s="3" t="s">
        <v>1087</v>
      </c>
      <c r="T101" s="3"/>
      <c r="U101" s="3" t="s">
        <v>1088</v>
      </c>
      <c r="V101" s="3" t="s">
        <v>1089</v>
      </c>
      <c r="W101" s="3" t="s">
        <v>1090</v>
      </c>
      <c r="X101" s="3" t="s">
        <v>1091</v>
      </c>
      <c r="Y101" s="3" t="n">
        <v>2</v>
      </c>
      <c r="Z101" s="3" t="n">
        <v>1</v>
      </c>
      <c r="AA101" s="3" t="n">
        <v>3</v>
      </c>
      <c r="AB101" s="3" t="n">
        <v>2</v>
      </c>
      <c r="AC101" s="3" t="n">
        <v>1</v>
      </c>
      <c r="AD101" s="3" t="n">
        <v>3</v>
      </c>
      <c r="AE101" s="3" t="s">
        <v>1092</v>
      </c>
      <c r="AF101" s="3" t="s">
        <v>847</v>
      </c>
      <c r="AG101" s="3"/>
      <c r="AH101" s="3" t="s">
        <v>847</v>
      </c>
      <c r="AI101" s="3"/>
      <c r="AJ101" s="3" t="s">
        <v>59</v>
      </c>
      <c r="AK101" s="3" t="s">
        <v>1093</v>
      </c>
      <c r="AL101" s="3" t="s">
        <v>59</v>
      </c>
      <c r="AM101" s="3"/>
      <c r="AN101" s="3"/>
      <c r="AO101" s="3" t="s">
        <v>59</v>
      </c>
      <c r="AP101" s="3"/>
      <c r="AQ101" s="3"/>
      <c r="AR101" s="3"/>
    </row>
    <row r="102" customFormat="false" ht="15" hidden="false" customHeight="true" outlineLevel="0" collapsed="false">
      <c r="A102" s="3" t="s">
        <v>1094</v>
      </c>
      <c r="B102" s="3" t="n">
        <v>2</v>
      </c>
      <c r="C102" s="3" t="n">
        <v>58</v>
      </c>
      <c r="D102" s="3"/>
      <c r="E102" s="4"/>
      <c r="F102" s="3" t="n">
        <v>21</v>
      </c>
      <c r="G102" s="3" t="str">
        <f aca="false">IF(F102="","",IF(F102&gt;=Notes!$B$5,"Elderly ("&amp;Notes!$B$5&amp;"+)",IF(F102&lt;=Notes!$B$4,"Student age (≤"&amp;Notes!$B$4&amp;")","Middle-aged ("&amp;(Notes!$B$4+1)&amp;"–"&amp;(Notes!$B$5-1)&amp;")")))</f>
        <v>Student age (≤29)</v>
      </c>
      <c r="H102" s="3" t="s">
        <v>83</v>
      </c>
      <c r="I102" s="3" t="s">
        <v>532</v>
      </c>
      <c r="J102" s="3" t="s">
        <v>47</v>
      </c>
      <c r="K102" s="3" t="s">
        <v>533</v>
      </c>
      <c r="L102" s="3" t="s">
        <v>71</v>
      </c>
      <c r="M102" s="3" t="s">
        <v>47</v>
      </c>
      <c r="N102" s="3" t="s">
        <v>72</v>
      </c>
      <c r="O102" s="3" t="s">
        <v>1095</v>
      </c>
      <c r="P102" s="3" t="n">
        <v>37</v>
      </c>
      <c r="Q102" s="3" t="s">
        <v>52</v>
      </c>
      <c r="R102" s="3" t="s">
        <v>1096</v>
      </c>
      <c r="S102" s="3" t="s">
        <v>1097</v>
      </c>
      <c r="T102" s="3"/>
      <c r="U102" s="3" t="s">
        <v>1098</v>
      </c>
      <c r="V102" s="3" t="s">
        <v>1099</v>
      </c>
      <c r="W102" s="3" t="s">
        <v>1100</v>
      </c>
      <c r="X102" s="3" t="s">
        <v>1101</v>
      </c>
      <c r="Y102" s="3" t="n">
        <v>2</v>
      </c>
      <c r="Z102" s="3" t="n">
        <v>1</v>
      </c>
      <c r="AA102" s="3" t="n">
        <v>3</v>
      </c>
      <c r="AB102" s="3" t="n">
        <v>2</v>
      </c>
      <c r="AC102" s="3" t="n">
        <v>1</v>
      </c>
      <c r="AD102" s="3" t="n">
        <v>3</v>
      </c>
      <c r="AE102" s="3" t="s">
        <v>1102</v>
      </c>
      <c r="AF102" s="3" t="s">
        <v>846</v>
      </c>
      <c r="AG102" s="3"/>
      <c r="AH102" s="3" t="s">
        <v>847</v>
      </c>
      <c r="AI102" s="3"/>
      <c r="AJ102" s="3" t="s">
        <v>59</v>
      </c>
      <c r="AK102" s="3" t="s">
        <v>1103</v>
      </c>
      <c r="AL102" s="3" t="s">
        <v>59</v>
      </c>
      <c r="AM102" s="3"/>
      <c r="AN102" s="3"/>
      <c r="AO102" s="3" t="s">
        <v>59</v>
      </c>
      <c r="AP102" s="3"/>
      <c r="AQ102" s="3"/>
      <c r="AR102" s="3"/>
    </row>
    <row r="103" customFormat="false" ht="15" hidden="false" customHeight="true" outlineLevel="0" collapsed="false">
      <c r="A103" s="3" t="s">
        <v>1104</v>
      </c>
      <c r="B103" s="3" t="n">
        <v>2</v>
      </c>
      <c r="C103" s="3" t="n">
        <v>61</v>
      </c>
      <c r="D103" s="3"/>
      <c r="E103" s="4"/>
      <c r="F103" s="3" t="n">
        <v>56</v>
      </c>
      <c r="G103" s="3" t="str">
        <f aca="false">IF(F103="","",IF(F103&gt;=Notes!$B$5,"Elderly ("&amp;Notes!$B$5&amp;"+)",IF(F103&lt;=Notes!$B$4,"Student age (≤"&amp;Notes!$B$4&amp;")","Middle-aged ("&amp;(Notes!$B$4+1)&amp;"–"&amp;(Notes!$B$5-1)&amp;")")))</f>
        <v>Middle-aged (30–64)</v>
      </c>
      <c r="H103" s="3" t="s">
        <v>83</v>
      </c>
      <c r="I103" s="3" t="s">
        <v>114</v>
      </c>
      <c r="J103" s="3" t="s">
        <v>47</v>
      </c>
      <c r="K103" s="3" t="s">
        <v>115</v>
      </c>
      <c r="L103" s="3" t="s">
        <v>532</v>
      </c>
      <c r="M103" s="3" t="s">
        <v>47</v>
      </c>
      <c r="N103" s="3" t="s">
        <v>533</v>
      </c>
      <c r="O103" s="3" t="s">
        <v>1105</v>
      </c>
      <c r="P103" s="3" t="n">
        <v>20</v>
      </c>
      <c r="Q103" s="3" t="s">
        <v>95</v>
      </c>
      <c r="R103" s="3" t="s">
        <v>1106</v>
      </c>
      <c r="S103" s="3" t="s">
        <v>1106</v>
      </c>
      <c r="T103" s="3"/>
      <c r="U103" s="3" t="s">
        <v>1107</v>
      </c>
      <c r="V103" s="3" t="s">
        <v>1108</v>
      </c>
      <c r="W103" s="3" t="s">
        <v>1109</v>
      </c>
      <c r="X103" s="3" t="s">
        <v>1110</v>
      </c>
      <c r="Y103" s="3" t="n">
        <v>3</v>
      </c>
      <c r="Z103" s="3" t="n">
        <v>1</v>
      </c>
      <c r="AA103" s="3" t="n">
        <v>2</v>
      </c>
      <c r="AB103" s="3" t="n">
        <v>3</v>
      </c>
      <c r="AC103" s="3" t="n">
        <v>1</v>
      </c>
      <c r="AD103" s="3" t="n">
        <v>2</v>
      </c>
      <c r="AE103" s="3" t="s">
        <v>1111</v>
      </c>
      <c r="AF103" s="3" t="s">
        <v>847</v>
      </c>
      <c r="AG103" s="3"/>
      <c r="AH103" s="3" t="s">
        <v>847</v>
      </c>
      <c r="AI103" s="3"/>
      <c r="AJ103" s="3" t="s">
        <v>59</v>
      </c>
      <c r="AK103" s="3" t="s">
        <v>1112</v>
      </c>
      <c r="AL103" s="3" t="s">
        <v>59</v>
      </c>
      <c r="AM103" s="3"/>
      <c r="AN103" s="3"/>
      <c r="AO103" s="3" t="s">
        <v>59</v>
      </c>
      <c r="AP103" s="3"/>
      <c r="AQ103" s="3"/>
      <c r="AR103" s="3"/>
    </row>
    <row r="104" customFormat="false" ht="15" hidden="false" customHeight="true" outlineLevel="0" collapsed="false">
      <c r="A104" s="3" t="s">
        <v>1113</v>
      </c>
      <c r="B104" s="3" t="n">
        <v>2</v>
      </c>
      <c r="C104" s="3" t="n">
        <v>64</v>
      </c>
      <c r="D104" s="3"/>
      <c r="E104" s="4"/>
      <c r="F104" s="3" t="n">
        <v>22</v>
      </c>
      <c r="G104" s="3" t="str">
        <f aca="false">IF(F104="","",IF(F104&gt;=Notes!$B$5,"Elderly ("&amp;Notes!$B$5&amp;"+)",IF(F104&lt;=Notes!$B$4,"Student age (≤"&amp;Notes!$B$4&amp;")","Middle-aged ("&amp;(Notes!$B$4+1)&amp;"–"&amp;(Notes!$B$5-1)&amp;")")))</f>
        <v>Student age (≤29)</v>
      </c>
      <c r="H104" s="3" t="s">
        <v>83</v>
      </c>
      <c r="I104" s="3" t="s">
        <v>71</v>
      </c>
      <c r="J104" s="3" t="s">
        <v>47</v>
      </c>
      <c r="K104" s="3" t="s">
        <v>72</v>
      </c>
      <c r="L104" s="3" t="s">
        <v>49</v>
      </c>
      <c r="M104" s="3" t="s">
        <v>47</v>
      </c>
      <c r="N104" s="3" t="s">
        <v>50</v>
      </c>
      <c r="O104" s="3" t="s">
        <v>1114</v>
      </c>
      <c r="P104" s="3" t="n">
        <v>25</v>
      </c>
      <c r="Q104" s="3" t="s">
        <v>117</v>
      </c>
      <c r="R104" s="3" t="s">
        <v>1115</v>
      </c>
      <c r="S104" s="3" t="s">
        <v>1116</v>
      </c>
      <c r="T104" s="3"/>
      <c r="U104" s="3" t="s">
        <v>1117</v>
      </c>
      <c r="V104" s="3" t="s">
        <v>1118</v>
      </c>
      <c r="W104" s="3" t="s">
        <v>1119</v>
      </c>
      <c r="X104" s="3" t="s">
        <v>1120</v>
      </c>
      <c r="Y104" s="3" t="n">
        <v>3</v>
      </c>
      <c r="Z104" s="3" t="n">
        <v>2</v>
      </c>
      <c r="AA104" s="3" t="n">
        <v>1</v>
      </c>
      <c r="AB104" s="3" t="n">
        <v>3</v>
      </c>
      <c r="AC104" s="3" t="n">
        <v>2</v>
      </c>
      <c r="AD104" s="3" t="n">
        <v>1</v>
      </c>
      <c r="AE104" s="3" t="s">
        <v>1121</v>
      </c>
      <c r="AF104" s="3" t="s">
        <v>846</v>
      </c>
      <c r="AG104" s="3"/>
      <c r="AH104" s="3" t="s">
        <v>846</v>
      </c>
      <c r="AI104" s="3"/>
      <c r="AJ104" s="3" t="s">
        <v>59</v>
      </c>
      <c r="AK104" s="3" t="s">
        <v>1122</v>
      </c>
      <c r="AL104" s="3" t="s">
        <v>59</v>
      </c>
      <c r="AM104" s="3"/>
      <c r="AN104" s="3"/>
      <c r="AO104" s="3" t="s">
        <v>59</v>
      </c>
      <c r="AP104" s="3"/>
      <c r="AQ104" s="3"/>
      <c r="AR104" s="3"/>
    </row>
    <row r="105" customFormat="false" ht="15" hidden="false" customHeight="true" outlineLevel="0" collapsed="false">
      <c r="A105" s="3" t="s">
        <v>1123</v>
      </c>
      <c r="B105" s="3" t="n">
        <v>2</v>
      </c>
      <c r="C105" s="3" t="n">
        <v>65</v>
      </c>
      <c r="D105" s="3"/>
      <c r="E105" s="4"/>
      <c r="F105" s="3" t="n">
        <v>21</v>
      </c>
      <c r="G105" s="3" t="str">
        <f aca="false">IF(F105="","",IF(F105&gt;=Notes!$B$5,"Elderly ("&amp;Notes!$B$5&amp;"+)",IF(F105&lt;=Notes!$B$4,"Student age (≤"&amp;Notes!$B$4&amp;")","Middle-aged ("&amp;(Notes!$B$4+1)&amp;"–"&amp;(Notes!$B$5-1)&amp;")")))</f>
        <v>Student age (≤29)</v>
      </c>
      <c r="H105" s="3" t="s">
        <v>83</v>
      </c>
      <c r="I105" s="3" t="s">
        <v>49</v>
      </c>
      <c r="J105" s="3" t="s">
        <v>47</v>
      </c>
      <c r="K105" s="3" t="s">
        <v>50</v>
      </c>
      <c r="L105" s="3" t="s">
        <v>49</v>
      </c>
      <c r="M105" s="3" t="s">
        <v>47</v>
      </c>
      <c r="N105" s="3" t="s">
        <v>50</v>
      </c>
      <c r="O105" s="3" t="s">
        <v>1124</v>
      </c>
      <c r="P105" s="3" t="n">
        <v>20</v>
      </c>
      <c r="Q105" s="3" t="s">
        <v>95</v>
      </c>
      <c r="R105" s="3" t="s">
        <v>1125</v>
      </c>
      <c r="S105" s="3" t="s">
        <v>1126</v>
      </c>
      <c r="T105" s="3"/>
      <c r="U105" s="3" t="s">
        <v>59</v>
      </c>
      <c r="V105" s="3" t="s">
        <v>1127</v>
      </c>
      <c r="W105" s="3" t="s">
        <v>1128</v>
      </c>
      <c r="X105" s="3" t="s">
        <v>1129</v>
      </c>
      <c r="Y105" s="3" t="n">
        <v>3</v>
      </c>
      <c r="Z105" s="3" t="n">
        <v>1</v>
      </c>
      <c r="AA105" s="3" t="n">
        <v>2</v>
      </c>
      <c r="AB105" s="3" t="n">
        <v>3</v>
      </c>
      <c r="AC105" s="3" t="n">
        <v>1</v>
      </c>
      <c r="AD105" s="3" t="n">
        <v>2</v>
      </c>
      <c r="AE105" s="3" t="s">
        <v>1130</v>
      </c>
      <c r="AF105" s="3" t="s">
        <v>846</v>
      </c>
      <c r="AG105" s="3"/>
      <c r="AH105" s="3" t="s">
        <v>847</v>
      </c>
      <c r="AI105" s="3"/>
      <c r="AJ105" s="3" t="s">
        <v>59</v>
      </c>
      <c r="AK105" s="3" t="s">
        <v>1131</v>
      </c>
      <c r="AL105" s="3" t="s">
        <v>59</v>
      </c>
      <c r="AM105" s="3"/>
      <c r="AN105" s="3"/>
      <c r="AO105" s="3" t="s">
        <v>59</v>
      </c>
      <c r="AP105" s="3"/>
      <c r="AQ105" s="3"/>
      <c r="AR105" s="3"/>
    </row>
    <row r="106" customFormat="false" ht="15" hidden="false" customHeight="true" outlineLevel="0" collapsed="false">
      <c r="A106" s="3" t="s">
        <v>1132</v>
      </c>
      <c r="B106" s="3" t="n">
        <v>2</v>
      </c>
      <c r="C106" s="3" t="n">
        <v>66</v>
      </c>
      <c r="D106" s="3"/>
      <c r="E106" s="4"/>
      <c r="F106" s="3" t="n">
        <v>22</v>
      </c>
      <c r="G106" s="3" t="str">
        <f aca="false">IF(F106="","",IF(F106&gt;=Notes!$B$5,"Elderly ("&amp;Notes!$B$5&amp;"+)",IF(F106&lt;=Notes!$B$4,"Student age (≤"&amp;Notes!$B$4&amp;")","Middle-aged ("&amp;(Notes!$B$4+1)&amp;"–"&amp;(Notes!$B$5-1)&amp;")")))</f>
        <v>Student age (≤29)</v>
      </c>
      <c r="H106" s="3" t="s">
        <v>83</v>
      </c>
      <c r="I106" s="3" t="s">
        <v>532</v>
      </c>
      <c r="J106" s="3" t="s">
        <v>47</v>
      </c>
      <c r="K106" s="3" t="s">
        <v>533</v>
      </c>
      <c r="L106" s="3" t="s">
        <v>71</v>
      </c>
      <c r="M106" s="3" t="s">
        <v>47</v>
      </c>
      <c r="N106" s="3" t="s">
        <v>72</v>
      </c>
      <c r="O106" s="3" t="s">
        <v>1133</v>
      </c>
      <c r="P106" s="3" t="n">
        <v>20</v>
      </c>
      <c r="Q106" s="3" t="s">
        <v>95</v>
      </c>
      <c r="R106" s="3" t="s">
        <v>1134</v>
      </c>
      <c r="S106" s="3" t="s">
        <v>1135</v>
      </c>
      <c r="T106" s="3"/>
      <c r="U106" s="3" t="s">
        <v>98</v>
      </c>
      <c r="V106" s="3" t="s">
        <v>1136</v>
      </c>
      <c r="W106" s="3" t="s">
        <v>1137</v>
      </c>
      <c r="X106" s="3" t="s">
        <v>1138</v>
      </c>
      <c r="Y106" s="3" t="n">
        <v>3</v>
      </c>
      <c r="Z106" s="3" t="n">
        <v>1</v>
      </c>
      <c r="AA106" s="3" t="n">
        <v>2</v>
      </c>
      <c r="AB106" s="3" t="n">
        <v>2</v>
      </c>
      <c r="AC106" s="3" t="n">
        <v>1</v>
      </c>
      <c r="AD106" s="3" t="n">
        <v>3</v>
      </c>
      <c r="AE106" s="3" t="s">
        <v>1139</v>
      </c>
      <c r="AF106" s="3" t="s">
        <v>847</v>
      </c>
      <c r="AG106" s="3"/>
      <c r="AH106" s="3" t="s">
        <v>846</v>
      </c>
      <c r="AI106" s="3"/>
      <c r="AJ106" s="3" t="s">
        <v>59</v>
      </c>
      <c r="AK106" s="3" t="s">
        <v>1140</v>
      </c>
      <c r="AL106" s="3" t="s">
        <v>59</v>
      </c>
      <c r="AM106" s="3"/>
      <c r="AN106" s="3"/>
      <c r="AO106" s="3" t="s">
        <v>59</v>
      </c>
      <c r="AP106" s="3"/>
      <c r="AQ106" s="3"/>
      <c r="AR106" s="3"/>
    </row>
    <row r="107" customFormat="false" ht="15" hidden="false" customHeight="true" outlineLevel="0" collapsed="false">
      <c r="A107" s="3" t="s">
        <v>1141</v>
      </c>
      <c r="B107" s="3" t="n">
        <v>2</v>
      </c>
      <c r="C107" s="3" t="n">
        <v>69</v>
      </c>
      <c r="D107" s="3"/>
      <c r="E107" s="4"/>
      <c r="F107" s="3" t="n">
        <v>22</v>
      </c>
      <c r="G107" s="3" t="str">
        <f aca="false">IF(F107="","",IF(F107&gt;=Notes!$B$5,"Elderly ("&amp;Notes!$B$5&amp;"+)",IF(F107&lt;=Notes!$B$4,"Student age (≤"&amp;Notes!$B$4&amp;")","Middle-aged ("&amp;(Notes!$B$4+1)&amp;"–"&amp;(Notes!$B$5-1)&amp;")")))</f>
        <v>Student age (≤29)</v>
      </c>
      <c r="H107" s="3" t="s">
        <v>45</v>
      </c>
      <c r="I107" s="3" t="s">
        <v>532</v>
      </c>
      <c r="J107" s="3" t="s">
        <v>47</v>
      </c>
      <c r="K107" s="3" t="s">
        <v>533</v>
      </c>
      <c r="L107" s="3" t="s">
        <v>532</v>
      </c>
      <c r="M107" s="3" t="s">
        <v>47</v>
      </c>
      <c r="N107" s="3" t="s">
        <v>533</v>
      </c>
      <c r="O107" s="3" t="s">
        <v>1142</v>
      </c>
      <c r="P107" s="3" t="n">
        <v>20</v>
      </c>
      <c r="Q107" s="3" t="s">
        <v>95</v>
      </c>
      <c r="R107" s="3" t="s">
        <v>1143</v>
      </c>
      <c r="S107" s="3" t="s">
        <v>1144</v>
      </c>
      <c r="T107" s="3"/>
      <c r="U107" s="3" t="s">
        <v>1145</v>
      </c>
      <c r="V107" s="3" t="s">
        <v>1146</v>
      </c>
      <c r="W107" s="3" t="s">
        <v>1147</v>
      </c>
      <c r="X107" s="3" t="s">
        <v>1148</v>
      </c>
      <c r="Y107" s="3" t="n">
        <v>2</v>
      </c>
      <c r="Z107" s="3" t="n">
        <v>1</v>
      </c>
      <c r="AA107" s="3" t="n">
        <v>3</v>
      </c>
      <c r="AB107" s="3" t="n">
        <v>3</v>
      </c>
      <c r="AC107" s="3" t="n">
        <v>1</v>
      </c>
      <c r="AD107" s="3" t="n">
        <v>2</v>
      </c>
      <c r="AE107" s="3" t="s">
        <v>1149</v>
      </c>
      <c r="AF107" s="3" t="s">
        <v>847</v>
      </c>
      <c r="AG107" s="3"/>
      <c r="AH107" s="3" t="s">
        <v>846</v>
      </c>
      <c r="AI107" s="3"/>
      <c r="AJ107" s="3" t="s">
        <v>59</v>
      </c>
      <c r="AK107" s="3" t="s">
        <v>1150</v>
      </c>
      <c r="AL107" s="3" t="s">
        <v>59</v>
      </c>
      <c r="AM107" s="3"/>
      <c r="AN107" s="3"/>
      <c r="AO107" s="3" t="s">
        <v>59</v>
      </c>
      <c r="AP107" s="3"/>
      <c r="AQ107" s="3"/>
      <c r="AR107" s="3"/>
    </row>
    <row r="108" customFormat="false" ht="15" hidden="false" customHeight="true" outlineLevel="0" collapsed="false">
      <c r="A108" s="3" t="s">
        <v>1151</v>
      </c>
      <c r="B108" s="3" t="n">
        <v>2</v>
      </c>
      <c r="C108" s="3" t="n">
        <v>70</v>
      </c>
      <c r="D108" s="3"/>
      <c r="E108" s="4"/>
      <c r="F108" s="3" t="n">
        <v>21</v>
      </c>
      <c r="G108" s="3" t="str">
        <f aca="false">IF(F108="","",IF(F108&gt;=Notes!$B$5,"Elderly ("&amp;Notes!$B$5&amp;"+)",IF(F108&lt;=Notes!$B$4,"Student age (≤"&amp;Notes!$B$4&amp;")","Middle-aged ("&amp;(Notes!$B$4+1)&amp;"–"&amp;(Notes!$B$5-1)&amp;")")))</f>
        <v>Student age (≤29)</v>
      </c>
      <c r="H108" s="3" t="s">
        <v>83</v>
      </c>
      <c r="I108" s="3" t="s">
        <v>532</v>
      </c>
      <c r="J108" s="3" t="s">
        <v>47</v>
      </c>
      <c r="K108" s="3" t="s">
        <v>533</v>
      </c>
      <c r="L108" s="3" t="s">
        <v>532</v>
      </c>
      <c r="M108" s="3" t="s">
        <v>47</v>
      </c>
      <c r="N108" s="3" t="s">
        <v>533</v>
      </c>
      <c r="O108" s="3" t="s">
        <v>1152</v>
      </c>
      <c r="P108" s="3" t="n">
        <v>30</v>
      </c>
      <c r="Q108" s="3" t="s">
        <v>117</v>
      </c>
      <c r="R108" s="3" t="s">
        <v>1153</v>
      </c>
      <c r="S108" s="3" t="s">
        <v>1154</v>
      </c>
      <c r="T108" s="3"/>
      <c r="U108" s="3" t="s">
        <v>59</v>
      </c>
      <c r="V108" s="3" t="s">
        <v>1155</v>
      </c>
      <c r="W108" s="3" t="s">
        <v>1156</v>
      </c>
      <c r="X108" s="3" t="s">
        <v>1157</v>
      </c>
      <c r="Y108" s="3" t="n">
        <v>3</v>
      </c>
      <c r="Z108" s="3" t="n">
        <v>2</v>
      </c>
      <c r="AA108" s="3" t="n">
        <v>1</v>
      </c>
      <c r="AB108" s="3" t="n">
        <v>3</v>
      </c>
      <c r="AC108" s="3" t="n">
        <v>2</v>
      </c>
      <c r="AD108" s="3" t="n">
        <v>1</v>
      </c>
      <c r="AE108" s="3" t="s">
        <v>1158</v>
      </c>
      <c r="AF108" s="3" t="s">
        <v>846</v>
      </c>
      <c r="AG108" s="3"/>
      <c r="AH108" s="3" t="s">
        <v>847</v>
      </c>
      <c r="AI108" s="3"/>
      <c r="AJ108" s="3" t="s">
        <v>59</v>
      </c>
      <c r="AK108" s="3" t="s">
        <v>1159</v>
      </c>
      <c r="AL108" s="3" t="s">
        <v>59</v>
      </c>
      <c r="AM108" s="3"/>
      <c r="AN108" s="3"/>
      <c r="AO108" s="3"/>
      <c r="AP108" s="3"/>
      <c r="AQ108" s="3" t="s">
        <v>1160</v>
      </c>
      <c r="AR108" s="3"/>
    </row>
    <row r="109" customFormat="false" ht="15" hidden="false" customHeight="true" outlineLevel="0" collapsed="false">
      <c r="A109" s="3" t="s">
        <v>1161</v>
      </c>
      <c r="B109" s="3" t="n">
        <v>2</v>
      </c>
      <c r="C109" s="3" t="n">
        <v>73</v>
      </c>
      <c r="D109" s="3"/>
      <c r="E109" s="4"/>
      <c r="F109" s="3" t="n">
        <v>22</v>
      </c>
      <c r="G109" s="3" t="str">
        <f aca="false">IF(F109="","",IF(F109&gt;=Notes!$B$5,"Elderly ("&amp;Notes!$B$5&amp;"+)",IF(F109&lt;=Notes!$B$4,"Student age (≤"&amp;Notes!$B$4&amp;")","Middle-aged ("&amp;(Notes!$B$4+1)&amp;"–"&amp;(Notes!$B$5-1)&amp;")")))</f>
        <v>Student age (≤29)</v>
      </c>
      <c r="H109" s="3" t="s">
        <v>45</v>
      </c>
      <c r="I109" s="3" t="s">
        <v>321</v>
      </c>
      <c r="J109" s="3" t="s">
        <v>47</v>
      </c>
      <c r="K109" s="3" t="s">
        <v>322</v>
      </c>
      <c r="L109" s="3" t="s">
        <v>321</v>
      </c>
      <c r="M109" s="3" t="s">
        <v>47</v>
      </c>
      <c r="N109" s="3" t="s">
        <v>322</v>
      </c>
      <c r="O109" s="3" t="s">
        <v>1162</v>
      </c>
      <c r="P109" s="3" t="n">
        <v>20</v>
      </c>
      <c r="Q109" s="3" t="s">
        <v>95</v>
      </c>
      <c r="R109" s="3" t="s">
        <v>1163</v>
      </c>
      <c r="S109" s="3" t="s">
        <v>1164</v>
      </c>
      <c r="T109" s="3"/>
      <c r="U109" s="3" t="s">
        <v>1165</v>
      </c>
      <c r="V109" s="3" t="s">
        <v>1166</v>
      </c>
      <c r="W109" s="3" t="s">
        <v>1167</v>
      </c>
      <c r="X109" s="3" t="s">
        <v>1168</v>
      </c>
      <c r="Y109" s="3" t="n">
        <v>2</v>
      </c>
      <c r="Z109" s="3" t="n">
        <v>1</v>
      </c>
      <c r="AA109" s="3" t="n">
        <v>3</v>
      </c>
      <c r="AB109" s="3" t="n">
        <v>2</v>
      </c>
      <c r="AC109" s="3" t="n">
        <v>3</v>
      </c>
      <c r="AD109" s="3" t="n">
        <v>1</v>
      </c>
      <c r="AE109" s="3" t="s">
        <v>1169</v>
      </c>
      <c r="AF109" s="3" t="s">
        <v>847</v>
      </c>
      <c r="AG109" s="3"/>
      <c r="AH109" s="3" t="s">
        <v>846</v>
      </c>
      <c r="AI109" s="3"/>
      <c r="AJ109" s="3" t="s">
        <v>59</v>
      </c>
      <c r="AK109" s="3" t="s">
        <v>1170</v>
      </c>
      <c r="AL109" s="3" t="s">
        <v>59</v>
      </c>
      <c r="AM109" s="3"/>
      <c r="AN109" s="3"/>
      <c r="AO109" s="3" t="s">
        <v>59</v>
      </c>
      <c r="AP109" s="3"/>
      <c r="AQ109" s="3"/>
      <c r="AR109" s="3"/>
    </row>
    <row r="110" customFormat="false" ht="15" hidden="false" customHeight="true" outlineLevel="0" collapsed="false">
      <c r="A110" s="3" t="s">
        <v>1171</v>
      </c>
      <c r="B110" s="3" t="n">
        <v>2</v>
      </c>
      <c r="C110" s="3" t="n">
        <v>78</v>
      </c>
      <c r="D110" s="3"/>
      <c r="E110" s="4"/>
      <c r="F110" s="3" t="n">
        <v>15</v>
      </c>
      <c r="G110" s="3" t="str">
        <f aca="false">IF(F110="","",IF(F110&gt;=Notes!$B$5,"Elderly ("&amp;Notes!$B$5&amp;"+)",IF(F110&lt;=Notes!$B$4,"Student age (≤"&amp;Notes!$B$4&amp;")","Middle-aged ("&amp;(Notes!$B$4+1)&amp;"–"&amp;(Notes!$B$5-1)&amp;")")))</f>
        <v>Student age (≤29)</v>
      </c>
      <c r="H110" s="3" t="s">
        <v>45</v>
      </c>
      <c r="I110" s="3" t="s">
        <v>1172</v>
      </c>
      <c r="J110" s="3" t="s">
        <v>47</v>
      </c>
      <c r="K110" s="3" t="s">
        <v>1173</v>
      </c>
      <c r="L110" s="3" t="s">
        <v>256</v>
      </c>
      <c r="M110" s="3" t="s">
        <v>47</v>
      </c>
      <c r="N110" s="3" t="s">
        <v>257</v>
      </c>
      <c r="O110" s="3" t="s">
        <v>1174</v>
      </c>
      <c r="P110" s="3" t="n">
        <v>20</v>
      </c>
      <c r="Q110" s="3" t="s">
        <v>95</v>
      </c>
      <c r="R110" s="3" t="s">
        <v>1175</v>
      </c>
      <c r="S110" s="3" t="s">
        <v>1176</v>
      </c>
      <c r="T110" s="3"/>
      <c r="U110" s="3" t="s">
        <v>1177</v>
      </c>
      <c r="V110" s="3" t="s">
        <v>1178</v>
      </c>
      <c r="W110" s="3" t="s">
        <v>1179</v>
      </c>
      <c r="X110" s="3" t="s">
        <v>1180</v>
      </c>
      <c r="Y110" s="3" t="n">
        <v>3</v>
      </c>
      <c r="Z110" s="3" t="n">
        <v>1</v>
      </c>
      <c r="AA110" s="3" t="n">
        <v>2</v>
      </c>
      <c r="AB110" s="3" t="n">
        <v>3</v>
      </c>
      <c r="AC110" s="3" t="n">
        <v>1</v>
      </c>
      <c r="AD110" s="3" t="n">
        <v>2</v>
      </c>
      <c r="AE110" s="3" t="s">
        <v>1181</v>
      </c>
      <c r="AF110" s="3" t="s">
        <v>847</v>
      </c>
      <c r="AG110" s="3"/>
      <c r="AH110" s="3" t="s">
        <v>846</v>
      </c>
      <c r="AI110" s="3"/>
      <c r="AJ110" s="3" t="s">
        <v>59</v>
      </c>
      <c r="AK110" s="3" t="s">
        <v>1182</v>
      </c>
      <c r="AL110" s="3" t="s">
        <v>98</v>
      </c>
      <c r="AM110" s="3"/>
      <c r="AN110" s="3"/>
      <c r="AO110" s="3" t="s">
        <v>59</v>
      </c>
      <c r="AP110" s="3"/>
      <c r="AQ110" s="3"/>
      <c r="AR110" s="3"/>
    </row>
    <row r="111" customFormat="false" ht="15" hidden="false" customHeight="true" outlineLevel="0" collapsed="false">
      <c r="A111" s="3" t="s">
        <v>1183</v>
      </c>
      <c r="B111" s="3" t="n">
        <v>2</v>
      </c>
      <c r="C111" s="3" t="n">
        <v>81</v>
      </c>
      <c r="D111" s="3"/>
      <c r="E111" s="4"/>
      <c r="F111" s="3" t="n">
        <v>48</v>
      </c>
      <c r="G111" s="3" t="str">
        <f aca="false">IF(F111="","",IF(F111&gt;=Notes!$B$5,"Elderly ("&amp;Notes!$B$5&amp;"+)",IF(F111&lt;=Notes!$B$4,"Student age (≤"&amp;Notes!$B$4&amp;")","Middle-aged ("&amp;(Notes!$B$4+1)&amp;"–"&amp;(Notes!$B$5-1)&amp;")")))</f>
        <v>Middle-aged (30–64)</v>
      </c>
      <c r="H111" s="3" t="s">
        <v>45</v>
      </c>
      <c r="I111" s="3"/>
      <c r="J111" s="3" t="s">
        <v>1025</v>
      </c>
      <c r="K111" s="3" t="s">
        <v>1025</v>
      </c>
      <c r="L111" s="3" t="s">
        <v>321</v>
      </c>
      <c r="M111" s="3" t="s">
        <v>47</v>
      </c>
      <c r="N111" s="3" t="s">
        <v>322</v>
      </c>
      <c r="O111" s="3" t="s">
        <v>1184</v>
      </c>
      <c r="P111" s="3" t="n">
        <v>60</v>
      </c>
      <c r="Q111" s="3" t="s">
        <v>52</v>
      </c>
      <c r="R111" s="3" t="s">
        <v>1185</v>
      </c>
      <c r="S111" s="3" t="s">
        <v>1186</v>
      </c>
      <c r="T111" s="3"/>
      <c r="U111" s="3" t="s">
        <v>98</v>
      </c>
      <c r="V111" s="3" t="s">
        <v>1187</v>
      </c>
      <c r="W111" s="3" t="s">
        <v>1188</v>
      </c>
      <c r="X111" s="3" t="s">
        <v>1189</v>
      </c>
      <c r="Y111" s="3" t="n">
        <v>2</v>
      </c>
      <c r="Z111" s="3" t="n">
        <v>1</v>
      </c>
      <c r="AA111" s="3" t="n">
        <v>3</v>
      </c>
      <c r="AB111" s="3" t="n">
        <v>2</v>
      </c>
      <c r="AC111" s="3" t="n">
        <v>1</v>
      </c>
      <c r="AD111" s="3" t="n">
        <v>3</v>
      </c>
      <c r="AE111" s="3" t="s">
        <v>1190</v>
      </c>
      <c r="AF111" s="3" t="s">
        <v>847</v>
      </c>
      <c r="AG111" s="3"/>
      <c r="AH111" s="3" t="s">
        <v>846</v>
      </c>
      <c r="AI111" s="3"/>
      <c r="AJ111" s="3" t="s">
        <v>59</v>
      </c>
      <c r="AK111" s="3" t="s">
        <v>1191</v>
      </c>
      <c r="AL111" s="3" t="s">
        <v>59</v>
      </c>
      <c r="AM111" s="3"/>
      <c r="AN111" s="3"/>
      <c r="AO111" s="3" t="s">
        <v>59</v>
      </c>
      <c r="AP111" s="3"/>
      <c r="AQ111" s="3"/>
      <c r="AR111" s="3"/>
    </row>
    <row r="112" customFormat="false" ht="15" hidden="false" customHeight="true" outlineLevel="0" collapsed="false">
      <c r="A112" s="3" t="s">
        <v>1192</v>
      </c>
      <c r="B112" s="3" t="n">
        <v>2</v>
      </c>
      <c r="C112" s="3" t="n">
        <v>82</v>
      </c>
      <c r="D112" s="3"/>
      <c r="E112" s="4"/>
      <c r="F112" s="3" t="n">
        <v>20</v>
      </c>
      <c r="G112" s="3" t="str">
        <f aca="false">IF(F112="","",IF(F112&gt;=Notes!$B$5,"Elderly ("&amp;Notes!$B$5&amp;"+)",IF(F112&lt;=Notes!$B$4,"Student age (≤"&amp;Notes!$B$4&amp;")","Middle-aged ("&amp;(Notes!$B$4+1)&amp;"–"&amp;(Notes!$B$5-1)&amp;")")))</f>
        <v>Student age (≤29)</v>
      </c>
      <c r="H112" s="3" t="s">
        <v>45</v>
      </c>
      <c r="I112" s="3"/>
      <c r="J112" s="3" t="s">
        <v>1025</v>
      </c>
      <c r="K112" s="3" t="s">
        <v>1025</v>
      </c>
      <c r="L112" s="3" t="s">
        <v>49</v>
      </c>
      <c r="M112" s="3" t="s">
        <v>47</v>
      </c>
      <c r="N112" s="3" t="s">
        <v>50</v>
      </c>
      <c r="O112" s="3" t="s">
        <v>1193</v>
      </c>
      <c r="P112" s="3" t="n">
        <v>25</v>
      </c>
      <c r="Q112" s="3" t="s">
        <v>117</v>
      </c>
      <c r="R112" s="3" t="s">
        <v>1194</v>
      </c>
      <c r="S112" s="3" t="s">
        <v>1195</v>
      </c>
      <c r="T112" s="3"/>
      <c r="U112" s="3" t="s">
        <v>1196</v>
      </c>
      <c r="V112" s="3" t="s">
        <v>1197</v>
      </c>
      <c r="W112" s="3" t="s">
        <v>1198</v>
      </c>
      <c r="X112" s="3" t="s">
        <v>1199</v>
      </c>
      <c r="Y112" s="3" t="n">
        <v>2</v>
      </c>
      <c r="Z112" s="3" t="n">
        <v>1</v>
      </c>
      <c r="AA112" s="3" t="n">
        <v>3</v>
      </c>
      <c r="AB112" s="3" t="n">
        <v>3</v>
      </c>
      <c r="AC112" s="3" t="n">
        <v>1</v>
      </c>
      <c r="AD112" s="3" t="n">
        <v>2</v>
      </c>
      <c r="AE112" s="3" t="s">
        <v>1200</v>
      </c>
      <c r="AF112" s="3" t="s">
        <v>846</v>
      </c>
      <c r="AG112" s="3"/>
      <c r="AH112" s="3" t="s">
        <v>847</v>
      </c>
      <c r="AI112" s="3"/>
      <c r="AJ112" s="3" t="s">
        <v>59</v>
      </c>
      <c r="AK112" s="3" t="s">
        <v>1201</v>
      </c>
      <c r="AL112" s="3" t="s">
        <v>59</v>
      </c>
      <c r="AM112" s="3"/>
      <c r="AN112" s="3"/>
      <c r="AO112" s="3" t="s">
        <v>59</v>
      </c>
      <c r="AP112" s="3"/>
      <c r="AQ112" s="3"/>
      <c r="AR112" s="3"/>
    </row>
    <row r="113" customFormat="false" ht="15" hidden="false" customHeight="true" outlineLevel="0" collapsed="false">
      <c r="A113" s="3" t="s">
        <v>1202</v>
      </c>
      <c r="B113" s="3" t="n">
        <v>2</v>
      </c>
      <c r="C113" s="3" t="n">
        <v>85</v>
      </c>
      <c r="D113" s="3"/>
      <c r="E113" s="4"/>
      <c r="F113" s="3" t="n">
        <v>22</v>
      </c>
      <c r="G113" s="3" t="str">
        <f aca="false">IF(F113="","",IF(F113&gt;=Notes!$B$5,"Elderly ("&amp;Notes!$B$5&amp;"+)",IF(F113&lt;=Notes!$B$4,"Student age (≤"&amp;Notes!$B$4&amp;")","Middle-aged ("&amp;(Notes!$B$4+1)&amp;"–"&amp;(Notes!$B$5-1)&amp;")")))</f>
        <v>Student age (≤29)</v>
      </c>
      <c r="H113" s="3" t="s">
        <v>45</v>
      </c>
      <c r="I113" s="3" t="s">
        <v>321</v>
      </c>
      <c r="J113" s="3" t="s">
        <v>47</v>
      </c>
      <c r="K113" s="3" t="s">
        <v>322</v>
      </c>
      <c r="L113" s="3" t="s">
        <v>321</v>
      </c>
      <c r="M113" s="3" t="s">
        <v>47</v>
      </c>
      <c r="N113" s="3" t="s">
        <v>322</v>
      </c>
      <c r="O113" s="3" t="s">
        <v>1203</v>
      </c>
      <c r="P113" s="3" t="n">
        <v>40</v>
      </c>
      <c r="Q113" s="3" t="s">
        <v>52</v>
      </c>
      <c r="R113" s="3" t="s">
        <v>1204</v>
      </c>
      <c r="S113" s="3" t="s">
        <v>1205</v>
      </c>
      <c r="T113" s="3"/>
      <c r="U113" s="3" t="s">
        <v>1206</v>
      </c>
      <c r="V113" s="3" t="s">
        <v>1207</v>
      </c>
      <c r="W113" s="3" t="s">
        <v>1208</v>
      </c>
      <c r="X113" s="3" t="s">
        <v>1209</v>
      </c>
      <c r="Y113" s="3" t="n">
        <v>1</v>
      </c>
      <c r="Z113" s="3" t="n">
        <v>2</v>
      </c>
      <c r="AA113" s="3" t="n">
        <v>3</v>
      </c>
      <c r="AB113" s="3" t="n">
        <v>2</v>
      </c>
      <c r="AC113" s="3" t="n">
        <v>1</v>
      </c>
      <c r="AD113" s="3" t="n">
        <v>3</v>
      </c>
      <c r="AE113" s="3" t="s">
        <v>1210</v>
      </c>
      <c r="AF113" s="3" t="s">
        <v>860</v>
      </c>
      <c r="AG113" s="3"/>
      <c r="AH113" s="3" t="s">
        <v>847</v>
      </c>
      <c r="AI113" s="3"/>
      <c r="AJ113" s="3" t="s">
        <v>59</v>
      </c>
      <c r="AK113" s="3" t="s">
        <v>1211</v>
      </c>
      <c r="AL113" s="3" t="s">
        <v>59</v>
      </c>
      <c r="AM113" s="3"/>
      <c r="AN113" s="3"/>
      <c r="AO113" s="3" t="s">
        <v>59</v>
      </c>
      <c r="AP113" s="3"/>
      <c r="AQ113" s="3"/>
      <c r="AR113" s="3"/>
    </row>
    <row r="114" customFormat="false" ht="15" hidden="false" customHeight="true" outlineLevel="0" collapsed="false">
      <c r="A114" s="3" t="s">
        <v>1212</v>
      </c>
      <c r="B114" s="3" t="n">
        <v>2</v>
      </c>
      <c r="C114" s="3" t="n">
        <v>88</v>
      </c>
      <c r="D114" s="3"/>
      <c r="E114" s="4"/>
      <c r="F114" s="3" t="n">
        <v>55</v>
      </c>
      <c r="G114" s="3" t="str">
        <f aca="false">IF(F114="","",IF(F114&gt;=Notes!$B$5,"Elderly ("&amp;Notes!$B$5&amp;"+)",IF(F114&lt;=Notes!$B$4,"Student age (≤"&amp;Notes!$B$4&amp;")","Middle-aged ("&amp;(Notes!$B$4+1)&amp;"–"&amp;(Notes!$B$5-1)&amp;")")))</f>
        <v>Middle-aged (30–64)</v>
      </c>
      <c r="H114" s="3" t="s">
        <v>83</v>
      </c>
      <c r="I114" s="3"/>
      <c r="J114" s="3" t="s">
        <v>914</v>
      </c>
      <c r="K114" s="3" t="s">
        <v>914</v>
      </c>
      <c r="L114" s="3"/>
      <c r="M114" s="3" t="s">
        <v>914</v>
      </c>
      <c r="N114" s="3" t="s">
        <v>914</v>
      </c>
      <c r="O114" s="3" t="s">
        <v>1213</v>
      </c>
      <c r="P114" s="3" t="n">
        <v>35</v>
      </c>
      <c r="Q114" s="3" t="s">
        <v>52</v>
      </c>
      <c r="R114" s="3" t="s">
        <v>1214</v>
      </c>
      <c r="S114" s="3" t="s">
        <v>1215</v>
      </c>
      <c r="T114" s="3"/>
      <c r="U114" s="3" t="s">
        <v>1216</v>
      </c>
      <c r="V114" s="3" t="s">
        <v>1217</v>
      </c>
      <c r="W114" s="3" t="s">
        <v>1218</v>
      </c>
      <c r="X114" s="3" t="s">
        <v>1219</v>
      </c>
      <c r="Y114" s="3" t="n">
        <v>1</v>
      </c>
      <c r="Z114" s="3" t="n">
        <v>2</v>
      </c>
      <c r="AA114" s="3" t="n">
        <v>3</v>
      </c>
      <c r="AB114" s="3" t="n">
        <v>1</v>
      </c>
      <c r="AC114" s="3" t="n">
        <v>2</v>
      </c>
      <c r="AD114" s="3" t="n">
        <v>3</v>
      </c>
      <c r="AE114" s="3" t="s">
        <v>1220</v>
      </c>
      <c r="AF114" s="3" t="s">
        <v>846</v>
      </c>
      <c r="AG114" s="3"/>
      <c r="AH114" s="3" t="s">
        <v>860</v>
      </c>
      <c r="AI114" s="3"/>
      <c r="AJ114" s="3" t="s">
        <v>59</v>
      </c>
      <c r="AK114" s="3" t="s">
        <v>1221</v>
      </c>
      <c r="AL114" s="3" t="s">
        <v>59</v>
      </c>
      <c r="AM114" s="3"/>
      <c r="AN114" s="3"/>
      <c r="AO114" s="3" t="s">
        <v>59</v>
      </c>
      <c r="AP114" s="3"/>
      <c r="AQ114" s="3"/>
      <c r="AR114" s="3"/>
    </row>
    <row r="115" customFormat="false" ht="15" hidden="false" customHeight="true" outlineLevel="0" collapsed="false">
      <c r="A115" s="3" t="s">
        <v>1222</v>
      </c>
      <c r="B115" s="3" t="n">
        <v>2</v>
      </c>
      <c r="C115" s="3" t="n">
        <v>91</v>
      </c>
      <c r="D115" s="3"/>
      <c r="E115" s="4"/>
      <c r="F115" s="3" t="n">
        <v>19</v>
      </c>
      <c r="G115" s="3" t="str">
        <f aca="false">IF(F115="","",IF(F115&gt;=Notes!$B$5,"Elderly ("&amp;Notes!$B$5&amp;"+)",IF(F115&lt;=Notes!$B$4,"Student age (≤"&amp;Notes!$B$4&amp;")","Middle-aged ("&amp;(Notes!$B$4+1)&amp;"–"&amp;(Notes!$B$5-1)&amp;")")))</f>
        <v>Student age (≤29)</v>
      </c>
      <c r="H115" s="3" t="s">
        <v>45</v>
      </c>
      <c r="I115" s="3" t="s">
        <v>321</v>
      </c>
      <c r="J115" s="3" t="s">
        <v>47</v>
      </c>
      <c r="K115" s="3" t="s">
        <v>322</v>
      </c>
      <c r="L115" s="3" t="s">
        <v>92</v>
      </c>
      <c r="M115" s="3" t="s">
        <v>47</v>
      </c>
      <c r="N115" s="3" t="s">
        <v>93</v>
      </c>
      <c r="O115" s="3" t="s">
        <v>1223</v>
      </c>
      <c r="P115" s="3" t="n">
        <v>35</v>
      </c>
      <c r="Q115" s="3" t="s">
        <v>52</v>
      </c>
      <c r="R115" s="3" t="s">
        <v>1224</v>
      </c>
      <c r="S115" s="3" t="s">
        <v>1225</v>
      </c>
      <c r="T115" s="3"/>
      <c r="U115" s="3" t="s">
        <v>1226</v>
      </c>
      <c r="V115" s="3" t="s">
        <v>1227</v>
      </c>
      <c r="W115" s="3" t="s">
        <v>1228</v>
      </c>
      <c r="X115" s="3" t="s">
        <v>1229</v>
      </c>
      <c r="Y115" s="3" t="n">
        <v>3</v>
      </c>
      <c r="Z115" s="3" t="n">
        <v>1</v>
      </c>
      <c r="AA115" s="3" t="n">
        <v>2</v>
      </c>
      <c r="AB115" s="3" t="n">
        <v>2</v>
      </c>
      <c r="AC115" s="3" t="n">
        <v>3</v>
      </c>
      <c r="AD115" s="3" t="n">
        <v>1</v>
      </c>
      <c r="AE115" s="3" t="s">
        <v>1230</v>
      </c>
      <c r="AF115" s="3" t="s">
        <v>846</v>
      </c>
      <c r="AG115" s="3"/>
      <c r="AH115" s="3" t="s">
        <v>847</v>
      </c>
      <c r="AI115" s="3"/>
      <c r="AJ115" s="3" t="s">
        <v>59</v>
      </c>
      <c r="AK115" s="3" t="s">
        <v>1231</v>
      </c>
      <c r="AL115" s="3" t="s">
        <v>59</v>
      </c>
      <c r="AM115" s="3"/>
      <c r="AN115" s="3"/>
      <c r="AO115" s="3" t="s">
        <v>59</v>
      </c>
      <c r="AP115" s="3"/>
      <c r="AQ115" s="3"/>
      <c r="AR115" s="3"/>
    </row>
    <row r="116" customFormat="false" ht="15" hidden="false" customHeight="true" outlineLevel="0" collapsed="false">
      <c r="A116" s="3" t="s">
        <v>1232</v>
      </c>
      <c r="B116" s="3" t="n">
        <v>2</v>
      </c>
      <c r="C116" s="3" t="n">
        <v>94</v>
      </c>
      <c r="D116" s="3"/>
      <c r="E116" s="4"/>
      <c r="F116" s="3" t="n">
        <v>46</v>
      </c>
      <c r="G116" s="3" t="str">
        <f aca="false">IF(F116="","",IF(F116&gt;=Notes!$B$5,"Elderly ("&amp;Notes!$B$5&amp;"+)",IF(F116&lt;=Notes!$B$4,"Student age (≤"&amp;Notes!$B$4&amp;")","Middle-aged ("&amp;(Notes!$B$4+1)&amp;"–"&amp;(Notes!$B$5-1)&amp;")")))</f>
        <v>Middle-aged (30–64)</v>
      </c>
      <c r="H116" s="3" t="s">
        <v>45</v>
      </c>
      <c r="I116" s="3"/>
      <c r="J116" s="3" t="s">
        <v>1025</v>
      </c>
      <c r="K116" s="3" t="s">
        <v>1025</v>
      </c>
      <c r="L116" s="3" t="s">
        <v>321</v>
      </c>
      <c r="M116" s="3" t="s">
        <v>47</v>
      </c>
      <c r="N116" s="3" t="s">
        <v>322</v>
      </c>
      <c r="O116" s="3" t="s">
        <v>1233</v>
      </c>
      <c r="P116" s="3" t="n">
        <v>18</v>
      </c>
      <c r="Q116" s="3" t="s">
        <v>95</v>
      </c>
      <c r="R116" s="3" t="s">
        <v>1234</v>
      </c>
      <c r="S116" s="3" t="s">
        <v>1235</v>
      </c>
      <c r="T116" s="3"/>
      <c r="U116" s="3" t="s">
        <v>1236</v>
      </c>
      <c r="V116" s="3" t="s">
        <v>1237</v>
      </c>
      <c r="W116" s="3" t="s">
        <v>1238</v>
      </c>
      <c r="X116" s="3" t="s">
        <v>1239</v>
      </c>
      <c r="Y116" s="3" t="n">
        <v>3</v>
      </c>
      <c r="Z116" s="3" t="n">
        <v>2</v>
      </c>
      <c r="AA116" s="3" t="n">
        <v>1</v>
      </c>
      <c r="AB116" s="3" t="n">
        <v>3</v>
      </c>
      <c r="AC116" s="3" t="n">
        <v>1</v>
      </c>
      <c r="AD116" s="3" t="n">
        <v>2</v>
      </c>
      <c r="AE116" s="3" t="s">
        <v>1240</v>
      </c>
      <c r="AF116" s="3" t="s">
        <v>846</v>
      </c>
      <c r="AG116" s="3"/>
      <c r="AH116" s="3" t="s">
        <v>846</v>
      </c>
      <c r="AI116" s="3"/>
      <c r="AJ116" s="3" t="s">
        <v>59</v>
      </c>
      <c r="AK116" s="3" t="s">
        <v>1241</v>
      </c>
      <c r="AL116" s="3" t="s">
        <v>59</v>
      </c>
      <c r="AM116" s="3"/>
      <c r="AN116" s="3"/>
      <c r="AO116" s="3" t="s">
        <v>59</v>
      </c>
      <c r="AP116" s="3"/>
      <c r="AQ116" s="3"/>
      <c r="AR116" s="3"/>
    </row>
    <row r="117" customFormat="false" ht="15" hidden="false" customHeight="true" outlineLevel="0" collapsed="false">
      <c r="A117" s="3" t="s">
        <v>1242</v>
      </c>
      <c r="B117" s="3" t="n">
        <v>2</v>
      </c>
      <c r="C117" s="3" t="n">
        <v>97</v>
      </c>
      <c r="D117" s="3"/>
      <c r="E117" s="4"/>
      <c r="F117" s="3" t="n">
        <v>48</v>
      </c>
      <c r="G117" s="3" t="str">
        <f aca="false">IF(F117="","",IF(F117&gt;=Notes!$B$5,"Elderly ("&amp;Notes!$B$5&amp;"+)",IF(F117&lt;=Notes!$B$4,"Student age (≤"&amp;Notes!$B$4&amp;")","Middle-aged ("&amp;(Notes!$B$4+1)&amp;"–"&amp;(Notes!$B$5-1)&amp;")")))</f>
        <v>Middle-aged (30–64)</v>
      </c>
      <c r="H117" s="3" t="s">
        <v>83</v>
      </c>
      <c r="I117" s="3"/>
      <c r="J117" s="3" t="s">
        <v>1025</v>
      </c>
      <c r="K117" s="3" t="s">
        <v>1025</v>
      </c>
      <c r="L117" s="3" t="s">
        <v>321</v>
      </c>
      <c r="M117" s="3" t="s">
        <v>47</v>
      </c>
      <c r="N117" s="3" t="s">
        <v>322</v>
      </c>
      <c r="O117" s="3" t="s">
        <v>1243</v>
      </c>
      <c r="P117" s="3" t="n">
        <v>20</v>
      </c>
      <c r="Q117" s="3" t="s">
        <v>95</v>
      </c>
      <c r="R117" s="3" t="s">
        <v>1244</v>
      </c>
      <c r="S117" s="3" t="s">
        <v>1245</v>
      </c>
      <c r="T117" s="3"/>
      <c r="U117" s="3" t="s">
        <v>1246</v>
      </c>
      <c r="V117" s="3" t="s">
        <v>1247</v>
      </c>
      <c r="W117" s="3" t="s">
        <v>1248</v>
      </c>
      <c r="X117" s="3" t="s">
        <v>1249</v>
      </c>
      <c r="Y117" s="3" t="n">
        <v>3</v>
      </c>
      <c r="Z117" s="3" t="n">
        <v>2</v>
      </c>
      <c r="AA117" s="3" t="n">
        <v>1</v>
      </c>
      <c r="AB117" s="3" t="n">
        <v>3</v>
      </c>
      <c r="AC117" s="3" t="n">
        <v>1</v>
      </c>
      <c r="AD117" s="3" t="n">
        <v>2</v>
      </c>
      <c r="AE117" s="3" t="s">
        <v>1250</v>
      </c>
      <c r="AF117" s="3" t="s">
        <v>846</v>
      </c>
      <c r="AG117" s="3"/>
      <c r="AH117" s="3" t="s">
        <v>846</v>
      </c>
      <c r="AI117" s="3"/>
      <c r="AJ117" s="3" t="s">
        <v>59</v>
      </c>
      <c r="AK117" s="3" t="s">
        <v>1251</v>
      </c>
      <c r="AL117" s="3" t="s">
        <v>59</v>
      </c>
      <c r="AM117" s="3"/>
      <c r="AN117" s="3"/>
      <c r="AO117" s="3" t="s">
        <v>59</v>
      </c>
      <c r="AP117" s="3"/>
      <c r="AQ117" s="3"/>
      <c r="AR117" s="3"/>
    </row>
    <row r="118" customFormat="false" ht="15" hidden="false" customHeight="true" outlineLevel="0" collapsed="false">
      <c r="A118" s="3" t="s">
        <v>1252</v>
      </c>
      <c r="B118" s="3" t="n">
        <v>2</v>
      </c>
      <c r="C118" s="3" t="n">
        <v>100</v>
      </c>
      <c r="D118" s="3"/>
      <c r="E118" s="4"/>
      <c r="F118" s="3" t="n">
        <v>20</v>
      </c>
      <c r="G118" s="3" t="str">
        <f aca="false">IF(F118="","",IF(F118&gt;=Notes!$B$5,"Elderly ("&amp;Notes!$B$5&amp;"+)",IF(F118&lt;=Notes!$B$4,"Student age (≤"&amp;Notes!$B$4&amp;")","Middle-aged ("&amp;(Notes!$B$4+1)&amp;"–"&amp;(Notes!$B$5-1)&amp;")")))</f>
        <v>Student age (≤29)</v>
      </c>
      <c r="H118" s="3" t="s">
        <v>45</v>
      </c>
      <c r="I118" s="3" t="s">
        <v>289</v>
      </c>
      <c r="J118" s="3" t="s">
        <v>47</v>
      </c>
      <c r="K118" s="3" t="s">
        <v>290</v>
      </c>
      <c r="L118" s="3" t="s">
        <v>289</v>
      </c>
      <c r="M118" s="3" t="s">
        <v>47</v>
      </c>
      <c r="N118" s="3" t="s">
        <v>290</v>
      </c>
      <c r="O118" s="3" t="s">
        <v>1253</v>
      </c>
      <c r="P118" s="3" t="n">
        <v>25</v>
      </c>
      <c r="Q118" s="3" t="s">
        <v>117</v>
      </c>
      <c r="R118" s="3" t="s">
        <v>1254</v>
      </c>
      <c r="S118" s="3" t="s">
        <v>1255</v>
      </c>
      <c r="T118" s="3"/>
      <c r="U118" s="3" t="s">
        <v>1256</v>
      </c>
      <c r="V118" s="3" t="s">
        <v>1257</v>
      </c>
      <c r="W118" s="3" t="s">
        <v>857</v>
      </c>
      <c r="X118" s="3" t="s">
        <v>1258</v>
      </c>
      <c r="Y118" s="3" t="n">
        <v>2</v>
      </c>
      <c r="Z118" s="3" t="n">
        <v>1</v>
      </c>
      <c r="AA118" s="3" t="n">
        <v>3</v>
      </c>
      <c r="AB118" s="3" t="n">
        <v>3</v>
      </c>
      <c r="AC118" s="3" t="n">
        <v>1</v>
      </c>
      <c r="AD118" s="3" t="n">
        <v>2</v>
      </c>
      <c r="AE118" s="3" t="s">
        <v>1259</v>
      </c>
      <c r="AF118" s="3" t="s">
        <v>847</v>
      </c>
      <c r="AG118" s="3"/>
      <c r="AH118" s="3" t="s">
        <v>847</v>
      </c>
      <c r="AI118" s="3"/>
      <c r="AJ118" s="3" t="s">
        <v>98</v>
      </c>
      <c r="AK118" s="3"/>
      <c r="AL118" s="3" t="s">
        <v>59</v>
      </c>
      <c r="AM118" s="3"/>
      <c r="AN118" s="3"/>
      <c r="AO118" s="3" t="s">
        <v>59</v>
      </c>
      <c r="AP118" s="3"/>
      <c r="AQ118" s="3"/>
      <c r="AR118" s="3"/>
    </row>
    <row r="119" customFormat="false" ht="15" hidden="false" customHeight="true" outlineLevel="0" collapsed="false">
      <c r="A119" s="3" t="s">
        <v>1260</v>
      </c>
      <c r="B119" s="3" t="n">
        <v>2</v>
      </c>
      <c r="C119" s="3" t="n">
        <v>103</v>
      </c>
      <c r="D119" s="3"/>
      <c r="E119" s="4"/>
      <c r="F119" s="3" t="n">
        <v>58</v>
      </c>
      <c r="G119" s="3" t="str">
        <f aca="false">IF(F119="","",IF(F119&gt;=Notes!$B$5,"Elderly ("&amp;Notes!$B$5&amp;"+)",IF(F119&lt;=Notes!$B$4,"Student age (≤"&amp;Notes!$B$4&amp;")","Middle-aged ("&amp;(Notes!$B$4+1)&amp;"–"&amp;(Notes!$B$5-1)&amp;")")))</f>
        <v>Middle-aged (30–64)</v>
      </c>
      <c r="H119" s="3" t="s">
        <v>83</v>
      </c>
      <c r="I119" s="3"/>
      <c r="J119" s="3" t="s">
        <v>1261</v>
      </c>
      <c r="K119" s="3" t="s">
        <v>1261</v>
      </c>
      <c r="L119" s="3"/>
      <c r="M119" s="3" t="s">
        <v>1261</v>
      </c>
      <c r="N119" s="3" t="s">
        <v>1261</v>
      </c>
      <c r="O119" s="3" t="s">
        <v>1262</v>
      </c>
      <c r="P119" s="3" t="n">
        <v>20</v>
      </c>
      <c r="Q119" s="3" t="s">
        <v>95</v>
      </c>
      <c r="R119" s="3" t="s">
        <v>1263</v>
      </c>
      <c r="S119" s="3" t="s">
        <v>1264</v>
      </c>
      <c r="T119" s="3"/>
      <c r="U119" s="3" t="s">
        <v>895</v>
      </c>
      <c r="V119" s="3" t="s">
        <v>1265</v>
      </c>
      <c r="W119" s="3" t="s">
        <v>1266</v>
      </c>
      <c r="X119" s="3" t="s">
        <v>1267</v>
      </c>
      <c r="Y119" s="3" t="n">
        <v>3</v>
      </c>
      <c r="Z119" s="3" t="n">
        <v>2</v>
      </c>
      <c r="AA119" s="3" t="n">
        <v>1</v>
      </c>
      <c r="AB119" s="3" t="n">
        <v>3</v>
      </c>
      <c r="AC119" s="3" t="n">
        <v>2</v>
      </c>
      <c r="AD119" s="3" t="n">
        <v>1</v>
      </c>
      <c r="AE119" s="3" t="s">
        <v>1268</v>
      </c>
      <c r="AF119" s="3" t="s">
        <v>846</v>
      </c>
      <c r="AG119" s="3"/>
      <c r="AH119" s="3" t="s">
        <v>846</v>
      </c>
      <c r="AI119" s="3"/>
      <c r="AJ119" s="3" t="s">
        <v>59</v>
      </c>
      <c r="AK119" s="3" t="s">
        <v>1269</v>
      </c>
      <c r="AL119" s="3" t="s">
        <v>59</v>
      </c>
      <c r="AM119" s="3"/>
      <c r="AN119" s="3"/>
      <c r="AO119" s="3" t="s">
        <v>59</v>
      </c>
      <c r="AP119" s="3"/>
      <c r="AQ119" s="3"/>
      <c r="AR119" s="3"/>
    </row>
    <row r="120" customFormat="false" ht="15" hidden="false" customHeight="true" outlineLevel="0" collapsed="false">
      <c r="A120" s="3" t="s">
        <v>1270</v>
      </c>
      <c r="B120" s="3" t="n">
        <v>2</v>
      </c>
      <c r="C120" s="3" t="n">
        <v>111</v>
      </c>
      <c r="D120" s="3"/>
      <c r="E120" s="4"/>
      <c r="F120" s="3" t="n">
        <v>76</v>
      </c>
      <c r="G120" s="3" t="str">
        <f aca="false">IF(F120="","",IF(F120&gt;=Notes!$B$5,"Elderly ("&amp;Notes!$B$5&amp;"+)",IF(F120&lt;=Notes!$B$4,"Student age (≤"&amp;Notes!$B$4&amp;")","Middle-aged ("&amp;(Notes!$B$4+1)&amp;"–"&amp;(Notes!$B$5-1)&amp;")")))</f>
        <v>Elderly (65+)</v>
      </c>
      <c r="H120" s="3" t="s">
        <v>83</v>
      </c>
      <c r="I120" s="3" t="s">
        <v>1271</v>
      </c>
      <c r="J120" s="3" t="s">
        <v>47</v>
      </c>
      <c r="K120" s="3" t="s">
        <v>1272</v>
      </c>
      <c r="L120" s="3" t="s">
        <v>61</v>
      </c>
      <c r="M120" s="3" t="s">
        <v>47</v>
      </c>
      <c r="N120" s="3" t="s">
        <v>62</v>
      </c>
      <c r="O120" s="3" t="s">
        <v>1273</v>
      </c>
      <c r="P120" s="3" t="n">
        <v>25</v>
      </c>
      <c r="Q120" s="3" t="s">
        <v>117</v>
      </c>
      <c r="R120" s="3" t="s">
        <v>1274</v>
      </c>
      <c r="S120" s="3" t="s">
        <v>1275</v>
      </c>
      <c r="T120" s="3"/>
      <c r="U120" s="3" t="s">
        <v>98</v>
      </c>
      <c r="V120" s="3" t="s">
        <v>1276</v>
      </c>
      <c r="W120" s="3" t="s">
        <v>1277</v>
      </c>
      <c r="X120" s="3" t="s">
        <v>1278</v>
      </c>
      <c r="Y120" s="3" t="n">
        <v>2</v>
      </c>
      <c r="Z120" s="3" t="n">
        <v>1</v>
      </c>
      <c r="AA120" s="3" t="n">
        <v>3</v>
      </c>
      <c r="AB120" s="3" t="n">
        <v>2</v>
      </c>
      <c r="AC120" s="3" t="n">
        <v>1</v>
      </c>
      <c r="AD120" s="3" t="n">
        <v>3</v>
      </c>
      <c r="AE120" s="3" t="s">
        <v>1279</v>
      </c>
      <c r="AF120" s="3" t="s">
        <v>846</v>
      </c>
      <c r="AG120" s="3"/>
      <c r="AH120" s="3" t="s">
        <v>846</v>
      </c>
      <c r="AI120" s="3"/>
      <c r="AJ120" s="3" t="s">
        <v>59</v>
      </c>
      <c r="AK120" s="3" t="s">
        <v>1280</v>
      </c>
      <c r="AL120" s="3" t="s">
        <v>59</v>
      </c>
      <c r="AM120" s="3"/>
      <c r="AN120" s="3"/>
      <c r="AO120" s="3" t="s">
        <v>59</v>
      </c>
      <c r="AP120" s="3"/>
      <c r="AQ120" s="3"/>
      <c r="AR120" s="3"/>
    </row>
    <row r="121" customFormat="false" ht="15" hidden="false" customHeight="true" outlineLevel="0" collapsed="false">
      <c r="A121" s="3" t="s">
        <v>1281</v>
      </c>
      <c r="B121" s="3" t="n">
        <v>2</v>
      </c>
      <c r="C121" s="3" t="n">
        <v>112</v>
      </c>
      <c r="D121" s="3"/>
      <c r="E121" s="4"/>
      <c r="F121" s="3" t="n">
        <v>22</v>
      </c>
      <c r="G121" s="3" t="str">
        <f aca="false">IF(F121="","",IF(F121&gt;=Notes!$B$5,"Elderly ("&amp;Notes!$B$5&amp;"+)",IF(F121&lt;=Notes!$B$4,"Student age (≤"&amp;Notes!$B$4&amp;")","Middle-aged ("&amp;(Notes!$B$4+1)&amp;"–"&amp;(Notes!$B$5-1)&amp;")")))</f>
        <v>Student age (≤29)</v>
      </c>
      <c r="H121" s="3" t="s">
        <v>45</v>
      </c>
      <c r="I121" s="3" t="s">
        <v>321</v>
      </c>
      <c r="J121" s="3" t="s">
        <v>47</v>
      </c>
      <c r="K121" s="3" t="s">
        <v>322</v>
      </c>
      <c r="L121" s="3" t="s">
        <v>321</v>
      </c>
      <c r="M121" s="3" t="s">
        <v>47</v>
      </c>
      <c r="N121" s="3" t="s">
        <v>322</v>
      </c>
      <c r="O121" s="3" t="s">
        <v>1282</v>
      </c>
      <c r="P121" s="3" t="n">
        <v>37</v>
      </c>
      <c r="Q121" s="3" t="s">
        <v>52</v>
      </c>
      <c r="R121" s="3" t="s">
        <v>547</v>
      </c>
      <c r="S121" s="3" t="s">
        <v>1283</v>
      </c>
      <c r="T121" s="3"/>
      <c r="U121" s="3" t="s">
        <v>1284</v>
      </c>
      <c r="V121" s="3" t="s">
        <v>1285</v>
      </c>
      <c r="W121" s="3" t="s">
        <v>1286</v>
      </c>
      <c r="X121" s="3" t="s">
        <v>1287</v>
      </c>
      <c r="Y121" s="3" t="n">
        <v>1</v>
      </c>
      <c r="Z121" s="3" t="n">
        <v>2</v>
      </c>
      <c r="AA121" s="3" t="n">
        <v>3</v>
      </c>
      <c r="AB121" s="3" t="n">
        <v>2</v>
      </c>
      <c r="AC121" s="3" t="n">
        <v>1</v>
      </c>
      <c r="AD121" s="3" t="n">
        <v>3</v>
      </c>
      <c r="AE121" s="3" t="s">
        <v>1288</v>
      </c>
      <c r="AF121" s="3" t="s">
        <v>860</v>
      </c>
      <c r="AG121" s="3"/>
      <c r="AH121" s="3" t="s">
        <v>847</v>
      </c>
      <c r="AI121" s="3"/>
      <c r="AJ121" s="3" t="s">
        <v>59</v>
      </c>
      <c r="AK121" s="3" t="s">
        <v>1289</v>
      </c>
      <c r="AL121" s="3" t="s">
        <v>59</v>
      </c>
      <c r="AM121" s="3"/>
      <c r="AN121" s="3"/>
      <c r="AO121" s="3" t="s">
        <v>59</v>
      </c>
      <c r="AP121" s="3"/>
      <c r="AQ121" s="3"/>
      <c r="AR121" s="3"/>
    </row>
    <row r="122" customFormat="false" ht="15" hidden="false" customHeight="true" outlineLevel="0" collapsed="false">
      <c r="A122" s="3" t="s">
        <v>1290</v>
      </c>
      <c r="B122" s="3" t="n">
        <v>2</v>
      </c>
      <c r="C122" s="3" t="n">
        <v>117</v>
      </c>
      <c r="D122" s="3"/>
      <c r="E122" s="4"/>
      <c r="F122" s="3" t="n">
        <v>21</v>
      </c>
      <c r="G122" s="3" t="str">
        <f aca="false">IF(F122="","",IF(F122&gt;=Notes!$B$5,"Elderly ("&amp;Notes!$B$5&amp;"+)",IF(F122&lt;=Notes!$B$4,"Student age (≤"&amp;Notes!$B$4&amp;")","Middle-aged ("&amp;(Notes!$B$4+1)&amp;"–"&amp;(Notes!$B$5-1)&amp;")")))</f>
        <v>Student age (≤29)</v>
      </c>
      <c r="H122" s="3" t="s">
        <v>83</v>
      </c>
      <c r="I122" s="3" t="s">
        <v>49</v>
      </c>
      <c r="J122" s="3" t="s">
        <v>47</v>
      </c>
      <c r="K122" s="3" t="s">
        <v>50</v>
      </c>
      <c r="L122" s="3" t="s">
        <v>49</v>
      </c>
      <c r="M122" s="3" t="s">
        <v>47</v>
      </c>
      <c r="N122" s="3" t="s">
        <v>50</v>
      </c>
      <c r="O122" s="3" t="s">
        <v>1291</v>
      </c>
      <c r="P122" s="3" t="n">
        <v>30</v>
      </c>
      <c r="Q122" s="3" t="s">
        <v>117</v>
      </c>
      <c r="R122" s="3" t="s">
        <v>547</v>
      </c>
      <c r="S122" s="3" t="s">
        <v>1292</v>
      </c>
      <c r="T122" s="3"/>
      <c r="U122" s="3" t="s">
        <v>1293</v>
      </c>
      <c r="V122" s="3" t="s">
        <v>1294</v>
      </c>
      <c r="W122" s="3" t="s">
        <v>1295</v>
      </c>
      <c r="X122" s="3" t="s">
        <v>1296</v>
      </c>
      <c r="Y122" s="3" t="n">
        <v>2</v>
      </c>
      <c r="Z122" s="3" t="n">
        <v>1</v>
      </c>
      <c r="AA122" s="3" t="n">
        <v>3</v>
      </c>
      <c r="AB122" s="3" t="n">
        <v>3</v>
      </c>
      <c r="AC122" s="3" t="n">
        <v>1</v>
      </c>
      <c r="AD122" s="3" t="n">
        <v>2</v>
      </c>
      <c r="AE122" s="3" t="s">
        <v>1297</v>
      </c>
      <c r="AF122" s="3" t="s">
        <v>860</v>
      </c>
      <c r="AG122" s="3"/>
      <c r="AH122" s="3" t="s">
        <v>846</v>
      </c>
      <c r="AI122" s="3"/>
      <c r="AJ122" s="3" t="s">
        <v>59</v>
      </c>
      <c r="AK122" s="3" t="s">
        <v>1298</v>
      </c>
      <c r="AL122" s="3" t="s">
        <v>59</v>
      </c>
      <c r="AM122" s="3"/>
      <c r="AN122" s="3"/>
      <c r="AO122" s="3" t="s">
        <v>59</v>
      </c>
      <c r="AP122" s="3"/>
      <c r="AQ122" s="3"/>
      <c r="AR122" s="3"/>
    </row>
    <row r="123" customFormat="false" ht="15" hidden="false" customHeight="true" outlineLevel="0" collapsed="false">
      <c r="A123" s="3" t="s">
        <v>1299</v>
      </c>
      <c r="B123" s="3" t="n">
        <v>2</v>
      </c>
      <c r="C123" s="3" t="n">
        <v>122</v>
      </c>
      <c r="D123" s="3"/>
      <c r="E123" s="4"/>
      <c r="F123" s="3" t="n">
        <v>26</v>
      </c>
      <c r="G123" s="3" t="str">
        <f aca="false">IF(F123="","",IF(F123&gt;=Notes!$B$5,"Elderly ("&amp;Notes!$B$5&amp;"+)",IF(F123&lt;=Notes!$B$4,"Student age (≤"&amp;Notes!$B$4&amp;")","Middle-aged ("&amp;(Notes!$B$4+1)&amp;"–"&amp;(Notes!$B$5-1)&amp;")")))</f>
        <v>Student age (≤29)</v>
      </c>
      <c r="H123" s="3" t="s">
        <v>83</v>
      </c>
      <c r="I123" s="3" t="s">
        <v>49</v>
      </c>
      <c r="J123" s="3" t="s">
        <v>47</v>
      </c>
      <c r="K123" s="3" t="s">
        <v>50</v>
      </c>
      <c r="L123" s="3" t="s">
        <v>49</v>
      </c>
      <c r="M123" s="3" t="s">
        <v>47</v>
      </c>
      <c r="N123" s="3" t="s">
        <v>50</v>
      </c>
      <c r="O123" s="3" t="s">
        <v>1300</v>
      </c>
      <c r="P123" s="3" t="n">
        <v>20</v>
      </c>
      <c r="Q123" s="3" t="s">
        <v>95</v>
      </c>
      <c r="R123" s="3" t="s">
        <v>1301</v>
      </c>
      <c r="S123" s="3" t="s">
        <v>1302</v>
      </c>
      <c r="T123" s="3"/>
      <c r="U123" s="3" t="s">
        <v>1303</v>
      </c>
      <c r="V123" s="3" t="s">
        <v>1304</v>
      </c>
      <c r="W123" s="3" t="s">
        <v>1305</v>
      </c>
      <c r="X123" s="3" t="s">
        <v>1306</v>
      </c>
      <c r="Y123" s="3" t="n">
        <v>2</v>
      </c>
      <c r="Z123" s="3" t="n">
        <v>1</v>
      </c>
      <c r="AA123" s="3" t="n">
        <v>3</v>
      </c>
      <c r="AB123" s="3" t="n">
        <v>2</v>
      </c>
      <c r="AC123" s="3" t="n">
        <v>3</v>
      </c>
      <c r="AD123" s="3" t="n">
        <v>1</v>
      </c>
      <c r="AE123" s="3" t="s">
        <v>1307</v>
      </c>
      <c r="AF123" s="3" t="s">
        <v>860</v>
      </c>
      <c r="AG123" s="3"/>
      <c r="AH123" s="3" t="s">
        <v>860</v>
      </c>
      <c r="AI123" s="3"/>
      <c r="AJ123" s="3" t="s">
        <v>59</v>
      </c>
      <c r="AK123" s="3" t="s">
        <v>1308</v>
      </c>
      <c r="AL123" s="3" t="s">
        <v>59</v>
      </c>
      <c r="AM123" s="3"/>
      <c r="AN123" s="3"/>
      <c r="AO123" s="3" t="s">
        <v>59</v>
      </c>
      <c r="AP123" s="3"/>
      <c r="AQ123" s="3"/>
      <c r="AR123" s="3"/>
    </row>
    <row r="124" customFormat="false" ht="15" hidden="false" customHeight="true" outlineLevel="0" collapsed="false">
      <c r="A124" s="3" t="s">
        <v>1309</v>
      </c>
      <c r="B124" s="3" t="n">
        <v>2</v>
      </c>
      <c r="C124" s="3" t="n">
        <v>127</v>
      </c>
      <c r="D124" s="3"/>
      <c r="E124" s="4"/>
      <c r="F124" s="3" t="n">
        <v>32</v>
      </c>
      <c r="G124" s="3" t="str">
        <f aca="false">IF(F124="","",IF(F124&gt;=Notes!$B$5,"Elderly ("&amp;Notes!$B$5&amp;"+)",IF(F124&lt;=Notes!$B$4,"Student age (≤"&amp;Notes!$B$4&amp;")","Middle-aged ("&amp;(Notes!$B$4+1)&amp;"–"&amp;(Notes!$B$5-1)&amp;")")))</f>
        <v>Middle-aged (30–64)</v>
      </c>
      <c r="H124" s="3" t="s">
        <v>83</v>
      </c>
      <c r="I124" s="3" t="s">
        <v>49</v>
      </c>
      <c r="J124" s="3" t="s">
        <v>47</v>
      </c>
      <c r="K124" s="3" t="s">
        <v>50</v>
      </c>
      <c r="L124" s="3" t="s">
        <v>825</v>
      </c>
      <c r="M124" s="3" t="s">
        <v>47</v>
      </c>
      <c r="N124" s="3" t="s">
        <v>826</v>
      </c>
      <c r="O124" s="3" t="s">
        <v>1310</v>
      </c>
      <c r="P124" s="3" t="n">
        <v>30</v>
      </c>
      <c r="Q124" s="3" t="s">
        <v>117</v>
      </c>
      <c r="R124" s="3" t="s">
        <v>1311</v>
      </c>
      <c r="S124" s="3" t="s">
        <v>1312</v>
      </c>
      <c r="T124" s="3"/>
      <c r="U124" s="3" t="s">
        <v>1313</v>
      </c>
      <c r="V124" s="3" t="s">
        <v>1314</v>
      </c>
      <c r="W124" s="3" t="s">
        <v>1315</v>
      </c>
      <c r="X124" s="3" t="s">
        <v>1316</v>
      </c>
      <c r="Y124" s="3" t="n">
        <v>3</v>
      </c>
      <c r="Z124" s="3" t="n">
        <v>1</v>
      </c>
      <c r="AA124" s="3" t="n">
        <v>2</v>
      </c>
      <c r="AB124" s="3" t="n">
        <v>2</v>
      </c>
      <c r="AC124" s="3" t="n">
        <v>3</v>
      </c>
      <c r="AD124" s="3" t="n">
        <v>1</v>
      </c>
      <c r="AE124" s="3" t="s">
        <v>1317</v>
      </c>
      <c r="AF124" s="3" t="s">
        <v>847</v>
      </c>
      <c r="AG124" s="3"/>
      <c r="AH124" s="3" t="s">
        <v>846</v>
      </c>
      <c r="AI124" s="3"/>
      <c r="AJ124" s="3" t="s">
        <v>59</v>
      </c>
      <c r="AK124" s="3" t="s">
        <v>1318</v>
      </c>
      <c r="AL124" s="3" t="s">
        <v>59</v>
      </c>
      <c r="AM124" s="3"/>
      <c r="AN124" s="3"/>
      <c r="AO124" s="3" t="s">
        <v>59</v>
      </c>
      <c r="AP124" s="3"/>
      <c r="AQ124" s="3"/>
      <c r="AR124" s="3"/>
    </row>
    <row r="125" customFormat="false" ht="15" hidden="false" customHeight="true" outlineLevel="0" collapsed="false">
      <c r="A125" s="3" t="s">
        <v>1319</v>
      </c>
      <c r="B125" s="3" t="n">
        <v>2</v>
      </c>
      <c r="C125" s="3" t="n">
        <v>130</v>
      </c>
      <c r="D125" s="3"/>
      <c r="E125" s="4"/>
      <c r="F125" s="3" t="n">
        <v>35</v>
      </c>
      <c r="G125" s="3" t="str">
        <f aca="false">IF(F125="","",IF(F125&gt;=Notes!$B$5,"Elderly ("&amp;Notes!$B$5&amp;"+)",IF(F125&lt;=Notes!$B$4,"Student age (≤"&amp;Notes!$B$4&amp;")","Middle-aged ("&amp;(Notes!$B$4+1)&amp;"–"&amp;(Notes!$B$5-1)&amp;")")))</f>
        <v>Middle-aged (30–64)</v>
      </c>
      <c r="H125" s="3" t="s">
        <v>45</v>
      </c>
      <c r="I125" s="3" t="s">
        <v>49</v>
      </c>
      <c r="J125" s="3" t="s">
        <v>47</v>
      </c>
      <c r="K125" s="3" t="s">
        <v>50</v>
      </c>
      <c r="L125" s="3" t="s">
        <v>825</v>
      </c>
      <c r="M125" s="3" t="s">
        <v>47</v>
      </c>
      <c r="N125" s="3" t="s">
        <v>826</v>
      </c>
      <c r="O125" s="3" t="s">
        <v>1320</v>
      </c>
      <c r="P125" s="3" t="n">
        <v>35</v>
      </c>
      <c r="Q125" s="3" t="s">
        <v>52</v>
      </c>
      <c r="R125" s="3" t="s">
        <v>1321</v>
      </c>
      <c r="S125" s="3" t="s">
        <v>1322</v>
      </c>
      <c r="T125" s="3"/>
      <c r="U125" s="3" t="s">
        <v>98</v>
      </c>
      <c r="V125" s="3" t="s">
        <v>1323</v>
      </c>
      <c r="W125" s="3" t="s">
        <v>1324</v>
      </c>
      <c r="X125" s="3" t="s">
        <v>1322</v>
      </c>
      <c r="Y125" s="3" t="n">
        <v>1</v>
      </c>
      <c r="Z125" s="3" t="n">
        <v>2</v>
      </c>
      <c r="AA125" s="3" t="n">
        <v>3</v>
      </c>
      <c r="AB125" s="3" t="n">
        <v>2</v>
      </c>
      <c r="AC125" s="3" t="n">
        <v>3</v>
      </c>
      <c r="AD125" s="3" t="n">
        <v>1</v>
      </c>
      <c r="AE125" s="3" t="s">
        <v>1325</v>
      </c>
      <c r="AF125" s="3" t="s">
        <v>860</v>
      </c>
      <c r="AG125" s="3"/>
      <c r="AH125" s="3" t="s">
        <v>846</v>
      </c>
      <c r="AI125" s="3"/>
      <c r="AJ125" s="3" t="s">
        <v>59</v>
      </c>
      <c r="AK125" s="3" t="s">
        <v>1326</v>
      </c>
      <c r="AL125" s="3" t="s">
        <v>59</v>
      </c>
      <c r="AM125" s="3"/>
      <c r="AN125" s="3"/>
      <c r="AO125" s="3" t="s">
        <v>59</v>
      </c>
      <c r="AP125" s="3"/>
      <c r="AQ125" s="3"/>
      <c r="AR125" s="3"/>
    </row>
    <row r="126" customFormat="false" ht="15" hidden="false" customHeight="true" outlineLevel="0" collapsed="false">
      <c r="A126" s="3" t="s">
        <v>1327</v>
      </c>
      <c r="B126" s="3" t="n">
        <v>3</v>
      </c>
      <c r="C126" s="3" t="n">
        <v>2</v>
      </c>
      <c r="D126" s="3"/>
      <c r="E126" s="4"/>
      <c r="F126" s="3" t="n">
        <v>63</v>
      </c>
      <c r="G126" s="3" t="str">
        <f aca="false">IF(F126="","",IF(F126&gt;=Notes!$B$5,"Elderly ("&amp;Notes!$B$5&amp;"+)",IF(F126&lt;=Notes!$B$4,"Student age (≤"&amp;Notes!$B$4&amp;")","Middle-aged ("&amp;(Notes!$B$4+1)&amp;"–"&amp;(Notes!$B$5-1)&amp;")")))</f>
        <v>Middle-aged (30–64)</v>
      </c>
      <c r="H126" s="3" t="s">
        <v>83</v>
      </c>
      <c r="I126" s="3" t="s">
        <v>71</v>
      </c>
      <c r="J126" s="3" t="s">
        <v>47</v>
      </c>
      <c r="K126" s="3" t="s">
        <v>72</v>
      </c>
      <c r="L126" s="3" t="s">
        <v>71</v>
      </c>
      <c r="M126" s="3" t="s">
        <v>47</v>
      </c>
      <c r="N126" s="3" t="s">
        <v>72</v>
      </c>
      <c r="O126" s="3" t="s">
        <v>1328</v>
      </c>
      <c r="P126" s="3" t="n">
        <v>20</v>
      </c>
      <c r="Q126" s="3" t="s">
        <v>95</v>
      </c>
      <c r="R126" s="3" t="s">
        <v>1329</v>
      </c>
      <c r="S126" s="3" t="s">
        <v>1330</v>
      </c>
      <c r="T126" s="3"/>
      <c r="U126" s="3" t="s">
        <v>1331</v>
      </c>
      <c r="V126" s="3" t="s">
        <v>1332</v>
      </c>
      <c r="W126" s="3" t="s">
        <v>1333</v>
      </c>
      <c r="X126" s="3" t="s">
        <v>1334</v>
      </c>
      <c r="Y126" s="3" t="n">
        <v>2</v>
      </c>
      <c r="Z126" s="3" t="n">
        <v>1</v>
      </c>
      <c r="AA126" s="3" t="n">
        <v>3</v>
      </c>
      <c r="AB126" s="3" t="n">
        <v>1</v>
      </c>
      <c r="AC126" s="3" t="n">
        <v>2</v>
      </c>
      <c r="AD126" s="3" t="n">
        <v>3</v>
      </c>
      <c r="AE126" s="3" t="s">
        <v>1335</v>
      </c>
      <c r="AF126" s="3"/>
      <c r="AG126" s="3" t="s">
        <v>1336</v>
      </c>
      <c r="AH126" s="3"/>
      <c r="AI126" s="3" t="s">
        <v>1337</v>
      </c>
      <c r="AJ126" s="3" t="s">
        <v>59</v>
      </c>
      <c r="AK126" s="3" t="s">
        <v>1338</v>
      </c>
      <c r="AL126" s="3"/>
      <c r="AM126" s="3" t="n">
        <v>4</v>
      </c>
      <c r="AN126" s="3"/>
      <c r="AO126" s="3"/>
      <c r="AP126" s="3" t="n">
        <v>5</v>
      </c>
      <c r="AQ126" s="3"/>
      <c r="AR126" s="3"/>
    </row>
    <row r="127" customFormat="false" ht="15" hidden="false" customHeight="true" outlineLevel="0" collapsed="false">
      <c r="A127" s="3" t="s">
        <v>1339</v>
      </c>
      <c r="B127" s="3" t="n">
        <v>3</v>
      </c>
      <c r="C127" s="3" t="n">
        <v>3</v>
      </c>
      <c r="D127" s="3"/>
      <c r="E127" s="4"/>
      <c r="F127" s="3" t="n">
        <v>21</v>
      </c>
      <c r="G127" s="3" t="str">
        <f aca="false">IF(F127="","",IF(F127&gt;=Notes!$B$5,"Elderly ("&amp;Notes!$B$5&amp;"+)",IF(F127&lt;=Notes!$B$4,"Student age (≤"&amp;Notes!$B$4&amp;")","Middle-aged ("&amp;(Notes!$B$4+1)&amp;"–"&amp;(Notes!$B$5-1)&amp;")")))</f>
        <v>Student age (≤29)</v>
      </c>
      <c r="H127" s="3" t="s">
        <v>45</v>
      </c>
      <c r="I127" s="3"/>
      <c r="J127" s="3" t="s">
        <v>47</v>
      </c>
      <c r="K127" s="3" t="s">
        <v>47</v>
      </c>
      <c r="L127" s="3"/>
      <c r="M127" s="3" t="s">
        <v>47</v>
      </c>
      <c r="N127" s="3" t="s">
        <v>47</v>
      </c>
      <c r="O127" s="3" t="s">
        <v>1340</v>
      </c>
      <c r="P127" s="3" t="n">
        <v>35</v>
      </c>
      <c r="Q127" s="3" t="s">
        <v>52</v>
      </c>
      <c r="R127" s="3" t="s">
        <v>1341</v>
      </c>
      <c r="S127" s="3" t="s">
        <v>1342</v>
      </c>
      <c r="T127" s="3"/>
      <c r="U127" s="3" t="s">
        <v>1343</v>
      </c>
      <c r="V127" s="5" t="s">
        <v>1344</v>
      </c>
      <c r="W127" s="3" t="s">
        <v>1345</v>
      </c>
      <c r="X127" s="5" t="s">
        <v>1346</v>
      </c>
      <c r="Y127" s="3" t="n">
        <v>2</v>
      </c>
      <c r="Z127" s="3" t="n">
        <v>3</v>
      </c>
      <c r="AA127" s="3" t="n">
        <v>1</v>
      </c>
      <c r="AB127" s="3" t="n">
        <v>2</v>
      </c>
      <c r="AC127" s="3" t="n">
        <v>1</v>
      </c>
      <c r="AD127" s="3" t="n">
        <v>3</v>
      </c>
      <c r="AE127" s="3" t="s">
        <v>1347</v>
      </c>
      <c r="AF127" s="3"/>
      <c r="AG127" s="3" t="s">
        <v>1348</v>
      </c>
      <c r="AH127" s="3"/>
      <c r="AI127" s="3" t="s">
        <v>1349</v>
      </c>
      <c r="AJ127" s="3"/>
      <c r="AK127" s="3" t="s">
        <v>1350</v>
      </c>
      <c r="AL127" s="3"/>
      <c r="AM127" s="3" t="n">
        <v>4</v>
      </c>
      <c r="AN127" s="3"/>
      <c r="AO127" s="3"/>
      <c r="AP127" s="3" t="n">
        <v>5</v>
      </c>
      <c r="AQ127" s="3"/>
      <c r="AR127" s="3"/>
    </row>
    <row r="128" customFormat="false" ht="15" hidden="false" customHeight="true" outlineLevel="0" collapsed="false">
      <c r="A128" s="3" t="s">
        <v>1351</v>
      </c>
      <c r="B128" s="3" t="n">
        <v>3</v>
      </c>
      <c r="C128" s="3" t="n">
        <v>4</v>
      </c>
      <c r="D128" s="3"/>
      <c r="E128" s="4"/>
      <c r="F128" s="3" t="n">
        <v>21</v>
      </c>
      <c r="G128" s="3" t="str">
        <f aca="false">IF(F128="","",IF(F128&gt;=Notes!$B$5,"Elderly ("&amp;Notes!$B$5&amp;"+)",IF(F128&lt;=Notes!$B$4,"Student age (≤"&amp;Notes!$B$4&amp;")","Middle-aged ("&amp;(Notes!$B$4+1)&amp;"–"&amp;(Notes!$B$5-1)&amp;")")))</f>
        <v>Student age (≤29)</v>
      </c>
      <c r="H128" s="3" t="s">
        <v>45</v>
      </c>
      <c r="I128" s="3"/>
      <c r="J128" s="3" t="s">
        <v>47</v>
      </c>
      <c r="K128" s="3" t="s">
        <v>47</v>
      </c>
      <c r="L128" s="3" t="s">
        <v>49</v>
      </c>
      <c r="M128" s="3" t="s">
        <v>47</v>
      </c>
      <c r="N128" s="3" t="s">
        <v>50</v>
      </c>
      <c r="O128" s="3" t="s">
        <v>104</v>
      </c>
      <c r="P128" s="3" t="n">
        <v>20</v>
      </c>
      <c r="Q128" s="3" t="s">
        <v>95</v>
      </c>
      <c r="R128" s="3" t="s">
        <v>1352</v>
      </c>
      <c r="S128" s="3" t="s">
        <v>1353</v>
      </c>
      <c r="T128" s="3"/>
      <c r="U128" s="3" t="s">
        <v>1354</v>
      </c>
      <c r="V128" s="3" t="s">
        <v>1355</v>
      </c>
      <c r="W128" s="3" t="s">
        <v>1356</v>
      </c>
      <c r="X128" s="3" t="s">
        <v>1357</v>
      </c>
      <c r="Y128" s="3" t="n">
        <v>3</v>
      </c>
      <c r="Z128" s="3" t="n">
        <v>1</v>
      </c>
      <c r="AA128" s="3" t="n">
        <v>2</v>
      </c>
      <c r="AB128" s="3" t="n">
        <v>3</v>
      </c>
      <c r="AC128" s="3" t="n">
        <v>1</v>
      </c>
      <c r="AD128" s="3" t="n">
        <v>2</v>
      </c>
      <c r="AE128" s="3" t="s">
        <v>1358</v>
      </c>
      <c r="AF128" s="3"/>
      <c r="AG128" s="3" t="s">
        <v>1359</v>
      </c>
      <c r="AH128" s="3"/>
      <c r="AI128" s="3" t="s">
        <v>1360</v>
      </c>
      <c r="AJ128" s="3" t="s">
        <v>59</v>
      </c>
      <c r="AK128" s="3" t="s">
        <v>1361</v>
      </c>
      <c r="AL128" s="3"/>
      <c r="AM128" s="3" t="n">
        <v>5</v>
      </c>
      <c r="AN128" s="3"/>
      <c r="AO128" s="3"/>
      <c r="AP128" s="3" t="n">
        <v>5</v>
      </c>
      <c r="AQ128" s="3"/>
      <c r="AR128" s="3"/>
    </row>
    <row r="129" customFormat="false" ht="15" hidden="false" customHeight="true" outlineLevel="0" collapsed="false">
      <c r="A129" s="3" t="s">
        <v>1362</v>
      </c>
      <c r="B129" s="3" t="n">
        <v>3</v>
      </c>
      <c r="C129" s="3" t="n">
        <v>5</v>
      </c>
      <c r="D129" s="3"/>
      <c r="E129" s="4"/>
      <c r="F129" s="3" t="n">
        <v>53</v>
      </c>
      <c r="G129" s="3" t="str">
        <f aca="false">IF(F129="","",IF(F129&gt;=Notes!$B$5,"Elderly ("&amp;Notes!$B$5&amp;"+)",IF(F129&lt;=Notes!$B$4,"Student age (≤"&amp;Notes!$B$4&amp;")","Middle-aged ("&amp;(Notes!$B$4+1)&amp;"–"&amp;(Notes!$B$5-1)&amp;")")))</f>
        <v>Middle-aged (30–64)</v>
      </c>
      <c r="H129" s="3" t="s">
        <v>45</v>
      </c>
      <c r="I129" s="3" t="s">
        <v>256</v>
      </c>
      <c r="J129" s="3" t="s">
        <v>47</v>
      </c>
      <c r="K129" s="3" t="s">
        <v>257</v>
      </c>
      <c r="L129" s="3" t="s">
        <v>1363</v>
      </c>
      <c r="M129" s="3" t="s">
        <v>47</v>
      </c>
      <c r="N129" s="3" t="s">
        <v>1364</v>
      </c>
      <c r="O129" s="3" t="s">
        <v>1365</v>
      </c>
      <c r="P129" s="3" t="n">
        <v>60</v>
      </c>
      <c r="Q129" s="3" t="s">
        <v>52</v>
      </c>
      <c r="R129" s="3" t="s">
        <v>1366</v>
      </c>
      <c r="S129" s="3" t="s">
        <v>1366</v>
      </c>
      <c r="T129" s="3"/>
      <c r="U129" s="3" t="s">
        <v>1367</v>
      </c>
      <c r="V129" s="3" t="s">
        <v>1368</v>
      </c>
      <c r="W129" s="3" t="s">
        <v>1369</v>
      </c>
      <c r="X129" s="3" t="s">
        <v>1370</v>
      </c>
      <c r="Y129" s="3" t="n">
        <v>3</v>
      </c>
      <c r="Z129" s="3" t="n">
        <v>2</v>
      </c>
      <c r="AA129" s="3" t="n">
        <v>1</v>
      </c>
      <c r="AB129" s="3" t="n">
        <v>3</v>
      </c>
      <c r="AC129" s="3" t="n">
        <v>2</v>
      </c>
      <c r="AD129" s="3" t="n">
        <v>1</v>
      </c>
      <c r="AE129" s="3" t="s">
        <v>1371</v>
      </c>
      <c r="AF129" s="3"/>
      <c r="AG129" s="3" t="s">
        <v>1372</v>
      </c>
      <c r="AH129" s="3"/>
      <c r="AI129" s="3" t="s">
        <v>1373</v>
      </c>
      <c r="AJ129" s="3"/>
      <c r="AK129" s="3" t="s">
        <v>1374</v>
      </c>
      <c r="AL129" s="3"/>
      <c r="AM129" s="3" t="n">
        <v>4</v>
      </c>
      <c r="AN129" s="3"/>
      <c r="AO129" s="3"/>
      <c r="AP129" s="3" t="n">
        <v>5</v>
      </c>
      <c r="AQ129" s="3"/>
      <c r="AR129" s="3"/>
    </row>
    <row r="130" customFormat="false" ht="15" hidden="false" customHeight="true" outlineLevel="0" collapsed="false">
      <c r="A130" s="3" t="s">
        <v>1375</v>
      </c>
      <c r="B130" s="3" t="n">
        <v>3</v>
      </c>
      <c r="C130" s="3" t="n">
        <v>6</v>
      </c>
      <c r="D130" s="3"/>
      <c r="E130" s="4"/>
      <c r="F130" s="3" t="n">
        <v>55</v>
      </c>
      <c r="G130" s="3" t="str">
        <f aca="false">IF(F130="","",IF(F130&gt;=Notes!$B$5,"Elderly ("&amp;Notes!$B$5&amp;"+)",IF(F130&lt;=Notes!$B$4,"Student age (≤"&amp;Notes!$B$4&amp;")","Middle-aged ("&amp;(Notes!$B$4+1)&amp;"–"&amp;(Notes!$B$5-1)&amp;")")))</f>
        <v>Middle-aged (30–64)</v>
      </c>
      <c r="H130" s="3" t="s">
        <v>45</v>
      </c>
      <c r="I130" s="3"/>
      <c r="J130" s="3" t="s">
        <v>47</v>
      </c>
      <c r="K130" s="3" t="s">
        <v>47</v>
      </c>
      <c r="L130" s="3" t="s">
        <v>424</v>
      </c>
      <c r="M130" s="3" t="s">
        <v>47</v>
      </c>
      <c r="N130" s="3" t="s">
        <v>425</v>
      </c>
      <c r="O130" s="3" t="s">
        <v>1376</v>
      </c>
      <c r="P130" s="3" t="n">
        <v>40</v>
      </c>
      <c r="Q130" s="3" t="s">
        <v>52</v>
      </c>
      <c r="R130" s="3" t="s">
        <v>547</v>
      </c>
      <c r="S130" s="3" t="s">
        <v>1377</v>
      </c>
      <c r="T130" s="3"/>
      <c r="U130" s="3" t="s">
        <v>1378</v>
      </c>
      <c r="V130" s="3" t="s">
        <v>1379</v>
      </c>
      <c r="W130" s="3" t="s">
        <v>1380</v>
      </c>
      <c r="X130" s="3" t="s">
        <v>1381</v>
      </c>
      <c r="Y130" s="3" t="n">
        <v>3</v>
      </c>
      <c r="Z130" s="3" t="n">
        <v>2</v>
      </c>
      <c r="AA130" s="3" t="n">
        <v>1</v>
      </c>
      <c r="AB130" s="3" t="n">
        <v>2</v>
      </c>
      <c r="AC130" s="3" t="n">
        <v>3</v>
      </c>
      <c r="AD130" s="3" t="n">
        <v>1</v>
      </c>
      <c r="AE130" s="3" t="s">
        <v>1382</v>
      </c>
      <c r="AF130" s="3"/>
      <c r="AG130" s="3" t="s">
        <v>1383</v>
      </c>
      <c r="AH130" s="3"/>
      <c r="AI130" s="3" t="s">
        <v>1384</v>
      </c>
      <c r="AJ130" s="3" t="s">
        <v>59</v>
      </c>
      <c r="AK130" s="3" t="s">
        <v>1385</v>
      </c>
      <c r="AL130" s="3"/>
      <c r="AM130" s="3" t="n">
        <v>1</v>
      </c>
      <c r="AN130" s="3"/>
      <c r="AO130" s="3"/>
      <c r="AP130" s="3" t="n">
        <v>2</v>
      </c>
      <c r="AQ130" s="3"/>
      <c r="AR130" s="3"/>
    </row>
    <row r="131" customFormat="false" ht="15" hidden="false" customHeight="true" outlineLevel="0" collapsed="false">
      <c r="A131" s="3" t="s">
        <v>1386</v>
      </c>
      <c r="B131" s="3" t="n">
        <v>3</v>
      </c>
      <c r="C131" s="3" t="n">
        <v>7</v>
      </c>
      <c r="D131" s="3"/>
      <c r="E131" s="4"/>
      <c r="F131" s="3" t="n">
        <v>46</v>
      </c>
      <c r="G131" s="3" t="str">
        <f aca="false">IF(F131="","",IF(F131&gt;=Notes!$B$5,"Elderly ("&amp;Notes!$B$5&amp;"+)",IF(F131&lt;=Notes!$B$4,"Student age (≤"&amp;Notes!$B$4&amp;")","Middle-aged ("&amp;(Notes!$B$4+1)&amp;"–"&amp;(Notes!$B$5-1)&amp;")")))</f>
        <v>Middle-aged (30–64)</v>
      </c>
      <c r="H131" s="3" t="s">
        <v>45</v>
      </c>
      <c r="I131" s="3" t="s">
        <v>825</v>
      </c>
      <c r="J131" s="3" t="s">
        <v>47</v>
      </c>
      <c r="K131" s="3" t="s">
        <v>826</v>
      </c>
      <c r="L131" s="3" t="s">
        <v>825</v>
      </c>
      <c r="M131" s="3" t="s">
        <v>47</v>
      </c>
      <c r="N131" s="3" t="s">
        <v>826</v>
      </c>
      <c r="O131" s="3" t="s">
        <v>1387</v>
      </c>
      <c r="P131" s="3" t="n">
        <v>28</v>
      </c>
      <c r="Q131" s="3" t="s">
        <v>117</v>
      </c>
      <c r="R131" s="3" t="s">
        <v>1388</v>
      </c>
      <c r="S131" s="3" t="s">
        <v>1389</v>
      </c>
      <c r="T131" s="3"/>
      <c r="U131" s="3" t="s">
        <v>1390</v>
      </c>
      <c r="V131" s="3" t="s">
        <v>1391</v>
      </c>
      <c r="W131" s="3" t="s">
        <v>1392</v>
      </c>
      <c r="X131" s="5" t="s">
        <v>1393</v>
      </c>
      <c r="Y131" s="3" t="n">
        <v>2</v>
      </c>
      <c r="Z131" s="3" t="n">
        <v>1</v>
      </c>
      <c r="AA131" s="3" t="n">
        <v>3</v>
      </c>
      <c r="AB131" s="3" t="n">
        <v>3</v>
      </c>
      <c r="AC131" s="3" t="n">
        <v>1</v>
      </c>
      <c r="AD131" s="3" t="n">
        <v>2</v>
      </c>
      <c r="AE131" s="3" t="s">
        <v>1394</v>
      </c>
      <c r="AF131" s="3"/>
      <c r="AG131" s="3" t="s">
        <v>1395</v>
      </c>
      <c r="AH131" s="3"/>
      <c r="AI131" s="3" t="s">
        <v>1396</v>
      </c>
      <c r="AJ131" s="3" t="s">
        <v>59</v>
      </c>
      <c r="AK131" s="3" t="s">
        <v>1397</v>
      </c>
      <c r="AL131" s="3"/>
      <c r="AM131" s="3" t="n">
        <v>4</v>
      </c>
      <c r="AN131" s="3"/>
      <c r="AO131" s="3"/>
      <c r="AP131" s="3" t="n">
        <v>5</v>
      </c>
      <c r="AQ131" s="3"/>
      <c r="AR131" s="3"/>
    </row>
    <row r="132" customFormat="false" ht="15" hidden="false" customHeight="true" outlineLevel="0" collapsed="false">
      <c r="A132" s="3" t="s">
        <v>1398</v>
      </c>
      <c r="B132" s="3" t="n">
        <v>3</v>
      </c>
      <c r="C132" s="3" t="n">
        <v>8</v>
      </c>
      <c r="D132" s="3"/>
      <c r="E132" s="4"/>
      <c r="F132" s="3" t="n">
        <v>48</v>
      </c>
      <c r="G132" s="3" t="str">
        <f aca="false">IF(F132="","",IF(F132&gt;=Notes!$B$5,"Elderly ("&amp;Notes!$B$5&amp;"+)",IF(F132&lt;=Notes!$B$4,"Student age (≤"&amp;Notes!$B$4&amp;")","Middle-aged ("&amp;(Notes!$B$4+1)&amp;"–"&amp;(Notes!$B$5-1)&amp;")")))</f>
        <v>Middle-aged (30–64)</v>
      </c>
      <c r="H132" s="3" t="s">
        <v>83</v>
      </c>
      <c r="I132" s="3" t="s">
        <v>1399</v>
      </c>
      <c r="J132" s="3" t="s">
        <v>47</v>
      </c>
      <c r="K132" s="3" t="s">
        <v>1400</v>
      </c>
      <c r="L132" s="3" t="s">
        <v>1399</v>
      </c>
      <c r="M132" s="3" t="s">
        <v>47</v>
      </c>
      <c r="N132" s="3" t="s">
        <v>1400</v>
      </c>
      <c r="O132" s="3" t="s">
        <v>1401</v>
      </c>
      <c r="P132" s="3" t="n">
        <v>40</v>
      </c>
      <c r="Q132" s="3" t="s">
        <v>52</v>
      </c>
      <c r="R132" s="3" t="s">
        <v>1402</v>
      </c>
      <c r="S132" s="3" t="s">
        <v>1403</v>
      </c>
      <c r="T132" s="3"/>
      <c r="U132" s="3" t="s">
        <v>1404</v>
      </c>
      <c r="V132" s="3" t="s">
        <v>1405</v>
      </c>
      <c r="W132" s="3" t="s">
        <v>1406</v>
      </c>
      <c r="X132" s="3" t="s">
        <v>1407</v>
      </c>
      <c r="Y132" s="3" t="n">
        <v>3</v>
      </c>
      <c r="Z132" s="3" t="n">
        <v>2</v>
      </c>
      <c r="AA132" s="3" t="n">
        <v>1</v>
      </c>
      <c r="AB132" s="3" t="n">
        <v>2</v>
      </c>
      <c r="AC132" s="3" t="n">
        <v>1</v>
      </c>
      <c r="AD132" s="3" t="n">
        <v>3</v>
      </c>
      <c r="AE132" s="3" t="s">
        <v>1408</v>
      </c>
      <c r="AF132" s="3"/>
      <c r="AG132" s="3" t="s">
        <v>1409</v>
      </c>
      <c r="AH132" s="3"/>
      <c r="AI132" s="3" t="s">
        <v>1410</v>
      </c>
      <c r="AJ132" s="3" t="s">
        <v>59</v>
      </c>
      <c r="AK132" s="3"/>
      <c r="AL132" s="3"/>
      <c r="AM132" s="3" t="n">
        <v>5</v>
      </c>
      <c r="AN132" s="3"/>
      <c r="AO132" s="3"/>
      <c r="AP132" s="3" t="n">
        <v>5</v>
      </c>
      <c r="AQ132" s="3"/>
      <c r="AR132" s="3"/>
    </row>
    <row r="133" customFormat="false" ht="15" hidden="false" customHeight="true" outlineLevel="0" collapsed="false">
      <c r="A133" s="3" t="s">
        <v>1411</v>
      </c>
      <c r="B133" s="3" t="n">
        <v>3</v>
      </c>
      <c r="C133" s="3" t="n">
        <v>9</v>
      </c>
      <c r="D133" s="3"/>
      <c r="E133" s="4"/>
      <c r="F133" s="3" t="n">
        <v>54</v>
      </c>
      <c r="G133" s="3" t="str">
        <f aca="false">IF(F133="","",IF(F133&gt;=Notes!$B$5,"Elderly ("&amp;Notes!$B$5&amp;"+)",IF(F133&lt;=Notes!$B$4,"Student age (≤"&amp;Notes!$B$4&amp;")","Middle-aged ("&amp;(Notes!$B$4+1)&amp;"–"&amp;(Notes!$B$5-1)&amp;")")))</f>
        <v>Middle-aged (30–64)</v>
      </c>
      <c r="H133" s="3" t="s">
        <v>45</v>
      </c>
      <c r="I133" s="3" t="s">
        <v>1412</v>
      </c>
      <c r="J133" s="3" t="s">
        <v>47</v>
      </c>
      <c r="K133" s="3" t="s">
        <v>1413</v>
      </c>
      <c r="L133" s="3" t="s">
        <v>1363</v>
      </c>
      <c r="M133" s="3" t="s">
        <v>47</v>
      </c>
      <c r="N133" s="3" t="s">
        <v>1364</v>
      </c>
      <c r="O133" s="3" t="s">
        <v>1414</v>
      </c>
      <c r="P133" s="3" t="n">
        <v>25</v>
      </c>
      <c r="Q133" s="3" t="s">
        <v>117</v>
      </c>
      <c r="R133" s="3" t="s">
        <v>1415</v>
      </c>
      <c r="S133" s="3" t="s">
        <v>1416</v>
      </c>
      <c r="T133" s="3"/>
      <c r="U133" s="3" t="s">
        <v>59</v>
      </c>
      <c r="V133" s="3" t="s">
        <v>1417</v>
      </c>
      <c r="W133" s="3" t="s">
        <v>1418</v>
      </c>
      <c r="X133" s="3" t="s">
        <v>1419</v>
      </c>
      <c r="Y133" s="3" t="n">
        <v>3</v>
      </c>
      <c r="Z133" s="3" t="n">
        <v>1</v>
      </c>
      <c r="AA133" s="3" t="n">
        <v>2</v>
      </c>
      <c r="AB133" s="3" t="n">
        <v>3</v>
      </c>
      <c r="AC133" s="3" t="n">
        <v>2</v>
      </c>
      <c r="AD133" s="3" t="n">
        <v>1</v>
      </c>
      <c r="AE133" s="3" t="s">
        <v>1420</v>
      </c>
      <c r="AF133" s="3"/>
      <c r="AG133" s="3" t="s">
        <v>1421</v>
      </c>
      <c r="AH133" s="3"/>
      <c r="AI133" s="3" t="s">
        <v>1422</v>
      </c>
      <c r="AJ133" s="3" t="s">
        <v>59</v>
      </c>
      <c r="AK133" s="3"/>
      <c r="AL133" s="3"/>
      <c r="AM133" s="3" t="n">
        <v>4</v>
      </c>
      <c r="AN133" s="3"/>
      <c r="AO133" s="3"/>
      <c r="AP133" s="3" t="n">
        <v>4</v>
      </c>
      <c r="AQ133" s="3"/>
      <c r="AR133" s="3"/>
    </row>
    <row r="134" customFormat="false" ht="15" hidden="false" customHeight="true" outlineLevel="0" collapsed="false">
      <c r="A134" s="3" t="s">
        <v>1423</v>
      </c>
      <c r="B134" s="3" t="n">
        <v>3</v>
      </c>
      <c r="C134" s="3" t="n">
        <v>10</v>
      </c>
      <c r="D134" s="3"/>
      <c r="E134" s="4"/>
      <c r="F134" s="3" t="n">
        <v>60</v>
      </c>
      <c r="G134" s="3" t="str">
        <f aca="false">IF(F134="","",IF(F134&gt;=Notes!$B$5,"Elderly ("&amp;Notes!$B$5&amp;"+)",IF(F134&lt;=Notes!$B$4,"Student age (≤"&amp;Notes!$B$4&amp;")","Middle-aged ("&amp;(Notes!$B$4+1)&amp;"–"&amp;(Notes!$B$5-1)&amp;")")))</f>
        <v>Middle-aged (30–64)</v>
      </c>
      <c r="H134" s="3" t="s">
        <v>45</v>
      </c>
      <c r="I134" s="3" t="s">
        <v>1363</v>
      </c>
      <c r="J134" s="3" t="s">
        <v>47</v>
      </c>
      <c r="K134" s="3" t="s">
        <v>1364</v>
      </c>
      <c r="L134" s="3" t="s">
        <v>1363</v>
      </c>
      <c r="M134" s="3" t="s">
        <v>47</v>
      </c>
      <c r="N134" s="3" t="s">
        <v>1364</v>
      </c>
      <c r="O134" s="3" t="s">
        <v>1424</v>
      </c>
      <c r="P134" s="3" t="n">
        <v>60</v>
      </c>
      <c r="Q134" s="3" t="s">
        <v>52</v>
      </c>
      <c r="R134" s="3" t="s">
        <v>1425</v>
      </c>
      <c r="S134" s="3" t="s">
        <v>1426</v>
      </c>
      <c r="T134" s="3"/>
      <c r="U134" s="3" t="s">
        <v>1427</v>
      </c>
      <c r="V134" s="3" t="s">
        <v>1428</v>
      </c>
      <c r="W134" s="3" t="s">
        <v>1429</v>
      </c>
      <c r="X134" s="3" t="s">
        <v>1430</v>
      </c>
      <c r="Y134" s="3" t="n">
        <v>2</v>
      </c>
      <c r="Z134" s="3" t="n">
        <v>3</v>
      </c>
      <c r="AA134" s="3" t="n">
        <v>1</v>
      </c>
      <c r="AB134" s="3" t="n">
        <v>3</v>
      </c>
      <c r="AC134" s="3" t="n">
        <v>1</v>
      </c>
      <c r="AD134" s="3" t="n">
        <v>2</v>
      </c>
      <c r="AE134" s="3" t="s">
        <v>1431</v>
      </c>
      <c r="AF134" s="3"/>
      <c r="AG134" s="3" t="s">
        <v>1432</v>
      </c>
      <c r="AH134" s="3"/>
      <c r="AI134" s="3" t="s">
        <v>1433</v>
      </c>
      <c r="AJ134" s="3" t="s">
        <v>59</v>
      </c>
      <c r="AK134" s="3" t="s">
        <v>1434</v>
      </c>
      <c r="AL134" s="3"/>
      <c r="AM134" s="3" t="n">
        <v>5</v>
      </c>
      <c r="AN134" s="3"/>
      <c r="AO134" s="3"/>
      <c r="AP134" s="3" t="n">
        <v>5</v>
      </c>
      <c r="AQ134" s="3"/>
      <c r="AR134" s="3"/>
    </row>
    <row r="135" customFormat="false" ht="15" hidden="false" customHeight="true" outlineLevel="0" collapsed="false">
      <c r="A135" s="3" t="s">
        <v>1435</v>
      </c>
      <c r="B135" s="3" t="n">
        <v>3</v>
      </c>
      <c r="C135" s="3" t="n">
        <v>11</v>
      </c>
      <c r="D135" s="3"/>
      <c r="E135" s="4"/>
      <c r="F135" s="3" t="n">
        <v>75</v>
      </c>
      <c r="G135" s="3" t="str">
        <f aca="false">IF(F135="","",IF(F135&gt;=Notes!$B$5,"Elderly ("&amp;Notes!$B$5&amp;"+)",IF(F135&lt;=Notes!$B$4,"Student age (≤"&amp;Notes!$B$4&amp;")","Middle-aged ("&amp;(Notes!$B$4+1)&amp;"–"&amp;(Notes!$B$5-1)&amp;")")))</f>
        <v>Elderly (65+)</v>
      </c>
      <c r="H135" s="3" t="s">
        <v>45</v>
      </c>
      <c r="I135" s="3" t="s">
        <v>825</v>
      </c>
      <c r="J135" s="3" t="s">
        <v>47</v>
      </c>
      <c r="K135" s="3" t="s">
        <v>826</v>
      </c>
      <c r="L135" s="3" t="s">
        <v>825</v>
      </c>
      <c r="M135" s="3" t="s">
        <v>47</v>
      </c>
      <c r="N135" s="3" t="s">
        <v>826</v>
      </c>
      <c r="O135" s="3" t="s">
        <v>1436</v>
      </c>
      <c r="P135" s="3" t="n">
        <v>20</v>
      </c>
      <c r="Q135" s="3" t="s">
        <v>95</v>
      </c>
      <c r="R135" s="3" t="s">
        <v>1437</v>
      </c>
      <c r="S135" s="3" t="s">
        <v>1438</v>
      </c>
      <c r="T135" s="3"/>
      <c r="U135" s="3" t="s">
        <v>98</v>
      </c>
      <c r="V135" s="3" t="s">
        <v>1439</v>
      </c>
      <c r="W135" s="3" t="s">
        <v>1440</v>
      </c>
      <c r="X135" s="3" t="s">
        <v>1441</v>
      </c>
      <c r="Y135" s="3" t="n">
        <v>3</v>
      </c>
      <c r="Z135" s="3" t="n">
        <v>1</v>
      </c>
      <c r="AA135" s="3" t="n">
        <v>2</v>
      </c>
      <c r="AB135" s="3" t="n">
        <v>3</v>
      </c>
      <c r="AC135" s="3" t="n">
        <v>1</v>
      </c>
      <c r="AD135" s="3" t="n">
        <v>2</v>
      </c>
      <c r="AE135" s="3" t="s">
        <v>1442</v>
      </c>
      <c r="AF135" s="3"/>
      <c r="AG135" s="3" t="s">
        <v>1443</v>
      </c>
      <c r="AH135" s="3"/>
      <c r="AI135" s="3" t="s">
        <v>1444</v>
      </c>
      <c r="AJ135" s="3" t="s">
        <v>59</v>
      </c>
      <c r="AK135" s="3" t="s">
        <v>1445</v>
      </c>
      <c r="AL135" s="3"/>
      <c r="AM135" s="3" t="n">
        <v>4</v>
      </c>
      <c r="AN135" s="3"/>
      <c r="AO135" s="3"/>
      <c r="AP135" s="3" t="n">
        <v>5</v>
      </c>
      <c r="AQ135" s="3"/>
      <c r="AR135" s="3"/>
    </row>
    <row r="136" customFormat="false" ht="15" hidden="false" customHeight="true" outlineLevel="0" collapsed="false">
      <c r="A136" s="3" t="s">
        <v>1446</v>
      </c>
      <c r="B136" s="3" t="n">
        <v>3</v>
      </c>
      <c r="C136" s="3" t="n">
        <v>12</v>
      </c>
      <c r="D136" s="3"/>
      <c r="E136" s="4"/>
      <c r="F136" s="3" t="n">
        <v>19</v>
      </c>
      <c r="G136" s="3" t="str">
        <f aca="false">IF(F136="","",IF(F136&gt;=Notes!$B$5,"Elderly ("&amp;Notes!$B$5&amp;"+)",IF(F136&lt;=Notes!$B$4,"Student age (≤"&amp;Notes!$B$4&amp;")","Middle-aged ("&amp;(Notes!$B$4+1)&amp;"–"&amp;(Notes!$B$5-1)&amp;")")))</f>
        <v>Student age (≤29)</v>
      </c>
      <c r="H136" s="3" t="s">
        <v>1447</v>
      </c>
      <c r="I136" s="3" t="s">
        <v>71</v>
      </c>
      <c r="J136" s="3" t="s">
        <v>47</v>
      </c>
      <c r="K136" s="3" t="s">
        <v>72</v>
      </c>
      <c r="L136" s="3" t="s">
        <v>71</v>
      </c>
      <c r="M136" s="3" t="s">
        <v>47</v>
      </c>
      <c r="N136" s="3" t="s">
        <v>72</v>
      </c>
      <c r="O136" s="3" t="s">
        <v>1448</v>
      </c>
      <c r="P136" s="3" t="n">
        <v>20</v>
      </c>
      <c r="Q136" s="3" t="s">
        <v>95</v>
      </c>
      <c r="R136" s="3" t="s">
        <v>1449</v>
      </c>
      <c r="S136" s="3" t="s">
        <v>1450</v>
      </c>
      <c r="T136" s="3"/>
      <c r="U136" s="3" t="s">
        <v>1390</v>
      </c>
      <c r="V136" s="3" t="s">
        <v>1451</v>
      </c>
      <c r="W136" s="3" t="s">
        <v>1452</v>
      </c>
      <c r="X136" s="5" t="s">
        <v>1453</v>
      </c>
      <c r="Y136" s="3" t="n">
        <v>3</v>
      </c>
      <c r="Z136" s="3" t="n">
        <v>1</v>
      </c>
      <c r="AA136" s="3" t="n">
        <v>2</v>
      </c>
      <c r="AB136" s="3" t="n">
        <v>3</v>
      </c>
      <c r="AC136" s="3" t="n">
        <v>1</v>
      </c>
      <c r="AD136" s="3" t="n">
        <v>2</v>
      </c>
      <c r="AE136" s="3" t="s">
        <v>1454</v>
      </c>
      <c r="AF136" s="3"/>
      <c r="AG136" s="3" t="s">
        <v>1455</v>
      </c>
      <c r="AH136" s="3"/>
      <c r="AI136" s="3" t="s">
        <v>1456</v>
      </c>
      <c r="AJ136" s="3" t="s">
        <v>59</v>
      </c>
      <c r="AK136" s="3" t="s">
        <v>1457</v>
      </c>
      <c r="AL136" s="3"/>
      <c r="AM136" s="3" t="n">
        <v>4</v>
      </c>
      <c r="AN136" s="3"/>
      <c r="AO136" s="3"/>
      <c r="AP136" s="3" t="n">
        <v>4</v>
      </c>
      <c r="AQ136" s="3"/>
      <c r="AR136" s="3"/>
    </row>
    <row r="137" customFormat="false" ht="15" hidden="false" customHeight="true" outlineLevel="0" collapsed="false">
      <c r="A137" s="3" t="s">
        <v>1458</v>
      </c>
      <c r="B137" s="3" t="n">
        <v>3</v>
      </c>
      <c r="C137" s="3" t="n">
        <v>13</v>
      </c>
      <c r="D137" s="3"/>
      <c r="E137" s="4"/>
      <c r="F137" s="3" t="n">
        <v>57</v>
      </c>
      <c r="G137" s="3" t="str">
        <f aca="false">IF(F137="","",IF(F137&gt;=Notes!$B$5,"Elderly ("&amp;Notes!$B$5&amp;"+)",IF(F137&lt;=Notes!$B$4,"Student age (≤"&amp;Notes!$B$4&amp;")","Middle-aged ("&amp;(Notes!$B$4+1)&amp;"–"&amp;(Notes!$B$5-1)&amp;")")))</f>
        <v>Middle-aged (30–64)</v>
      </c>
      <c r="H137" s="3" t="s">
        <v>45</v>
      </c>
      <c r="I137" s="3" t="s">
        <v>1363</v>
      </c>
      <c r="J137" s="3" t="s">
        <v>47</v>
      </c>
      <c r="K137" s="3" t="s">
        <v>1364</v>
      </c>
      <c r="L137" s="3"/>
      <c r="M137" s="3" t="s">
        <v>47</v>
      </c>
      <c r="N137" s="3" t="s">
        <v>47</v>
      </c>
      <c r="O137" s="3" t="s">
        <v>1459</v>
      </c>
      <c r="P137" s="3" t="n">
        <v>40</v>
      </c>
      <c r="Q137" s="3" t="s">
        <v>52</v>
      </c>
      <c r="R137" s="3" t="s">
        <v>1460</v>
      </c>
      <c r="S137" s="3" t="s">
        <v>1461</v>
      </c>
      <c r="T137" s="3"/>
      <c r="U137" s="3" t="s">
        <v>1462</v>
      </c>
      <c r="V137" s="3" t="s">
        <v>1463</v>
      </c>
      <c r="W137" s="3" t="s">
        <v>1464</v>
      </c>
      <c r="X137" s="3" t="s">
        <v>1465</v>
      </c>
      <c r="Y137" s="3" t="n">
        <v>2</v>
      </c>
      <c r="Z137" s="3" t="n">
        <v>1</v>
      </c>
      <c r="AA137" s="3" t="n">
        <v>3</v>
      </c>
      <c r="AB137" s="3" t="n">
        <v>2</v>
      </c>
      <c r="AC137" s="3" t="n">
        <v>1</v>
      </c>
      <c r="AD137" s="3" t="n">
        <v>3</v>
      </c>
      <c r="AE137" s="3" t="s">
        <v>1466</v>
      </c>
      <c r="AF137" s="3"/>
      <c r="AG137" s="3" t="s">
        <v>1467</v>
      </c>
      <c r="AH137" s="3"/>
      <c r="AI137" s="3" t="s">
        <v>1468</v>
      </c>
      <c r="AJ137" s="3" t="s">
        <v>59</v>
      </c>
      <c r="AK137" s="3" t="s">
        <v>1469</v>
      </c>
      <c r="AL137" s="3"/>
      <c r="AM137" s="3" t="n">
        <v>3</v>
      </c>
      <c r="AN137" s="3"/>
      <c r="AO137" s="3"/>
      <c r="AP137" s="3" t="n">
        <v>5</v>
      </c>
      <c r="AQ137" s="3"/>
      <c r="AR137" s="3"/>
    </row>
    <row r="138" customFormat="false" ht="15" hidden="false" customHeight="true" outlineLevel="0" collapsed="false">
      <c r="A138" s="3" t="s">
        <v>1470</v>
      </c>
      <c r="B138" s="3" t="n">
        <v>3</v>
      </c>
      <c r="C138" s="3" t="n">
        <v>14</v>
      </c>
      <c r="D138" s="3"/>
      <c r="E138" s="4"/>
      <c r="F138" s="3" t="n">
        <v>52</v>
      </c>
      <c r="G138" s="3" t="str">
        <f aca="false">IF(F138="","",IF(F138&gt;=Notes!$B$5,"Elderly ("&amp;Notes!$B$5&amp;"+)",IF(F138&lt;=Notes!$B$4,"Student age (≤"&amp;Notes!$B$4&amp;")","Middle-aged ("&amp;(Notes!$B$4+1)&amp;"–"&amp;(Notes!$B$5-1)&amp;")")))</f>
        <v>Middle-aged (30–64)</v>
      </c>
      <c r="H138" s="3" t="s">
        <v>45</v>
      </c>
      <c r="I138" s="3" t="s">
        <v>61</v>
      </c>
      <c r="J138" s="3" t="s">
        <v>47</v>
      </c>
      <c r="K138" s="3" t="s">
        <v>62</v>
      </c>
      <c r="L138" s="3" t="s">
        <v>61</v>
      </c>
      <c r="M138" s="3" t="s">
        <v>47</v>
      </c>
      <c r="N138" s="3" t="s">
        <v>62</v>
      </c>
      <c r="O138" s="3" t="s">
        <v>1471</v>
      </c>
      <c r="P138" s="3" t="n">
        <v>20</v>
      </c>
      <c r="Q138" s="3" t="s">
        <v>95</v>
      </c>
      <c r="R138" s="3" t="s">
        <v>1472</v>
      </c>
      <c r="S138" s="3" t="s">
        <v>1473</v>
      </c>
      <c r="T138" s="3"/>
      <c r="U138" s="3" t="s">
        <v>1474</v>
      </c>
      <c r="V138" s="5" t="s">
        <v>1475</v>
      </c>
      <c r="W138" s="5" t="s">
        <v>1476</v>
      </c>
      <c r="X138" s="3" t="s">
        <v>1477</v>
      </c>
      <c r="Y138" s="3" t="n">
        <v>3</v>
      </c>
      <c r="Z138" s="3" t="n">
        <v>2</v>
      </c>
      <c r="AA138" s="3" t="n">
        <v>1</v>
      </c>
      <c r="AB138" s="3" t="n">
        <v>3</v>
      </c>
      <c r="AC138" s="3" t="n">
        <v>2</v>
      </c>
      <c r="AD138" s="3" t="n">
        <v>1</v>
      </c>
      <c r="AE138" s="5" t="s">
        <v>1478</v>
      </c>
      <c r="AF138" s="3"/>
      <c r="AG138" s="5" t="s">
        <v>1479</v>
      </c>
      <c r="AH138" s="3"/>
      <c r="AI138" s="3" t="s">
        <v>1480</v>
      </c>
      <c r="AJ138" s="3" t="s">
        <v>59</v>
      </c>
      <c r="AK138" s="3" t="s">
        <v>1481</v>
      </c>
      <c r="AL138" s="3"/>
      <c r="AM138" s="3" t="n">
        <v>5</v>
      </c>
      <c r="AN138" s="3"/>
      <c r="AO138" s="3"/>
      <c r="AP138" s="3" t="n">
        <v>5</v>
      </c>
      <c r="AQ138" s="3"/>
      <c r="AR138" s="3"/>
    </row>
    <row r="139" customFormat="false" ht="15" hidden="false" customHeight="true" outlineLevel="0" collapsed="false">
      <c r="A139" s="3" t="s">
        <v>1482</v>
      </c>
      <c r="B139" s="3" t="n">
        <v>3</v>
      </c>
      <c r="C139" s="3" t="n">
        <v>15</v>
      </c>
      <c r="D139" s="3"/>
      <c r="E139" s="4"/>
      <c r="F139" s="3" t="n">
        <v>51</v>
      </c>
      <c r="G139" s="3" t="str">
        <f aca="false">IF(F139="","",IF(F139&gt;=Notes!$B$5,"Elderly ("&amp;Notes!$B$5&amp;"+)",IF(F139&lt;=Notes!$B$4,"Student age (≤"&amp;Notes!$B$4&amp;")","Middle-aged ("&amp;(Notes!$B$4+1)&amp;"–"&amp;(Notes!$B$5-1)&amp;")")))</f>
        <v>Middle-aged (30–64)</v>
      </c>
      <c r="H139" s="3" t="s">
        <v>83</v>
      </c>
      <c r="I139" s="3" t="s">
        <v>825</v>
      </c>
      <c r="J139" s="3" t="s">
        <v>47</v>
      </c>
      <c r="K139" s="3" t="s">
        <v>826</v>
      </c>
      <c r="L139" s="3" t="s">
        <v>1363</v>
      </c>
      <c r="M139" s="3" t="s">
        <v>47</v>
      </c>
      <c r="N139" s="3" t="s">
        <v>1364</v>
      </c>
      <c r="O139" s="3" t="s">
        <v>1483</v>
      </c>
      <c r="P139" s="3" t="n">
        <v>25</v>
      </c>
      <c r="Q139" s="3" t="s">
        <v>117</v>
      </c>
      <c r="R139" s="3" t="s">
        <v>1484</v>
      </c>
      <c r="S139" s="3" t="s">
        <v>1485</v>
      </c>
      <c r="T139" s="3"/>
      <c r="U139" s="3" t="s">
        <v>1486</v>
      </c>
      <c r="V139" s="3" t="s">
        <v>1487</v>
      </c>
      <c r="W139" s="3" t="s">
        <v>1488</v>
      </c>
      <c r="X139" s="5" t="s">
        <v>1489</v>
      </c>
      <c r="Y139" s="3" t="n">
        <v>3</v>
      </c>
      <c r="Z139" s="3" t="n">
        <v>1</v>
      </c>
      <c r="AA139" s="3" t="n">
        <v>2</v>
      </c>
      <c r="AB139" s="3" t="n">
        <v>2</v>
      </c>
      <c r="AC139" s="3" t="n">
        <v>2</v>
      </c>
      <c r="AD139" s="3" t="n">
        <v>1</v>
      </c>
      <c r="AE139" s="3" t="s">
        <v>1490</v>
      </c>
      <c r="AF139" s="3"/>
      <c r="AG139" s="3" t="s">
        <v>1491</v>
      </c>
      <c r="AH139" s="3"/>
      <c r="AI139" s="3" t="s">
        <v>1492</v>
      </c>
      <c r="AJ139" s="3" t="s">
        <v>59</v>
      </c>
      <c r="AK139" s="3" t="s">
        <v>1493</v>
      </c>
      <c r="AL139" s="3"/>
      <c r="AM139" s="3" t="n">
        <v>4</v>
      </c>
      <c r="AN139" s="3"/>
      <c r="AO139" s="3"/>
      <c r="AP139" s="3" t="n">
        <v>5</v>
      </c>
      <c r="AQ139" s="3"/>
      <c r="AR139" s="3" t="s">
        <v>448</v>
      </c>
    </row>
    <row r="140" customFormat="false" ht="15" hidden="false" customHeight="true" outlineLevel="0" collapsed="false">
      <c r="A140" s="3" t="s">
        <v>1494</v>
      </c>
      <c r="B140" s="3" t="n">
        <v>3</v>
      </c>
      <c r="C140" s="3" t="n">
        <v>16</v>
      </c>
      <c r="D140" s="3"/>
      <c r="E140" s="4"/>
      <c r="F140" s="3" t="n">
        <v>21</v>
      </c>
      <c r="G140" s="3" t="str">
        <f aca="false">IF(F140="","",IF(F140&gt;=Notes!$B$5,"Elderly ("&amp;Notes!$B$5&amp;"+)",IF(F140&lt;=Notes!$B$4,"Student age (≤"&amp;Notes!$B$4&amp;")","Middle-aged ("&amp;(Notes!$B$4+1)&amp;"–"&amp;(Notes!$B$5-1)&amp;")")))</f>
        <v>Student age (≤29)</v>
      </c>
      <c r="H140" s="3" t="s">
        <v>45</v>
      </c>
      <c r="I140" s="3" t="s">
        <v>256</v>
      </c>
      <c r="J140" s="3" t="s">
        <v>47</v>
      </c>
      <c r="K140" s="3" t="s">
        <v>257</v>
      </c>
      <c r="L140" s="3" t="s">
        <v>49</v>
      </c>
      <c r="M140" s="3" t="s">
        <v>47</v>
      </c>
      <c r="N140" s="3" t="s">
        <v>50</v>
      </c>
      <c r="O140" s="3" t="s">
        <v>1495</v>
      </c>
      <c r="P140" s="3" t="n">
        <v>30</v>
      </c>
      <c r="Q140" s="3" t="s">
        <v>117</v>
      </c>
      <c r="R140" s="3" t="s">
        <v>1496</v>
      </c>
      <c r="S140" s="3" t="s">
        <v>1497</v>
      </c>
      <c r="T140" s="3"/>
      <c r="U140" s="3" t="s">
        <v>1498</v>
      </c>
      <c r="V140" s="3" t="s">
        <v>1499</v>
      </c>
      <c r="W140" s="3" t="s">
        <v>1500</v>
      </c>
      <c r="X140" s="5" t="s">
        <v>1501</v>
      </c>
      <c r="Y140" s="3" t="n">
        <v>3</v>
      </c>
      <c r="Z140" s="3" t="n">
        <v>1</v>
      </c>
      <c r="AA140" s="3" t="n">
        <v>2</v>
      </c>
      <c r="AB140" s="3" t="n">
        <v>3</v>
      </c>
      <c r="AC140" s="3" t="n">
        <v>1</v>
      </c>
      <c r="AD140" s="3" t="n">
        <v>2</v>
      </c>
      <c r="AE140" s="3" t="s">
        <v>1502</v>
      </c>
      <c r="AF140" s="3"/>
      <c r="AG140" s="3" t="s">
        <v>1503</v>
      </c>
      <c r="AH140" s="3"/>
      <c r="AI140" s="3" t="s">
        <v>1504</v>
      </c>
      <c r="AJ140" s="3"/>
      <c r="AK140" s="3" t="s">
        <v>1505</v>
      </c>
      <c r="AL140" s="3"/>
      <c r="AM140" s="3" t="n">
        <v>4</v>
      </c>
      <c r="AN140" s="3"/>
      <c r="AO140" s="3"/>
      <c r="AP140" s="3" t="n">
        <v>5</v>
      </c>
      <c r="AQ140" s="3"/>
      <c r="AR140" s="3"/>
    </row>
    <row r="141" customFormat="false" ht="15" hidden="false" customHeight="true" outlineLevel="0" collapsed="false">
      <c r="A141" s="3" t="s">
        <v>1506</v>
      </c>
      <c r="B141" s="3" t="n">
        <v>3</v>
      </c>
      <c r="C141" s="3" t="n">
        <v>17</v>
      </c>
      <c r="D141" s="3"/>
      <c r="E141" s="4"/>
      <c r="F141" s="3" t="n">
        <v>57</v>
      </c>
      <c r="G141" s="3" t="str">
        <f aca="false">IF(F141="","",IF(F141&gt;=Notes!$B$5,"Elderly ("&amp;Notes!$B$5&amp;"+)",IF(F141&lt;=Notes!$B$4,"Student age (≤"&amp;Notes!$B$4&amp;")","Middle-aged ("&amp;(Notes!$B$4+1)&amp;"–"&amp;(Notes!$B$5-1)&amp;")")))</f>
        <v>Middle-aged (30–64)</v>
      </c>
      <c r="H141" s="3" t="s">
        <v>45</v>
      </c>
      <c r="I141" s="3" t="s">
        <v>1363</v>
      </c>
      <c r="J141" s="3" t="s">
        <v>47</v>
      </c>
      <c r="K141" s="3" t="s">
        <v>1364</v>
      </c>
      <c r="L141" s="3" t="s">
        <v>1363</v>
      </c>
      <c r="M141" s="3" t="s">
        <v>47</v>
      </c>
      <c r="N141" s="3" t="s">
        <v>1364</v>
      </c>
      <c r="O141" s="3" t="s">
        <v>1507</v>
      </c>
      <c r="P141" s="3" t="n">
        <v>35</v>
      </c>
      <c r="Q141" s="3" t="s">
        <v>52</v>
      </c>
      <c r="R141" s="3" t="s">
        <v>1508</v>
      </c>
      <c r="S141" s="3" t="s">
        <v>1509</v>
      </c>
      <c r="T141" s="3"/>
      <c r="U141" s="3" t="s">
        <v>1510</v>
      </c>
      <c r="V141" s="3" t="s">
        <v>1511</v>
      </c>
      <c r="W141" s="3" t="s">
        <v>1512</v>
      </c>
      <c r="X141" s="5" t="s">
        <v>1513</v>
      </c>
      <c r="Y141" s="3" t="n">
        <v>3</v>
      </c>
      <c r="Z141" s="3" t="n">
        <v>1</v>
      </c>
      <c r="AA141" s="3" t="n">
        <v>2</v>
      </c>
      <c r="AB141" s="3" t="n">
        <v>3</v>
      </c>
      <c r="AC141" s="3" t="n">
        <v>1</v>
      </c>
      <c r="AD141" s="3" t="n">
        <v>2</v>
      </c>
      <c r="AE141" s="3" t="s">
        <v>1514</v>
      </c>
      <c r="AF141" s="3"/>
      <c r="AG141" s="3" t="s">
        <v>1515</v>
      </c>
      <c r="AH141" s="3"/>
      <c r="AI141" s="3" t="s">
        <v>1516</v>
      </c>
      <c r="AJ141" s="3" t="s">
        <v>59</v>
      </c>
      <c r="AK141" s="3" t="s">
        <v>1517</v>
      </c>
      <c r="AL141" s="3"/>
      <c r="AM141" s="3" t="n">
        <v>5</v>
      </c>
      <c r="AN141" s="3"/>
      <c r="AO141" s="3"/>
      <c r="AP141" s="3" t="n">
        <v>5</v>
      </c>
      <c r="AQ141" s="3"/>
      <c r="AR141" s="3"/>
    </row>
    <row r="142" customFormat="false" ht="15" hidden="false" customHeight="true" outlineLevel="0" collapsed="false">
      <c r="A142" s="3" t="s">
        <v>1518</v>
      </c>
      <c r="B142" s="3" t="n">
        <v>3</v>
      </c>
      <c r="C142" s="3" t="n">
        <v>18</v>
      </c>
      <c r="D142" s="3"/>
      <c r="E142" s="4"/>
      <c r="F142" s="3" t="n">
        <v>24</v>
      </c>
      <c r="G142" s="3" t="str">
        <f aca="false">IF(F142="","",IF(F142&gt;=Notes!$B$5,"Elderly ("&amp;Notes!$B$5&amp;"+)",IF(F142&lt;=Notes!$B$4,"Student age (≤"&amp;Notes!$B$4&amp;")","Middle-aged ("&amp;(Notes!$B$4+1)&amp;"–"&amp;(Notes!$B$5-1)&amp;")")))</f>
        <v>Student age (≤29)</v>
      </c>
      <c r="H142" s="3" t="s">
        <v>45</v>
      </c>
      <c r="I142" s="3"/>
      <c r="J142" s="3" t="s">
        <v>1519</v>
      </c>
      <c r="K142" s="3" t="s">
        <v>1519</v>
      </c>
      <c r="L142" s="3"/>
      <c r="M142" s="3" t="s">
        <v>1519</v>
      </c>
      <c r="N142" s="3" t="s">
        <v>1519</v>
      </c>
      <c r="O142" s="3" t="s">
        <v>1520</v>
      </c>
      <c r="P142" s="3" t="n">
        <v>20</v>
      </c>
      <c r="Q142" s="3" t="s">
        <v>95</v>
      </c>
      <c r="R142" s="5" t="s">
        <v>1521</v>
      </c>
      <c r="S142" s="5" t="s">
        <v>1522</v>
      </c>
      <c r="T142" s="3"/>
      <c r="U142" s="3" t="s">
        <v>1523</v>
      </c>
      <c r="V142" s="5" t="s">
        <v>1524</v>
      </c>
      <c r="W142" s="5" t="s">
        <v>1525</v>
      </c>
      <c r="X142" s="5" t="s">
        <v>1526</v>
      </c>
      <c r="Y142" s="3" t="n">
        <v>2</v>
      </c>
      <c r="Z142" s="3" t="n">
        <v>1</v>
      </c>
      <c r="AA142" s="3" t="n">
        <v>3</v>
      </c>
      <c r="AB142" s="3" t="n">
        <v>3</v>
      </c>
      <c r="AC142" s="3" t="n">
        <v>1</v>
      </c>
      <c r="AD142" s="3" t="n">
        <v>2</v>
      </c>
      <c r="AE142" s="3" t="s">
        <v>1527</v>
      </c>
      <c r="AF142" s="3"/>
      <c r="AG142" s="3" t="s">
        <v>1528</v>
      </c>
      <c r="AH142" s="3"/>
      <c r="AI142" s="3" t="s">
        <v>1529</v>
      </c>
      <c r="AJ142" s="3"/>
      <c r="AK142" s="3" t="s">
        <v>1530</v>
      </c>
      <c r="AL142" s="3"/>
      <c r="AM142" s="3" t="n">
        <v>4</v>
      </c>
      <c r="AN142" s="3"/>
      <c r="AO142" s="3"/>
      <c r="AP142" s="3" t="n">
        <v>5</v>
      </c>
      <c r="AQ142" s="3"/>
      <c r="AR142" s="3"/>
    </row>
    <row r="143" customFormat="false" ht="15" hidden="false" customHeight="true" outlineLevel="0" collapsed="false">
      <c r="A143" s="3" t="s">
        <v>1531</v>
      </c>
      <c r="B143" s="3" t="n">
        <v>3</v>
      </c>
      <c r="C143" s="3" t="n">
        <v>19</v>
      </c>
      <c r="D143" s="3"/>
      <c r="E143" s="4"/>
      <c r="F143" s="3" t="n">
        <v>22</v>
      </c>
      <c r="G143" s="3" t="str">
        <f aca="false">IF(F143="","",IF(F143&gt;=Notes!$B$5,"Elderly ("&amp;Notes!$B$5&amp;"+)",IF(F143&lt;=Notes!$B$4,"Student age (≤"&amp;Notes!$B$4&amp;")","Middle-aged ("&amp;(Notes!$B$4+1)&amp;"–"&amp;(Notes!$B$5-1)&amp;")")))</f>
        <v>Student age (≤29)</v>
      </c>
      <c r="H143" s="3" t="s">
        <v>83</v>
      </c>
      <c r="I143" s="3"/>
      <c r="J143" s="3" t="s">
        <v>1532</v>
      </c>
      <c r="K143" s="3" t="s">
        <v>1532</v>
      </c>
      <c r="L143" s="3"/>
      <c r="M143" s="3" t="s">
        <v>1532</v>
      </c>
      <c r="N143" s="3" t="s">
        <v>1532</v>
      </c>
      <c r="O143" s="3" t="s">
        <v>1533</v>
      </c>
      <c r="P143" s="3" t="n">
        <v>14</v>
      </c>
      <c r="Q143" s="3" t="s">
        <v>74</v>
      </c>
      <c r="R143" s="3" t="s">
        <v>1534</v>
      </c>
      <c r="S143" s="3" t="s">
        <v>1535</v>
      </c>
      <c r="T143" s="3"/>
      <c r="U143" s="3" t="s">
        <v>1536</v>
      </c>
      <c r="V143" s="3" t="s">
        <v>1537</v>
      </c>
      <c r="W143" s="3" t="s">
        <v>1538</v>
      </c>
      <c r="X143" s="3" t="s">
        <v>1539</v>
      </c>
      <c r="Y143" s="3" t="n">
        <v>3</v>
      </c>
      <c r="Z143" s="3" t="n">
        <v>1</v>
      </c>
      <c r="AA143" s="3" t="n">
        <v>2</v>
      </c>
      <c r="AB143" s="3" t="n">
        <v>2</v>
      </c>
      <c r="AC143" s="3" t="n">
        <v>1</v>
      </c>
      <c r="AD143" s="3" t="n">
        <v>3</v>
      </c>
      <c r="AE143" s="3" t="s">
        <v>1540</v>
      </c>
      <c r="AF143" s="3"/>
      <c r="AG143" s="3" t="s">
        <v>1541</v>
      </c>
      <c r="AH143" s="3"/>
      <c r="AI143" s="3" t="s">
        <v>1542</v>
      </c>
      <c r="AJ143" s="3"/>
      <c r="AK143" s="5" t="s">
        <v>1543</v>
      </c>
      <c r="AL143" s="3"/>
      <c r="AM143" s="3" t="n">
        <v>5</v>
      </c>
      <c r="AN143" s="3"/>
      <c r="AO143" s="3"/>
      <c r="AP143" s="3" t="n">
        <v>5</v>
      </c>
      <c r="AQ143" s="3"/>
      <c r="AR143" s="3"/>
    </row>
    <row r="144" customFormat="false" ht="15" hidden="false" customHeight="true" outlineLevel="0" collapsed="false">
      <c r="A144" s="3" t="s">
        <v>1544</v>
      </c>
      <c r="B144" s="3" t="n">
        <v>3</v>
      </c>
      <c r="C144" s="3" t="n">
        <v>20</v>
      </c>
      <c r="D144" s="3"/>
      <c r="E144" s="4"/>
      <c r="F144" s="3" t="n">
        <v>23</v>
      </c>
      <c r="G144" s="3" t="str">
        <f aca="false">IF(F144="","",IF(F144&gt;=Notes!$B$5,"Elderly ("&amp;Notes!$B$5&amp;"+)",IF(F144&lt;=Notes!$B$4,"Student age (≤"&amp;Notes!$B$4&amp;")","Middle-aged ("&amp;(Notes!$B$4+1)&amp;"–"&amp;(Notes!$B$5-1)&amp;")")))</f>
        <v>Student age (≤29)</v>
      </c>
      <c r="H144" s="3" t="s">
        <v>45</v>
      </c>
      <c r="I144" s="3" t="s">
        <v>61</v>
      </c>
      <c r="J144" s="3" t="s">
        <v>47</v>
      </c>
      <c r="K144" s="3" t="s">
        <v>62</v>
      </c>
      <c r="L144" s="3" t="s">
        <v>61</v>
      </c>
      <c r="M144" s="3" t="s">
        <v>47</v>
      </c>
      <c r="N144" s="3" t="s">
        <v>62</v>
      </c>
      <c r="O144" s="3" t="s">
        <v>1545</v>
      </c>
      <c r="P144" s="3" t="n">
        <v>26</v>
      </c>
      <c r="Q144" s="3" t="s">
        <v>117</v>
      </c>
      <c r="R144" s="3" t="s">
        <v>1546</v>
      </c>
      <c r="S144" s="3" t="s">
        <v>1547</v>
      </c>
      <c r="T144" s="3"/>
      <c r="U144" s="3" t="s">
        <v>59</v>
      </c>
      <c r="V144" s="3" t="s">
        <v>1548</v>
      </c>
      <c r="W144" s="3" t="s">
        <v>1549</v>
      </c>
      <c r="X144" s="3" t="s">
        <v>1550</v>
      </c>
      <c r="Y144" s="3" t="n">
        <v>3</v>
      </c>
      <c r="Z144" s="3" t="n">
        <v>1</v>
      </c>
      <c r="AA144" s="3" t="n">
        <v>1</v>
      </c>
      <c r="AB144" s="3" t="n">
        <v>2</v>
      </c>
      <c r="AC144" s="3" t="n">
        <v>1</v>
      </c>
      <c r="AD144" s="3" t="n">
        <v>1</v>
      </c>
      <c r="AE144" s="3" t="s">
        <v>1551</v>
      </c>
      <c r="AF144" s="3"/>
      <c r="AG144" s="3" t="s">
        <v>1552</v>
      </c>
      <c r="AH144" s="3"/>
      <c r="AI144" s="3" t="s">
        <v>1553</v>
      </c>
      <c r="AJ144" s="3"/>
      <c r="AK144" s="3" t="s">
        <v>1554</v>
      </c>
      <c r="AL144" s="3"/>
      <c r="AM144" s="3" t="n">
        <v>4</v>
      </c>
      <c r="AN144" s="3"/>
      <c r="AO144" s="3"/>
      <c r="AP144" s="3" t="n">
        <v>5</v>
      </c>
      <c r="AQ144" s="3"/>
      <c r="AR144" s="3" t="s">
        <v>81</v>
      </c>
    </row>
    <row r="145" customFormat="false" ht="15" hidden="false" customHeight="true" outlineLevel="0" collapsed="false">
      <c r="A145" s="3" t="s">
        <v>1555</v>
      </c>
      <c r="B145" s="3" t="n">
        <v>3</v>
      </c>
      <c r="C145" s="3" t="n">
        <v>21</v>
      </c>
      <c r="D145" s="3"/>
      <c r="E145" s="4"/>
      <c r="F145" s="3" t="n">
        <v>20</v>
      </c>
      <c r="G145" s="3" t="str">
        <f aca="false">IF(F145="","",IF(F145&gt;=Notes!$B$5,"Elderly ("&amp;Notes!$B$5&amp;"+)",IF(F145&lt;=Notes!$B$4,"Student age (≤"&amp;Notes!$B$4&amp;")","Middle-aged ("&amp;(Notes!$B$4+1)&amp;"–"&amp;(Notes!$B$5-1)&amp;")")))</f>
        <v>Student age (≤29)</v>
      </c>
      <c r="H145" s="3" t="s">
        <v>1556</v>
      </c>
      <c r="I145" s="3" t="s">
        <v>1363</v>
      </c>
      <c r="J145" s="3" t="s">
        <v>47</v>
      </c>
      <c r="K145" s="3" t="s">
        <v>1364</v>
      </c>
      <c r="L145" s="3" t="s">
        <v>159</v>
      </c>
      <c r="M145" s="3" t="s">
        <v>47</v>
      </c>
      <c r="N145" s="3" t="s">
        <v>160</v>
      </c>
      <c r="O145" s="3" t="s">
        <v>1557</v>
      </c>
      <c r="P145" s="3" t="n">
        <v>30</v>
      </c>
      <c r="Q145" s="3" t="s">
        <v>117</v>
      </c>
      <c r="R145" s="3" t="s">
        <v>1558</v>
      </c>
      <c r="S145" s="3" t="s">
        <v>1559</v>
      </c>
      <c r="T145" s="3"/>
      <c r="U145" s="3" t="s">
        <v>1560</v>
      </c>
      <c r="V145" s="5" t="s">
        <v>1561</v>
      </c>
      <c r="W145" s="3" t="s">
        <v>1562</v>
      </c>
      <c r="X145" s="3" t="s">
        <v>1563</v>
      </c>
      <c r="Y145" s="3" t="n">
        <v>3</v>
      </c>
      <c r="Z145" s="3" t="n">
        <v>1</v>
      </c>
      <c r="AA145" s="3" t="n">
        <v>2</v>
      </c>
      <c r="AB145" s="3" t="n">
        <v>2</v>
      </c>
      <c r="AC145" s="3" t="n">
        <v>1</v>
      </c>
      <c r="AD145" s="3" t="n">
        <v>3</v>
      </c>
      <c r="AE145" s="3" t="s">
        <v>1564</v>
      </c>
      <c r="AF145" s="3"/>
      <c r="AG145" s="3" t="s">
        <v>1565</v>
      </c>
      <c r="AH145" s="3"/>
      <c r="AI145" s="3" t="s">
        <v>1566</v>
      </c>
      <c r="AJ145" s="3"/>
      <c r="AK145" s="3" t="s">
        <v>1567</v>
      </c>
      <c r="AL145" s="3"/>
      <c r="AM145" s="3" t="n">
        <v>3</v>
      </c>
      <c r="AN145" s="3"/>
      <c r="AO145" s="3"/>
      <c r="AP145" s="3" t="n">
        <v>5</v>
      </c>
      <c r="AQ145" s="3"/>
      <c r="AR145" s="3"/>
    </row>
    <row r="146" customFormat="false" ht="15" hidden="false" customHeight="true" outlineLevel="0" collapsed="false">
      <c r="A146" s="3" t="s">
        <v>1568</v>
      </c>
      <c r="B146" s="3" t="n">
        <v>3</v>
      </c>
      <c r="C146" s="3" t="n">
        <v>22</v>
      </c>
      <c r="D146" s="3"/>
      <c r="E146" s="4"/>
      <c r="F146" s="3" t="n">
        <v>21</v>
      </c>
      <c r="G146" s="3" t="str">
        <f aca="false">IF(F146="","",IF(F146&gt;=Notes!$B$5,"Elderly ("&amp;Notes!$B$5&amp;"+)",IF(F146&lt;=Notes!$B$4,"Student age (≤"&amp;Notes!$B$4&amp;")","Middle-aged ("&amp;(Notes!$B$4+1)&amp;"–"&amp;(Notes!$B$5-1)&amp;")")))</f>
        <v>Student age (≤29)</v>
      </c>
      <c r="H146" s="3" t="s">
        <v>83</v>
      </c>
      <c r="I146" s="3" t="s">
        <v>1569</v>
      </c>
      <c r="J146" s="3" t="s">
        <v>437</v>
      </c>
      <c r="K146" s="3" t="s">
        <v>1570</v>
      </c>
      <c r="L146" s="3" t="s">
        <v>1569</v>
      </c>
      <c r="M146" s="3" t="s">
        <v>437</v>
      </c>
      <c r="N146" s="3" t="s">
        <v>1570</v>
      </c>
      <c r="O146" s="3" t="s">
        <v>1571</v>
      </c>
      <c r="P146" s="3" t="n">
        <v>20</v>
      </c>
      <c r="Q146" s="3" t="s">
        <v>95</v>
      </c>
      <c r="R146" s="3" t="s">
        <v>1572</v>
      </c>
      <c r="S146" s="3" t="s">
        <v>1573</v>
      </c>
      <c r="T146" s="3"/>
      <c r="U146" s="3" t="s">
        <v>1574</v>
      </c>
      <c r="V146" s="3" t="s">
        <v>1575</v>
      </c>
      <c r="W146" s="3" t="s">
        <v>1576</v>
      </c>
      <c r="X146" s="5" t="s">
        <v>1577</v>
      </c>
      <c r="Y146" s="3" t="n">
        <v>3</v>
      </c>
      <c r="Z146" s="3" t="n">
        <v>1</v>
      </c>
      <c r="AA146" s="3" t="n">
        <v>2</v>
      </c>
      <c r="AB146" s="3" t="n">
        <v>3</v>
      </c>
      <c r="AC146" s="3" t="n">
        <v>1</v>
      </c>
      <c r="AD146" s="3" t="n">
        <v>2</v>
      </c>
      <c r="AE146" s="3" t="s">
        <v>1578</v>
      </c>
      <c r="AF146" s="3"/>
      <c r="AG146" s="3" t="s">
        <v>1579</v>
      </c>
      <c r="AH146" s="3"/>
      <c r="AI146" s="3" t="s">
        <v>1580</v>
      </c>
      <c r="AJ146" s="3"/>
      <c r="AK146" s="3" t="s">
        <v>1581</v>
      </c>
      <c r="AL146" s="3"/>
      <c r="AM146" s="3" t="n">
        <v>3</v>
      </c>
      <c r="AN146" s="3"/>
      <c r="AO146" s="3"/>
      <c r="AP146" s="3" t="n">
        <v>4</v>
      </c>
      <c r="AQ146" s="3"/>
      <c r="AR146" s="3"/>
    </row>
    <row r="147" customFormat="false" ht="15" hidden="false" customHeight="true" outlineLevel="0" collapsed="false">
      <c r="A147" s="3" t="s">
        <v>1582</v>
      </c>
      <c r="B147" s="3" t="n">
        <v>3</v>
      </c>
      <c r="C147" s="3" t="n">
        <v>23</v>
      </c>
      <c r="D147" s="3"/>
      <c r="E147" s="4"/>
      <c r="F147" s="3" t="n">
        <v>21</v>
      </c>
      <c r="G147" s="3" t="str">
        <f aca="false">IF(F147="","",IF(F147&gt;=Notes!$B$5,"Elderly ("&amp;Notes!$B$5&amp;"+)",IF(F147&lt;=Notes!$B$4,"Student age (≤"&amp;Notes!$B$4&amp;")","Middle-aged ("&amp;(Notes!$B$4+1)&amp;"–"&amp;(Notes!$B$5-1)&amp;")")))</f>
        <v>Student age (≤29)</v>
      </c>
      <c r="H147" s="3" t="s">
        <v>45</v>
      </c>
      <c r="I147" s="3"/>
      <c r="J147" s="3" t="s">
        <v>1583</v>
      </c>
      <c r="K147" s="3" t="s">
        <v>1583</v>
      </c>
      <c r="L147" s="3"/>
      <c r="M147" s="3" t="s">
        <v>1583</v>
      </c>
      <c r="N147" s="3" t="s">
        <v>1583</v>
      </c>
      <c r="O147" s="3" t="s">
        <v>1584</v>
      </c>
      <c r="P147" s="3" t="n">
        <v>30</v>
      </c>
      <c r="Q147" s="3" t="s">
        <v>117</v>
      </c>
      <c r="R147" s="3" t="s">
        <v>1402</v>
      </c>
      <c r="S147" s="3" t="s">
        <v>1402</v>
      </c>
      <c r="T147" s="3"/>
      <c r="U147" s="3" t="s">
        <v>1585</v>
      </c>
      <c r="V147" s="3" t="s">
        <v>1586</v>
      </c>
      <c r="W147" s="3" t="s">
        <v>1587</v>
      </c>
      <c r="X147" s="3" t="s">
        <v>1588</v>
      </c>
      <c r="Y147" s="3" t="n">
        <v>3</v>
      </c>
      <c r="Z147" s="3" t="n">
        <v>1</v>
      </c>
      <c r="AA147" s="3" t="n">
        <v>2</v>
      </c>
      <c r="AB147" s="3" t="n">
        <v>2</v>
      </c>
      <c r="AC147" s="3" t="n">
        <v>1</v>
      </c>
      <c r="AD147" s="3" t="n">
        <v>3</v>
      </c>
      <c r="AE147" s="3" t="s">
        <v>1589</v>
      </c>
      <c r="AF147" s="3"/>
      <c r="AG147" s="3" t="s">
        <v>1590</v>
      </c>
      <c r="AH147" s="3"/>
      <c r="AI147" s="3" t="s">
        <v>1591</v>
      </c>
      <c r="AJ147" s="3" t="s">
        <v>59</v>
      </c>
      <c r="AK147" s="3" t="s">
        <v>1592</v>
      </c>
      <c r="AL147" s="3"/>
      <c r="AM147" s="3" t="n">
        <v>5</v>
      </c>
      <c r="AN147" s="3"/>
      <c r="AO147" s="3"/>
      <c r="AP147" s="3" t="n">
        <v>5</v>
      </c>
      <c r="AQ147" s="3"/>
      <c r="AR147" s="3"/>
    </row>
    <row r="148" customFormat="false" ht="15" hidden="false" customHeight="true" outlineLevel="0" collapsed="false">
      <c r="A148" s="3" t="s">
        <v>1593</v>
      </c>
      <c r="B148" s="3" t="n">
        <v>3</v>
      </c>
      <c r="C148" s="3" t="n">
        <v>24</v>
      </c>
      <c r="D148" s="3"/>
      <c r="E148" s="4"/>
      <c r="F148" s="3" t="n">
        <v>57</v>
      </c>
      <c r="G148" s="3" t="str">
        <f aca="false">IF(F148="","",IF(F148&gt;=Notes!$B$5,"Elderly ("&amp;Notes!$B$5&amp;"+)",IF(F148&lt;=Notes!$B$4,"Student age (≤"&amp;Notes!$B$4&amp;")","Middle-aged ("&amp;(Notes!$B$4+1)&amp;"–"&amp;(Notes!$B$5-1)&amp;")")))</f>
        <v>Middle-aged (30–64)</v>
      </c>
      <c r="H148" s="3" t="s">
        <v>45</v>
      </c>
      <c r="I148" s="3" t="s">
        <v>289</v>
      </c>
      <c r="J148" s="3" t="s">
        <v>47</v>
      </c>
      <c r="K148" s="3" t="s">
        <v>290</v>
      </c>
      <c r="L148" s="3" t="s">
        <v>61</v>
      </c>
      <c r="M148" s="3" t="s">
        <v>47</v>
      </c>
      <c r="N148" s="3" t="s">
        <v>62</v>
      </c>
      <c r="O148" s="3" t="s">
        <v>1594</v>
      </c>
      <c r="P148" s="3" t="n">
        <v>40</v>
      </c>
      <c r="Q148" s="3" t="s">
        <v>52</v>
      </c>
      <c r="R148" s="3" t="s">
        <v>1595</v>
      </c>
      <c r="S148" s="3" t="s">
        <v>1596</v>
      </c>
      <c r="T148" s="3"/>
      <c r="U148" s="3" t="s">
        <v>59</v>
      </c>
      <c r="V148" s="3" t="s">
        <v>1597</v>
      </c>
      <c r="W148" s="3" t="s">
        <v>59</v>
      </c>
      <c r="X148" s="3" t="s">
        <v>1598</v>
      </c>
      <c r="Y148" s="3" t="n">
        <v>3</v>
      </c>
      <c r="Z148" s="3" t="n">
        <v>2</v>
      </c>
      <c r="AA148" s="3" t="n">
        <v>1</v>
      </c>
      <c r="AB148" s="3" t="n">
        <v>3</v>
      </c>
      <c r="AC148" s="3" t="n">
        <v>2</v>
      </c>
      <c r="AD148" s="3" t="n">
        <v>1</v>
      </c>
      <c r="AE148" s="3" t="s">
        <v>1599</v>
      </c>
      <c r="AF148" s="3"/>
      <c r="AG148" s="3" t="s">
        <v>1600</v>
      </c>
      <c r="AH148" s="3"/>
      <c r="AI148" s="3" t="s">
        <v>1601</v>
      </c>
      <c r="AJ148" s="3"/>
      <c r="AK148" s="3" t="s">
        <v>1602</v>
      </c>
      <c r="AL148" s="3"/>
      <c r="AM148" s="3" t="n">
        <v>5</v>
      </c>
      <c r="AN148" s="3"/>
      <c r="AO148" s="3"/>
      <c r="AP148" s="3" t="n">
        <v>5</v>
      </c>
      <c r="AQ148" s="3"/>
      <c r="AR148" s="3"/>
    </row>
    <row r="149" customFormat="false" ht="15" hidden="false" customHeight="true" outlineLevel="0" collapsed="false">
      <c r="A149" s="3" t="s">
        <v>1603</v>
      </c>
      <c r="B149" s="3" t="n">
        <v>3</v>
      </c>
      <c r="C149" s="3" t="n">
        <v>25</v>
      </c>
      <c r="D149" s="3"/>
      <c r="E149" s="4"/>
      <c r="F149" s="3" t="n">
        <v>19</v>
      </c>
      <c r="G149" s="3" t="str">
        <f aca="false">IF(F149="","",IF(F149&gt;=Notes!$B$5,"Elderly ("&amp;Notes!$B$5&amp;"+)",IF(F149&lt;=Notes!$B$4,"Student age (≤"&amp;Notes!$B$4&amp;")","Middle-aged ("&amp;(Notes!$B$4+1)&amp;"–"&amp;(Notes!$B$5-1)&amp;")")))</f>
        <v>Student age (≤29)</v>
      </c>
      <c r="H149" s="3" t="s">
        <v>45</v>
      </c>
      <c r="I149" s="3" t="s">
        <v>71</v>
      </c>
      <c r="J149" s="3" t="s">
        <v>47</v>
      </c>
      <c r="K149" s="3" t="s">
        <v>72</v>
      </c>
      <c r="L149" s="3" t="s">
        <v>71</v>
      </c>
      <c r="M149" s="3" t="s">
        <v>47</v>
      </c>
      <c r="N149" s="3" t="s">
        <v>72</v>
      </c>
      <c r="O149" s="3" t="s">
        <v>311</v>
      </c>
      <c r="P149" s="3" t="n">
        <v>30</v>
      </c>
      <c r="Q149" s="3" t="s">
        <v>117</v>
      </c>
      <c r="R149" s="3" t="s">
        <v>1604</v>
      </c>
      <c r="S149" s="3" t="s">
        <v>1605</v>
      </c>
      <c r="T149" s="3"/>
      <c r="U149" s="3" t="s">
        <v>1606</v>
      </c>
      <c r="V149" s="3" t="s">
        <v>1607</v>
      </c>
      <c r="W149" s="3" t="s">
        <v>1608</v>
      </c>
      <c r="X149" s="5" t="s">
        <v>1609</v>
      </c>
      <c r="Y149" s="3" t="n">
        <v>1</v>
      </c>
      <c r="Z149" s="3" t="n">
        <v>2</v>
      </c>
      <c r="AA149" s="3" t="n">
        <v>3</v>
      </c>
      <c r="AB149" s="3" t="n">
        <v>1</v>
      </c>
      <c r="AC149" s="3" t="n">
        <v>2</v>
      </c>
      <c r="AD149" s="3" t="n">
        <v>3</v>
      </c>
      <c r="AE149" s="3" t="s">
        <v>1610</v>
      </c>
      <c r="AF149" s="3"/>
      <c r="AG149" s="3" t="s">
        <v>1611</v>
      </c>
      <c r="AH149" s="3"/>
      <c r="AI149" s="3" t="s">
        <v>1612</v>
      </c>
      <c r="AJ149" s="3" t="s">
        <v>59</v>
      </c>
      <c r="AK149" s="3" t="s">
        <v>1613</v>
      </c>
      <c r="AL149" s="3"/>
      <c r="AM149" s="3" t="n">
        <v>5</v>
      </c>
      <c r="AN149" s="3"/>
      <c r="AO149" s="3"/>
      <c r="AP149" s="3" t="n">
        <v>5</v>
      </c>
      <c r="AQ149" s="3"/>
      <c r="AR149" s="3"/>
    </row>
    <row r="150" customFormat="false" ht="15" hidden="false" customHeight="true" outlineLevel="0" collapsed="false">
      <c r="A150" s="3" t="s">
        <v>1614</v>
      </c>
      <c r="B150" s="3" t="n">
        <v>3</v>
      </c>
      <c r="C150" s="3" t="n">
        <v>26</v>
      </c>
      <c r="D150" s="3"/>
      <c r="E150" s="4"/>
      <c r="F150" s="3" t="n">
        <v>39</v>
      </c>
      <c r="G150" s="3" t="str">
        <f aca="false">IF(F150="","",IF(F150&gt;=Notes!$B$5,"Elderly ("&amp;Notes!$B$5&amp;"+)",IF(F150&lt;=Notes!$B$4,"Student age (≤"&amp;Notes!$B$4&amp;")","Middle-aged ("&amp;(Notes!$B$4+1)&amp;"–"&amp;(Notes!$B$5-1)&amp;")")))</f>
        <v>Middle-aged (30–64)</v>
      </c>
      <c r="H150" s="3" t="s">
        <v>45</v>
      </c>
      <c r="I150" s="3" t="s">
        <v>49</v>
      </c>
      <c r="J150" s="3" t="s">
        <v>47</v>
      </c>
      <c r="K150" s="3" t="s">
        <v>50</v>
      </c>
      <c r="L150" s="3" t="s">
        <v>49</v>
      </c>
      <c r="M150" s="3" t="s">
        <v>47</v>
      </c>
      <c r="N150" s="3" t="s">
        <v>50</v>
      </c>
      <c r="O150" s="3" t="s">
        <v>1615</v>
      </c>
      <c r="P150" s="3" t="n">
        <v>40</v>
      </c>
      <c r="Q150" s="3" t="s">
        <v>52</v>
      </c>
      <c r="R150" s="3" t="s">
        <v>1616</v>
      </c>
      <c r="S150" s="3" t="s">
        <v>1617</v>
      </c>
      <c r="T150" s="3"/>
      <c r="U150" s="3" t="s">
        <v>1618</v>
      </c>
      <c r="V150" s="3" t="s">
        <v>1619</v>
      </c>
      <c r="W150" s="3" t="s">
        <v>1620</v>
      </c>
      <c r="X150" s="3" t="s">
        <v>1621</v>
      </c>
      <c r="Y150" s="3" t="n">
        <v>1</v>
      </c>
      <c r="Z150" s="3" t="n">
        <v>2</v>
      </c>
      <c r="AA150" s="3" t="n">
        <v>3</v>
      </c>
      <c r="AB150" s="3" t="n">
        <v>3</v>
      </c>
      <c r="AC150" s="3" t="n">
        <v>2</v>
      </c>
      <c r="AD150" s="3" t="n">
        <v>1</v>
      </c>
      <c r="AE150" s="3" t="s">
        <v>1622</v>
      </c>
      <c r="AF150" s="3"/>
      <c r="AG150" s="3" t="s">
        <v>1623</v>
      </c>
      <c r="AH150" s="3"/>
      <c r="AI150" s="3" t="s">
        <v>1624</v>
      </c>
      <c r="AJ150" s="3" t="s">
        <v>1625</v>
      </c>
      <c r="AK150" s="3" t="s">
        <v>1626</v>
      </c>
      <c r="AL150" s="3"/>
      <c r="AM150" s="3" t="n">
        <v>4</v>
      </c>
      <c r="AN150" s="3"/>
      <c r="AO150" s="3"/>
      <c r="AP150" s="3" t="n">
        <v>4</v>
      </c>
      <c r="AQ150" s="3"/>
      <c r="AR150" s="3"/>
    </row>
    <row r="151" customFormat="false" ht="15" hidden="false" customHeight="true" outlineLevel="0" collapsed="false">
      <c r="A151" s="3" t="s">
        <v>1627</v>
      </c>
      <c r="B151" s="3" t="n">
        <v>3</v>
      </c>
      <c r="C151" s="3" t="n">
        <v>27</v>
      </c>
      <c r="D151" s="3"/>
      <c r="E151" s="4"/>
      <c r="F151" s="3" t="n">
        <v>23</v>
      </c>
      <c r="G151" s="3" t="str">
        <f aca="false">IF(F151="","",IF(F151&gt;=Notes!$B$5,"Elderly ("&amp;Notes!$B$5&amp;"+)",IF(F151&lt;=Notes!$B$4,"Student age (≤"&amp;Notes!$B$4&amp;")","Middle-aged ("&amp;(Notes!$B$4+1)&amp;"–"&amp;(Notes!$B$5-1)&amp;")")))</f>
        <v>Student age (≤29)</v>
      </c>
      <c r="H151" s="3" t="s">
        <v>45</v>
      </c>
      <c r="I151" s="3" t="s">
        <v>61</v>
      </c>
      <c r="J151" s="3" t="s">
        <v>47</v>
      </c>
      <c r="K151" s="3" t="s">
        <v>62</v>
      </c>
      <c r="L151" s="3" t="s">
        <v>49</v>
      </c>
      <c r="M151" s="3" t="s">
        <v>47</v>
      </c>
      <c r="N151" s="3" t="s">
        <v>50</v>
      </c>
      <c r="O151" s="3" t="s">
        <v>1628</v>
      </c>
      <c r="P151" s="3" t="n">
        <v>20</v>
      </c>
      <c r="Q151" s="3" t="s">
        <v>95</v>
      </c>
      <c r="R151" s="3" t="s">
        <v>1629</v>
      </c>
      <c r="S151" s="3" t="s">
        <v>1630</v>
      </c>
      <c r="T151" s="3"/>
      <c r="U151" s="3" t="s">
        <v>1631</v>
      </c>
      <c r="V151" s="5" t="s">
        <v>1632</v>
      </c>
      <c r="W151" s="3" t="s">
        <v>1633</v>
      </c>
      <c r="X151" s="5" t="s">
        <v>1634</v>
      </c>
      <c r="Y151" s="3" t="n">
        <v>2</v>
      </c>
      <c r="Z151" s="3" t="n">
        <v>1</v>
      </c>
      <c r="AA151" s="3" t="n">
        <v>3</v>
      </c>
      <c r="AB151" s="3" t="n">
        <v>2</v>
      </c>
      <c r="AC151" s="3" t="n">
        <v>1</v>
      </c>
      <c r="AD151" s="3" t="n">
        <v>3</v>
      </c>
      <c r="AE151" s="3" t="s">
        <v>1635</v>
      </c>
      <c r="AF151" s="3"/>
      <c r="AG151" s="3" t="s">
        <v>1636</v>
      </c>
      <c r="AH151" s="3"/>
      <c r="AI151" s="3" t="s">
        <v>1637</v>
      </c>
      <c r="AJ151" s="3" t="s">
        <v>59</v>
      </c>
      <c r="AK151" s="3" t="s">
        <v>1638</v>
      </c>
      <c r="AL151" s="3"/>
      <c r="AM151" s="3" t="n">
        <v>4</v>
      </c>
      <c r="AN151" s="3"/>
      <c r="AO151" s="3"/>
      <c r="AP151" s="3" t="n">
        <v>5</v>
      </c>
      <c r="AQ151" s="3"/>
      <c r="AR151" s="3"/>
    </row>
    <row r="152" customFormat="false" ht="15" hidden="false" customHeight="true" outlineLevel="0" collapsed="false">
      <c r="A152" s="3" t="s">
        <v>1639</v>
      </c>
      <c r="B152" s="3" t="n">
        <v>3</v>
      </c>
      <c r="C152" s="3" t="n">
        <v>28</v>
      </c>
      <c r="D152" s="3"/>
      <c r="E152" s="4"/>
      <c r="F152" s="3" t="n">
        <v>22</v>
      </c>
      <c r="G152" s="3" t="str">
        <f aca="false">IF(F152="","",IF(F152&gt;=Notes!$B$5,"Elderly ("&amp;Notes!$B$5&amp;"+)",IF(F152&lt;=Notes!$B$4,"Student age (≤"&amp;Notes!$B$4&amp;")","Middle-aged ("&amp;(Notes!$B$4+1)&amp;"–"&amp;(Notes!$B$5-1)&amp;")")))</f>
        <v>Student age (≤29)</v>
      </c>
      <c r="H152" s="3" t="s">
        <v>83</v>
      </c>
      <c r="I152" s="3" t="s">
        <v>61</v>
      </c>
      <c r="J152" s="3" t="s">
        <v>47</v>
      </c>
      <c r="K152" s="3" t="s">
        <v>62</v>
      </c>
      <c r="L152" s="3" t="s">
        <v>49</v>
      </c>
      <c r="M152" s="3" t="s">
        <v>47</v>
      </c>
      <c r="N152" s="3" t="s">
        <v>50</v>
      </c>
      <c r="O152" s="3" t="s">
        <v>1640</v>
      </c>
      <c r="P152" s="3" t="n">
        <v>47</v>
      </c>
      <c r="Q152" s="3" t="s">
        <v>52</v>
      </c>
      <c r="R152" s="3" t="s">
        <v>1641</v>
      </c>
      <c r="S152" s="3" t="s">
        <v>1642</v>
      </c>
      <c r="T152" s="3"/>
      <c r="U152" s="3" t="s">
        <v>98</v>
      </c>
      <c r="V152" s="3" t="s">
        <v>1643</v>
      </c>
      <c r="W152" s="3" t="s">
        <v>1644</v>
      </c>
      <c r="X152" s="3" t="s">
        <v>1645</v>
      </c>
      <c r="Y152" s="3" t="n">
        <v>3</v>
      </c>
      <c r="Z152" s="3" t="n">
        <v>1</v>
      </c>
      <c r="AA152" s="3" t="n">
        <v>2</v>
      </c>
      <c r="AB152" s="3" t="n">
        <v>3</v>
      </c>
      <c r="AC152" s="3" t="n">
        <v>1</v>
      </c>
      <c r="AD152" s="3" t="n">
        <v>2</v>
      </c>
      <c r="AE152" s="3" t="s">
        <v>1646</v>
      </c>
      <c r="AF152" s="3"/>
      <c r="AG152" s="3" t="s">
        <v>1647</v>
      </c>
      <c r="AH152" s="3"/>
      <c r="AI152" s="3" t="s">
        <v>1648</v>
      </c>
      <c r="AJ152" s="3" t="s">
        <v>59</v>
      </c>
      <c r="AK152" s="3" t="s">
        <v>1649</v>
      </c>
      <c r="AL152" s="3"/>
      <c r="AM152" s="3" t="n">
        <v>3</v>
      </c>
      <c r="AN152" s="3"/>
      <c r="AO152" s="3"/>
      <c r="AP152" s="3" t="n">
        <v>5</v>
      </c>
      <c r="AQ152" s="3"/>
      <c r="AR152" s="3"/>
    </row>
    <row r="153" customFormat="false" ht="15" hidden="false" customHeight="true" outlineLevel="0" collapsed="false">
      <c r="A153" s="3" t="s">
        <v>1650</v>
      </c>
      <c r="B153" s="3" t="n">
        <v>3</v>
      </c>
      <c r="C153" s="3" t="n">
        <v>29</v>
      </c>
      <c r="D153" s="3"/>
      <c r="E153" s="4"/>
      <c r="F153" s="3" t="n">
        <v>21</v>
      </c>
      <c r="G153" s="3" t="str">
        <f aca="false">IF(F153="","",IF(F153&gt;=Notes!$B$5,"Elderly ("&amp;Notes!$B$5&amp;"+)",IF(F153&lt;=Notes!$B$4,"Student age (≤"&amp;Notes!$B$4&amp;")","Middle-aged ("&amp;(Notes!$B$4+1)&amp;"–"&amp;(Notes!$B$5-1)&amp;")")))</f>
        <v>Student age (≤29)</v>
      </c>
      <c r="H153" s="3" t="s">
        <v>45</v>
      </c>
      <c r="I153" s="3" t="s">
        <v>114</v>
      </c>
      <c r="J153" s="3" t="s">
        <v>47</v>
      </c>
      <c r="K153" s="3" t="s">
        <v>115</v>
      </c>
      <c r="L153" s="3" t="s">
        <v>49</v>
      </c>
      <c r="M153" s="3" t="s">
        <v>47</v>
      </c>
      <c r="N153" s="3" t="s">
        <v>50</v>
      </c>
      <c r="O153" s="3" t="s">
        <v>1651</v>
      </c>
      <c r="P153" s="3" t="n">
        <v>27</v>
      </c>
      <c r="Q153" s="3" t="s">
        <v>117</v>
      </c>
      <c r="R153" s="3" t="s">
        <v>1652</v>
      </c>
      <c r="S153" s="3" t="s">
        <v>1653</v>
      </c>
      <c r="T153" s="3"/>
      <c r="U153" s="3" t="s">
        <v>1654</v>
      </c>
      <c r="V153" s="3" t="s">
        <v>1655</v>
      </c>
      <c r="W153" s="3" t="s">
        <v>1656</v>
      </c>
      <c r="X153" s="3" t="s">
        <v>1657</v>
      </c>
      <c r="Y153" s="3" t="n">
        <v>2</v>
      </c>
      <c r="Z153" s="3" t="n">
        <v>1</v>
      </c>
      <c r="AA153" s="3" t="n">
        <v>3</v>
      </c>
      <c r="AB153" s="3" t="n">
        <v>3</v>
      </c>
      <c r="AC153" s="3" t="n">
        <v>2</v>
      </c>
      <c r="AD153" s="3" t="n">
        <v>1</v>
      </c>
      <c r="AE153" s="3" t="s">
        <v>1658</v>
      </c>
      <c r="AF153" s="3"/>
      <c r="AG153" s="3" t="s">
        <v>1659</v>
      </c>
      <c r="AH153" s="3"/>
      <c r="AI153" s="3" t="s">
        <v>1660</v>
      </c>
      <c r="AJ153" s="3"/>
      <c r="AK153" s="3" t="s">
        <v>1661</v>
      </c>
      <c r="AL153" s="3"/>
      <c r="AM153" s="3" t="n">
        <v>3</v>
      </c>
      <c r="AN153" s="3"/>
      <c r="AO153" s="3"/>
      <c r="AP153" s="3" t="n">
        <v>4</v>
      </c>
      <c r="AQ153" s="3"/>
      <c r="AR153" s="3"/>
    </row>
    <row r="154" customFormat="false" ht="15" hidden="false" customHeight="true" outlineLevel="0" collapsed="false">
      <c r="A154" s="3" t="s">
        <v>1662</v>
      </c>
      <c r="B154" s="3" t="n">
        <v>3</v>
      </c>
      <c r="C154" s="3" t="n">
        <v>30</v>
      </c>
      <c r="D154" s="3"/>
      <c r="E154" s="4"/>
      <c r="F154" s="3" t="n">
        <v>22</v>
      </c>
      <c r="G154" s="3" t="str">
        <f aca="false">IF(F154="","",IF(F154&gt;=Notes!$B$5,"Elderly ("&amp;Notes!$B$5&amp;"+)",IF(F154&lt;=Notes!$B$4,"Student age (≤"&amp;Notes!$B$4&amp;")","Middle-aged ("&amp;(Notes!$B$4+1)&amp;"–"&amp;(Notes!$B$5-1)&amp;")")))</f>
        <v>Student age (≤29)</v>
      </c>
      <c r="H154" s="3" t="s">
        <v>1447</v>
      </c>
      <c r="I154" s="3" t="s">
        <v>92</v>
      </c>
      <c r="J154" s="3" t="s">
        <v>47</v>
      </c>
      <c r="K154" s="3" t="s">
        <v>93</v>
      </c>
      <c r="L154" s="3" t="s">
        <v>49</v>
      </c>
      <c r="M154" s="3" t="s">
        <v>47</v>
      </c>
      <c r="N154" s="3" t="s">
        <v>50</v>
      </c>
      <c r="O154" s="3" t="s">
        <v>1663</v>
      </c>
      <c r="P154" s="3" t="n">
        <v>40</v>
      </c>
      <c r="Q154" s="3" t="s">
        <v>52</v>
      </c>
      <c r="R154" s="3" t="s">
        <v>1664</v>
      </c>
      <c r="S154" s="3" t="s">
        <v>1665</v>
      </c>
      <c r="T154" s="3"/>
      <c r="U154" s="3" t="s">
        <v>1666</v>
      </c>
      <c r="V154" s="3" t="s">
        <v>1667</v>
      </c>
      <c r="W154" s="3" t="s">
        <v>1668</v>
      </c>
      <c r="X154" s="5" t="s">
        <v>1669</v>
      </c>
      <c r="Y154" s="3" t="n">
        <v>2</v>
      </c>
      <c r="Z154" s="3" t="n">
        <v>1</v>
      </c>
      <c r="AA154" s="3" t="n">
        <v>3</v>
      </c>
      <c r="AB154" s="3" t="n">
        <v>2</v>
      </c>
      <c r="AC154" s="3" t="n">
        <v>1</v>
      </c>
      <c r="AD154" s="3" t="n">
        <v>3</v>
      </c>
      <c r="AE154" s="3" t="s">
        <v>1670</v>
      </c>
      <c r="AF154" s="3"/>
      <c r="AG154" s="3" t="s">
        <v>1671</v>
      </c>
      <c r="AH154" s="3"/>
      <c r="AI154" s="3" t="s">
        <v>1672</v>
      </c>
      <c r="AJ154" s="3" t="s">
        <v>59</v>
      </c>
      <c r="AK154" s="3" t="s">
        <v>1673</v>
      </c>
      <c r="AL154" s="3"/>
      <c r="AM154" s="3" t="n">
        <v>4</v>
      </c>
      <c r="AN154" s="3"/>
      <c r="AO154" s="3"/>
      <c r="AP154" s="3" t="n">
        <v>5</v>
      </c>
      <c r="AQ154" s="3"/>
      <c r="AR154" s="3"/>
    </row>
    <row r="155" customFormat="false" ht="15" hidden="false" customHeight="true" outlineLevel="0" collapsed="false">
      <c r="A155" s="3" t="s">
        <v>1674</v>
      </c>
      <c r="B155" s="3" t="n">
        <v>3</v>
      </c>
      <c r="C155" s="3" t="n">
        <v>31</v>
      </c>
      <c r="D155" s="3"/>
      <c r="E155" s="4"/>
      <c r="F155" s="3" t="n">
        <v>19</v>
      </c>
      <c r="G155" s="3" t="str">
        <f aca="false">IF(F155="","",IF(F155&gt;=Notes!$B$5,"Elderly ("&amp;Notes!$B$5&amp;"+)",IF(F155&lt;=Notes!$B$4,"Student age (≤"&amp;Notes!$B$4&amp;")","Middle-aged ("&amp;(Notes!$B$4+1)&amp;"–"&amp;(Notes!$B$5-1)&amp;")")))</f>
        <v>Student age (≤29)</v>
      </c>
      <c r="H155" s="3" t="s">
        <v>45</v>
      </c>
      <c r="I155" s="3" t="s">
        <v>71</v>
      </c>
      <c r="J155" s="3" t="s">
        <v>47</v>
      </c>
      <c r="K155" s="3" t="s">
        <v>72</v>
      </c>
      <c r="L155" s="3" t="s">
        <v>71</v>
      </c>
      <c r="M155" s="3" t="s">
        <v>47</v>
      </c>
      <c r="N155" s="3" t="s">
        <v>72</v>
      </c>
      <c r="O155" s="3" t="s">
        <v>1675</v>
      </c>
      <c r="P155" s="3" t="n">
        <v>30</v>
      </c>
      <c r="Q155" s="3" t="s">
        <v>117</v>
      </c>
      <c r="R155" s="3" t="s">
        <v>1676</v>
      </c>
      <c r="S155" s="3" t="s">
        <v>1677</v>
      </c>
      <c r="T155" s="3"/>
      <c r="U155" s="3" t="s">
        <v>1678</v>
      </c>
      <c r="V155" s="3" t="s">
        <v>1679</v>
      </c>
      <c r="W155" s="3" t="s">
        <v>1680</v>
      </c>
      <c r="X155" s="5" t="s">
        <v>1681</v>
      </c>
      <c r="Y155" s="3" t="n">
        <v>1</v>
      </c>
      <c r="Z155" s="3" t="n">
        <v>3</v>
      </c>
      <c r="AA155" s="3" t="n">
        <v>2</v>
      </c>
      <c r="AB155" s="3" t="n">
        <v>3</v>
      </c>
      <c r="AC155" s="3" t="n">
        <v>1</v>
      </c>
      <c r="AD155" s="3" t="n">
        <v>2</v>
      </c>
      <c r="AE155" s="3" t="s">
        <v>1682</v>
      </c>
      <c r="AF155" s="3"/>
      <c r="AG155" s="3" t="s">
        <v>1683</v>
      </c>
      <c r="AH155" s="3"/>
      <c r="AI155" s="3" t="s">
        <v>1684</v>
      </c>
      <c r="AJ155" s="3"/>
      <c r="AK155" s="3" t="s">
        <v>1685</v>
      </c>
      <c r="AL155" s="3"/>
      <c r="AM155" s="3" t="n">
        <v>4</v>
      </c>
      <c r="AN155" s="3"/>
      <c r="AO155" s="3"/>
      <c r="AP155" s="3" t="n">
        <v>5</v>
      </c>
      <c r="AQ155" s="3"/>
      <c r="AR155" s="3"/>
    </row>
    <row r="156" customFormat="false" ht="15" hidden="false" customHeight="true" outlineLevel="0" collapsed="false">
      <c r="A156" s="3" t="s">
        <v>1686</v>
      </c>
      <c r="B156" s="3" t="n">
        <v>3</v>
      </c>
      <c r="C156" s="3" t="n">
        <v>32</v>
      </c>
      <c r="D156" s="3"/>
      <c r="E156" s="4"/>
      <c r="F156" s="3" t="n">
        <v>23</v>
      </c>
      <c r="G156" s="3" t="str">
        <f aca="false">IF(F156="","",IF(F156&gt;=Notes!$B$5,"Elderly ("&amp;Notes!$B$5&amp;"+)",IF(F156&lt;=Notes!$B$4,"Student age (≤"&amp;Notes!$B$4&amp;")","Middle-aged ("&amp;(Notes!$B$4+1)&amp;"–"&amp;(Notes!$B$5-1)&amp;")")))</f>
        <v>Student age (≤29)</v>
      </c>
      <c r="H156" s="3" t="s">
        <v>45</v>
      </c>
      <c r="I156" s="3"/>
      <c r="J156" s="3" t="s">
        <v>1687</v>
      </c>
      <c r="K156" s="3" t="s">
        <v>1687</v>
      </c>
      <c r="L156" s="3" t="s">
        <v>49</v>
      </c>
      <c r="M156" s="3" t="s">
        <v>47</v>
      </c>
      <c r="N156" s="3" t="s">
        <v>50</v>
      </c>
      <c r="O156" s="3" t="s">
        <v>104</v>
      </c>
      <c r="P156" s="3" t="n">
        <v>25</v>
      </c>
      <c r="Q156" s="3" t="s">
        <v>117</v>
      </c>
      <c r="R156" s="3" t="s">
        <v>1688</v>
      </c>
      <c r="S156" s="3" t="s">
        <v>1689</v>
      </c>
      <c r="T156" s="3"/>
      <c r="U156" s="3" t="s">
        <v>1690</v>
      </c>
      <c r="V156" s="3" t="s">
        <v>1691</v>
      </c>
      <c r="W156" s="3" t="s">
        <v>1692</v>
      </c>
      <c r="X156" s="3" t="s">
        <v>1693</v>
      </c>
      <c r="Y156" s="3" t="n">
        <v>3</v>
      </c>
      <c r="Z156" s="3" t="n">
        <v>2</v>
      </c>
      <c r="AA156" s="3" t="n">
        <v>1</v>
      </c>
      <c r="AB156" s="3" t="n">
        <v>3</v>
      </c>
      <c r="AC156" s="3" t="n">
        <v>2</v>
      </c>
      <c r="AD156" s="3" t="n">
        <v>1</v>
      </c>
      <c r="AE156" s="3" t="s">
        <v>1694</v>
      </c>
      <c r="AF156" s="3"/>
      <c r="AG156" s="3" t="s">
        <v>1695</v>
      </c>
      <c r="AH156" s="3"/>
      <c r="AI156" s="3" t="s">
        <v>1696</v>
      </c>
      <c r="AJ156" s="3" t="s">
        <v>59</v>
      </c>
      <c r="AK156" s="3" t="s">
        <v>1697</v>
      </c>
      <c r="AL156" s="3"/>
      <c r="AM156" s="3" t="n">
        <v>4</v>
      </c>
      <c r="AN156" s="3"/>
      <c r="AO156" s="3"/>
      <c r="AP156" s="3" t="n">
        <v>4</v>
      </c>
      <c r="AQ156" s="3"/>
      <c r="AR156" s="3"/>
    </row>
    <row r="157" customFormat="false" ht="15" hidden="false" customHeight="true" outlineLevel="0" collapsed="false">
      <c r="A157" s="3" t="s">
        <v>1698</v>
      </c>
      <c r="B157" s="3" t="n">
        <v>3</v>
      </c>
      <c r="C157" s="3" t="n">
        <v>33</v>
      </c>
      <c r="D157" s="3"/>
      <c r="E157" s="4"/>
      <c r="F157" s="3" t="n">
        <v>16</v>
      </c>
      <c r="G157" s="3" t="str">
        <f aca="false">IF(F157="","",IF(F157&gt;=Notes!$B$5,"Elderly ("&amp;Notes!$B$5&amp;"+)",IF(F157&lt;=Notes!$B$4,"Student age (≤"&amp;Notes!$B$4&amp;")","Middle-aged ("&amp;(Notes!$B$4+1)&amp;"–"&amp;(Notes!$B$5-1)&amp;")")))</f>
        <v>Student age (≤29)</v>
      </c>
      <c r="H157" s="3" t="s">
        <v>1556</v>
      </c>
      <c r="I157" s="3" t="s">
        <v>46</v>
      </c>
      <c r="J157" s="3" t="s">
        <v>47</v>
      </c>
      <c r="K157" s="3" t="s">
        <v>48</v>
      </c>
      <c r="L157" s="3" t="s">
        <v>46</v>
      </c>
      <c r="M157" s="3" t="s">
        <v>47</v>
      </c>
      <c r="N157" s="3" t="s">
        <v>48</v>
      </c>
      <c r="O157" s="3" t="s">
        <v>1699</v>
      </c>
      <c r="P157" s="3" t="n">
        <v>30</v>
      </c>
      <c r="Q157" s="3" t="s">
        <v>117</v>
      </c>
      <c r="R157" s="3" t="s">
        <v>1700</v>
      </c>
      <c r="S157" s="3" t="s">
        <v>1701</v>
      </c>
      <c r="T157" s="3"/>
      <c r="U157" s="3" t="s">
        <v>1702</v>
      </c>
      <c r="V157" s="3" t="s">
        <v>1703</v>
      </c>
      <c r="W157" s="3" t="s">
        <v>1704</v>
      </c>
      <c r="X157" s="5" t="s">
        <v>1705</v>
      </c>
      <c r="Y157" s="3" t="n">
        <v>2</v>
      </c>
      <c r="Z157" s="3" t="n">
        <v>1</v>
      </c>
      <c r="AA157" s="3" t="n">
        <v>3</v>
      </c>
      <c r="AB157" s="3" t="n">
        <v>2</v>
      </c>
      <c r="AC157" s="3" t="n">
        <v>1</v>
      </c>
      <c r="AD157" s="3" t="n">
        <v>3</v>
      </c>
      <c r="AE157" s="3" t="s">
        <v>1706</v>
      </c>
      <c r="AF157" s="3"/>
      <c r="AG157" s="3" t="s">
        <v>1707</v>
      </c>
      <c r="AH157" s="3"/>
      <c r="AI157" s="3" t="s">
        <v>1708</v>
      </c>
      <c r="AJ157" s="3" t="s">
        <v>59</v>
      </c>
      <c r="AK157" s="3" t="s">
        <v>1709</v>
      </c>
      <c r="AL157" s="3"/>
      <c r="AM157" s="3" t="n">
        <v>4</v>
      </c>
      <c r="AN157" s="3"/>
      <c r="AO157" s="3"/>
      <c r="AP157" s="3" t="n">
        <v>5</v>
      </c>
      <c r="AQ157" s="3"/>
      <c r="AR157" s="3"/>
    </row>
    <row r="158" customFormat="false" ht="15" hidden="false" customHeight="true" outlineLevel="0" collapsed="false">
      <c r="A158" s="3" t="s">
        <v>1710</v>
      </c>
      <c r="B158" s="3" t="n">
        <v>3</v>
      </c>
      <c r="C158" s="3" t="n">
        <v>34</v>
      </c>
      <c r="D158" s="3"/>
      <c r="E158" s="4"/>
      <c r="F158" s="3" t="n">
        <v>20</v>
      </c>
      <c r="G158" s="3" t="str">
        <f aca="false">IF(F158="","",IF(F158&gt;=Notes!$B$5,"Elderly ("&amp;Notes!$B$5&amp;"+)",IF(F158&lt;=Notes!$B$4,"Student age (≤"&amp;Notes!$B$4&amp;")","Middle-aged ("&amp;(Notes!$B$4+1)&amp;"–"&amp;(Notes!$B$5-1)&amp;")")))</f>
        <v>Student age (≤29)</v>
      </c>
      <c r="H158" s="3" t="s">
        <v>45</v>
      </c>
      <c r="I158" s="3" t="s">
        <v>49</v>
      </c>
      <c r="J158" s="3" t="s">
        <v>47</v>
      </c>
      <c r="K158" s="3" t="s">
        <v>50</v>
      </c>
      <c r="L158" s="3" t="s">
        <v>49</v>
      </c>
      <c r="M158" s="3" t="s">
        <v>47</v>
      </c>
      <c r="N158" s="3" t="s">
        <v>50</v>
      </c>
      <c r="O158" s="3" t="s">
        <v>311</v>
      </c>
      <c r="P158" s="3" t="n">
        <v>40</v>
      </c>
      <c r="Q158" s="3" t="s">
        <v>52</v>
      </c>
      <c r="R158" s="3" t="s">
        <v>1711</v>
      </c>
      <c r="S158" s="3" t="s">
        <v>1712</v>
      </c>
      <c r="T158" s="3"/>
      <c r="U158" s="3" t="s">
        <v>1713</v>
      </c>
      <c r="V158" s="3" t="s">
        <v>1714</v>
      </c>
      <c r="W158" s="3" t="s">
        <v>1715</v>
      </c>
      <c r="X158" s="3" t="s">
        <v>1716</v>
      </c>
      <c r="Y158" s="3" t="n">
        <v>3</v>
      </c>
      <c r="Z158" s="3" t="n">
        <v>1</v>
      </c>
      <c r="AA158" s="3" t="n">
        <v>2</v>
      </c>
      <c r="AB158" s="3" t="n">
        <v>3</v>
      </c>
      <c r="AC158" s="3" t="n">
        <v>1</v>
      </c>
      <c r="AD158" s="3" t="n">
        <v>2</v>
      </c>
      <c r="AE158" s="3" t="s">
        <v>1717</v>
      </c>
      <c r="AF158" s="3"/>
      <c r="AG158" s="3" t="s">
        <v>1718</v>
      </c>
      <c r="AH158" s="3"/>
      <c r="AI158" s="3" t="s">
        <v>1719</v>
      </c>
      <c r="AJ158" s="3" t="s">
        <v>59</v>
      </c>
      <c r="AK158" s="3" t="s">
        <v>1720</v>
      </c>
      <c r="AL158" s="3"/>
      <c r="AM158" s="3" t="n">
        <v>5</v>
      </c>
      <c r="AN158" s="3"/>
      <c r="AO158" s="3"/>
      <c r="AP158" s="3" t="n">
        <v>5</v>
      </c>
      <c r="AQ158" s="3"/>
      <c r="AR158" s="3"/>
    </row>
    <row r="159" customFormat="false" ht="15" hidden="false" customHeight="true" outlineLevel="0" collapsed="false">
      <c r="A159" s="3" t="s">
        <v>1721</v>
      </c>
      <c r="B159" s="3" t="n">
        <v>3</v>
      </c>
      <c r="C159" s="3" t="n">
        <v>35</v>
      </c>
      <c r="D159" s="3"/>
      <c r="E159" s="4"/>
      <c r="F159" s="3" t="n">
        <v>53</v>
      </c>
      <c r="G159" s="3" t="str">
        <f aca="false">IF(F159="","",IF(F159&gt;=Notes!$B$5,"Elderly ("&amp;Notes!$B$5&amp;"+)",IF(F159&lt;=Notes!$B$4,"Student age (≤"&amp;Notes!$B$4&amp;")","Middle-aged ("&amp;(Notes!$B$4+1)&amp;"–"&amp;(Notes!$B$5-1)&amp;")")))</f>
        <v>Middle-aged (30–64)</v>
      </c>
      <c r="H159" s="3" t="s">
        <v>83</v>
      </c>
      <c r="I159" s="3" t="s">
        <v>1722</v>
      </c>
      <c r="J159" s="3" t="s">
        <v>1025</v>
      </c>
      <c r="K159" s="3" t="s">
        <v>1723</v>
      </c>
      <c r="L159" s="3" t="s">
        <v>321</v>
      </c>
      <c r="M159" s="3" t="s">
        <v>47</v>
      </c>
      <c r="N159" s="3" t="s">
        <v>322</v>
      </c>
      <c r="O159" s="3" t="s">
        <v>1724</v>
      </c>
      <c r="P159" s="3" t="n">
        <v>20</v>
      </c>
      <c r="Q159" s="3" t="s">
        <v>95</v>
      </c>
      <c r="R159" s="3" t="s">
        <v>1725</v>
      </c>
      <c r="S159" s="3" t="s">
        <v>1726</v>
      </c>
      <c r="T159" s="3"/>
      <c r="U159" s="3" t="s">
        <v>1727</v>
      </c>
      <c r="V159" s="3" t="s">
        <v>1728</v>
      </c>
      <c r="W159" s="3" t="s">
        <v>1729</v>
      </c>
      <c r="X159" s="3" t="s">
        <v>1730</v>
      </c>
      <c r="Y159" s="3" t="n">
        <v>3</v>
      </c>
      <c r="Z159" s="3" t="n">
        <v>2</v>
      </c>
      <c r="AA159" s="3" t="n">
        <v>1</v>
      </c>
      <c r="AB159" s="3" t="n">
        <v>1</v>
      </c>
      <c r="AC159" s="3" t="n">
        <v>2</v>
      </c>
      <c r="AD159" s="3" t="n">
        <v>2</v>
      </c>
      <c r="AE159" s="3" t="s">
        <v>5</v>
      </c>
      <c r="AF159" s="3"/>
      <c r="AG159" s="3" t="s">
        <v>1731</v>
      </c>
      <c r="AH159" s="3"/>
      <c r="AI159" s="3" t="s">
        <v>1732</v>
      </c>
      <c r="AJ159" s="3" t="s">
        <v>59</v>
      </c>
      <c r="AK159" s="3"/>
      <c r="AL159" s="3"/>
      <c r="AM159" s="3" t="n">
        <v>4</v>
      </c>
      <c r="AN159" s="3"/>
      <c r="AO159" s="3"/>
      <c r="AP159" s="3" t="n">
        <v>4</v>
      </c>
      <c r="AQ159" s="3"/>
      <c r="AR159" s="3" t="s">
        <v>448</v>
      </c>
    </row>
    <row r="160" customFormat="false" ht="15" hidden="false" customHeight="true" outlineLevel="0" collapsed="false">
      <c r="A160" s="3" t="s">
        <v>1733</v>
      </c>
      <c r="B160" s="3" t="n">
        <v>3</v>
      </c>
      <c r="C160" s="3" t="n">
        <v>36</v>
      </c>
      <c r="D160" s="3"/>
      <c r="E160" s="4"/>
      <c r="F160" s="3" t="n">
        <v>53</v>
      </c>
      <c r="G160" s="3" t="str">
        <f aca="false">IF(F160="","",IF(F160&gt;=Notes!$B$5,"Elderly ("&amp;Notes!$B$5&amp;"+)",IF(F160&lt;=Notes!$B$4,"Student age (≤"&amp;Notes!$B$4&amp;")","Middle-aged ("&amp;(Notes!$B$4+1)&amp;"–"&amp;(Notes!$B$5-1)&amp;")")))</f>
        <v>Middle-aged (30–64)</v>
      </c>
      <c r="H160" s="3" t="s">
        <v>83</v>
      </c>
      <c r="I160" s="3"/>
      <c r="J160" s="3" t="s">
        <v>47</v>
      </c>
      <c r="K160" s="3" t="s">
        <v>47</v>
      </c>
      <c r="L160" s="3"/>
      <c r="M160" s="3" t="s">
        <v>47</v>
      </c>
      <c r="N160" s="3" t="s">
        <v>47</v>
      </c>
      <c r="O160" s="3" t="s">
        <v>1734</v>
      </c>
      <c r="P160" s="3" t="n">
        <v>12</v>
      </c>
      <c r="Q160" s="3" t="s">
        <v>74</v>
      </c>
      <c r="R160" s="3" t="s">
        <v>1735</v>
      </c>
      <c r="S160" s="3" t="s">
        <v>1736</v>
      </c>
      <c r="T160" s="3"/>
      <c r="U160" s="3" t="s">
        <v>1737</v>
      </c>
      <c r="V160" s="3" t="s">
        <v>1738</v>
      </c>
      <c r="W160" s="3" t="s">
        <v>1739</v>
      </c>
      <c r="X160" s="3" t="s">
        <v>1740</v>
      </c>
      <c r="Y160" s="3" t="n">
        <v>1</v>
      </c>
      <c r="Z160" s="3" t="n">
        <v>1</v>
      </c>
      <c r="AA160" s="3" t="n">
        <v>1</v>
      </c>
      <c r="AB160" s="3" t="n">
        <v>1</v>
      </c>
      <c r="AC160" s="3" t="n">
        <v>1</v>
      </c>
      <c r="AD160" s="3" t="n">
        <v>1</v>
      </c>
      <c r="AE160" s="3" t="s">
        <v>1741</v>
      </c>
      <c r="AF160" s="3"/>
      <c r="AG160" s="3" t="s">
        <v>1742</v>
      </c>
      <c r="AH160" s="3"/>
      <c r="AI160" s="3" t="s">
        <v>1743</v>
      </c>
      <c r="AJ160" s="3" t="s">
        <v>59</v>
      </c>
      <c r="AK160" s="3"/>
      <c r="AL160" s="3"/>
      <c r="AM160" s="3" t="n">
        <v>5</v>
      </c>
      <c r="AN160" s="3"/>
      <c r="AO160" s="3"/>
      <c r="AP160" s="3" t="n">
        <v>5</v>
      </c>
      <c r="AQ160" s="3"/>
      <c r="AR160" s="3" t="s">
        <v>81</v>
      </c>
    </row>
    <row r="161" customFormat="false" ht="15" hidden="false" customHeight="true" outlineLevel="0" collapsed="false">
      <c r="A161" s="3" t="s">
        <v>1744</v>
      </c>
      <c r="B161" s="3" t="n">
        <v>3</v>
      </c>
      <c r="C161" s="3" t="n">
        <v>37</v>
      </c>
      <c r="D161" s="3"/>
      <c r="E161" s="4"/>
      <c r="F161" s="3" t="n">
        <v>32</v>
      </c>
      <c r="G161" s="3" t="str">
        <f aca="false">IF(F161="","",IF(F161&gt;=Notes!$B$5,"Elderly ("&amp;Notes!$B$5&amp;"+)",IF(F161&lt;=Notes!$B$4,"Student age (≤"&amp;Notes!$B$4&amp;")","Middle-aged ("&amp;(Notes!$B$4+1)&amp;"–"&amp;(Notes!$B$5-1)&amp;")")))</f>
        <v>Middle-aged (30–64)</v>
      </c>
      <c r="H161" s="3" t="s">
        <v>83</v>
      </c>
      <c r="I161" s="3" t="s">
        <v>1745</v>
      </c>
      <c r="J161" s="3" t="s">
        <v>1746</v>
      </c>
      <c r="K161" s="3" t="s">
        <v>1747</v>
      </c>
      <c r="L161" s="3" t="s">
        <v>49</v>
      </c>
      <c r="M161" s="3" t="s">
        <v>47</v>
      </c>
      <c r="N161" s="3" t="s">
        <v>50</v>
      </c>
      <c r="O161" s="3" t="s">
        <v>1748</v>
      </c>
      <c r="P161" s="3" t="n">
        <v>30</v>
      </c>
      <c r="Q161" s="3" t="s">
        <v>117</v>
      </c>
      <c r="R161" s="3" t="s">
        <v>1749</v>
      </c>
      <c r="S161" s="3" t="s">
        <v>1750</v>
      </c>
      <c r="T161" s="3"/>
      <c r="U161" s="3" t="s">
        <v>1751</v>
      </c>
      <c r="V161" s="3" t="s">
        <v>1752</v>
      </c>
      <c r="W161" s="3" t="s">
        <v>1753</v>
      </c>
      <c r="X161" s="3" t="s">
        <v>1754</v>
      </c>
      <c r="Y161" s="3" t="n">
        <v>2</v>
      </c>
      <c r="Z161" s="3" t="n">
        <v>1</v>
      </c>
      <c r="AA161" s="3" t="n">
        <v>3</v>
      </c>
      <c r="AB161" s="3" t="n">
        <v>2</v>
      </c>
      <c r="AC161" s="3" t="n">
        <v>1</v>
      </c>
      <c r="AD161" s="3" t="n">
        <v>3</v>
      </c>
      <c r="AE161" s="3" t="s">
        <v>1755</v>
      </c>
      <c r="AF161" s="3"/>
      <c r="AG161" s="3" t="s">
        <v>1756</v>
      </c>
      <c r="AH161" s="3"/>
      <c r="AI161" s="3" t="s">
        <v>1757</v>
      </c>
      <c r="AJ161" s="3" t="s">
        <v>59</v>
      </c>
      <c r="AK161" s="3" t="s">
        <v>1758</v>
      </c>
      <c r="AL161" s="3"/>
      <c r="AM161" s="3" t="n">
        <v>4</v>
      </c>
      <c r="AN161" s="3"/>
      <c r="AO161" s="3"/>
      <c r="AP161" s="3" t="n">
        <v>5</v>
      </c>
      <c r="AQ161" s="3"/>
      <c r="AR161" s="3"/>
    </row>
    <row r="162" customFormat="false" ht="15" hidden="false" customHeight="true" outlineLevel="0" collapsed="false">
      <c r="A162" s="3" t="s">
        <v>1759</v>
      </c>
      <c r="B162" s="3" t="n">
        <v>3</v>
      </c>
      <c r="C162" s="3" t="n">
        <v>38</v>
      </c>
      <c r="D162" s="3"/>
      <c r="E162" s="4"/>
      <c r="F162" s="3" t="n">
        <v>50</v>
      </c>
      <c r="G162" s="3" t="str">
        <f aca="false">IF(F162="","",IF(F162&gt;=Notes!$B$5,"Elderly ("&amp;Notes!$B$5&amp;"+)",IF(F162&lt;=Notes!$B$4,"Student age (≤"&amp;Notes!$B$4&amp;")","Middle-aged ("&amp;(Notes!$B$4+1)&amp;"–"&amp;(Notes!$B$5-1)&amp;")")))</f>
        <v>Middle-aged (30–64)</v>
      </c>
      <c r="H162" s="3" t="s">
        <v>83</v>
      </c>
      <c r="I162" s="3"/>
      <c r="J162" s="3" t="s">
        <v>1025</v>
      </c>
      <c r="K162" s="3" t="s">
        <v>1025</v>
      </c>
      <c r="L162" s="3" t="s">
        <v>321</v>
      </c>
      <c r="M162" s="3" t="s">
        <v>47</v>
      </c>
      <c r="N162" s="3" t="s">
        <v>322</v>
      </c>
      <c r="O162" s="3" t="s">
        <v>1760</v>
      </c>
      <c r="P162" s="3" t="n">
        <v>40</v>
      </c>
      <c r="Q162" s="3" t="s">
        <v>52</v>
      </c>
      <c r="R162" s="3" t="s">
        <v>1761</v>
      </c>
      <c r="S162" s="3" t="s">
        <v>1762</v>
      </c>
      <c r="T162" s="3"/>
      <c r="U162" s="3" t="s">
        <v>1763</v>
      </c>
      <c r="V162" s="3" t="s">
        <v>1764</v>
      </c>
      <c r="W162" s="3" t="s">
        <v>59</v>
      </c>
      <c r="X162" s="3" t="s">
        <v>1765</v>
      </c>
      <c r="Y162" s="3" t="n">
        <v>2</v>
      </c>
      <c r="Z162" s="3" t="n">
        <v>2</v>
      </c>
      <c r="AA162" s="3" t="n">
        <v>1</v>
      </c>
      <c r="AB162" s="3" t="n">
        <v>2</v>
      </c>
      <c r="AC162" s="3" t="n">
        <v>2</v>
      </c>
      <c r="AD162" s="3" t="n">
        <v>1</v>
      </c>
      <c r="AE162" s="3" t="s">
        <v>1766</v>
      </c>
      <c r="AF162" s="3"/>
      <c r="AG162" s="3" t="s">
        <v>1767</v>
      </c>
      <c r="AH162" s="3"/>
      <c r="AI162" s="3" t="s">
        <v>1768</v>
      </c>
      <c r="AJ162" s="3" t="s">
        <v>59</v>
      </c>
      <c r="AK162" s="3"/>
      <c r="AL162" s="3"/>
      <c r="AM162" s="3" t="n">
        <v>5</v>
      </c>
      <c r="AN162" s="3"/>
      <c r="AO162" s="3"/>
      <c r="AP162" s="3" t="n">
        <v>5</v>
      </c>
      <c r="AQ162" s="3"/>
      <c r="AR162" s="3" t="s">
        <v>81</v>
      </c>
    </row>
    <row r="163" customFormat="false" ht="15" hidden="false" customHeight="true" outlineLevel="0" collapsed="false">
      <c r="A163" s="3" t="s">
        <v>1769</v>
      </c>
      <c r="B163" s="3" t="n">
        <v>3</v>
      </c>
      <c r="C163" s="3" t="n">
        <v>39</v>
      </c>
      <c r="D163" s="3"/>
      <c r="E163" s="4"/>
      <c r="F163" s="3" t="n">
        <v>52</v>
      </c>
      <c r="G163" s="3" t="str">
        <f aca="false">IF(F163="","",IF(F163&gt;=Notes!$B$5,"Elderly ("&amp;Notes!$B$5&amp;"+)",IF(F163&lt;=Notes!$B$4,"Student age (≤"&amp;Notes!$B$4&amp;")","Middle-aged ("&amp;(Notes!$B$4+1)&amp;"–"&amp;(Notes!$B$5-1)&amp;")")))</f>
        <v>Middle-aged (30–64)</v>
      </c>
      <c r="H163" s="3" t="s">
        <v>83</v>
      </c>
      <c r="I163" s="3"/>
      <c r="J163" s="3" t="s">
        <v>47</v>
      </c>
      <c r="K163" s="3" t="s">
        <v>47</v>
      </c>
      <c r="L163" s="3"/>
      <c r="M163" s="3" t="s">
        <v>47</v>
      </c>
      <c r="N163" s="3" t="s">
        <v>47</v>
      </c>
      <c r="O163" s="3" t="s">
        <v>1770</v>
      </c>
      <c r="P163" s="3" t="n">
        <v>45</v>
      </c>
      <c r="Q163" s="3" t="s">
        <v>52</v>
      </c>
      <c r="R163" s="3" t="s">
        <v>1771</v>
      </c>
      <c r="S163" s="3" t="s">
        <v>1772</v>
      </c>
      <c r="T163" s="3"/>
      <c r="U163" s="3" t="s">
        <v>98</v>
      </c>
      <c r="V163" s="3" t="s">
        <v>1773</v>
      </c>
      <c r="W163" s="3" t="s">
        <v>59</v>
      </c>
      <c r="X163" s="3" t="s">
        <v>1774</v>
      </c>
      <c r="Y163" s="3" t="n">
        <v>2</v>
      </c>
      <c r="Z163" s="3" t="n">
        <v>1</v>
      </c>
      <c r="AA163" s="3" t="n">
        <v>1</v>
      </c>
      <c r="AB163" s="3" t="n">
        <v>2</v>
      </c>
      <c r="AC163" s="3" t="n">
        <v>1</v>
      </c>
      <c r="AD163" s="3" t="n">
        <v>1</v>
      </c>
      <c r="AE163" s="3" t="s">
        <v>1775</v>
      </c>
      <c r="AF163" s="3"/>
      <c r="AG163" s="3" t="s">
        <v>1776</v>
      </c>
      <c r="AH163" s="3"/>
      <c r="AI163" s="3" t="s">
        <v>1777</v>
      </c>
      <c r="AJ163" s="3" t="s">
        <v>59</v>
      </c>
      <c r="AK163" s="3"/>
      <c r="AL163" s="3"/>
      <c r="AM163" s="3" t="n">
        <v>3</v>
      </c>
      <c r="AN163" s="3"/>
      <c r="AO163" s="3"/>
      <c r="AP163" s="3" t="n">
        <v>3</v>
      </c>
      <c r="AQ163" s="3"/>
      <c r="AR163" s="3" t="s">
        <v>81</v>
      </c>
    </row>
    <row r="164" customFormat="false" ht="15" hidden="false" customHeight="true" outlineLevel="0" collapsed="false">
      <c r="A164" s="3" t="s">
        <v>1778</v>
      </c>
      <c r="B164" s="3" t="n">
        <v>3</v>
      </c>
      <c r="C164" s="3" t="n">
        <v>40</v>
      </c>
      <c r="D164" s="3"/>
      <c r="E164" s="4"/>
      <c r="F164" s="3" t="n">
        <v>18</v>
      </c>
      <c r="G164" s="3" t="str">
        <f aca="false">IF(F164="","",IF(F164&gt;=Notes!$B$5,"Elderly ("&amp;Notes!$B$5&amp;"+)",IF(F164&lt;=Notes!$B$4,"Student age (≤"&amp;Notes!$B$4&amp;")","Middle-aged ("&amp;(Notes!$B$4+1)&amp;"–"&amp;(Notes!$B$5-1)&amp;")")))</f>
        <v>Student age (≤29)</v>
      </c>
      <c r="H164" s="3" t="s">
        <v>45</v>
      </c>
      <c r="I164" s="3" t="s">
        <v>321</v>
      </c>
      <c r="J164" s="3" t="s">
        <v>47</v>
      </c>
      <c r="K164" s="3" t="s">
        <v>322</v>
      </c>
      <c r="L164" s="3"/>
      <c r="M164" s="3" t="s">
        <v>47</v>
      </c>
      <c r="N164" s="3" t="s">
        <v>47</v>
      </c>
      <c r="O164" s="3" t="s">
        <v>1779</v>
      </c>
      <c r="P164" s="3" t="n">
        <v>30</v>
      </c>
      <c r="Q164" s="3" t="s">
        <v>117</v>
      </c>
      <c r="R164" s="3" t="s">
        <v>1780</v>
      </c>
      <c r="S164" s="3" t="s">
        <v>1781</v>
      </c>
      <c r="T164" s="3"/>
      <c r="U164" s="3" t="s">
        <v>1782</v>
      </c>
      <c r="V164" s="3" t="s">
        <v>1783</v>
      </c>
      <c r="W164" s="3" t="s">
        <v>1784</v>
      </c>
      <c r="X164" s="3" t="s">
        <v>1785</v>
      </c>
      <c r="Y164" s="3" t="n">
        <v>3</v>
      </c>
      <c r="Z164" s="3" t="n">
        <v>2</v>
      </c>
      <c r="AA164" s="3" t="n">
        <v>1</v>
      </c>
      <c r="AB164" s="3" t="n">
        <v>1</v>
      </c>
      <c r="AC164" s="3" t="n">
        <v>3</v>
      </c>
      <c r="AD164" s="3" t="n">
        <v>1</v>
      </c>
      <c r="AE164" s="3" t="s">
        <v>1786</v>
      </c>
      <c r="AF164" s="3"/>
      <c r="AG164" s="3" t="s">
        <v>1787</v>
      </c>
      <c r="AH164" s="3"/>
      <c r="AI164" s="3" t="s">
        <v>1788</v>
      </c>
      <c r="AJ164" s="3"/>
      <c r="AK164" s="3" t="s">
        <v>1789</v>
      </c>
      <c r="AL164" s="3"/>
      <c r="AM164" s="3" t="n">
        <v>5</v>
      </c>
      <c r="AN164" s="3"/>
      <c r="AO164" s="3"/>
      <c r="AP164" s="3" t="n">
        <v>5</v>
      </c>
      <c r="AQ164" s="3"/>
      <c r="AR164" s="3" t="s">
        <v>448</v>
      </c>
    </row>
    <row r="165" customFormat="false" ht="15" hidden="false" customHeight="true" outlineLevel="0" collapsed="false">
      <c r="A165" s="3" t="s">
        <v>1790</v>
      </c>
      <c r="B165" s="3" t="n">
        <v>3</v>
      </c>
      <c r="C165" s="3" t="n">
        <v>41</v>
      </c>
      <c r="D165" s="3"/>
      <c r="E165" s="4"/>
      <c r="F165" s="3" t="n">
        <v>45</v>
      </c>
      <c r="G165" s="3" t="str">
        <f aca="false">IF(F165="","",IF(F165&gt;=Notes!$B$5,"Elderly ("&amp;Notes!$B$5&amp;"+)",IF(F165&lt;=Notes!$B$4,"Student age (≤"&amp;Notes!$B$4&amp;")","Middle-aged ("&amp;(Notes!$B$4+1)&amp;"–"&amp;(Notes!$B$5-1)&amp;")")))</f>
        <v>Middle-aged (30–64)</v>
      </c>
      <c r="H165" s="3" t="s">
        <v>45</v>
      </c>
      <c r="I165" s="3" t="s">
        <v>1791</v>
      </c>
      <c r="J165" s="3" t="s">
        <v>1025</v>
      </c>
      <c r="K165" s="3" t="s">
        <v>1792</v>
      </c>
      <c r="L165" s="3" t="s">
        <v>321</v>
      </c>
      <c r="M165" s="3" t="s">
        <v>47</v>
      </c>
      <c r="N165" s="3" t="s">
        <v>322</v>
      </c>
      <c r="O165" s="3" t="s">
        <v>1793</v>
      </c>
      <c r="P165" s="3" t="n">
        <v>50</v>
      </c>
      <c r="Q165" s="3" t="s">
        <v>52</v>
      </c>
      <c r="R165" s="3" t="s">
        <v>1794</v>
      </c>
      <c r="S165" s="3" t="s">
        <v>1795</v>
      </c>
      <c r="T165" s="3"/>
      <c r="U165" s="3" t="s">
        <v>1796</v>
      </c>
      <c r="V165" s="3" t="s">
        <v>1797</v>
      </c>
      <c r="W165" s="3" t="s">
        <v>1798</v>
      </c>
      <c r="X165" s="3" t="s">
        <v>1799</v>
      </c>
      <c r="Y165" s="3" t="n">
        <v>1</v>
      </c>
      <c r="Z165" s="3" t="n">
        <v>1</v>
      </c>
      <c r="AA165" s="3" t="n">
        <v>1</v>
      </c>
      <c r="AB165" s="3" t="n">
        <v>1</v>
      </c>
      <c r="AC165" s="3" t="n">
        <v>1</v>
      </c>
      <c r="AD165" s="3" t="n">
        <v>1</v>
      </c>
      <c r="AE165" s="3" t="s">
        <v>1800</v>
      </c>
      <c r="AF165" s="3"/>
      <c r="AG165" s="3" t="s">
        <v>1801</v>
      </c>
      <c r="AH165" s="3"/>
      <c r="AI165" s="3" t="s">
        <v>1802</v>
      </c>
      <c r="AJ165" s="3" t="s">
        <v>59</v>
      </c>
      <c r="AK165" s="3"/>
      <c r="AL165" s="3"/>
      <c r="AM165" s="3" t="n">
        <v>5</v>
      </c>
      <c r="AN165" s="3"/>
      <c r="AO165" s="3"/>
      <c r="AP165" s="3" t="n">
        <v>5</v>
      </c>
      <c r="AQ165" s="3"/>
      <c r="AR165" s="3" t="s">
        <v>81</v>
      </c>
    </row>
    <row r="166" customFormat="false" ht="15" hidden="false" customHeight="true" outlineLevel="0" collapsed="false">
      <c r="A166" s="3" t="s">
        <v>1803</v>
      </c>
      <c r="B166" s="3" t="n">
        <v>3</v>
      </c>
      <c r="C166" s="3" t="n">
        <v>42</v>
      </c>
      <c r="D166" s="3"/>
      <c r="E166" s="4"/>
      <c r="F166" s="3" t="n">
        <v>20</v>
      </c>
      <c r="G166" s="3" t="str">
        <f aca="false">IF(F166="","",IF(F166&gt;=Notes!$B$5,"Elderly ("&amp;Notes!$B$5&amp;"+)",IF(F166&lt;=Notes!$B$4,"Student age (≤"&amp;Notes!$B$4&amp;")","Middle-aged ("&amp;(Notes!$B$4+1)&amp;"–"&amp;(Notes!$B$5-1)&amp;")")))</f>
        <v>Student age (≤29)</v>
      </c>
      <c r="H166" s="3" t="s">
        <v>45</v>
      </c>
      <c r="I166" s="3" t="s">
        <v>321</v>
      </c>
      <c r="J166" s="3" t="s">
        <v>47</v>
      </c>
      <c r="K166" s="3" t="s">
        <v>322</v>
      </c>
      <c r="L166" s="3" t="s">
        <v>49</v>
      </c>
      <c r="M166" s="3" t="s">
        <v>47</v>
      </c>
      <c r="N166" s="3" t="s">
        <v>50</v>
      </c>
      <c r="O166" s="3" t="s">
        <v>1055</v>
      </c>
      <c r="P166" s="3" t="n">
        <v>15</v>
      </c>
      <c r="Q166" s="3" t="s">
        <v>74</v>
      </c>
      <c r="R166" s="3" t="s">
        <v>1804</v>
      </c>
      <c r="S166" s="3" t="s">
        <v>1805</v>
      </c>
      <c r="T166" s="3"/>
      <c r="U166" s="3" t="s">
        <v>1806</v>
      </c>
      <c r="V166" s="3" t="s">
        <v>1807</v>
      </c>
      <c r="W166" s="3" t="s">
        <v>1808</v>
      </c>
      <c r="X166" s="5" t="s">
        <v>1809</v>
      </c>
      <c r="Y166" s="3" t="n">
        <v>1</v>
      </c>
      <c r="Z166" s="3" t="n">
        <v>3</v>
      </c>
      <c r="AA166" s="3" t="n">
        <v>2</v>
      </c>
      <c r="AB166" s="3" t="n">
        <v>1</v>
      </c>
      <c r="AC166" s="3" t="n">
        <v>2</v>
      </c>
      <c r="AD166" s="3" t="n">
        <v>3</v>
      </c>
      <c r="AE166" s="3" t="s">
        <v>1810</v>
      </c>
      <c r="AF166" s="3"/>
      <c r="AG166" s="3" t="s">
        <v>1811</v>
      </c>
      <c r="AH166" s="3"/>
      <c r="AI166" s="3" t="s">
        <v>1812</v>
      </c>
      <c r="AJ166" s="3"/>
      <c r="AK166" s="3" t="s">
        <v>1813</v>
      </c>
      <c r="AL166" s="3"/>
      <c r="AM166" s="3" t="n">
        <v>3</v>
      </c>
      <c r="AN166" s="3"/>
      <c r="AO166" s="3"/>
      <c r="AP166" s="3" t="n">
        <v>4</v>
      </c>
      <c r="AQ166" s="3"/>
      <c r="AR166" s="3"/>
    </row>
    <row r="167" customFormat="false" ht="15" hidden="false" customHeight="true" outlineLevel="0" collapsed="false">
      <c r="A167" s="3" t="s">
        <v>1814</v>
      </c>
      <c r="B167" s="3" t="n">
        <v>3</v>
      </c>
      <c r="C167" s="3" t="n">
        <v>43</v>
      </c>
      <c r="D167" s="3"/>
      <c r="E167" s="4"/>
      <c r="F167" s="3" t="n">
        <v>20</v>
      </c>
      <c r="G167" s="3" t="str">
        <f aca="false">IF(F167="","",IF(F167&gt;=Notes!$B$5,"Elderly ("&amp;Notes!$B$5&amp;"+)",IF(F167&lt;=Notes!$B$4,"Student age (≤"&amp;Notes!$B$4&amp;")","Middle-aged ("&amp;(Notes!$B$4+1)&amp;"–"&amp;(Notes!$B$5-1)&amp;")")))</f>
        <v>Student age (≤29)</v>
      </c>
      <c r="H167" s="3" t="s">
        <v>45</v>
      </c>
      <c r="I167" s="3" t="s">
        <v>171</v>
      </c>
      <c r="J167" s="3" t="s">
        <v>47</v>
      </c>
      <c r="K167" s="3" t="s">
        <v>172</v>
      </c>
      <c r="L167" s="3" t="s">
        <v>49</v>
      </c>
      <c r="M167" s="3" t="s">
        <v>47</v>
      </c>
      <c r="N167" s="3" t="s">
        <v>50</v>
      </c>
      <c r="O167" s="3" t="s">
        <v>1815</v>
      </c>
      <c r="P167" s="3" t="n">
        <v>19</v>
      </c>
      <c r="Q167" s="3" t="s">
        <v>95</v>
      </c>
      <c r="R167" s="3" t="s">
        <v>1816</v>
      </c>
      <c r="S167" s="3" t="s">
        <v>1817</v>
      </c>
      <c r="T167" s="3"/>
      <c r="U167" s="3" t="s">
        <v>1818</v>
      </c>
      <c r="V167" s="3" t="s">
        <v>1819</v>
      </c>
      <c r="W167" s="3" t="s">
        <v>1820</v>
      </c>
      <c r="X167" s="5" t="s">
        <v>1821</v>
      </c>
      <c r="Y167" s="3" t="n">
        <v>2</v>
      </c>
      <c r="Z167" s="3" t="n">
        <v>1</v>
      </c>
      <c r="AA167" s="3" t="n">
        <v>3</v>
      </c>
      <c r="AB167" s="3" t="n">
        <v>2</v>
      </c>
      <c r="AC167" s="3" t="n">
        <v>1</v>
      </c>
      <c r="AD167" s="3" t="n">
        <v>3</v>
      </c>
      <c r="AE167" s="3" t="s">
        <v>1822</v>
      </c>
      <c r="AF167" s="3"/>
      <c r="AG167" s="3" t="s">
        <v>1823</v>
      </c>
      <c r="AH167" s="3"/>
      <c r="AI167" s="3" t="s">
        <v>1824</v>
      </c>
      <c r="AJ167" s="3"/>
      <c r="AK167" s="3" t="s">
        <v>1825</v>
      </c>
      <c r="AL167" s="3"/>
      <c r="AM167" s="3" t="n">
        <v>4</v>
      </c>
      <c r="AN167" s="3"/>
      <c r="AO167" s="3"/>
      <c r="AP167" s="3" t="n">
        <v>4</v>
      </c>
      <c r="AQ167" s="3"/>
      <c r="AR167" s="3"/>
    </row>
    <row r="168" customFormat="false" ht="15" hidden="false" customHeight="true" outlineLevel="0" collapsed="false">
      <c r="A168" s="3" t="s">
        <v>1826</v>
      </c>
      <c r="B168" s="3" t="n">
        <v>3</v>
      </c>
      <c r="C168" s="3" t="n">
        <v>44</v>
      </c>
      <c r="D168" s="3"/>
      <c r="E168" s="4"/>
      <c r="F168" s="3" t="n">
        <v>49</v>
      </c>
      <c r="G168" s="3" t="str">
        <f aca="false">IF(F168="","",IF(F168&gt;=Notes!$B$5,"Elderly ("&amp;Notes!$B$5&amp;"+)",IF(F168&lt;=Notes!$B$4,"Student age (≤"&amp;Notes!$B$4&amp;")","Middle-aged ("&amp;(Notes!$B$4+1)&amp;"–"&amp;(Notes!$B$5-1)&amp;")")))</f>
        <v>Middle-aged (30–64)</v>
      </c>
      <c r="H168" s="3" t="s">
        <v>45</v>
      </c>
      <c r="I168" s="3" t="s">
        <v>321</v>
      </c>
      <c r="J168" s="3" t="s">
        <v>47</v>
      </c>
      <c r="K168" s="3" t="s">
        <v>322</v>
      </c>
      <c r="L168" s="3" t="s">
        <v>321</v>
      </c>
      <c r="M168" s="3" t="s">
        <v>47</v>
      </c>
      <c r="N168" s="3" t="s">
        <v>322</v>
      </c>
      <c r="O168" s="3" t="s">
        <v>1827</v>
      </c>
      <c r="P168" s="3" t="n">
        <v>40</v>
      </c>
      <c r="Q168" s="3" t="s">
        <v>52</v>
      </c>
      <c r="R168" s="3" t="s">
        <v>1828</v>
      </c>
      <c r="S168" s="3" t="s">
        <v>1829</v>
      </c>
      <c r="T168" s="3"/>
      <c r="U168" s="3" t="s">
        <v>98</v>
      </c>
      <c r="V168" s="3" t="s">
        <v>1830</v>
      </c>
      <c r="W168" s="3" t="s">
        <v>1831</v>
      </c>
      <c r="X168" s="3" t="s">
        <v>1832</v>
      </c>
      <c r="Y168" s="3" t="n">
        <v>1</v>
      </c>
      <c r="Z168" s="3" t="n">
        <v>1</v>
      </c>
      <c r="AA168" s="3" t="n">
        <v>1</v>
      </c>
      <c r="AB168" s="3" t="n">
        <v>1</v>
      </c>
      <c r="AC168" s="3" t="n">
        <v>1</v>
      </c>
      <c r="AD168" s="3" t="n">
        <v>1</v>
      </c>
      <c r="AE168" s="3" t="s">
        <v>1833</v>
      </c>
      <c r="AF168" s="3"/>
      <c r="AG168" s="3" t="s">
        <v>1834</v>
      </c>
      <c r="AH168" s="3"/>
      <c r="AI168" s="3" t="s">
        <v>1600</v>
      </c>
      <c r="AJ168" s="3" t="s">
        <v>59</v>
      </c>
      <c r="AK168" s="3" t="s">
        <v>1835</v>
      </c>
      <c r="AL168" s="3"/>
      <c r="AM168" s="3" t="n">
        <v>5</v>
      </c>
      <c r="AN168" s="3"/>
      <c r="AO168" s="3"/>
      <c r="AP168" s="3" t="n">
        <v>5</v>
      </c>
      <c r="AQ168" s="3"/>
      <c r="AR168" s="3" t="s">
        <v>81</v>
      </c>
    </row>
    <row r="169" customFormat="false" ht="15" hidden="false" customHeight="true" outlineLevel="0" collapsed="false">
      <c r="A169" s="3" t="s">
        <v>1836</v>
      </c>
      <c r="B169" s="3" t="n">
        <v>3</v>
      </c>
      <c r="C169" s="3" t="n">
        <v>45</v>
      </c>
      <c r="D169" s="3"/>
      <c r="E169" s="4"/>
      <c r="F169" s="3" t="n">
        <v>49</v>
      </c>
      <c r="G169" s="3" t="str">
        <f aca="false">IF(F169="","",IF(F169&gt;=Notes!$B$5,"Elderly ("&amp;Notes!$B$5&amp;"+)",IF(F169&lt;=Notes!$B$4,"Student age (≤"&amp;Notes!$B$4&amp;")","Middle-aged ("&amp;(Notes!$B$4+1)&amp;"–"&amp;(Notes!$B$5-1)&amp;")")))</f>
        <v>Middle-aged (30–64)</v>
      </c>
      <c r="H169" s="3" t="s">
        <v>45</v>
      </c>
      <c r="I169" s="3" t="s">
        <v>321</v>
      </c>
      <c r="J169" s="3" t="s">
        <v>47</v>
      </c>
      <c r="K169" s="3" t="s">
        <v>322</v>
      </c>
      <c r="L169" s="3" t="s">
        <v>321</v>
      </c>
      <c r="M169" s="3" t="s">
        <v>47</v>
      </c>
      <c r="N169" s="3" t="s">
        <v>322</v>
      </c>
      <c r="O169" s="3" t="s">
        <v>1837</v>
      </c>
      <c r="P169" s="3" t="n">
        <v>30</v>
      </c>
      <c r="Q169" s="3" t="s">
        <v>117</v>
      </c>
      <c r="R169" s="3" t="s">
        <v>1838</v>
      </c>
      <c r="S169" s="3" t="s">
        <v>1839</v>
      </c>
      <c r="T169" s="3"/>
      <c r="U169" s="3" t="s">
        <v>1840</v>
      </c>
      <c r="V169" s="3" t="s">
        <v>1841</v>
      </c>
      <c r="W169" s="3" t="s">
        <v>59</v>
      </c>
      <c r="X169" s="3" t="s">
        <v>1842</v>
      </c>
      <c r="Y169" s="3" t="n">
        <v>1</v>
      </c>
      <c r="Z169" s="3" t="n">
        <v>1</v>
      </c>
      <c r="AA169" s="3" t="n">
        <v>1</v>
      </c>
      <c r="AB169" s="3" t="n">
        <v>1</v>
      </c>
      <c r="AC169" s="3" t="n">
        <v>1</v>
      </c>
      <c r="AD169" s="3" t="n">
        <v>1</v>
      </c>
      <c r="AE169" s="3" t="s">
        <v>1843</v>
      </c>
      <c r="AF169" s="3"/>
      <c r="AG169" s="3" t="s">
        <v>1844</v>
      </c>
      <c r="AH169" s="3"/>
      <c r="AI169" s="3" t="s">
        <v>1845</v>
      </c>
      <c r="AJ169" s="3" t="s">
        <v>59</v>
      </c>
      <c r="AK169" s="3"/>
      <c r="AL169" s="3"/>
      <c r="AM169" s="3" t="n">
        <v>5</v>
      </c>
      <c r="AN169" s="3"/>
      <c r="AO169" s="3"/>
      <c r="AP169" s="3" t="n">
        <v>1</v>
      </c>
      <c r="AQ169" s="3"/>
      <c r="AR169" s="3" t="s">
        <v>81</v>
      </c>
    </row>
    <row r="170" customFormat="false" ht="15" hidden="false" customHeight="true" outlineLevel="0" collapsed="false">
      <c r="A170" s="3" t="s">
        <v>1846</v>
      </c>
      <c r="B170" s="3" t="n">
        <v>3</v>
      </c>
      <c r="C170" s="3" t="n">
        <v>46</v>
      </c>
      <c r="D170" s="3"/>
      <c r="E170" s="4"/>
      <c r="F170" s="3" t="n">
        <v>42</v>
      </c>
      <c r="G170" s="3" t="str">
        <f aca="false">IF(F170="","",IF(F170&gt;=Notes!$B$5,"Elderly ("&amp;Notes!$B$5&amp;"+)",IF(F170&lt;=Notes!$B$4,"Student age (≤"&amp;Notes!$B$4&amp;")","Middle-aged ("&amp;(Notes!$B$4+1)&amp;"–"&amp;(Notes!$B$5-1)&amp;")")))</f>
        <v>Middle-aged (30–64)</v>
      </c>
      <c r="H170" s="3" t="s">
        <v>83</v>
      </c>
      <c r="I170" s="3"/>
      <c r="J170" s="3" t="s">
        <v>1025</v>
      </c>
      <c r="K170" s="3" t="s">
        <v>1025</v>
      </c>
      <c r="L170" s="3"/>
      <c r="M170" s="3" t="s">
        <v>47</v>
      </c>
      <c r="N170" s="3" t="s">
        <v>47</v>
      </c>
      <c r="O170" s="3" t="s">
        <v>1847</v>
      </c>
      <c r="P170" s="3" t="n">
        <v>25</v>
      </c>
      <c r="Q170" s="3" t="s">
        <v>117</v>
      </c>
      <c r="R170" s="3" t="s">
        <v>1848</v>
      </c>
      <c r="S170" s="3" t="s">
        <v>1849</v>
      </c>
      <c r="T170" s="3"/>
      <c r="U170" s="3" t="s">
        <v>1850</v>
      </c>
      <c r="V170" s="3" t="s">
        <v>1851</v>
      </c>
      <c r="W170" s="3" t="s">
        <v>1852</v>
      </c>
      <c r="X170" s="3" t="s">
        <v>1853</v>
      </c>
      <c r="Y170" s="3" t="n">
        <v>2</v>
      </c>
      <c r="Z170" s="3" t="n">
        <v>1</v>
      </c>
      <c r="AA170" s="3" t="n">
        <v>1</v>
      </c>
      <c r="AB170" s="3" t="n">
        <v>1</v>
      </c>
      <c r="AC170" s="3" t="n">
        <v>1</v>
      </c>
      <c r="AD170" s="3" t="n">
        <v>2</v>
      </c>
      <c r="AE170" s="3" t="s">
        <v>1854</v>
      </c>
      <c r="AF170" s="3"/>
      <c r="AG170" s="3" t="s">
        <v>1855</v>
      </c>
      <c r="AH170" s="3"/>
      <c r="AI170" s="3" t="s">
        <v>1856</v>
      </c>
      <c r="AJ170" s="3" t="s">
        <v>59</v>
      </c>
      <c r="AK170" s="3"/>
      <c r="AL170" s="3"/>
      <c r="AM170" s="3" t="n">
        <v>5</v>
      </c>
      <c r="AN170" s="3"/>
      <c r="AO170" s="3"/>
      <c r="AP170" s="3" t="n">
        <v>5</v>
      </c>
      <c r="AQ170" s="3"/>
      <c r="AR170" s="3" t="s">
        <v>81</v>
      </c>
    </row>
    <row r="171" customFormat="false" ht="15" hidden="false" customHeight="true" outlineLevel="0" collapsed="false">
      <c r="A171" s="3" t="s">
        <v>1857</v>
      </c>
      <c r="B171" s="3" t="n">
        <v>3</v>
      </c>
      <c r="C171" s="3" t="n">
        <v>47</v>
      </c>
      <c r="D171" s="3"/>
      <c r="E171" s="4"/>
      <c r="F171" s="3" t="n">
        <v>41</v>
      </c>
      <c r="G171" s="3" t="str">
        <f aca="false">IF(F171="","",IF(F171&gt;=Notes!$B$5,"Elderly ("&amp;Notes!$B$5&amp;"+)",IF(F171&lt;=Notes!$B$4,"Student age (≤"&amp;Notes!$B$4&amp;")","Middle-aged ("&amp;(Notes!$B$4+1)&amp;"–"&amp;(Notes!$B$5-1)&amp;")")))</f>
        <v>Middle-aged (30–64)</v>
      </c>
      <c r="H171" s="3" t="s">
        <v>83</v>
      </c>
      <c r="I171" s="3" t="s">
        <v>321</v>
      </c>
      <c r="J171" s="3" t="s">
        <v>47</v>
      </c>
      <c r="K171" s="3" t="s">
        <v>322</v>
      </c>
      <c r="L171" s="3" t="s">
        <v>321</v>
      </c>
      <c r="M171" s="3" t="s">
        <v>47</v>
      </c>
      <c r="N171" s="3" t="s">
        <v>322</v>
      </c>
      <c r="O171" s="3" t="s">
        <v>1858</v>
      </c>
      <c r="P171" s="3" t="n">
        <v>35</v>
      </c>
      <c r="Q171" s="3" t="s">
        <v>52</v>
      </c>
      <c r="R171" s="3" t="s">
        <v>1859</v>
      </c>
      <c r="S171" s="3" t="s">
        <v>1860</v>
      </c>
      <c r="T171" s="3"/>
      <c r="U171" s="3" t="s">
        <v>98</v>
      </c>
      <c r="V171" s="3" t="s">
        <v>1861</v>
      </c>
      <c r="W171" s="3" t="s">
        <v>442</v>
      </c>
      <c r="X171" s="3" t="s">
        <v>1862</v>
      </c>
      <c r="Y171" s="3" t="n">
        <v>1</v>
      </c>
      <c r="Z171" s="3" t="n">
        <v>1</v>
      </c>
      <c r="AA171" s="3" t="n">
        <v>1</v>
      </c>
      <c r="AB171" s="3" t="n">
        <v>2</v>
      </c>
      <c r="AC171" s="3" t="n">
        <v>1</v>
      </c>
      <c r="AD171" s="3" t="n">
        <v>2</v>
      </c>
      <c r="AE171" s="3" t="s">
        <v>1863</v>
      </c>
      <c r="AF171" s="3"/>
      <c r="AG171" s="3" t="s">
        <v>1864</v>
      </c>
      <c r="AH171" s="3"/>
      <c r="AI171" s="3" t="s">
        <v>885</v>
      </c>
      <c r="AJ171" s="3" t="s">
        <v>59</v>
      </c>
      <c r="AK171" s="3"/>
      <c r="AL171" s="3"/>
      <c r="AM171" s="3" t="n">
        <v>4</v>
      </c>
      <c r="AN171" s="3"/>
      <c r="AO171" s="3"/>
      <c r="AP171" s="3" t="n">
        <v>4</v>
      </c>
      <c r="AQ171" s="3"/>
      <c r="AR171" s="3" t="s">
        <v>81</v>
      </c>
    </row>
    <row r="172" customFormat="false" ht="15" hidden="false" customHeight="true" outlineLevel="0" collapsed="false">
      <c r="A172" s="3" t="s">
        <v>1865</v>
      </c>
      <c r="B172" s="3" t="n">
        <v>3</v>
      </c>
      <c r="C172" s="3" t="n">
        <v>48</v>
      </c>
      <c r="D172" s="3"/>
      <c r="E172" s="4"/>
      <c r="F172" s="3" t="n">
        <v>53</v>
      </c>
      <c r="G172" s="3" t="str">
        <f aca="false">IF(F172="","",IF(F172&gt;=Notes!$B$5,"Elderly ("&amp;Notes!$B$5&amp;"+)",IF(F172&lt;=Notes!$B$4,"Student age (≤"&amp;Notes!$B$4&amp;")","Middle-aged ("&amp;(Notes!$B$4+1)&amp;"–"&amp;(Notes!$B$5-1)&amp;")")))</f>
        <v>Middle-aged (30–64)</v>
      </c>
      <c r="H172" s="3" t="s">
        <v>83</v>
      </c>
      <c r="I172" s="3" t="s">
        <v>321</v>
      </c>
      <c r="J172" s="3" t="s">
        <v>47</v>
      </c>
      <c r="K172" s="3" t="s">
        <v>322</v>
      </c>
      <c r="L172" s="3" t="s">
        <v>321</v>
      </c>
      <c r="M172" s="3" t="s">
        <v>47</v>
      </c>
      <c r="N172" s="3" t="s">
        <v>322</v>
      </c>
      <c r="O172" s="3" t="s">
        <v>1866</v>
      </c>
      <c r="P172" s="3" t="n">
        <v>30</v>
      </c>
      <c r="Q172" s="3" t="s">
        <v>117</v>
      </c>
      <c r="R172" s="3" t="s">
        <v>1867</v>
      </c>
      <c r="S172" s="3" t="s">
        <v>1868</v>
      </c>
      <c r="T172" s="3"/>
      <c r="U172" s="3" t="s">
        <v>1869</v>
      </c>
      <c r="V172" s="3" t="s">
        <v>1870</v>
      </c>
      <c r="W172" s="3" t="s">
        <v>59</v>
      </c>
      <c r="X172" s="3" t="s">
        <v>1871</v>
      </c>
      <c r="Y172" s="3" t="n">
        <v>1</v>
      </c>
      <c r="Z172" s="3" t="n">
        <v>1</v>
      </c>
      <c r="AA172" s="3" t="n">
        <v>1</v>
      </c>
      <c r="AB172" s="3" t="n">
        <v>1</v>
      </c>
      <c r="AC172" s="3" t="n">
        <v>1</v>
      </c>
      <c r="AD172" s="3" t="n">
        <v>1</v>
      </c>
      <c r="AE172" s="3" t="s">
        <v>1872</v>
      </c>
      <c r="AF172" s="3"/>
      <c r="AG172" s="3" t="s">
        <v>1873</v>
      </c>
      <c r="AH172" s="3"/>
      <c r="AI172" s="3" t="s">
        <v>1874</v>
      </c>
      <c r="AJ172" s="3" t="s">
        <v>59</v>
      </c>
      <c r="AK172" s="3"/>
      <c r="AL172" s="3"/>
      <c r="AM172" s="3" t="n">
        <v>5</v>
      </c>
      <c r="AN172" s="3"/>
      <c r="AO172" s="3"/>
      <c r="AP172" s="3" t="n">
        <v>5</v>
      </c>
      <c r="AQ172" s="3"/>
      <c r="AR172" s="3" t="s">
        <v>81</v>
      </c>
    </row>
    <row r="173" customFormat="false" ht="15" hidden="false" customHeight="true" outlineLevel="0" collapsed="false">
      <c r="A173" s="3" t="s">
        <v>1875</v>
      </c>
      <c r="B173" s="3" t="n">
        <v>3</v>
      </c>
      <c r="C173" s="3" t="n">
        <v>49</v>
      </c>
      <c r="D173" s="3"/>
      <c r="E173" s="4"/>
      <c r="F173" s="3" t="n">
        <v>53</v>
      </c>
      <c r="G173" s="3" t="str">
        <f aca="false">IF(F173="","",IF(F173&gt;=Notes!$B$5,"Elderly ("&amp;Notes!$B$5&amp;"+)",IF(F173&lt;=Notes!$B$4,"Student age (≤"&amp;Notes!$B$4&amp;")","Middle-aged ("&amp;(Notes!$B$4+1)&amp;"–"&amp;(Notes!$B$5-1)&amp;")")))</f>
        <v>Middle-aged (30–64)</v>
      </c>
      <c r="H173" s="3" t="s">
        <v>45</v>
      </c>
      <c r="I173" s="3" t="s">
        <v>321</v>
      </c>
      <c r="J173" s="3" t="s">
        <v>47</v>
      </c>
      <c r="K173" s="3" t="s">
        <v>322</v>
      </c>
      <c r="L173" s="3" t="s">
        <v>321</v>
      </c>
      <c r="M173" s="3" t="s">
        <v>47</v>
      </c>
      <c r="N173" s="3" t="s">
        <v>322</v>
      </c>
      <c r="O173" s="3" t="s">
        <v>1876</v>
      </c>
      <c r="P173" s="3" t="n">
        <v>30</v>
      </c>
      <c r="Q173" s="3" t="s">
        <v>117</v>
      </c>
      <c r="R173" s="3" t="s">
        <v>1204</v>
      </c>
      <c r="S173" s="3" t="s">
        <v>1877</v>
      </c>
      <c r="T173" s="3"/>
      <c r="U173" s="3" t="s">
        <v>1878</v>
      </c>
      <c r="V173" s="3" t="s">
        <v>1879</v>
      </c>
      <c r="W173" s="3" t="s">
        <v>1880</v>
      </c>
      <c r="X173" s="3" t="s">
        <v>1881</v>
      </c>
      <c r="Y173" s="3" t="n">
        <v>3</v>
      </c>
      <c r="Z173" s="3" t="n">
        <v>2</v>
      </c>
      <c r="AA173" s="3" t="n">
        <v>1</v>
      </c>
      <c r="AB173" s="3" t="n">
        <v>3</v>
      </c>
      <c r="AC173" s="3" t="n">
        <v>2</v>
      </c>
      <c r="AD173" s="3" t="n">
        <v>1</v>
      </c>
      <c r="AE173" s="3" t="s">
        <v>1882</v>
      </c>
      <c r="AF173" s="3"/>
      <c r="AG173" s="3" t="s">
        <v>1883</v>
      </c>
      <c r="AH173" s="3"/>
      <c r="AI173" s="3" t="s">
        <v>1884</v>
      </c>
      <c r="AJ173" s="3" t="s">
        <v>98</v>
      </c>
      <c r="AK173" s="3"/>
      <c r="AL173" s="3"/>
      <c r="AM173" s="3" t="n">
        <v>5</v>
      </c>
      <c r="AN173" s="3"/>
      <c r="AO173" s="3"/>
      <c r="AP173" s="3" t="n">
        <v>5</v>
      </c>
      <c r="AQ173" s="3"/>
      <c r="AR173" s="3"/>
    </row>
    <row r="174" customFormat="false" ht="15" hidden="false" customHeight="true" outlineLevel="0" collapsed="false">
      <c r="A174" s="3" t="s">
        <v>1885</v>
      </c>
      <c r="B174" s="3" t="n">
        <v>3</v>
      </c>
      <c r="C174" s="3" t="n">
        <v>50</v>
      </c>
      <c r="D174" s="3"/>
      <c r="E174" s="4"/>
      <c r="F174" s="3" t="n">
        <v>46</v>
      </c>
      <c r="G174" s="3" t="str">
        <f aca="false">IF(F174="","",IF(F174&gt;=Notes!$B$5,"Elderly ("&amp;Notes!$B$5&amp;"+)",IF(F174&lt;=Notes!$B$4,"Student age (≤"&amp;Notes!$B$4&amp;")","Middle-aged ("&amp;(Notes!$B$4+1)&amp;"–"&amp;(Notes!$B$5-1)&amp;")")))</f>
        <v>Middle-aged (30–64)</v>
      </c>
      <c r="H174" s="3" t="s">
        <v>45</v>
      </c>
      <c r="I174" s="3"/>
      <c r="J174" s="3" t="s">
        <v>1025</v>
      </c>
      <c r="K174" s="3" t="s">
        <v>1025</v>
      </c>
      <c r="L174" s="3" t="s">
        <v>321</v>
      </c>
      <c r="M174" s="3" t="s">
        <v>47</v>
      </c>
      <c r="N174" s="3" t="s">
        <v>322</v>
      </c>
      <c r="O174" s="3" t="s">
        <v>1886</v>
      </c>
      <c r="P174" s="3" t="n">
        <v>15</v>
      </c>
      <c r="Q174" s="3" t="s">
        <v>74</v>
      </c>
      <c r="R174" s="3" t="s">
        <v>1887</v>
      </c>
      <c r="S174" s="3" t="s">
        <v>1888</v>
      </c>
      <c r="T174" s="3"/>
      <c r="U174" s="3" t="s">
        <v>1889</v>
      </c>
      <c r="V174" s="3" t="s">
        <v>1890</v>
      </c>
      <c r="W174" s="3" t="s">
        <v>442</v>
      </c>
      <c r="X174" s="5" t="s">
        <v>1891</v>
      </c>
      <c r="Y174" s="3" t="n">
        <v>2</v>
      </c>
      <c r="Z174" s="3" t="n">
        <v>2</v>
      </c>
      <c r="AA174" s="3" t="n">
        <v>2</v>
      </c>
      <c r="AB174" s="3" t="n">
        <v>2</v>
      </c>
      <c r="AC174" s="3" t="n">
        <v>2</v>
      </c>
      <c r="AD174" s="3" t="n">
        <v>1</v>
      </c>
      <c r="AE174" s="3" t="s">
        <v>1892</v>
      </c>
      <c r="AF174" s="3"/>
      <c r="AG174" s="3" t="s">
        <v>1893</v>
      </c>
      <c r="AH174" s="3"/>
      <c r="AI174" s="3" t="s">
        <v>1894</v>
      </c>
      <c r="AJ174" s="3" t="s">
        <v>59</v>
      </c>
      <c r="AK174" s="3" t="s">
        <v>1895</v>
      </c>
      <c r="AL174" s="3"/>
      <c r="AM174" s="3" t="n">
        <v>5</v>
      </c>
      <c r="AN174" s="3"/>
      <c r="AO174" s="3"/>
      <c r="AP174" s="3" t="n">
        <v>5</v>
      </c>
      <c r="AQ174" s="3"/>
      <c r="AR174" s="3" t="s">
        <v>81</v>
      </c>
    </row>
    <row r="175" customFormat="false" ht="15" hidden="false" customHeight="true" outlineLevel="0" collapsed="false">
      <c r="A175" s="3" t="s">
        <v>1896</v>
      </c>
      <c r="B175" s="3" t="n">
        <v>3</v>
      </c>
      <c r="C175" s="3" t="n">
        <v>51</v>
      </c>
      <c r="D175" s="3"/>
      <c r="E175" s="4"/>
      <c r="F175" s="3" t="n">
        <v>60</v>
      </c>
      <c r="G175" s="3" t="str">
        <f aca="false">IF(F175="","",IF(F175&gt;=Notes!$B$5,"Elderly ("&amp;Notes!$B$5&amp;"+)",IF(F175&lt;=Notes!$B$4,"Student age (≤"&amp;Notes!$B$4&amp;")","Middle-aged ("&amp;(Notes!$B$4+1)&amp;"–"&amp;(Notes!$B$5-1)&amp;")")))</f>
        <v>Middle-aged (30–64)</v>
      </c>
      <c r="H175" s="3" t="s">
        <v>45</v>
      </c>
      <c r="I175" s="3" t="s">
        <v>171</v>
      </c>
      <c r="J175" s="3" t="s">
        <v>47</v>
      </c>
      <c r="K175" s="3" t="s">
        <v>172</v>
      </c>
      <c r="L175" s="3" t="s">
        <v>49</v>
      </c>
      <c r="M175" s="3" t="s">
        <v>47</v>
      </c>
      <c r="N175" s="3" t="s">
        <v>50</v>
      </c>
      <c r="O175" s="3" t="s">
        <v>73</v>
      </c>
      <c r="P175" s="3" t="n">
        <v>20</v>
      </c>
      <c r="Q175" s="3" t="s">
        <v>95</v>
      </c>
      <c r="R175" s="3" t="s">
        <v>1204</v>
      </c>
      <c r="S175" s="3" t="s">
        <v>1897</v>
      </c>
      <c r="T175" s="3"/>
      <c r="U175" s="3" t="s">
        <v>1898</v>
      </c>
      <c r="V175" s="3" t="s">
        <v>1899</v>
      </c>
      <c r="W175" s="3" t="s">
        <v>1900</v>
      </c>
      <c r="X175" s="3" t="s">
        <v>1901</v>
      </c>
      <c r="Y175" s="3" t="n">
        <v>1</v>
      </c>
      <c r="Z175" s="3" t="n">
        <v>2</v>
      </c>
      <c r="AA175" s="3" t="n">
        <v>1</v>
      </c>
      <c r="AB175" s="3" t="n">
        <v>1</v>
      </c>
      <c r="AC175" s="3" t="n">
        <v>2</v>
      </c>
      <c r="AD175" s="3" t="n">
        <v>1</v>
      </c>
      <c r="AE175" s="3" t="s">
        <v>1902</v>
      </c>
      <c r="AF175" s="3"/>
      <c r="AG175" s="3" t="s">
        <v>1903</v>
      </c>
      <c r="AH175" s="3"/>
      <c r="AI175" s="3" t="s">
        <v>1904</v>
      </c>
      <c r="AJ175" s="3" t="s">
        <v>98</v>
      </c>
      <c r="AK175" s="3"/>
      <c r="AL175" s="3"/>
      <c r="AM175" s="3" t="n">
        <v>5</v>
      </c>
      <c r="AN175" s="3"/>
      <c r="AO175" s="3"/>
      <c r="AP175" s="3" t="n">
        <v>5</v>
      </c>
      <c r="AQ175" s="3"/>
      <c r="AR175" s="3" t="s">
        <v>81</v>
      </c>
    </row>
    <row r="176" customFormat="false" ht="15" hidden="false" customHeight="true" outlineLevel="0" collapsed="false">
      <c r="A176" s="3" t="s">
        <v>1905</v>
      </c>
      <c r="B176" s="3" t="n">
        <v>3</v>
      </c>
      <c r="C176" s="3" t="n">
        <v>52</v>
      </c>
      <c r="D176" s="3"/>
      <c r="E176" s="4"/>
      <c r="F176" s="3" t="n">
        <v>23</v>
      </c>
      <c r="G176" s="3" t="str">
        <f aca="false">IF(F176="","",IF(F176&gt;=Notes!$B$5,"Elderly ("&amp;Notes!$B$5&amp;"+)",IF(F176&lt;=Notes!$B$4,"Student age (≤"&amp;Notes!$B$4&amp;")","Middle-aged ("&amp;(Notes!$B$4+1)&amp;"–"&amp;(Notes!$B$5-1)&amp;")")))</f>
        <v>Student age (≤29)</v>
      </c>
      <c r="H176" s="3" t="s">
        <v>83</v>
      </c>
      <c r="I176" s="3" t="s">
        <v>1363</v>
      </c>
      <c r="J176" s="3" t="s">
        <v>47</v>
      </c>
      <c r="K176" s="3" t="s">
        <v>1364</v>
      </c>
      <c r="L176" s="3" t="s">
        <v>49</v>
      </c>
      <c r="M176" s="3" t="s">
        <v>47</v>
      </c>
      <c r="N176" s="3" t="s">
        <v>50</v>
      </c>
      <c r="O176" s="3" t="s">
        <v>1906</v>
      </c>
      <c r="P176" s="3" t="n">
        <v>25</v>
      </c>
      <c r="Q176" s="3" t="s">
        <v>117</v>
      </c>
      <c r="R176" s="3" t="s">
        <v>1907</v>
      </c>
      <c r="S176" s="3" t="s">
        <v>1908</v>
      </c>
      <c r="T176" s="3"/>
      <c r="U176" s="3" t="s">
        <v>1909</v>
      </c>
      <c r="V176" s="3" t="s">
        <v>1910</v>
      </c>
      <c r="W176" s="3" t="s">
        <v>571</v>
      </c>
      <c r="X176" s="3" t="s">
        <v>1911</v>
      </c>
      <c r="Y176" s="3" t="n">
        <v>3</v>
      </c>
      <c r="Z176" s="3" t="n">
        <v>1</v>
      </c>
      <c r="AA176" s="3" t="n">
        <v>2</v>
      </c>
      <c r="AB176" s="3" t="n">
        <v>2</v>
      </c>
      <c r="AC176" s="3" t="n">
        <v>1</v>
      </c>
      <c r="AD176" s="3" t="n">
        <v>3</v>
      </c>
      <c r="AE176" s="3" t="s">
        <v>1912</v>
      </c>
      <c r="AF176" s="3"/>
      <c r="AG176" s="3" t="s">
        <v>1913</v>
      </c>
      <c r="AH176" s="3"/>
      <c r="AI176" s="3" t="s">
        <v>1914</v>
      </c>
      <c r="AJ176" s="3" t="s">
        <v>59</v>
      </c>
      <c r="AK176" s="3"/>
      <c r="AL176" s="3"/>
      <c r="AM176" s="3" t="n">
        <v>5</v>
      </c>
      <c r="AN176" s="3"/>
      <c r="AO176" s="3"/>
      <c r="AP176" s="3" t="n">
        <v>5</v>
      </c>
      <c r="AQ176" s="3"/>
      <c r="AR176" s="3"/>
    </row>
    <row r="177" customFormat="false" ht="15" hidden="false" customHeight="true" outlineLevel="0" collapsed="false">
      <c r="A177" s="3" t="s">
        <v>1915</v>
      </c>
      <c r="B177" s="3" t="n">
        <v>3</v>
      </c>
      <c r="C177" s="3" t="n">
        <v>53</v>
      </c>
      <c r="D177" s="3"/>
      <c r="E177" s="4"/>
      <c r="F177" s="3" t="n">
        <v>22</v>
      </c>
      <c r="G177" s="3" t="str">
        <f aca="false">IF(F177="","",IF(F177&gt;=Notes!$B$5,"Elderly ("&amp;Notes!$B$5&amp;"+)",IF(F177&lt;=Notes!$B$4,"Student age (≤"&amp;Notes!$B$4&amp;")","Middle-aged ("&amp;(Notes!$B$4+1)&amp;"–"&amp;(Notes!$B$5-1)&amp;")")))</f>
        <v>Student age (≤29)</v>
      </c>
      <c r="H177" s="3" t="s">
        <v>83</v>
      </c>
      <c r="I177" s="3"/>
      <c r="J177" s="3" t="s">
        <v>1916</v>
      </c>
      <c r="K177" s="3" t="s">
        <v>1916</v>
      </c>
      <c r="L177" s="3"/>
      <c r="M177" s="3" t="s">
        <v>453</v>
      </c>
      <c r="N177" s="3" t="s">
        <v>453</v>
      </c>
      <c r="O177" s="3" t="s">
        <v>1917</v>
      </c>
      <c r="P177" s="3" t="n">
        <v>16</v>
      </c>
      <c r="Q177" s="3" t="s">
        <v>95</v>
      </c>
      <c r="R177" s="3" t="s">
        <v>1918</v>
      </c>
      <c r="S177" s="3" t="s">
        <v>1919</v>
      </c>
      <c r="T177" s="3"/>
      <c r="U177" s="3" t="s">
        <v>1920</v>
      </c>
      <c r="V177" s="3" t="s">
        <v>1921</v>
      </c>
      <c r="W177" s="3" t="s">
        <v>1922</v>
      </c>
      <c r="X177" s="3" t="s">
        <v>1923</v>
      </c>
      <c r="Y177" s="3" t="n">
        <v>3</v>
      </c>
      <c r="Z177" s="3" t="n">
        <v>1</v>
      </c>
      <c r="AA177" s="3" t="n">
        <v>1</v>
      </c>
      <c r="AB177" s="3" t="n">
        <v>2</v>
      </c>
      <c r="AC177" s="3" t="n">
        <v>1</v>
      </c>
      <c r="AD177" s="3" t="n">
        <v>2</v>
      </c>
      <c r="AE177" s="3" t="s">
        <v>1924</v>
      </c>
      <c r="AF177" s="3"/>
      <c r="AG177" s="3" t="s">
        <v>1925</v>
      </c>
      <c r="AH177" s="3"/>
      <c r="AI177" s="3" t="s">
        <v>1926</v>
      </c>
      <c r="AJ177" s="3" t="s">
        <v>59</v>
      </c>
      <c r="AK177" s="3" t="s">
        <v>1927</v>
      </c>
      <c r="AL177" s="3"/>
      <c r="AM177" s="3" t="n">
        <v>5</v>
      </c>
      <c r="AN177" s="3"/>
      <c r="AO177" s="3"/>
      <c r="AP177" s="3" t="n">
        <v>5</v>
      </c>
      <c r="AQ177" s="3"/>
      <c r="AR177" s="3" t="s">
        <v>81</v>
      </c>
    </row>
    <row r="178" customFormat="false" ht="15" hidden="false" customHeight="true" outlineLevel="0" collapsed="false">
      <c r="A178" s="3" t="s">
        <v>1928</v>
      </c>
      <c r="B178" s="3" t="n">
        <v>3</v>
      </c>
      <c r="C178" s="3" t="n">
        <v>54</v>
      </c>
      <c r="D178" s="3"/>
      <c r="E178" s="4"/>
      <c r="F178" s="3" t="n">
        <v>21</v>
      </c>
      <c r="G178" s="3" t="str">
        <f aca="false">IF(F178="","",IF(F178&gt;=Notes!$B$5,"Elderly ("&amp;Notes!$B$5&amp;"+)",IF(F178&lt;=Notes!$B$4,"Student age (≤"&amp;Notes!$B$4&amp;")","Middle-aged ("&amp;(Notes!$B$4+1)&amp;"–"&amp;(Notes!$B$5-1)&amp;")")))</f>
        <v>Student age (≤29)</v>
      </c>
      <c r="H178" s="3" t="s">
        <v>1556</v>
      </c>
      <c r="I178" s="3" t="s">
        <v>92</v>
      </c>
      <c r="J178" s="3" t="s">
        <v>47</v>
      </c>
      <c r="K178" s="3" t="s">
        <v>93</v>
      </c>
      <c r="L178" s="3" t="s">
        <v>49</v>
      </c>
      <c r="M178" s="3" t="s">
        <v>47</v>
      </c>
      <c r="N178" s="3" t="s">
        <v>50</v>
      </c>
      <c r="O178" s="3" t="s">
        <v>129</v>
      </c>
      <c r="P178" s="3" t="n">
        <v>17</v>
      </c>
      <c r="Q178" s="3" t="s">
        <v>95</v>
      </c>
      <c r="R178" s="3" t="s">
        <v>1929</v>
      </c>
      <c r="S178" s="3" t="s">
        <v>1930</v>
      </c>
      <c r="T178" s="3"/>
      <c r="U178" s="3" t="s">
        <v>1931</v>
      </c>
      <c r="V178" s="3" t="s">
        <v>1932</v>
      </c>
      <c r="W178" s="3" t="s">
        <v>1933</v>
      </c>
      <c r="X178" s="5" t="s">
        <v>1934</v>
      </c>
      <c r="Y178" s="3" t="n">
        <v>3</v>
      </c>
      <c r="Z178" s="3" t="n">
        <v>1</v>
      </c>
      <c r="AA178" s="3" t="n">
        <v>2</v>
      </c>
      <c r="AB178" s="3" t="n">
        <v>3</v>
      </c>
      <c r="AC178" s="3" t="n">
        <v>3</v>
      </c>
      <c r="AD178" s="3" t="n">
        <v>3</v>
      </c>
      <c r="AE178" s="5" t="s">
        <v>1935</v>
      </c>
      <c r="AF178" s="3"/>
      <c r="AG178" s="3" t="s">
        <v>1936</v>
      </c>
      <c r="AH178" s="3"/>
      <c r="AI178" s="3" t="s">
        <v>1937</v>
      </c>
      <c r="AJ178" s="3"/>
      <c r="AK178" s="5" t="s">
        <v>1938</v>
      </c>
      <c r="AL178" s="3"/>
      <c r="AM178" s="3" t="n">
        <v>2</v>
      </c>
      <c r="AN178" s="3"/>
      <c r="AO178" s="3"/>
      <c r="AP178" s="3" t="n">
        <v>2</v>
      </c>
      <c r="AQ178" s="3"/>
      <c r="AR178" s="3" t="s">
        <v>448</v>
      </c>
    </row>
    <row r="179" customFormat="false" ht="15" hidden="false" customHeight="true" outlineLevel="0" collapsed="false">
      <c r="A179" s="3" t="s">
        <v>1939</v>
      </c>
      <c r="B179" s="3" t="n">
        <v>3</v>
      </c>
      <c r="C179" s="3" t="n">
        <v>55</v>
      </c>
      <c r="D179" s="3"/>
      <c r="E179" s="4"/>
      <c r="F179" s="3" t="n">
        <v>21</v>
      </c>
      <c r="G179" s="3" t="str">
        <f aca="false">IF(F179="","",IF(F179&gt;=Notes!$B$5,"Elderly ("&amp;Notes!$B$5&amp;"+)",IF(F179&lt;=Notes!$B$4,"Student age (≤"&amp;Notes!$B$4&amp;")","Middle-aged ("&amp;(Notes!$B$4+1)&amp;"–"&amp;(Notes!$B$5-1)&amp;")")))</f>
        <v>Student age (≤29)</v>
      </c>
      <c r="H179" s="3" t="s">
        <v>45</v>
      </c>
      <c r="I179" s="3" t="s">
        <v>289</v>
      </c>
      <c r="J179" s="3" t="s">
        <v>47</v>
      </c>
      <c r="K179" s="3" t="s">
        <v>290</v>
      </c>
      <c r="L179" s="3" t="s">
        <v>49</v>
      </c>
      <c r="M179" s="3" t="s">
        <v>47</v>
      </c>
      <c r="N179" s="3" t="s">
        <v>50</v>
      </c>
      <c r="O179" s="3" t="s">
        <v>1940</v>
      </c>
      <c r="P179" s="3" t="n">
        <v>35</v>
      </c>
      <c r="Q179" s="3" t="s">
        <v>52</v>
      </c>
      <c r="R179" s="3" t="s">
        <v>1941</v>
      </c>
      <c r="S179" s="3" t="s">
        <v>1942</v>
      </c>
      <c r="T179" s="3"/>
      <c r="U179" s="3" t="s">
        <v>1943</v>
      </c>
      <c r="V179" s="3" t="s">
        <v>1944</v>
      </c>
      <c r="W179" s="3" t="s">
        <v>1945</v>
      </c>
      <c r="X179" s="3" t="s">
        <v>1946</v>
      </c>
      <c r="Y179" s="3" t="n">
        <v>2</v>
      </c>
      <c r="Z179" s="3" t="n">
        <v>1</v>
      </c>
      <c r="AA179" s="3" t="n">
        <v>3</v>
      </c>
      <c r="AB179" s="3" t="n">
        <v>3</v>
      </c>
      <c r="AC179" s="3" t="n">
        <v>1</v>
      </c>
      <c r="AD179" s="3" t="n">
        <v>2</v>
      </c>
      <c r="AE179" s="3" t="s">
        <v>1947</v>
      </c>
      <c r="AF179" s="3"/>
      <c r="AG179" s="3" t="s">
        <v>1948</v>
      </c>
      <c r="AH179" s="3"/>
      <c r="AI179" s="3" t="s">
        <v>1949</v>
      </c>
      <c r="AJ179" s="3" t="s">
        <v>59</v>
      </c>
      <c r="AK179" s="3"/>
      <c r="AL179" s="3"/>
      <c r="AM179" s="3" t="n">
        <v>3</v>
      </c>
      <c r="AN179" s="3"/>
      <c r="AO179" s="3"/>
      <c r="AP179" s="3" t="n">
        <v>5</v>
      </c>
      <c r="AQ179" s="3"/>
      <c r="AR179" s="3"/>
    </row>
    <row r="180" customFormat="false" ht="15" hidden="false" customHeight="true" outlineLevel="0" collapsed="false">
      <c r="A180" s="3" t="s">
        <v>1950</v>
      </c>
      <c r="B180" s="3" t="n">
        <v>3</v>
      </c>
      <c r="C180" s="3" t="n">
        <v>56</v>
      </c>
      <c r="D180" s="3"/>
      <c r="E180" s="4"/>
      <c r="F180" s="3" t="n">
        <v>21</v>
      </c>
      <c r="G180" s="3" t="str">
        <f aca="false">IF(F180="","",IF(F180&gt;=Notes!$B$5,"Elderly ("&amp;Notes!$B$5&amp;"+)",IF(F180&lt;=Notes!$B$4,"Student age (≤"&amp;Notes!$B$4&amp;")","Middle-aged ("&amp;(Notes!$B$4+1)&amp;"–"&amp;(Notes!$B$5-1)&amp;")")))</f>
        <v>Student age (≤29)</v>
      </c>
      <c r="H180" s="3" t="s">
        <v>83</v>
      </c>
      <c r="I180" s="3" t="s">
        <v>46</v>
      </c>
      <c r="J180" s="3" t="s">
        <v>47</v>
      </c>
      <c r="K180" s="3" t="s">
        <v>48</v>
      </c>
      <c r="L180" s="3" t="s">
        <v>49</v>
      </c>
      <c r="M180" s="3" t="s">
        <v>47</v>
      </c>
      <c r="N180" s="3" t="s">
        <v>50</v>
      </c>
      <c r="O180" s="3" t="s">
        <v>1951</v>
      </c>
      <c r="P180" s="3" t="n">
        <v>63</v>
      </c>
      <c r="Q180" s="3" t="s">
        <v>52</v>
      </c>
      <c r="R180" s="3" t="s">
        <v>1952</v>
      </c>
      <c r="S180" s="3" t="s">
        <v>1953</v>
      </c>
      <c r="T180" s="3"/>
      <c r="U180" s="3" t="s">
        <v>1954</v>
      </c>
      <c r="V180" s="3" t="s">
        <v>1955</v>
      </c>
      <c r="W180" s="3" t="s">
        <v>1956</v>
      </c>
      <c r="X180" s="3" t="s">
        <v>1957</v>
      </c>
      <c r="Y180" s="3" t="n">
        <v>3</v>
      </c>
      <c r="Z180" s="3" t="n">
        <v>1</v>
      </c>
      <c r="AA180" s="3" t="n">
        <v>2</v>
      </c>
      <c r="AB180" s="3" t="n">
        <v>3</v>
      </c>
      <c r="AC180" s="3" t="n">
        <v>2</v>
      </c>
      <c r="AD180" s="3" t="n">
        <v>1</v>
      </c>
      <c r="AE180" s="3" t="s">
        <v>1958</v>
      </c>
      <c r="AF180" s="3"/>
      <c r="AG180" s="3" t="s">
        <v>1959</v>
      </c>
      <c r="AH180" s="3"/>
      <c r="AI180" s="3" t="s">
        <v>1960</v>
      </c>
      <c r="AJ180" s="3"/>
      <c r="AK180" s="3" t="s">
        <v>1961</v>
      </c>
      <c r="AL180" s="3"/>
      <c r="AM180" s="3" t="n">
        <v>4</v>
      </c>
      <c r="AN180" s="3"/>
      <c r="AO180" s="3"/>
      <c r="AP180" s="3" t="n">
        <v>5</v>
      </c>
      <c r="AQ180" s="3"/>
      <c r="AR180" s="3"/>
    </row>
    <row r="181" customFormat="false" ht="15" hidden="false" customHeight="true" outlineLevel="0" collapsed="false">
      <c r="A181" s="3" t="s">
        <v>1962</v>
      </c>
      <c r="B181" s="3" t="n">
        <v>3</v>
      </c>
      <c r="C181" s="3" t="n">
        <v>57</v>
      </c>
      <c r="D181" s="3"/>
      <c r="E181" s="4"/>
      <c r="F181" s="3" t="n">
        <v>59</v>
      </c>
      <c r="G181" s="3" t="str">
        <f aca="false">IF(F181="","",IF(F181&gt;=Notes!$B$5,"Elderly ("&amp;Notes!$B$5&amp;"+)",IF(F181&lt;=Notes!$B$4,"Student age (≤"&amp;Notes!$B$4&amp;")","Middle-aged ("&amp;(Notes!$B$4+1)&amp;"–"&amp;(Notes!$B$5-1)&amp;")")))</f>
        <v>Middle-aged (30–64)</v>
      </c>
      <c r="H181" s="3" t="s">
        <v>45</v>
      </c>
      <c r="I181" s="3" t="s">
        <v>71</v>
      </c>
      <c r="J181" s="3" t="s">
        <v>47</v>
      </c>
      <c r="K181" s="3" t="s">
        <v>72</v>
      </c>
      <c r="L181" s="3" t="s">
        <v>71</v>
      </c>
      <c r="M181" s="3" t="s">
        <v>47</v>
      </c>
      <c r="N181" s="3" t="s">
        <v>72</v>
      </c>
      <c r="O181" s="3" t="s">
        <v>1963</v>
      </c>
      <c r="P181" s="3" t="n">
        <v>20</v>
      </c>
      <c r="Q181" s="3" t="s">
        <v>95</v>
      </c>
      <c r="R181" s="3" t="s">
        <v>1964</v>
      </c>
      <c r="S181" s="3" t="s">
        <v>1965</v>
      </c>
      <c r="T181" s="3"/>
      <c r="U181" s="3" t="s">
        <v>1966</v>
      </c>
      <c r="V181" s="5" t="s">
        <v>1967</v>
      </c>
      <c r="W181" s="3" t="s">
        <v>1968</v>
      </c>
      <c r="X181" s="5" t="s">
        <v>1969</v>
      </c>
      <c r="Y181" s="3" t="n">
        <v>1</v>
      </c>
      <c r="Z181" s="3" t="n">
        <v>2</v>
      </c>
      <c r="AA181" s="3" t="n">
        <v>3</v>
      </c>
      <c r="AB181" s="3" t="n">
        <v>2</v>
      </c>
      <c r="AC181" s="3" t="n">
        <v>1</v>
      </c>
      <c r="AD181" s="3" t="n">
        <v>3</v>
      </c>
      <c r="AE181" s="3" t="s">
        <v>1970</v>
      </c>
      <c r="AF181" s="3"/>
      <c r="AG181" s="3" t="s">
        <v>1971</v>
      </c>
      <c r="AH181" s="3"/>
      <c r="AI181" s="3" t="s">
        <v>1972</v>
      </c>
      <c r="AJ181" s="3" t="s">
        <v>59</v>
      </c>
      <c r="AK181" s="3" t="s">
        <v>1973</v>
      </c>
      <c r="AL181" s="3"/>
      <c r="AM181" s="3" t="n">
        <v>5</v>
      </c>
      <c r="AN181" s="3"/>
      <c r="AO181" s="3"/>
      <c r="AP181" s="3" t="n">
        <v>5</v>
      </c>
      <c r="AQ181" s="3"/>
      <c r="AR181" s="3"/>
    </row>
    <row r="182" customFormat="false" ht="15" hidden="false" customHeight="true" outlineLevel="0" collapsed="false">
      <c r="A182" s="3" t="s">
        <v>1974</v>
      </c>
      <c r="B182" s="3" t="n">
        <v>3</v>
      </c>
      <c r="C182" s="3" t="n">
        <v>58</v>
      </c>
      <c r="D182" s="3"/>
      <c r="E182" s="4"/>
      <c r="F182" s="3" t="n">
        <v>23</v>
      </c>
      <c r="G182" s="3" t="str">
        <f aca="false">IF(F182="","",IF(F182&gt;=Notes!$B$5,"Elderly ("&amp;Notes!$B$5&amp;"+)",IF(F182&lt;=Notes!$B$4,"Student age (≤"&amp;Notes!$B$4&amp;")","Middle-aged ("&amp;(Notes!$B$4+1)&amp;"–"&amp;(Notes!$B$5-1)&amp;")")))</f>
        <v>Student age (≤29)</v>
      </c>
      <c r="H182" s="3" t="s">
        <v>1447</v>
      </c>
      <c r="I182" s="3" t="s">
        <v>71</v>
      </c>
      <c r="J182" s="3" t="s">
        <v>47</v>
      </c>
      <c r="K182" s="3" t="s">
        <v>72</v>
      </c>
      <c r="L182" s="3" t="s">
        <v>71</v>
      </c>
      <c r="M182" s="3" t="s">
        <v>47</v>
      </c>
      <c r="N182" s="3" t="s">
        <v>72</v>
      </c>
      <c r="O182" s="3" t="s">
        <v>1975</v>
      </c>
      <c r="P182" s="3" t="n">
        <v>25</v>
      </c>
      <c r="Q182" s="3" t="s">
        <v>117</v>
      </c>
      <c r="R182" s="3" t="s">
        <v>1976</v>
      </c>
      <c r="S182" s="3" t="s">
        <v>1977</v>
      </c>
      <c r="T182" s="3"/>
      <c r="U182" s="3" t="s">
        <v>1978</v>
      </c>
      <c r="V182" s="3" t="s">
        <v>1979</v>
      </c>
      <c r="W182" s="3" t="s">
        <v>1980</v>
      </c>
      <c r="X182" s="3" t="s">
        <v>1981</v>
      </c>
      <c r="Y182" s="3" t="n">
        <v>2</v>
      </c>
      <c r="Z182" s="3" t="n">
        <v>1</v>
      </c>
      <c r="AA182" s="3" t="n">
        <v>3</v>
      </c>
      <c r="AB182" s="3" t="n">
        <v>2</v>
      </c>
      <c r="AC182" s="3" t="n">
        <v>1</v>
      </c>
      <c r="AD182" s="3" t="n">
        <v>3</v>
      </c>
      <c r="AE182" s="3" t="s">
        <v>1982</v>
      </c>
      <c r="AF182" s="3"/>
      <c r="AG182" s="3" t="s">
        <v>1983</v>
      </c>
      <c r="AH182" s="3"/>
      <c r="AI182" s="3" t="s">
        <v>1984</v>
      </c>
      <c r="AJ182" s="3" t="s">
        <v>59</v>
      </c>
      <c r="AK182" s="3" t="s">
        <v>1985</v>
      </c>
      <c r="AL182" s="3"/>
      <c r="AM182" s="3" t="n">
        <v>4</v>
      </c>
      <c r="AN182" s="3"/>
      <c r="AO182" s="3"/>
      <c r="AP182" s="3" t="n">
        <v>4</v>
      </c>
      <c r="AQ182" s="3"/>
      <c r="AR182" s="3"/>
    </row>
    <row r="183" customFormat="false" ht="15" hidden="false" customHeight="true" outlineLevel="0" collapsed="false">
      <c r="A183" s="3" t="s">
        <v>1986</v>
      </c>
      <c r="B183" s="3" t="n">
        <v>3</v>
      </c>
      <c r="C183" s="3" t="n">
        <v>59</v>
      </c>
      <c r="D183" s="3"/>
      <c r="E183" s="4"/>
      <c r="F183" s="3" t="n">
        <v>67</v>
      </c>
      <c r="G183" s="3" t="str">
        <f aca="false">IF(F183="","",IF(F183&gt;=Notes!$B$5,"Elderly ("&amp;Notes!$B$5&amp;"+)",IF(F183&lt;=Notes!$B$4,"Student age (≤"&amp;Notes!$B$4&amp;")","Middle-aged ("&amp;(Notes!$B$4+1)&amp;"–"&amp;(Notes!$B$5-1)&amp;")")))</f>
        <v>Elderly (65+)</v>
      </c>
      <c r="H183" s="3" t="s">
        <v>45</v>
      </c>
      <c r="I183" s="3"/>
      <c r="J183" s="3" t="s">
        <v>47</v>
      </c>
      <c r="K183" s="3" t="s">
        <v>47</v>
      </c>
      <c r="L183" s="3" t="s">
        <v>71</v>
      </c>
      <c r="M183" s="3" t="s">
        <v>47</v>
      </c>
      <c r="N183" s="3" t="s">
        <v>72</v>
      </c>
      <c r="O183" s="3" t="s">
        <v>1987</v>
      </c>
      <c r="P183" s="3" t="n">
        <v>20</v>
      </c>
      <c r="Q183" s="3" t="s">
        <v>95</v>
      </c>
      <c r="R183" s="3" t="s">
        <v>1988</v>
      </c>
      <c r="S183" s="5" t="s">
        <v>1989</v>
      </c>
      <c r="T183" s="3"/>
      <c r="U183" s="5" t="s">
        <v>1990</v>
      </c>
      <c r="V183" s="3" t="s">
        <v>1991</v>
      </c>
      <c r="W183" s="3" t="s">
        <v>1992</v>
      </c>
      <c r="X183" s="5" t="s">
        <v>1993</v>
      </c>
      <c r="Y183" s="3" t="n">
        <v>1</v>
      </c>
      <c r="Z183" s="3" t="n">
        <v>3</v>
      </c>
      <c r="AA183" s="3" t="n">
        <v>2</v>
      </c>
      <c r="AB183" s="3" t="n">
        <v>1</v>
      </c>
      <c r="AC183" s="3" t="n">
        <v>3</v>
      </c>
      <c r="AD183" s="3" t="n">
        <v>2</v>
      </c>
      <c r="AE183" s="3" t="s">
        <v>1994</v>
      </c>
      <c r="AF183" s="3"/>
      <c r="AG183" s="3" t="s">
        <v>1995</v>
      </c>
      <c r="AH183" s="3"/>
      <c r="AI183" s="3" t="s">
        <v>1996</v>
      </c>
      <c r="AJ183" s="3" t="s">
        <v>59</v>
      </c>
      <c r="AK183" s="3" t="s">
        <v>1997</v>
      </c>
      <c r="AL183" s="3"/>
      <c r="AM183" s="3" t="n">
        <v>5</v>
      </c>
      <c r="AN183" s="3"/>
      <c r="AO183" s="3"/>
      <c r="AP183" s="3" t="n">
        <v>5</v>
      </c>
      <c r="AQ183" s="3"/>
      <c r="AR183" s="3"/>
    </row>
    <row r="184" customFormat="false" ht="15" hidden="false" customHeight="true" outlineLevel="0" collapsed="false">
      <c r="A184" s="3" t="s">
        <v>1998</v>
      </c>
      <c r="B184" s="3" t="n">
        <v>3</v>
      </c>
      <c r="C184" s="3" t="n">
        <v>60</v>
      </c>
      <c r="D184" s="3"/>
      <c r="E184" s="4"/>
      <c r="F184" s="3" t="n">
        <v>23</v>
      </c>
      <c r="G184" s="3" t="str">
        <f aca="false">IF(F184="","",IF(F184&gt;=Notes!$B$5,"Elderly ("&amp;Notes!$B$5&amp;"+)",IF(F184&lt;=Notes!$B$4,"Student age (≤"&amp;Notes!$B$4&amp;")","Middle-aged ("&amp;(Notes!$B$4+1)&amp;"–"&amp;(Notes!$B$5-1)&amp;")")))</f>
        <v>Student age (≤29)</v>
      </c>
      <c r="H184" s="3" t="s">
        <v>45</v>
      </c>
      <c r="I184" s="3"/>
      <c r="J184" s="3" t="s">
        <v>47</v>
      </c>
      <c r="K184" s="3" t="s">
        <v>47</v>
      </c>
      <c r="L184" s="3" t="s">
        <v>49</v>
      </c>
      <c r="M184" s="3" t="s">
        <v>47</v>
      </c>
      <c r="N184" s="3" t="s">
        <v>50</v>
      </c>
      <c r="O184" s="3" t="s">
        <v>1055</v>
      </c>
      <c r="P184" s="3" t="n">
        <v>30</v>
      </c>
      <c r="Q184" s="3" t="s">
        <v>117</v>
      </c>
      <c r="R184" s="3" t="s">
        <v>1999</v>
      </c>
      <c r="S184" s="3" t="s">
        <v>2000</v>
      </c>
      <c r="T184" s="3"/>
      <c r="U184" s="3" t="s">
        <v>2001</v>
      </c>
      <c r="V184" s="3" t="s">
        <v>2002</v>
      </c>
      <c r="W184" s="3" t="s">
        <v>2003</v>
      </c>
      <c r="X184" s="5" t="s">
        <v>2004</v>
      </c>
      <c r="Y184" s="3" t="n">
        <v>3</v>
      </c>
      <c r="Z184" s="3" t="n">
        <v>1</v>
      </c>
      <c r="AA184" s="3" t="n">
        <v>2</v>
      </c>
      <c r="AB184" s="3" t="n">
        <v>3</v>
      </c>
      <c r="AC184" s="3" t="n">
        <v>1</v>
      </c>
      <c r="AD184" s="3" t="n">
        <v>2</v>
      </c>
      <c r="AE184" s="3" t="s">
        <v>2005</v>
      </c>
      <c r="AF184" s="3"/>
      <c r="AG184" s="3" t="s">
        <v>2006</v>
      </c>
      <c r="AH184" s="3"/>
      <c r="AI184" s="3" t="s">
        <v>2007</v>
      </c>
      <c r="AJ184" s="3" t="s">
        <v>59</v>
      </c>
      <c r="AK184" s="3" t="s">
        <v>2008</v>
      </c>
      <c r="AL184" s="3"/>
      <c r="AM184" s="3" t="n">
        <v>4</v>
      </c>
      <c r="AN184" s="3"/>
      <c r="AO184" s="3"/>
      <c r="AP184" s="3" t="n">
        <v>4</v>
      </c>
      <c r="AQ184" s="3"/>
      <c r="AR184" s="3"/>
    </row>
    <row r="185" customFormat="false" ht="15" hidden="false" customHeight="true" outlineLevel="0" collapsed="false">
      <c r="A185" s="3" t="s">
        <v>2009</v>
      </c>
      <c r="B185" s="3" t="n">
        <v>3</v>
      </c>
      <c r="C185" s="3" t="n">
        <v>61</v>
      </c>
      <c r="D185" s="3"/>
      <c r="E185" s="4"/>
      <c r="F185" s="3" t="n">
        <v>21</v>
      </c>
      <c r="G185" s="3" t="str">
        <f aca="false">IF(F185="","",IF(F185&gt;=Notes!$B$5,"Elderly ("&amp;Notes!$B$5&amp;"+)",IF(F185&lt;=Notes!$B$4,"Student age (≤"&amp;Notes!$B$4&amp;")","Middle-aged ("&amp;(Notes!$B$4+1)&amp;"–"&amp;(Notes!$B$5-1)&amp;")")))</f>
        <v>Student age (≤29)</v>
      </c>
      <c r="H185" s="3" t="s">
        <v>83</v>
      </c>
      <c r="I185" s="3" t="s">
        <v>46</v>
      </c>
      <c r="J185" s="3" t="s">
        <v>47</v>
      </c>
      <c r="K185" s="3" t="s">
        <v>48</v>
      </c>
      <c r="L185" s="3" t="s">
        <v>2010</v>
      </c>
      <c r="M185" s="3" t="s">
        <v>47</v>
      </c>
      <c r="N185" s="3" t="s">
        <v>2011</v>
      </c>
      <c r="O185" s="3" t="s">
        <v>104</v>
      </c>
      <c r="P185" s="3" t="n">
        <v>17</v>
      </c>
      <c r="Q185" s="3" t="s">
        <v>95</v>
      </c>
      <c r="R185" s="3" t="s">
        <v>2012</v>
      </c>
      <c r="S185" s="3" t="s">
        <v>2013</v>
      </c>
      <c r="T185" s="3"/>
      <c r="U185" s="3" t="s">
        <v>2014</v>
      </c>
      <c r="V185" s="3" t="s">
        <v>2015</v>
      </c>
      <c r="W185" s="3" t="s">
        <v>2016</v>
      </c>
      <c r="X185" s="5" t="s">
        <v>2017</v>
      </c>
      <c r="Y185" s="3" t="n">
        <v>2</v>
      </c>
      <c r="Z185" s="3" t="n">
        <v>1</v>
      </c>
      <c r="AA185" s="3" t="n">
        <v>3</v>
      </c>
      <c r="AB185" s="3" t="n">
        <v>1</v>
      </c>
      <c r="AC185" s="3" t="n">
        <v>2</v>
      </c>
      <c r="AD185" s="3" t="n">
        <v>3</v>
      </c>
      <c r="AE185" s="3" t="s">
        <v>2018</v>
      </c>
      <c r="AF185" s="3"/>
      <c r="AG185" s="3" t="s">
        <v>2019</v>
      </c>
      <c r="AH185" s="3"/>
      <c r="AI185" s="3" t="s">
        <v>2020</v>
      </c>
      <c r="AJ185" s="3" t="s">
        <v>59</v>
      </c>
      <c r="AK185" s="3" t="s">
        <v>2021</v>
      </c>
      <c r="AL185" s="3"/>
      <c r="AM185" s="3" t="n">
        <v>5</v>
      </c>
      <c r="AN185" s="3"/>
      <c r="AO185" s="3"/>
      <c r="AP185" s="3" t="n">
        <v>4</v>
      </c>
      <c r="AQ185" s="3"/>
      <c r="AR185" s="3"/>
    </row>
    <row r="186" customFormat="false" ht="15" hidden="false" customHeight="true" outlineLevel="0" collapsed="false">
      <c r="A186" s="3" t="s">
        <v>2022</v>
      </c>
      <c r="B186" s="3" t="n">
        <v>3</v>
      </c>
      <c r="C186" s="3" t="n">
        <v>62</v>
      </c>
      <c r="D186" s="3"/>
      <c r="E186" s="4"/>
      <c r="F186" s="3" t="n">
        <v>26</v>
      </c>
      <c r="G186" s="3" t="str">
        <f aca="false">IF(F186="","",IF(F186&gt;=Notes!$B$5,"Elderly ("&amp;Notes!$B$5&amp;"+)",IF(F186&lt;=Notes!$B$4,"Student age (≤"&amp;Notes!$B$4&amp;")","Middle-aged ("&amp;(Notes!$B$4+1)&amp;"–"&amp;(Notes!$B$5-1)&amp;")")))</f>
        <v>Student age (≤29)</v>
      </c>
      <c r="H186" s="3" t="s">
        <v>45</v>
      </c>
      <c r="I186" s="3" t="s">
        <v>2023</v>
      </c>
      <c r="J186" s="3" t="s">
        <v>47</v>
      </c>
      <c r="K186" s="3" t="s">
        <v>2024</v>
      </c>
      <c r="L186" s="3" t="s">
        <v>71</v>
      </c>
      <c r="M186" s="3" t="s">
        <v>47</v>
      </c>
      <c r="N186" s="3" t="s">
        <v>72</v>
      </c>
      <c r="O186" s="3" t="s">
        <v>2025</v>
      </c>
      <c r="P186" s="3" t="n">
        <v>20</v>
      </c>
      <c r="Q186" s="3" t="s">
        <v>95</v>
      </c>
      <c r="R186" s="3" t="s">
        <v>2026</v>
      </c>
      <c r="S186" s="3" t="s">
        <v>2027</v>
      </c>
      <c r="T186" s="3"/>
      <c r="U186" s="3" t="s">
        <v>2028</v>
      </c>
      <c r="V186" s="3" t="s">
        <v>2029</v>
      </c>
      <c r="W186" s="3" t="s">
        <v>2030</v>
      </c>
      <c r="X186" s="5" t="s">
        <v>2031</v>
      </c>
      <c r="Y186" s="3" t="n">
        <v>3</v>
      </c>
      <c r="Z186" s="3" t="n">
        <v>1</v>
      </c>
      <c r="AA186" s="3" t="n">
        <v>2</v>
      </c>
      <c r="AB186" s="3" t="n">
        <v>2</v>
      </c>
      <c r="AC186" s="3" t="n">
        <v>1</v>
      </c>
      <c r="AD186" s="3" t="n">
        <v>3</v>
      </c>
      <c r="AE186" s="3" t="s">
        <v>2032</v>
      </c>
      <c r="AF186" s="3"/>
      <c r="AG186" s="3" t="s">
        <v>2033</v>
      </c>
      <c r="AH186" s="3"/>
      <c r="AI186" s="3" t="s">
        <v>2034</v>
      </c>
      <c r="AJ186" s="3"/>
      <c r="AK186" s="3" t="s">
        <v>2035</v>
      </c>
      <c r="AL186" s="3"/>
      <c r="AM186" s="3" t="n">
        <v>5</v>
      </c>
      <c r="AN186" s="3"/>
      <c r="AO186" s="3"/>
      <c r="AP186" s="3" t="n">
        <v>5</v>
      </c>
      <c r="AQ186" s="3"/>
      <c r="AR186" s="3"/>
    </row>
    <row r="187" customFormat="false" ht="15" hidden="false" customHeight="true" outlineLevel="0" collapsed="false">
      <c r="A187" s="3" t="s">
        <v>2036</v>
      </c>
      <c r="B187" s="3" t="n">
        <v>3</v>
      </c>
      <c r="C187" s="3" t="n">
        <v>63</v>
      </c>
      <c r="D187" s="3"/>
      <c r="E187" s="4"/>
      <c r="F187" s="3" t="n">
        <v>65</v>
      </c>
      <c r="G187" s="3" t="str">
        <f aca="false">IF(F187="","",IF(F187&gt;=Notes!$B$5,"Elderly ("&amp;Notes!$B$5&amp;"+)",IF(F187&lt;=Notes!$B$4,"Student age (≤"&amp;Notes!$B$4&amp;")","Middle-aged ("&amp;(Notes!$B$4+1)&amp;"–"&amp;(Notes!$B$5-1)&amp;")")))</f>
        <v>Elderly (65+)</v>
      </c>
      <c r="H187" s="3" t="s">
        <v>83</v>
      </c>
      <c r="I187" s="3" t="s">
        <v>159</v>
      </c>
      <c r="J187" s="3" t="s">
        <v>47</v>
      </c>
      <c r="K187" s="3" t="s">
        <v>160</v>
      </c>
      <c r="L187" s="3" t="s">
        <v>46</v>
      </c>
      <c r="M187" s="3" t="s">
        <v>47</v>
      </c>
      <c r="N187" s="3" t="s">
        <v>48</v>
      </c>
      <c r="O187" s="3" t="s">
        <v>2037</v>
      </c>
      <c r="P187" s="3" t="n">
        <v>20</v>
      </c>
      <c r="Q187" s="3" t="s">
        <v>95</v>
      </c>
      <c r="R187" s="3" t="s">
        <v>2038</v>
      </c>
      <c r="S187" s="3" t="s">
        <v>547</v>
      </c>
      <c r="T187" s="3"/>
      <c r="U187" s="3" t="s">
        <v>2039</v>
      </c>
      <c r="V187" s="3" t="s">
        <v>2040</v>
      </c>
      <c r="W187" s="3" t="s">
        <v>2041</v>
      </c>
      <c r="X187" s="3" t="s">
        <v>2042</v>
      </c>
      <c r="Y187" s="3" t="n">
        <v>2</v>
      </c>
      <c r="Z187" s="3" t="n">
        <v>1</v>
      </c>
      <c r="AA187" s="3" t="n">
        <v>3</v>
      </c>
      <c r="AB187" s="3" t="n">
        <v>2</v>
      </c>
      <c r="AC187" s="3" t="n">
        <v>1</v>
      </c>
      <c r="AD187" s="3" t="n">
        <v>3</v>
      </c>
      <c r="AE187" s="3" t="s">
        <v>2043</v>
      </c>
      <c r="AF187" s="3"/>
      <c r="AG187" s="3" t="s">
        <v>2044</v>
      </c>
      <c r="AH187" s="3"/>
      <c r="AI187" s="3" t="s">
        <v>2045</v>
      </c>
      <c r="AJ187" s="3"/>
      <c r="AK187" s="3" t="s">
        <v>2046</v>
      </c>
      <c r="AL187" s="3"/>
      <c r="AM187" s="3" t="n">
        <v>5</v>
      </c>
      <c r="AN187" s="3"/>
      <c r="AO187" s="3"/>
      <c r="AP187" s="3" t="n">
        <v>4</v>
      </c>
      <c r="AQ187" s="3"/>
      <c r="AR187" s="3"/>
    </row>
    <row r="188" customFormat="false" ht="15" hidden="false" customHeight="true" outlineLevel="0" collapsed="false">
      <c r="A188" s="3" t="s">
        <v>2047</v>
      </c>
      <c r="B188" s="3" t="n">
        <v>3</v>
      </c>
      <c r="C188" s="3" t="n">
        <v>64</v>
      </c>
      <c r="D188" s="3"/>
      <c r="E188" s="4"/>
      <c r="F188" s="3" t="n">
        <v>63</v>
      </c>
      <c r="G188" s="3" t="str">
        <f aca="false">IF(F188="","",IF(F188&gt;=Notes!$B$5,"Elderly ("&amp;Notes!$B$5&amp;"+)",IF(F188&lt;=Notes!$B$4,"Student age (≤"&amp;Notes!$B$4&amp;")","Middle-aged ("&amp;(Notes!$B$4+1)&amp;"–"&amp;(Notes!$B$5-1)&amp;")")))</f>
        <v>Middle-aged (30–64)</v>
      </c>
      <c r="H188" s="3" t="s">
        <v>45</v>
      </c>
      <c r="I188" s="3" t="s">
        <v>46</v>
      </c>
      <c r="J188" s="3" t="s">
        <v>47</v>
      </c>
      <c r="K188" s="3" t="s">
        <v>48</v>
      </c>
      <c r="L188" s="3" t="s">
        <v>46</v>
      </c>
      <c r="M188" s="3" t="s">
        <v>47</v>
      </c>
      <c r="N188" s="3" t="s">
        <v>48</v>
      </c>
      <c r="O188" s="3" t="s">
        <v>2048</v>
      </c>
      <c r="P188" s="3" t="n">
        <v>25</v>
      </c>
      <c r="Q188" s="3" t="s">
        <v>117</v>
      </c>
      <c r="R188" s="3" t="s">
        <v>2049</v>
      </c>
      <c r="S188" s="3" t="s">
        <v>2050</v>
      </c>
      <c r="T188" s="3"/>
      <c r="U188" s="3" t="s">
        <v>2051</v>
      </c>
      <c r="V188" s="3" t="s">
        <v>2052</v>
      </c>
      <c r="W188" s="3" t="s">
        <v>2053</v>
      </c>
      <c r="X188" s="3" t="s">
        <v>2054</v>
      </c>
      <c r="Y188" s="3" t="n">
        <v>3</v>
      </c>
      <c r="Z188" s="3" t="n">
        <v>1</v>
      </c>
      <c r="AA188" s="3" t="n">
        <v>2</v>
      </c>
      <c r="AB188" s="3" t="n">
        <v>1</v>
      </c>
      <c r="AC188" s="3" t="n">
        <v>1</v>
      </c>
      <c r="AD188" s="3" t="n">
        <v>2</v>
      </c>
      <c r="AE188" s="3" t="s">
        <v>2055</v>
      </c>
      <c r="AF188" s="3"/>
      <c r="AG188" s="3" t="s">
        <v>2056</v>
      </c>
      <c r="AH188" s="3"/>
      <c r="AI188" s="3" t="s">
        <v>2057</v>
      </c>
      <c r="AJ188" s="3" t="s">
        <v>59</v>
      </c>
      <c r="AK188" s="3" t="s">
        <v>2058</v>
      </c>
      <c r="AL188" s="3"/>
      <c r="AM188" s="3" t="n">
        <v>5</v>
      </c>
      <c r="AN188" s="3"/>
      <c r="AO188" s="3"/>
      <c r="AP188" s="3" t="n">
        <v>5</v>
      </c>
      <c r="AQ188" s="3"/>
      <c r="AR188" s="3" t="s">
        <v>448</v>
      </c>
    </row>
    <row r="189" customFormat="false" ht="15" hidden="false" customHeight="true" outlineLevel="0" collapsed="false">
      <c r="A189" s="3" t="s">
        <v>2059</v>
      </c>
      <c r="B189" s="3" t="n">
        <v>3</v>
      </c>
      <c r="C189" s="3" t="n">
        <v>65</v>
      </c>
      <c r="D189" s="3"/>
      <c r="E189" s="4"/>
      <c r="F189" s="3" t="n">
        <v>20</v>
      </c>
      <c r="G189" s="3" t="str">
        <f aca="false">IF(F189="","",IF(F189&gt;=Notes!$B$5,"Elderly ("&amp;Notes!$B$5&amp;"+)",IF(F189&lt;=Notes!$B$4,"Student age (≤"&amp;Notes!$B$4&amp;")","Middle-aged ("&amp;(Notes!$B$4+1)&amp;"–"&amp;(Notes!$B$5-1)&amp;")")))</f>
        <v>Student age (≤29)</v>
      </c>
      <c r="H189" s="3" t="s">
        <v>45</v>
      </c>
      <c r="I189" s="3" t="s">
        <v>71</v>
      </c>
      <c r="J189" s="3" t="s">
        <v>47</v>
      </c>
      <c r="K189" s="3" t="s">
        <v>72</v>
      </c>
      <c r="L189" s="3" t="s">
        <v>49</v>
      </c>
      <c r="M189" s="3" t="s">
        <v>47</v>
      </c>
      <c r="N189" s="3" t="s">
        <v>50</v>
      </c>
      <c r="O189" s="3" t="s">
        <v>2060</v>
      </c>
      <c r="P189" s="3" t="n">
        <v>20</v>
      </c>
      <c r="Q189" s="3" t="s">
        <v>95</v>
      </c>
      <c r="R189" s="3" t="s">
        <v>2061</v>
      </c>
      <c r="S189" s="3" t="s">
        <v>2062</v>
      </c>
      <c r="T189" s="3"/>
      <c r="U189" s="3" t="s">
        <v>2063</v>
      </c>
      <c r="V189" s="3" t="s">
        <v>2064</v>
      </c>
      <c r="W189" s="3" t="s">
        <v>2065</v>
      </c>
      <c r="X189" s="5" t="s">
        <v>2066</v>
      </c>
      <c r="Y189" s="3" t="n">
        <v>2</v>
      </c>
      <c r="Z189" s="3" t="n">
        <v>1</v>
      </c>
      <c r="AA189" s="3" t="n">
        <v>3</v>
      </c>
      <c r="AB189" s="3" t="n">
        <v>2</v>
      </c>
      <c r="AC189" s="3" t="n">
        <v>1</v>
      </c>
      <c r="AD189" s="3" t="n">
        <v>3</v>
      </c>
      <c r="AE189" s="3" t="s">
        <v>2067</v>
      </c>
      <c r="AF189" s="3"/>
      <c r="AG189" s="3" t="s">
        <v>2068</v>
      </c>
      <c r="AH189" s="3"/>
      <c r="AI189" s="3" t="s">
        <v>2069</v>
      </c>
      <c r="AJ189" s="3" t="s">
        <v>59</v>
      </c>
      <c r="AK189" s="3" t="s">
        <v>2070</v>
      </c>
      <c r="AL189" s="3"/>
      <c r="AM189" s="3" t="n">
        <v>4</v>
      </c>
      <c r="AN189" s="3"/>
      <c r="AO189" s="3"/>
      <c r="AP189" s="3" t="n">
        <v>4</v>
      </c>
      <c r="AQ189" s="3"/>
      <c r="AR189" s="3"/>
    </row>
    <row r="190" customFormat="false" ht="15" hidden="false" customHeight="true" outlineLevel="0" collapsed="false">
      <c r="A190" s="3" t="s">
        <v>2071</v>
      </c>
      <c r="B190" s="3" t="n">
        <v>3</v>
      </c>
      <c r="C190" s="3" t="n">
        <v>66</v>
      </c>
      <c r="D190" s="3"/>
      <c r="E190" s="4"/>
      <c r="F190" s="3" t="n">
        <v>24</v>
      </c>
      <c r="G190" s="3" t="str">
        <f aca="false">IF(F190="","",IF(F190&gt;=Notes!$B$5,"Elderly ("&amp;Notes!$B$5&amp;"+)",IF(F190&lt;=Notes!$B$4,"Student age (≤"&amp;Notes!$B$4&amp;")","Middle-aged ("&amp;(Notes!$B$4+1)&amp;"–"&amp;(Notes!$B$5-1)&amp;")")))</f>
        <v>Student age (≤29)</v>
      </c>
      <c r="H190" s="3" t="s">
        <v>83</v>
      </c>
      <c r="I190" s="3" t="s">
        <v>1412</v>
      </c>
      <c r="J190" s="3" t="s">
        <v>47</v>
      </c>
      <c r="K190" s="3" t="s">
        <v>1413</v>
      </c>
      <c r="L190" s="3" t="s">
        <v>532</v>
      </c>
      <c r="M190" s="3" t="s">
        <v>47</v>
      </c>
      <c r="N190" s="3" t="s">
        <v>533</v>
      </c>
      <c r="O190" s="3" t="s">
        <v>2072</v>
      </c>
      <c r="P190" s="3" t="n">
        <v>40</v>
      </c>
      <c r="Q190" s="3" t="s">
        <v>52</v>
      </c>
      <c r="R190" s="3" t="s">
        <v>2063</v>
      </c>
      <c r="S190" s="3" t="s">
        <v>2073</v>
      </c>
      <c r="T190" s="3"/>
      <c r="U190" s="3" t="s">
        <v>1625</v>
      </c>
      <c r="V190" s="3" t="s">
        <v>2074</v>
      </c>
      <c r="W190" s="3" t="s">
        <v>2075</v>
      </c>
      <c r="X190" s="3" t="s">
        <v>2076</v>
      </c>
      <c r="Y190" s="3" t="n">
        <v>3</v>
      </c>
      <c r="Z190" s="3" t="n">
        <v>1</v>
      </c>
      <c r="AA190" s="3" t="n">
        <v>2</v>
      </c>
      <c r="AB190" s="3" t="n">
        <v>2</v>
      </c>
      <c r="AC190" s="3" t="n">
        <v>1</v>
      </c>
      <c r="AD190" s="3" t="n">
        <v>3</v>
      </c>
      <c r="AE190" s="3" t="s">
        <v>2077</v>
      </c>
      <c r="AF190" s="3"/>
      <c r="AG190" s="3" t="s">
        <v>2078</v>
      </c>
      <c r="AH190" s="3"/>
      <c r="AI190" s="3" t="s">
        <v>2079</v>
      </c>
      <c r="AJ190" s="3"/>
      <c r="AK190" s="3" t="s">
        <v>2080</v>
      </c>
      <c r="AL190" s="3"/>
      <c r="AM190" s="3" t="n">
        <v>5</v>
      </c>
      <c r="AN190" s="3"/>
      <c r="AO190" s="3"/>
      <c r="AP190" s="3" t="n">
        <v>5</v>
      </c>
      <c r="AQ190" s="3"/>
      <c r="AR190" s="3"/>
    </row>
    <row r="191" customFormat="false" ht="15" hidden="false" customHeight="true" outlineLevel="0" collapsed="false">
      <c r="A191" s="3" t="s">
        <v>2081</v>
      </c>
      <c r="B191" s="3" t="n">
        <v>3</v>
      </c>
      <c r="C191" s="3" t="n">
        <v>67</v>
      </c>
      <c r="D191" s="3"/>
      <c r="E191" s="4"/>
      <c r="F191" s="3" t="n">
        <v>58</v>
      </c>
      <c r="G191" s="3" t="str">
        <f aca="false">IF(F191="","",IF(F191&gt;=Notes!$B$5,"Elderly ("&amp;Notes!$B$5&amp;"+)",IF(F191&lt;=Notes!$B$4,"Student age (≤"&amp;Notes!$B$4&amp;")","Middle-aged ("&amp;(Notes!$B$4+1)&amp;"–"&amp;(Notes!$B$5-1)&amp;")")))</f>
        <v>Middle-aged (30–64)</v>
      </c>
      <c r="H191" s="3" t="s">
        <v>45</v>
      </c>
      <c r="I191" s="3" t="s">
        <v>46</v>
      </c>
      <c r="J191" s="3" t="s">
        <v>47</v>
      </c>
      <c r="K191" s="3" t="s">
        <v>48</v>
      </c>
      <c r="L191" s="3" t="s">
        <v>46</v>
      </c>
      <c r="M191" s="3" t="s">
        <v>47</v>
      </c>
      <c r="N191" s="3" t="s">
        <v>48</v>
      </c>
      <c r="O191" s="3" t="s">
        <v>2082</v>
      </c>
      <c r="P191" s="3" t="n">
        <v>17</v>
      </c>
      <c r="Q191" s="3" t="s">
        <v>95</v>
      </c>
      <c r="R191" s="3" t="s">
        <v>2083</v>
      </c>
      <c r="S191" s="3" t="s">
        <v>2084</v>
      </c>
      <c r="T191" s="3"/>
      <c r="U191" s="3" t="s">
        <v>2085</v>
      </c>
      <c r="V191" s="3" t="s">
        <v>2086</v>
      </c>
      <c r="W191" s="3" t="s">
        <v>2087</v>
      </c>
      <c r="X191" s="3" t="s">
        <v>2088</v>
      </c>
      <c r="Y191" s="3" t="n">
        <v>3</v>
      </c>
      <c r="Z191" s="3" t="n">
        <v>1</v>
      </c>
      <c r="AA191" s="3" t="n">
        <v>2</v>
      </c>
      <c r="AB191" s="3" t="n">
        <v>2</v>
      </c>
      <c r="AC191" s="3" t="n">
        <v>1</v>
      </c>
      <c r="AD191" s="3" t="n">
        <v>3</v>
      </c>
      <c r="AE191" s="3" t="s">
        <v>2089</v>
      </c>
      <c r="AF191" s="3"/>
      <c r="AG191" s="3" t="s">
        <v>2090</v>
      </c>
      <c r="AH191" s="3"/>
      <c r="AI191" s="3" t="s">
        <v>2091</v>
      </c>
      <c r="AJ191" s="3" t="s">
        <v>59</v>
      </c>
      <c r="AK191" s="3"/>
      <c r="AL191" s="3"/>
      <c r="AM191" s="3" t="n">
        <v>4</v>
      </c>
      <c r="AN191" s="3"/>
      <c r="AO191" s="3"/>
      <c r="AP191" s="3" t="n">
        <v>5</v>
      </c>
      <c r="AQ191" s="3"/>
      <c r="AR191" s="3"/>
    </row>
    <row r="192" customFormat="false" ht="15" hidden="false" customHeight="true" outlineLevel="0" collapsed="false">
      <c r="A192" s="3" t="s">
        <v>2092</v>
      </c>
      <c r="B192" s="3" t="n">
        <v>3</v>
      </c>
      <c r="C192" s="3" t="n">
        <v>68</v>
      </c>
      <c r="D192" s="3"/>
      <c r="E192" s="4"/>
      <c r="F192" s="3" t="n">
        <v>29</v>
      </c>
      <c r="G192" s="3" t="str">
        <f aca="false">IF(F192="","",IF(F192&gt;=Notes!$B$5,"Elderly ("&amp;Notes!$B$5&amp;"+)",IF(F192&lt;=Notes!$B$4,"Student age (≤"&amp;Notes!$B$4&amp;")","Middle-aged ("&amp;(Notes!$B$4+1)&amp;"–"&amp;(Notes!$B$5-1)&amp;")")))</f>
        <v>Student age (≤29)</v>
      </c>
      <c r="H192" s="3" t="s">
        <v>1447</v>
      </c>
      <c r="I192" s="3" t="s">
        <v>1399</v>
      </c>
      <c r="J192" s="3" t="s">
        <v>47</v>
      </c>
      <c r="K192" s="3" t="s">
        <v>1400</v>
      </c>
      <c r="L192" s="3" t="s">
        <v>1399</v>
      </c>
      <c r="M192" s="3" t="s">
        <v>47</v>
      </c>
      <c r="N192" s="3" t="s">
        <v>1400</v>
      </c>
      <c r="O192" s="3" t="s">
        <v>2093</v>
      </c>
      <c r="P192" s="3" t="n">
        <v>30</v>
      </c>
      <c r="Q192" s="3" t="s">
        <v>117</v>
      </c>
      <c r="R192" s="3" t="s">
        <v>2094</v>
      </c>
      <c r="S192" s="3" t="s">
        <v>2095</v>
      </c>
      <c r="T192" s="3"/>
      <c r="U192" s="3" t="s">
        <v>2096</v>
      </c>
      <c r="V192" s="3" t="s">
        <v>2097</v>
      </c>
      <c r="W192" s="3" t="s">
        <v>2098</v>
      </c>
      <c r="X192" s="5" t="s">
        <v>2099</v>
      </c>
      <c r="Y192" s="3" t="n">
        <v>2</v>
      </c>
      <c r="Z192" s="3" t="n">
        <v>1</v>
      </c>
      <c r="AA192" s="3" t="n">
        <v>3</v>
      </c>
      <c r="AB192" s="3" t="n">
        <v>2</v>
      </c>
      <c r="AC192" s="3" t="n">
        <v>1</v>
      </c>
      <c r="AD192" s="3" t="n">
        <v>3</v>
      </c>
      <c r="AE192" s="3" t="s">
        <v>2100</v>
      </c>
      <c r="AF192" s="3"/>
      <c r="AG192" s="3" t="s">
        <v>2101</v>
      </c>
      <c r="AH192" s="3"/>
      <c r="AI192" s="3" t="s">
        <v>2102</v>
      </c>
      <c r="AJ192" s="3" t="s">
        <v>59</v>
      </c>
      <c r="AK192" s="3" t="s">
        <v>2103</v>
      </c>
      <c r="AL192" s="3"/>
      <c r="AM192" s="3" t="n">
        <v>3</v>
      </c>
      <c r="AN192" s="3"/>
      <c r="AO192" s="3"/>
      <c r="AP192" s="3" t="n">
        <v>5</v>
      </c>
      <c r="AQ192" s="3"/>
      <c r="AR192" s="3"/>
    </row>
    <row r="193" customFormat="false" ht="15" hidden="false" customHeight="true" outlineLevel="0" collapsed="false">
      <c r="A193" s="3" t="s">
        <v>2104</v>
      </c>
      <c r="B193" s="3" t="n">
        <v>3</v>
      </c>
      <c r="C193" s="3" t="n">
        <v>69</v>
      </c>
      <c r="D193" s="3"/>
      <c r="E193" s="4"/>
      <c r="F193" s="3" t="n">
        <v>65</v>
      </c>
      <c r="G193" s="3" t="str">
        <f aca="false">IF(F193="","",IF(F193&gt;=Notes!$B$5,"Elderly ("&amp;Notes!$B$5&amp;"+)",IF(F193&lt;=Notes!$B$4,"Student age (≤"&amp;Notes!$B$4&amp;")","Middle-aged ("&amp;(Notes!$B$4+1)&amp;"–"&amp;(Notes!$B$5-1)&amp;")")))</f>
        <v>Elderly (65+)</v>
      </c>
      <c r="H193" s="3" t="s">
        <v>45</v>
      </c>
      <c r="I193" s="3" t="s">
        <v>46</v>
      </c>
      <c r="J193" s="3" t="s">
        <v>47</v>
      </c>
      <c r="K193" s="3" t="s">
        <v>48</v>
      </c>
      <c r="L193" s="3" t="s">
        <v>46</v>
      </c>
      <c r="M193" s="3" t="s">
        <v>47</v>
      </c>
      <c r="N193" s="3" t="s">
        <v>48</v>
      </c>
      <c r="O193" s="3" t="s">
        <v>2105</v>
      </c>
      <c r="P193" s="3" t="n">
        <v>70</v>
      </c>
      <c r="Q193" s="3" t="s">
        <v>52</v>
      </c>
      <c r="R193" s="3" t="s">
        <v>2106</v>
      </c>
      <c r="S193" s="3" t="s">
        <v>2107</v>
      </c>
      <c r="T193" s="3"/>
      <c r="U193" s="3" t="s">
        <v>2108</v>
      </c>
      <c r="V193" s="3" t="s">
        <v>2109</v>
      </c>
      <c r="W193" s="3" t="s">
        <v>2110</v>
      </c>
      <c r="X193" s="3" t="s">
        <v>2111</v>
      </c>
      <c r="Y193" s="3" t="n">
        <v>2</v>
      </c>
      <c r="Z193" s="3" t="n">
        <v>1</v>
      </c>
      <c r="AA193" s="3" t="n">
        <v>3</v>
      </c>
      <c r="AB193" s="3" t="n">
        <v>3</v>
      </c>
      <c r="AC193" s="3" t="n">
        <v>1</v>
      </c>
      <c r="AD193" s="3" t="n">
        <v>2</v>
      </c>
      <c r="AE193" s="3" t="s">
        <v>2112</v>
      </c>
      <c r="AF193" s="3"/>
      <c r="AG193" s="3" t="s">
        <v>2113</v>
      </c>
      <c r="AH193" s="3"/>
      <c r="AI193" s="3" t="s">
        <v>2114</v>
      </c>
      <c r="AJ193" s="3"/>
      <c r="AK193" s="5" t="s">
        <v>2115</v>
      </c>
      <c r="AL193" s="3"/>
      <c r="AM193" s="3" t="n">
        <v>4</v>
      </c>
      <c r="AN193" s="3"/>
      <c r="AO193" s="3"/>
      <c r="AP193" s="3" t="n">
        <v>5</v>
      </c>
      <c r="AQ193" s="3"/>
      <c r="AR193" s="3"/>
    </row>
    <row r="194" customFormat="false" ht="15" hidden="false" customHeight="true" outlineLevel="0" collapsed="false">
      <c r="A194" s="3" t="s">
        <v>2116</v>
      </c>
      <c r="B194" s="3" t="n">
        <v>3</v>
      </c>
      <c r="C194" s="3" t="n">
        <v>70</v>
      </c>
      <c r="D194" s="3"/>
      <c r="E194" s="4"/>
      <c r="F194" s="3" t="n">
        <v>51</v>
      </c>
      <c r="G194" s="3" t="str">
        <f aca="false">IF(F194="","",IF(F194&gt;=Notes!$B$5,"Elderly ("&amp;Notes!$B$5&amp;"+)",IF(F194&lt;=Notes!$B$4,"Student age (≤"&amp;Notes!$B$4&amp;")","Middle-aged ("&amp;(Notes!$B$4+1)&amp;"–"&amp;(Notes!$B$5-1)&amp;")")))</f>
        <v>Middle-aged (30–64)</v>
      </c>
      <c r="H194" s="3" t="s">
        <v>83</v>
      </c>
      <c r="I194" s="3" t="s">
        <v>159</v>
      </c>
      <c r="J194" s="3" t="s">
        <v>47</v>
      </c>
      <c r="K194" s="3" t="s">
        <v>160</v>
      </c>
      <c r="L194" s="3" t="s">
        <v>46</v>
      </c>
      <c r="M194" s="3" t="s">
        <v>47</v>
      </c>
      <c r="N194" s="3" t="s">
        <v>48</v>
      </c>
      <c r="O194" s="3" t="s">
        <v>2117</v>
      </c>
      <c r="P194" s="3" t="n">
        <v>18</v>
      </c>
      <c r="Q194" s="3" t="s">
        <v>95</v>
      </c>
      <c r="R194" s="3" t="s">
        <v>2118</v>
      </c>
      <c r="S194" s="3" t="s">
        <v>2119</v>
      </c>
      <c r="T194" s="3"/>
      <c r="U194" s="3" t="s">
        <v>1574</v>
      </c>
      <c r="V194" s="3" t="s">
        <v>2120</v>
      </c>
      <c r="W194" s="3" t="s">
        <v>2121</v>
      </c>
      <c r="X194" s="3" t="s">
        <v>2122</v>
      </c>
      <c r="Y194" s="3" t="n">
        <v>3</v>
      </c>
      <c r="Z194" s="3" t="n">
        <v>1</v>
      </c>
      <c r="AA194" s="3" t="n">
        <v>2</v>
      </c>
      <c r="AB194" s="3" t="n">
        <v>3</v>
      </c>
      <c r="AC194" s="3" t="n">
        <v>1</v>
      </c>
      <c r="AD194" s="3" t="n">
        <v>2</v>
      </c>
      <c r="AE194" s="3" t="s">
        <v>2123</v>
      </c>
      <c r="AF194" s="3"/>
      <c r="AG194" s="3" t="s">
        <v>2124</v>
      </c>
      <c r="AH194" s="3"/>
      <c r="AI194" s="3" t="s">
        <v>2125</v>
      </c>
      <c r="AJ194" s="3"/>
      <c r="AK194" s="3" t="s">
        <v>2126</v>
      </c>
      <c r="AL194" s="3"/>
      <c r="AM194" s="3" t="n">
        <v>5</v>
      </c>
      <c r="AN194" s="3"/>
      <c r="AO194" s="3"/>
      <c r="AP194" s="3" t="n">
        <v>4</v>
      </c>
      <c r="AQ194" s="3"/>
      <c r="AR194" s="3"/>
    </row>
    <row r="195" customFormat="false" ht="15" hidden="false" customHeight="true" outlineLevel="0" collapsed="false">
      <c r="A195" s="3" t="s">
        <v>2127</v>
      </c>
      <c r="B195" s="3" t="n">
        <v>3</v>
      </c>
      <c r="C195" s="3" t="n">
        <v>71</v>
      </c>
      <c r="D195" s="3"/>
      <c r="E195" s="4"/>
      <c r="F195" s="3" t="n">
        <v>46</v>
      </c>
      <c r="G195" s="3" t="str">
        <f aca="false">IF(F195="","",IF(F195&gt;=Notes!$B$5,"Elderly ("&amp;Notes!$B$5&amp;"+)",IF(F195&lt;=Notes!$B$4,"Student age (≤"&amp;Notes!$B$4&amp;")","Middle-aged ("&amp;(Notes!$B$4+1)&amp;"–"&amp;(Notes!$B$5-1)&amp;")")))</f>
        <v>Middle-aged (30–64)</v>
      </c>
      <c r="H195" s="3" t="s">
        <v>45</v>
      </c>
      <c r="I195" s="3"/>
      <c r="J195" s="3" t="s">
        <v>47</v>
      </c>
      <c r="K195" s="3" t="s">
        <v>47</v>
      </c>
      <c r="L195" s="3"/>
      <c r="M195" s="3" t="s">
        <v>47</v>
      </c>
      <c r="N195" s="3" t="s">
        <v>47</v>
      </c>
      <c r="O195" s="3" t="s">
        <v>2128</v>
      </c>
      <c r="P195" s="3" t="n">
        <v>30</v>
      </c>
      <c r="Q195" s="3" t="s">
        <v>117</v>
      </c>
      <c r="R195" s="3" t="s">
        <v>2129</v>
      </c>
      <c r="S195" s="3" t="s">
        <v>2130</v>
      </c>
      <c r="T195" s="3"/>
      <c r="U195" s="3" t="s">
        <v>98</v>
      </c>
      <c r="V195" s="3" t="s">
        <v>2131</v>
      </c>
      <c r="W195" s="3" t="s">
        <v>2132</v>
      </c>
      <c r="X195" s="3" t="s">
        <v>2133</v>
      </c>
      <c r="Y195" s="3" t="n">
        <v>3</v>
      </c>
      <c r="Z195" s="3" t="n">
        <v>1</v>
      </c>
      <c r="AA195" s="3" t="n">
        <v>2</v>
      </c>
      <c r="AB195" s="3" t="n">
        <v>3</v>
      </c>
      <c r="AC195" s="3" t="n">
        <v>1</v>
      </c>
      <c r="AD195" s="3" t="n">
        <v>2</v>
      </c>
      <c r="AE195" s="3" t="s">
        <v>2134</v>
      </c>
      <c r="AF195" s="3"/>
      <c r="AG195" s="3" t="s">
        <v>2135</v>
      </c>
      <c r="AH195" s="3"/>
      <c r="AI195" s="3" t="s">
        <v>2136</v>
      </c>
      <c r="AJ195" s="3" t="s">
        <v>59</v>
      </c>
      <c r="AK195" s="3" t="s">
        <v>2137</v>
      </c>
      <c r="AL195" s="3"/>
      <c r="AM195" s="3" t="n">
        <v>5</v>
      </c>
      <c r="AN195" s="3"/>
      <c r="AO195" s="3"/>
      <c r="AP195" s="3" t="n">
        <v>5</v>
      </c>
      <c r="AQ195" s="3"/>
      <c r="AR195" s="3"/>
    </row>
    <row r="196" customFormat="false" ht="15" hidden="false" customHeight="true" outlineLevel="0" collapsed="false">
      <c r="A196" s="3" t="s">
        <v>2138</v>
      </c>
      <c r="B196" s="3" t="n">
        <v>3</v>
      </c>
      <c r="C196" s="3" t="n">
        <v>72</v>
      </c>
      <c r="D196" s="3"/>
      <c r="E196" s="4"/>
      <c r="F196" s="3" t="n">
        <v>47</v>
      </c>
      <c r="G196" s="3" t="str">
        <f aca="false">IF(F196="","",IF(F196&gt;=Notes!$B$5,"Elderly ("&amp;Notes!$B$5&amp;"+)",IF(F196&lt;=Notes!$B$4,"Student age (≤"&amp;Notes!$B$4&amp;")","Middle-aged ("&amp;(Notes!$B$4+1)&amp;"–"&amp;(Notes!$B$5-1)&amp;")")))</f>
        <v>Middle-aged (30–64)</v>
      </c>
      <c r="H196" s="3" t="s">
        <v>45</v>
      </c>
      <c r="I196" s="3" t="s">
        <v>46</v>
      </c>
      <c r="J196" s="3" t="s">
        <v>47</v>
      </c>
      <c r="K196" s="3" t="s">
        <v>48</v>
      </c>
      <c r="L196" s="3"/>
      <c r="M196" s="3" t="s">
        <v>47</v>
      </c>
      <c r="N196" s="3" t="s">
        <v>47</v>
      </c>
      <c r="O196" s="3" t="s">
        <v>2139</v>
      </c>
      <c r="P196" s="3" t="n">
        <v>43</v>
      </c>
      <c r="Q196" s="3" t="s">
        <v>52</v>
      </c>
      <c r="R196" s="3" t="s">
        <v>2140</v>
      </c>
      <c r="S196" s="3" t="s">
        <v>2141</v>
      </c>
      <c r="T196" s="3"/>
      <c r="U196" s="3" t="s">
        <v>2142</v>
      </c>
      <c r="V196" s="3" t="s">
        <v>2143</v>
      </c>
      <c r="W196" s="3" t="s">
        <v>2144</v>
      </c>
      <c r="X196" s="3" t="s">
        <v>2145</v>
      </c>
      <c r="Y196" s="3" t="n">
        <v>2</v>
      </c>
      <c r="Z196" s="3" t="n">
        <v>1</v>
      </c>
      <c r="AA196" s="3" t="n">
        <v>2</v>
      </c>
      <c r="AB196" s="3" t="n">
        <v>2</v>
      </c>
      <c r="AC196" s="3" t="n">
        <v>1</v>
      </c>
      <c r="AD196" s="3" t="n">
        <v>2</v>
      </c>
      <c r="AE196" s="3" t="s">
        <v>2146</v>
      </c>
      <c r="AF196" s="3"/>
      <c r="AG196" s="3" t="s">
        <v>2147</v>
      </c>
      <c r="AH196" s="3"/>
      <c r="AI196" s="3" t="s">
        <v>2148</v>
      </c>
      <c r="AJ196" s="3"/>
      <c r="AK196" s="3" t="s">
        <v>2149</v>
      </c>
      <c r="AL196" s="3"/>
      <c r="AM196" s="3" t="n">
        <v>5</v>
      </c>
      <c r="AN196" s="3"/>
      <c r="AO196" s="3"/>
      <c r="AP196" s="3" t="n">
        <v>5</v>
      </c>
      <c r="AQ196" s="3"/>
      <c r="AR196" s="3" t="s">
        <v>81</v>
      </c>
    </row>
    <row r="197" customFormat="false" ht="15" hidden="false" customHeight="true" outlineLevel="0" collapsed="false">
      <c r="A197" s="3" t="s">
        <v>2150</v>
      </c>
      <c r="B197" s="3" t="n">
        <v>3</v>
      </c>
      <c r="C197" s="3" t="n">
        <v>73</v>
      </c>
      <c r="D197" s="3"/>
      <c r="E197" s="4"/>
      <c r="F197" s="3" t="n">
        <v>29</v>
      </c>
      <c r="G197" s="3" t="str">
        <f aca="false">IF(F197="","",IF(F197&gt;=Notes!$B$5,"Elderly ("&amp;Notes!$B$5&amp;"+)",IF(F197&lt;=Notes!$B$4,"Student age (≤"&amp;Notes!$B$4&amp;")","Middle-aged ("&amp;(Notes!$B$4+1)&amp;"–"&amp;(Notes!$B$5-1)&amp;")")))</f>
        <v>Student age (≤29)</v>
      </c>
      <c r="H197" s="3" t="s">
        <v>45</v>
      </c>
      <c r="I197" s="3" t="s">
        <v>92</v>
      </c>
      <c r="J197" s="3" t="s">
        <v>47</v>
      </c>
      <c r="K197" s="3" t="s">
        <v>93</v>
      </c>
      <c r="L197" s="3" t="s">
        <v>159</v>
      </c>
      <c r="M197" s="3" t="s">
        <v>47</v>
      </c>
      <c r="N197" s="3" t="s">
        <v>160</v>
      </c>
      <c r="O197" s="3" t="s">
        <v>2151</v>
      </c>
      <c r="P197" s="3" t="n">
        <v>30</v>
      </c>
      <c r="Q197" s="3" t="s">
        <v>117</v>
      </c>
      <c r="R197" s="3" t="s">
        <v>2152</v>
      </c>
      <c r="S197" s="3" t="s">
        <v>2153</v>
      </c>
      <c r="T197" s="3"/>
      <c r="U197" s="3" t="s">
        <v>2154</v>
      </c>
      <c r="V197" s="3" t="s">
        <v>2155</v>
      </c>
      <c r="W197" s="3" t="s">
        <v>2156</v>
      </c>
      <c r="X197" s="3" t="s">
        <v>2157</v>
      </c>
      <c r="Y197" s="3" t="n">
        <v>2</v>
      </c>
      <c r="Z197" s="3" t="n">
        <v>1</v>
      </c>
      <c r="AA197" s="3" t="n">
        <v>3</v>
      </c>
      <c r="AB197" s="3" t="n">
        <v>2</v>
      </c>
      <c r="AC197" s="3" t="n">
        <v>1</v>
      </c>
      <c r="AD197" s="3" t="n">
        <v>3</v>
      </c>
      <c r="AE197" s="3" t="s">
        <v>2158</v>
      </c>
      <c r="AF197" s="3"/>
      <c r="AG197" s="3" t="s">
        <v>2159</v>
      </c>
      <c r="AH197" s="3"/>
      <c r="AI197" s="3" t="s">
        <v>2160</v>
      </c>
      <c r="AJ197" s="3" t="s">
        <v>59</v>
      </c>
      <c r="AK197" s="3" t="s">
        <v>2161</v>
      </c>
      <c r="AL197" s="3"/>
      <c r="AM197" s="3" t="n">
        <v>2</v>
      </c>
      <c r="AN197" s="3"/>
      <c r="AO197" s="3"/>
      <c r="AP197" s="3" t="n">
        <v>4</v>
      </c>
      <c r="AQ197" s="3"/>
      <c r="AR197" s="3"/>
    </row>
    <row r="198" customFormat="false" ht="15" hidden="false" customHeight="true" outlineLevel="0" collapsed="false">
      <c r="A198" s="3" t="s">
        <v>2162</v>
      </c>
      <c r="B198" s="3" t="n">
        <v>3</v>
      </c>
      <c r="C198" s="3" t="n">
        <v>74</v>
      </c>
      <c r="D198" s="3"/>
      <c r="E198" s="4"/>
      <c r="F198" s="3" t="n">
        <v>35</v>
      </c>
      <c r="G198" s="3" t="str">
        <f aca="false">IF(F198="","",IF(F198&gt;=Notes!$B$5,"Elderly ("&amp;Notes!$B$5&amp;"+)",IF(F198&lt;=Notes!$B$4,"Student age (≤"&amp;Notes!$B$4&amp;")","Middle-aged ("&amp;(Notes!$B$4+1)&amp;"–"&amp;(Notes!$B$5-1)&amp;")")))</f>
        <v>Middle-aged (30–64)</v>
      </c>
      <c r="H198" s="3" t="s">
        <v>45</v>
      </c>
      <c r="I198" s="3"/>
      <c r="J198" s="3" t="s">
        <v>47</v>
      </c>
      <c r="K198" s="3" t="s">
        <v>47</v>
      </c>
      <c r="L198" s="3" t="s">
        <v>71</v>
      </c>
      <c r="M198" s="3" t="s">
        <v>47</v>
      </c>
      <c r="N198" s="3" t="s">
        <v>72</v>
      </c>
      <c r="O198" s="3" t="s">
        <v>2163</v>
      </c>
      <c r="P198" s="3" t="n">
        <v>15</v>
      </c>
      <c r="Q198" s="3" t="s">
        <v>74</v>
      </c>
      <c r="R198" s="3" t="s">
        <v>2164</v>
      </c>
      <c r="S198" s="3" t="s">
        <v>2165</v>
      </c>
      <c r="T198" s="3"/>
      <c r="U198" s="3" t="s">
        <v>2166</v>
      </c>
      <c r="V198" s="3" t="s">
        <v>2167</v>
      </c>
      <c r="W198" s="3" t="s">
        <v>2168</v>
      </c>
      <c r="X198" s="3" t="s">
        <v>2169</v>
      </c>
      <c r="Y198" s="3" t="n">
        <v>2</v>
      </c>
      <c r="Z198" s="3" t="n">
        <v>1</v>
      </c>
      <c r="AA198" s="3" t="n">
        <v>3</v>
      </c>
      <c r="AB198" s="3" t="n">
        <v>2</v>
      </c>
      <c r="AC198" s="3" t="n">
        <v>1</v>
      </c>
      <c r="AD198" s="3" t="n">
        <v>3</v>
      </c>
      <c r="AE198" s="3" t="s">
        <v>2170</v>
      </c>
      <c r="AF198" s="3"/>
      <c r="AG198" s="3" t="s">
        <v>2171</v>
      </c>
      <c r="AH198" s="3"/>
      <c r="AI198" s="3" t="s">
        <v>2172</v>
      </c>
      <c r="AJ198" s="3" t="s">
        <v>59</v>
      </c>
      <c r="AK198" s="3" t="s">
        <v>2173</v>
      </c>
      <c r="AL198" s="3"/>
      <c r="AM198" s="3" t="n">
        <v>4</v>
      </c>
      <c r="AN198" s="3"/>
      <c r="AO198" s="3"/>
      <c r="AP198" s="3" t="n">
        <v>5</v>
      </c>
      <c r="AQ198" s="3"/>
      <c r="AR198" s="3"/>
    </row>
    <row r="199" customFormat="false" ht="15" hidden="false" customHeight="true" outlineLevel="0" collapsed="false">
      <c r="A199" s="3" t="s">
        <v>2174</v>
      </c>
      <c r="B199" s="3" t="n">
        <v>3</v>
      </c>
      <c r="C199" s="3" t="n">
        <v>75</v>
      </c>
      <c r="D199" s="3"/>
      <c r="E199" s="4"/>
      <c r="F199" s="3" t="n">
        <v>44</v>
      </c>
      <c r="G199" s="3" t="str">
        <f aca="false">IF(F199="","",IF(F199&gt;=Notes!$B$5,"Elderly ("&amp;Notes!$B$5&amp;"+)",IF(F199&lt;=Notes!$B$4,"Student age (≤"&amp;Notes!$B$4&amp;")","Middle-aged ("&amp;(Notes!$B$4+1)&amp;"–"&amp;(Notes!$B$5-1)&amp;")")))</f>
        <v>Middle-aged (30–64)</v>
      </c>
      <c r="H199" s="3" t="s">
        <v>45</v>
      </c>
      <c r="I199" s="3" t="s">
        <v>71</v>
      </c>
      <c r="J199" s="3" t="s">
        <v>47</v>
      </c>
      <c r="K199" s="3" t="s">
        <v>72</v>
      </c>
      <c r="L199" s="3" t="s">
        <v>46</v>
      </c>
      <c r="M199" s="3" t="s">
        <v>47</v>
      </c>
      <c r="N199" s="3" t="s">
        <v>48</v>
      </c>
      <c r="O199" s="3" t="s">
        <v>2175</v>
      </c>
      <c r="P199" s="3" t="n">
        <v>20</v>
      </c>
      <c r="Q199" s="3" t="s">
        <v>95</v>
      </c>
      <c r="R199" s="3" t="s">
        <v>2176</v>
      </c>
      <c r="S199" s="3" t="s">
        <v>2177</v>
      </c>
      <c r="T199" s="3"/>
      <c r="U199" s="3" t="s">
        <v>2178</v>
      </c>
      <c r="V199" s="3" t="s">
        <v>2179</v>
      </c>
      <c r="W199" s="3" t="s">
        <v>2180</v>
      </c>
      <c r="X199" s="3" t="s">
        <v>2181</v>
      </c>
      <c r="Y199" s="3" t="n">
        <v>2</v>
      </c>
      <c r="Z199" s="3" t="n">
        <v>1</v>
      </c>
      <c r="AA199" s="3" t="n">
        <v>3</v>
      </c>
      <c r="AB199" s="3" t="n">
        <v>3</v>
      </c>
      <c r="AC199" s="3" t="n">
        <v>1</v>
      </c>
      <c r="AD199" s="3" t="n">
        <v>2</v>
      </c>
      <c r="AE199" s="3" t="s">
        <v>2182</v>
      </c>
      <c r="AF199" s="3"/>
      <c r="AG199" s="3" t="s">
        <v>2183</v>
      </c>
      <c r="AH199" s="3"/>
      <c r="AI199" s="3" t="s">
        <v>2184</v>
      </c>
      <c r="AJ199" s="3" t="s">
        <v>59</v>
      </c>
      <c r="AK199" s="3"/>
      <c r="AL199" s="3"/>
      <c r="AM199" s="3" t="n">
        <v>4</v>
      </c>
      <c r="AN199" s="3"/>
      <c r="AO199" s="3"/>
      <c r="AP199" s="3" t="n">
        <v>5</v>
      </c>
      <c r="AQ199" s="3"/>
      <c r="AR199" s="3"/>
    </row>
    <row r="200" customFormat="false" ht="15" hidden="false" customHeight="true" outlineLevel="0" collapsed="false">
      <c r="A200" s="3" t="s">
        <v>2185</v>
      </c>
      <c r="B200" s="3" t="n">
        <v>3</v>
      </c>
      <c r="C200" s="3" t="n">
        <v>76</v>
      </c>
      <c r="D200" s="3"/>
      <c r="E200" s="4"/>
      <c r="F200" s="3" t="n">
        <v>21</v>
      </c>
      <c r="G200" s="3" t="str">
        <f aca="false">IF(F200="","",IF(F200&gt;=Notes!$B$5,"Elderly ("&amp;Notes!$B$5&amp;"+)",IF(F200&lt;=Notes!$B$4,"Student age (≤"&amp;Notes!$B$4&amp;")","Middle-aged ("&amp;(Notes!$B$4+1)&amp;"–"&amp;(Notes!$B$5-1)&amp;")")))</f>
        <v>Student age (≤29)</v>
      </c>
      <c r="H200" s="3" t="s">
        <v>45</v>
      </c>
      <c r="I200" s="3" t="s">
        <v>171</v>
      </c>
      <c r="J200" s="3" t="s">
        <v>47</v>
      </c>
      <c r="K200" s="3" t="s">
        <v>172</v>
      </c>
      <c r="L200" s="3" t="s">
        <v>49</v>
      </c>
      <c r="M200" s="3" t="s">
        <v>47</v>
      </c>
      <c r="N200" s="3" t="s">
        <v>50</v>
      </c>
      <c r="O200" s="3" t="s">
        <v>2186</v>
      </c>
      <c r="P200" s="3" t="n">
        <v>20</v>
      </c>
      <c r="Q200" s="3" t="s">
        <v>95</v>
      </c>
      <c r="R200" s="3" t="s">
        <v>2187</v>
      </c>
      <c r="S200" s="3" t="s">
        <v>2188</v>
      </c>
      <c r="T200" s="3"/>
      <c r="U200" s="3" t="s">
        <v>2189</v>
      </c>
      <c r="V200" s="3" t="s">
        <v>2190</v>
      </c>
      <c r="W200" s="3" t="s">
        <v>2191</v>
      </c>
      <c r="X200" s="5" t="s">
        <v>2192</v>
      </c>
      <c r="Y200" s="3" t="n">
        <v>3</v>
      </c>
      <c r="Z200" s="3" t="n">
        <v>1</v>
      </c>
      <c r="AA200" s="3" t="n">
        <v>2</v>
      </c>
      <c r="AB200" s="3" t="n">
        <v>3</v>
      </c>
      <c r="AC200" s="3" t="n">
        <v>1</v>
      </c>
      <c r="AD200" s="3" t="n">
        <v>2</v>
      </c>
      <c r="AE200" s="3" t="s">
        <v>2193</v>
      </c>
      <c r="AF200" s="3"/>
      <c r="AG200" s="3" t="s">
        <v>2194</v>
      </c>
      <c r="AH200" s="3"/>
      <c r="AI200" s="3" t="s">
        <v>2195</v>
      </c>
      <c r="AJ200" s="3"/>
      <c r="AK200" s="3" t="s">
        <v>2196</v>
      </c>
      <c r="AL200" s="3"/>
      <c r="AM200" s="3" t="n">
        <v>5</v>
      </c>
      <c r="AN200" s="3"/>
      <c r="AO200" s="3"/>
      <c r="AP200" s="3" t="n">
        <v>5</v>
      </c>
      <c r="AQ200" s="3"/>
      <c r="AR200" s="3"/>
    </row>
    <row r="201" customFormat="false" ht="15" hidden="false" customHeight="true" outlineLevel="0" collapsed="false">
      <c r="A201" s="3" t="s">
        <v>2197</v>
      </c>
      <c r="B201" s="3" t="n">
        <v>3</v>
      </c>
      <c r="C201" s="3" t="n">
        <v>77</v>
      </c>
      <c r="D201" s="3"/>
      <c r="E201" s="4"/>
      <c r="F201" s="3" t="n">
        <v>20</v>
      </c>
      <c r="G201" s="3" t="str">
        <f aca="false">IF(F201="","",IF(F201&gt;=Notes!$B$5,"Elderly ("&amp;Notes!$B$5&amp;"+)",IF(F201&lt;=Notes!$B$4,"Student age (≤"&amp;Notes!$B$4&amp;")","Middle-aged ("&amp;(Notes!$B$4+1)&amp;"–"&amp;(Notes!$B$5-1)&amp;")")))</f>
        <v>Student age (≤29)</v>
      </c>
      <c r="H201" s="3" t="s">
        <v>45</v>
      </c>
      <c r="I201" s="3" t="s">
        <v>171</v>
      </c>
      <c r="J201" s="3" t="s">
        <v>47</v>
      </c>
      <c r="K201" s="3" t="s">
        <v>172</v>
      </c>
      <c r="L201" s="3" t="s">
        <v>49</v>
      </c>
      <c r="M201" s="3" t="s">
        <v>47</v>
      </c>
      <c r="N201" s="3" t="s">
        <v>50</v>
      </c>
      <c r="O201" s="3" t="s">
        <v>2198</v>
      </c>
      <c r="P201" s="3" t="n">
        <v>40</v>
      </c>
      <c r="Q201" s="3" t="s">
        <v>52</v>
      </c>
      <c r="R201" s="3" t="s">
        <v>2199</v>
      </c>
      <c r="S201" s="3" t="s">
        <v>2200</v>
      </c>
      <c r="T201" s="3"/>
      <c r="U201" s="3" t="s">
        <v>895</v>
      </c>
      <c r="V201" s="3" t="s">
        <v>2201</v>
      </c>
      <c r="W201" s="3" t="s">
        <v>2202</v>
      </c>
      <c r="X201" s="3" t="s">
        <v>2203</v>
      </c>
      <c r="Y201" s="3" t="n">
        <v>1</v>
      </c>
      <c r="Z201" s="3" t="n">
        <v>2</v>
      </c>
      <c r="AA201" s="3" t="n">
        <v>3</v>
      </c>
      <c r="AB201" s="3" t="n">
        <v>2</v>
      </c>
      <c r="AC201" s="3" t="n">
        <v>1</v>
      </c>
      <c r="AD201" s="3" t="n">
        <v>3</v>
      </c>
      <c r="AE201" s="3" t="s">
        <v>2204</v>
      </c>
      <c r="AF201" s="3"/>
      <c r="AG201" s="3" t="s">
        <v>2205</v>
      </c>
      <c r="AH201" s="3"/>
      <c r="AI201" s="3" t="s">
        <v>2206</v>
      </c>
      <c r="AJ201" s="3" t="s">
        <v>59</v>
      </c>
      <c r="AK201" s="3"/>
      <c r="AL201" s="3"/>
      <c r="AM201" s="3" t="n">
        <v>5</v>
      </c>
      <c r="AN201" s="3"/>
      <c r="AO201" s="3"/>
      <c r="AP201" s="3" t="n">
        <v>5</v>
      </c>
      <c r="AQ201" s="3"/>
      <c r="AR201" s="3"/>
    </row>
    <row r="202" customFormat="false" ht="15" hidden="false" customHeight="true" outlineLevel="0" collapsed="false">
      <c r="A202" s="3" t="s">
        <v>2207</v>
      </c>
      <c r="B202" s="3" t="n">
        <v>3</v>
      </c>
      <c r="C202" s="3" t="n">
        <v>78</v>
      </c>
      <c r="D202" s="3"/>
      <c r="E202" s="4"/>
      <c r="F202" s="3" t="n">
        <v>70</v>
      </c>
      <c r="G202" s="3" t="str">
        <f aca="false">IF(F202="","",IF(F202&gt;=Notes!$B$5,"Elderly ("&amp;Notes!$B$5&amp;"+)",IF(F202&lt;=Notes!$B$4,"Student age (≤"&amp;Notes!$B$4&amp;")","Middle-aged ("&amp;(Notes!$B$4+1)&amp;"–"&amp;(Notes!$B$5-1)&amp;")")))</f>
        <v>Elderly (65+)</v>
      </c>
      <c r="H202" s="3" t="s">
        <v>83</v>
      </c>
      <c r="I202" s="3" t="s">
        <v>71</v>
      </c>
      <c r="J202" s="3" t="s">
        <v>47</v>
      </c>
      <c r="K202" s="3" t="s">
        <v>72</v>
      </c>
      <c r="L202" s="3" t="s">
        <v>837</v>
      </c>
      <c r="M202" s="3" t="s">
        <v>47</v>
      </c>
      <c r="N202" s="3" t="s">
        <v>838</v>
      </c>
      <c r="O202" s="3" t="s">
        <v>2208</v>
      </c>
      <c r="P202" s="3" t="n">
        <v>25</v>
      </c>
      <c r="Q202" s="3" t="s">
        <v>117</v>
      </c>
      <c r="R202" s="3" t="s">
        <v>130</v>
      </c>
      <c r="S202" s="3" t="s">
        <v>2209</v>
      </c>
      <c r="T202" s="3"/>
      <c r="U202" s="3" t="s">
        <v>2210</v>
      </c>
      <c r="V202" s="3" t="s">
        <v>2211</v>
      </c>
      <c r="W202" s="3" t="s">
        <v>2212</v>
      </c>
      <c r="X202" s="5" t="s">
        <v>2213</v>
      </c>
      <c r="Y202" s="3" t="n">
        <v>2</v>
      </c>
      <c r="Z202" s="3" t="n">
        <v>1</v>
      </c>
      <c r="AA202" s="3" t="n">
        <v>1</v>
      </c>
      <c r="AB202" s="3" t="n">
        <v>2</v>
      </c>
      <c r="AC202" s="3" t="n">
        <v>1</v>
      </c>
      <c r="AD202" s="3" t="n">
        <v>1</v>
      </c>
      <c r="AE202" s="3" t="s">
        <v>2214</v>
      </c>
      <c r="AF202" s="3"/>
      <c r="AG202" s="3" t="s">
        <v>2215</v>
      </c>
      <c r="AH202" s="3"/>
      <c r="AI202" s="3" t="s">
        <v>1845</v>
      </c>
      <c r="AJ202" s="3" t="s">
        <v>59</v>
      </c>
      <c r="AK202" s="3"/>
      <c r="AL202" s="3"/>
      <c r="AM202" s="3" t="n">
        <v>5</v>
      </c>
      <c r="AN202" s="3"/>
      <c r="AO202" s="3"/>
      <c r="AP202" s="3" t="n">
        <v>5</v>
      </c>
      <c r="AQ202" s="3"/>
      <c r="AR202" s="3" t="s">
        <v>81</v>
      </c>
    </row>
    <row r="203" customFormat="false" ht="15" hidden="false" customHeight="true" outlineLevel="0" collapsed="false">
      <c r="A203" s="3" t="s">
        <v>2216</v>
      </c>
      <c r="B203" s="3" t="n">
        <v>3</v>
      </c>
      <c r="C203" s="3" t="n">
        <v>79</v>
      </c>
      <c r="D203" s="3"/>
      <c r="E203" s="4"/>
      <c r="F203" s="3" t="n">
        <v>60</v>
      </c>
      <c r="G203" s="3" t="str">
        <f aca="false">IF(F203="","",IF(F203&gt;=Notes!$B$5,"Elderly ("&amp;Notes!$B$5&amp;"+)",IF(F203&lt;=Notes!$B$4,"Student age (≤"&amp;Notes!$B$4&amp;")","Middle-aged ("&amp;(Notes!$B$4+1)&amp;"–"&amp;(Notes!$B$5-1)&amp;")")))</f>
        <v>Middle-aged (30–64)</v>
      </c>
      <c r="H203" s="3" t="s">
        <v>45</v>
      </c>
      <c r="I203" s="3" t="s">
        <v>71</v>
      </c>
      <c r="J203" s="3" t="s">
        <v>47</v>
      </c>
      <c r="K203" s="3" t="s">
        <v>72</v>
      </c>
      <c r="L203" s="3" t="s">
        <v>71</v>
      </c>
      <c r="M203" s="3" t="s">
        <v>47</v>
      </c>
      <c r="N203" s="3" t="s">
        <v>72</v>
      </c>
      <c r="O203" s="3" t="s">
        <v>2217</v>
      </c>
      <c r="P203" s="3" t="n">
        <v>30</v>
      </c>
      <c r="Q203" s="3" t="s">
        <v>117</v>
      </c>
      <c r="R203" s="3" t="s">
        <v>2218</v>
      </c>
      <c r="S203" s="3" t="s">
        <v>2219</v>
      </c>
      <c r="T203" s="3"/>
      <c r="U203" s="3" t="s">
        <v>2220</v>
      </c>
      <c r="V203" s="3" t="s">
        <v>2221</v>
      </c>
      <c r="W203" s="3" t="s">
        <v>2222</v>
      </c>
      <c r="X203" s="5" t="s">
        <v>2223</v>
      </c>
      <c r="Y203" s="3" t="n">
        <v>3</v>
      </c>
      <c r="Z203" s="3" t="n">
        <v>1</v>
      </c>
      <c r="AA203" s="3" t="n">
        <v>2</v>
      </c>
      <c r="AB203" s="3" t="n">
        <v>3</v>
      </c>
      <c r="AC203" s="3" t="n">
        <v>2</v>
      </c>
      <c r="AD203" s="3" t="n">
        <v>1</v>
      </c>
      <c r="AE203" s="3" t="s">
        <v>2224</v>
      </c>
      <c r="AF203" s="3"/>
      <c r="AG203" s="3" t="s">
        <v>1659</v>
      </c>
      <c r="AH203" s="3"/>
      <c r="AI203" s="3" t="s">
        <v>2225</v>
      </c>
      <c r="AJ203" s="3"/>
      <c r="AK203" s="3" t="s">
        <v>2226</v>
      </c>
      <c r="AL203" s="3"/>
      <c r="AM203" s="3" t="n">
        <v>5</v>
      </c>
      <c r="AN203" s="3"/>
      <c r="AO203" s="3"/>
      <c r="AP203" s="3" t="n">
        <v>5</v>
      </c>
      <c r="AQ203" s="3"/>
      <c r="AR203" s="3"/>
    </row>
    <row r="204" customFormat="false" ht="15" hidden="false" customHeight="true" outlineLevel="0" collapsed="false">
      <c r="A204" s="3" t="s">
        <v>2227</v>
      </c>
      <c r="B204" s="3" t="n">
        <v>3</v>
      </c>
      <c r="C204" s="3" t="n">
        <v>80</v>
      </c>
      <c r="D204" s="3"/>
      <c r="E204" s="4"/>
      <c r="F204" s="3" t="n">
        <v>21</v>
      </c>
      <c r="G204" s="3" t="str">
        <f aca="false">IF(F204="","",IF(F204&gt;=Notes!$B$5,"Elderly ("&amp;Notes!$B$5&amp;"+)",IF(F204&lt;=Notes!$B$4,"Student age (≤"&amp;Notes!$B$4&amp;")","Middle-aged ("&amp;(Notes!$B$4+1)&amp;"–"&amp;(Notes!$B$5-1)&amp;")")))</f>
        <v>Student age (≤29)</v>
      </c>
      <c r="H204" s="3" t="s">
        <v>83</v>
      </c>
      <c r="I204" s="3" t="s">
        <v>2228</v>
      </c>
      <c r="J204" s="3" t="s">
        <v>47</v>
      </c>
      <c r="K204" s="3" t="s">
        <v>2229</v>
      </c>
      <c r="L204" s="3" t="s">
        <v>49</v>
      </c>
      <c r="M204" s="3" t="s">
        <v>47</v>
      </c>
      <c r="N204" s="3" t="s">
        <v>50</v>
      </c>
      <c r="O204" s="3" t="s">
        <v>104</v>
      </c>
      <c r="P204" s="3" t="n">
        <v>30</v>
      </c>
      <c r="Q204" s="3" t="s">
        <v>117</v>
      </c>
      <c r="R204" s="3" t="s">
        <v>2230</v>
      </c>
      <c r="S204" s="3" t="s">
        <v>2231</v>
      </c>
      <c r="T204" s="3"/>
      <c r="U204" s="3" t="s">
        <v>2232</v>
      </c>
      <c r="V204" s="3" t="s">
        <v>2233</v>
      </c>
      <c r="W204" s="3" t="s">
        <v>2234</v>
      </c>
      <c r="X204" s="5" t="s">
        <v>2235</v>
      </c>
      <c r="Y204" s="3" t="n">
        <v>2</v>
      </c>
      <c r="Z204" s="3" t="n">
        <v>1</v>
      </c>
      <c r="AA204" s="3" t="n">
        <v>3</v>
      </c>
      <c r="AB204" s="3" t="n">
        <v>2</v>
      </c>
      <c r="AC204" s="3" t="n">
        <v>1</v>
      </c>
      <c r="AD204" s="3" t="n">
        <v>3</v>
      </c>
      <c r="AE204" s="3" t="s">
        <v>2236</v>
      </c>
      <c r="AF204" s="3"/>
      <c r="AG204" s="3" t="s">
        <v>2237</v>
      </c>
      <c r="AH204" s="3"/>
      <c r="AI204" s="3" t="s">
        <v>2238</v>
      </c>
      <c r="AJ204" s="3"/>
      <c r="AK204" s="3" t="s">
        <v>2239</v>
      </c>
      <c r="AL204" s="3"/>
      <c r="AM204" s="3" t="n">
        <v>3</v>
      </c>
      <c r="AN204" s="3"/>
      <c r="AO204" s="3"/>
      <c r="AP204" s="3" t="n">
        <v>3</v>
      </c>
      <c r="AQ204" s="3"/>
      <c r="AR204" s="3"/>
    </row>
    <row r="205" customFormat="false" ht="15" hidden="false" customHeight="true" outlineLevel="0" collapsed="false">
      <c r="A205" s="3" t="s">
        <v>2240</v>
      </c>
      <c r="B205" s="3" t="n">
        <v>3</v>
      </c>
      <c r="C205" s="3" t="n">
        <v>81</v>
      </c>
      <c r="D205" s="3"/>
      <c r="E205" s="4"/>
      <c r="F205" s="3" t="n">
        <v>45</v>
      </c>
      <c r="G205" s="3" t="str">
        <f aca="false">IF(F205="","",IF(F205&gt;=Notes!$B$5,"Elderly ("&amp;Notes!$B$5&amp;"+)",IF(F205&lt;=Notes!$B$4,"Student age (≤"&amp;Notes!$B$4&amp;")","Middle-aged ("&amp;(Notes!$B$4+1)&amp;"–"&amp;(Notes!$B$5-1)&amp;")")))</f>
        <v>Middle-aged (30–64)</v>
      </c>
      <c r="H205" s="3" t="s">
        <v>45</v>
      </c>
      <c r="I205" s="3"/>
      <c r="J205" s="3" t="s">
        <v>437</v>
      </c>
      <c r="K205" s="3" t="s">
        <v>437</v>
      </c>
      <c r="L205" s="3"/>
      <c r="M205" s="3" t="s">
        <v>437</v>
      </c>
      <c r="N205" s="3" t="s">
        <v>437</v>
      </c>
      <c r="O205" s="3" t="s">
        <v>2241</v>
      </c>
      <c r="P205" s="3"/>
      <c r="Q205" s="3" t="s">
        <v>2242</v>
      </c>
      <c r="R205" s="3" t="s">
        <v>2243</v>
      </c>
      <c r="S205" s="3" t="s">
        <v>2244</v>
      </c>
      <c r="T205" s="3"/>
      <c r="U205" s="3" t="s">
        <v>98</v>
      </c>
      <c r="V205" s="3" t="s">
        <v>2245</v>
      </c>
      <c r="W205" s="3" t="s">
        <v>2246</v>
      </c>
      <c r="X205" s="3" t="s">
        <v>2247</v>
      </c>
      <c r="Y205" s="3" t="n">
        <v>3</v>
      </c>
      <c r="Z205" s="3" t="n">
        <v>1</v>
      </c>
      <c r="AA205" s="3" t="n">
        <v>2</v>
      </c>
      <c r="AB205" s="3" t="n">
        <v>3</v>
      </c>
      <c r="AC205" s="3" t="n">
        <v>1</v>
      </c>
      <c r="AD205" s="3" t="n">
        <v>2</v>
      </c>
      <c r="AE205" s="3" t="s">
        <v>2248</v>
      </c>
      <c r="AF205" s="3"/>
      <c r="AG205" s="3" t="s">
        <v>2249</v>
      </c>
      <c r="AH205" s="3"/>
      <c r="AI205" s="3" t="s">
        <v>2250</v>
      </c>
      <c r="AJ205" s="3" t="s">
        <v>59</v>
      </c>
      <c r="AK205" s="3" t="s">
        <v>2251</v>
      </c>
      <c r="AL205" s="3"/>
      <c r="AM205" s="3" t="n">
        <v>2</v>
      </c>
      <c r="AN205" s="3"/>
      <c r="AO205" s="3"/>
      <c r="AP205" s="3" t="n">
        <v>5</v>
      </c>
      <c r="AQ205" s="3"/>
      <c r="AR205" s="3"/>
    </row>
    <row r="206" customFormat="false" ht="15" hidden="false" customHeight="true" outlineLevel="0" collapsed="false">
      <c r="A206" s="3" t="s">
        <v>2252</v>
      </c>
      <c r="B206" s="3" t="n">
        <v>3</v>
      </c>
      <c r="C206" s="3" t="n">
        <v>82</v>
      </c>
      <c r="D206" s="3"/>
      <c r="E206" s="4"/>
      <c r="F206" s="3" t="n">
        <v>56</v>
      </c>
      <c r="G206" s="3" t="str">
        <f aca="false">IF(F206="","",IF(F206&gt;=Notes!$B$5,"Elderly ("&amp;Notes!$B$5&amp;"+)",IF(F206&lt;=Notes!$B$4,"Student age (≤"&amp;Notes!$B$4&amp;")","Middle-aged ("&amp;(Notes!$B$4+1)&amp;"–"&amp;(Notes!$B$5-1)&amp;")")))</f>
        <v>Middle-aged (30–64)</v>
      </c>
      <c r="H206" s="3" t="s">
        <v>45</v>
      </c>
      <c r="I206" s="3"/>
      <c r="J206" s="3" t="s">
        <v>437</v>
      </c>
      <c r="K206" s="3" t="s">
        <v>437</v>
      </c>
      <c r="L206" s="3" t="s">
        <v>436</v>
      </c>
      <c r="M206" s="3" t="s">
        <v>437</v>
      </c>
      <c r="N206" s="3" t="s">
        <v>438</v>
      </c>
      <c r="O206" s="3" t="s">
        <v>2253</v>
      </c>
      <c r="P206" s="3" t="n">
        <v>60</v>
      </c>
      <c r="Q206" s="3" t="s">
        <v>52</v>
      </c>
      <c r="R206" s="3" t="s">
        <v>2254</v>
      </c>
      <c r="S206" s="3" t="s">
        <v>2255</v>
      </c>
      <c r="T206" s="3"/>
      <c r="U206" s="3" t="s">
        <v>59</v>
      </c>
      <c r="V206" s="3" t="s">
        <v>2256</v>
      </c>
      <c r="W206" s="3" t="s">
        <v>2257</v>
      </c>
      <c r="X206" s="3" t="s">
        <v>2258</v>
      </c>
      <c r="Y206" s="3" t="n">
        <v>1</v>
      </c>
      <c r="Z206" s="3" t="n">
        <v>2</v>
      </c>
      <c r="AA206" s="3" t="n">
        <v>3</v>
      </c>
      <c r="AB206" s="3" t="n">
        <v>1</v>
      </c>
      <c r="AC206" s="3" t="n">
        <v>2</v>
      </c>
      <c r="AD206" s="3" t="n">
        <v>3</v>
      </c>
      <c r="AE206" s="3" t="s">
        <v>2259</v>
      </c>
      <c r="AF206" s="3"/>
      <c r="AG206" s="3" t="s">
        <v>1787</v>
      </c>
      <c r="AH206" s="3"/>
      <c r="AI206" s="3" t="s">
        <v>1787</v>
      </c>
      <c r="AJ206" s="3"/>
      <c r="AK206" s="3" t="s">
        <v>2260</v>
      </c>
      <c r="AL206" s="3"/>
      <c r="AM206" s="3" t="n">
        <v>4</v>
      </c>
      <c r="AN206" s="3"/>
      <c r="AO206" s="3"/>
      <c r="AP206" s="3" t="n">
        <v>5</v>
      </c>
      <c r="AQ206" s="3"/>
      <c r="AR206" s="3"/>
    </row>
    <row r="207" customFormat="false" ht="15" hidden="false" customHeight="true" outlineLevel="0" collapsed="false">
      <c r="A207" s="3" t="s">
        <v>2261</v>
      </c>
      <c r="B207" s="3" t="n">
        <v>3</v>
      </c>
      <c r="C207" s="3" t="n">
        <v>83</v>
      </c>
      <c r="D207" s="3"/>
      <c r="E207" s="4"/>
      <c r="F207" s="3" t="n">
        <v>45</v>
      </c>
      <c r="G207" s="3" t="str">
        <f aca="false">IF(F207="","",IF(F207&gt;=Notes!$B$5,"Elderly ("&amp;Notes!$B$5&amp;"+)",IF(F207&lt;=Notes!$B$4,"Student age (≤"&amp;Notes!$B$4&amp;")","Middle-aged ("&amp;(Notes!$B$4+1)&amp;"–"&amp;(Notes!$B$5-1)&amp;")")))</f>
        <v>Middle-aged (30–64)</v>
      </c>
      <c r="H207" s="3" t="s">
        <v>83</v>
      </c>
      <c r="I207" s="3"/>
      <c r="J207" s="3" t="s">
        <v>437</v>
      </c>
      <c r="K207" s="3" t="s">
        <v>437</v>
      </c>
      <c r="L207" s="3"/>
      <c r="M207" s="3" t="s">
        <v>437</v>
      </c>
      <c r="N207" s="3" t="s">
        <v>437</v>
      </c>
      <c r="O207" s="3" t="s">
        <v>2262</v>
      </c>
      <c r="P207" s="3" t="n">
        <v>30</v>
      </c>
      <c r="Q207" s="3" t="s">
        <v>117</v>
      </c>
      <c r="R207" s="3" t="s">
        <v>2254</v>
      </c>
      <c r="S207" s="3" t="s">
        <v>2263</v>
      </c>
      <c r="T207" s="3"/>
      <c r="U207" s="3" t="s">
        <v>98</v>
      </c>
      <c r="V207" s="3" t="s">
        <v>2264</v>
      </c>
      <c r="W207" s="3" t="s">
        <v>2265</v>
      </c>
      <c r="X207" s="3" t="s">
        <v>2266</v>
      </c>
      <c r="Y207" s="3" t="n">
        <v>3</v>
      </c>
      <c r="Z207" s="3" t="n">
        <v>1</v>
      </c>
      <c r="AA207" s="3" t="n">
        <v>2</v>
      </c>
      <c r="AB207" s="3" t="n">
        <v>3</v>
      </c>
      <c r="AC207" s="3" t="n">
        <v>1</v>
      </c>
      <c r="AD207" s="3" t="n">
        <v>2</v>
      </c>
      <c r="AE207" s="3" t="s">
        <v>2267</v>
      </c>
      <c r="AF207" s="3"/>
      <c r="AG207" s="3" t="s">
        <v>2268</v>
      </c>
      <c r="AH207" s="3"/>
      <c r="AI207" s="3" t="s">
        <v>2269</v>
      </c>
      <c r="AJ207" s="3" t="s">
        <v>59</v>
      </c>
      <c r="AK207" s="3" t="s">
        <v>2270</v>
      </c>
      <c r="AL207" s="3"/>
      <c r="AM207" s="3" t="n">
        <v>5</v>
      </c>
      <c r="AN207" s="3"/>
      <c r="AO207" s="3"/>
      <c r="AP207" s="3" t="n">
        <v>5</v>
      </c>
      <c r="AQ207" s="3"/>
      <c r="AR207" s="3"/>
    </row>
    <row r="208" customFormat="false" ht="15" hidden="false" customHeight="true" outlineLevel="0" collapsed="false">
      <c r="A208" s="3" t="s">
        <v>2271</v>
      </c>
      <c r="B208" s="3" t="n">
        <v>3</v>
      </c>
      <c r="C208" s="3" t="n">
        <v>84</v>
      </c>
      <c r="D208" s="3"/>
      <c r="E208" s="4"/>
      <c r="F208" s="3" t="n">
        <v>46</v>
      </c>
      <c r="G208" s="3" t="str">
        <f aca="false">IF(F208="","",IF(F208&gt;=Notes!$B$5,"Elderly ("&amp;Notes!$B$5&amp;"+)",IF(F208&lt;=Notes!$B$4,"Student age (≤"&amp;Notes!$B$4&amp;")","Middle-aged ("&amp;(Notes!$B$4+1)&amp;"–"&amp;(Notes!$B$5-1)&amp;")")))</f>
        <v>Middle-aged (30–64)</v>
      </c>
      <c r="H208" s="3" t="s">
        <v>45</v>
      </c>
      <c r="I208" s="3"/>
      <c r="J208" s="3" t="s">
        <v>437</v>
      </c>
      <c r="K208" s="3" t="s">
        <v>437</v>
      </c>
      <c r="L208" s="3"/>
      <c r="M208" s="3" t="s">
        <v>437</v>
      </c>
      <c r="N208" s="3" t="s">
        <v>437</v>
      </c>
      <c r="O208" s="3" t="s">
        <v>2272</v>
      </c>
      <c r="P208" s="3" t="n">
        <v>20</v>
      </c>
      <c r="Q208" s="3" t="s">
        <v>95</v>
      </c>
      <c r="R208" s="3" t="s">
        <v>2273</v>
      </c>
      <c r="S208" s="3" t="s">
        <v>2274</v>
      </c>
      <c r="T208" s="3"/>
      <c r="U208" s="3" t="s">
        <v>59</v>
      </c>
      <c r="V208" s="3" t="s">
        <v>2275</v>
      </c>
      <c r="W208" s="3" t="s">
        <v>2276</v>
      </c>
      <c r="X208" s="3" t="s">
        <v>2277</v>
      </c>
      <c r="Y208" s="3" t="n">
        <v>2</v>
      </c>
      <c r="Z208" s="3" t="n">
        <v>1</v>
      </c>
      <c r="AA208" s="3" t="n">
        <v>3</v>
      </c>
      <c r="AB208" s="3" t="n">
        <v>2</v>
      </c>
      <c r="AC208" s="3" t="n">
        <v>1</v>
      </c>
      <c r="AD208" s="3" t="n">
        <v>3</v>
      </c>
      <c r="AE208" s="3" t="s">
        <v>2278</v>
      </c>
      <c r="AF208" s="3"/>
      <c r="AG208" s="3" t="s">
        <v>2279</v>
      </c>
      <c r="AH208" s="3"/>
      <c r="AI208" s="3" t="s">
        <v>2280</v>
      </c>
      <c r="AJ208" s="3" t="s">
        <v>98</v>
      </c>
      <c r="AK208" s="3" t="s">
        <v>2281</v>
      </c>
      <c r="AL208" s="3"/>
      <c r="AM208" s="3" t="n">
        <v>3</v>
      </c>
      <c r="AN208" s="3"/>
      <c r="AO208" s="3"/>
      <c r="AP208" s="3" t="n">
        <v>5</v>
      </c>
      <c r="AQ208" s="3"/>
      <c r="AR208" s="3"/>
    </row>
    <row r="209" customFormat="false" ht="15" hidden="false" customHeight="true" outlineLevel="0" collapsed="false">
      <c r="A209" s="3" t="s">
        <v>2282</v>
      </c>
      <c r="B209" s="3" t="n">
        <v>3</v>
      </c>
      <c r="C209" s="3" t="n">
        <v>85</v>
      </c>
      <c r="D209" s="3"/>
      <c r="E209" s="4"/>
      <c r="F209" s="3" t="n">
        <v>40</v>
      </c>
      <c r="G209" s="3" t="str">
        <f aca="false">IF(F209="","",IF(F209&gt;=Notes!$B$5,"Elderly ("&amp;Notes!$B$5&amp;"+)",IF(F209&lt;=Notes!$B$4,"Student age (≤"&amp;Notes!$B$4&amp;")","Middle-aged ("&amp;(Notes!$B$4+1)&amp;"–"&amp;(Notes!$B$5-1)&amp;")")))</f>
        <v>Middle-aged (30–64)</v>
      </c>
      <c r="H209" s="3" t="s">
        <v>45</v>
      </c>
      <c r="I209" s="3"/>
      <c r="J209" s="3" t="s">
        <v>437</v>
      </c>
      <c r="K209" s="3" t="s">
        <v>437</v>
      </c>
      <c r="L209" s="3"/>
      <c r="M209" s="3" t="s">
        <v>437</v>
      </c>
      <c r="N209" s="3" t="s">
        <v>437</v>
      </c>
      <c r="O209" s="3" t="s">
        <v>2283</v>
      </c>
      <c r="P209" s="3" t="n">
        <v>30</v>
      </c>
      <c r="Q209" s="3" t="s">
        <v>117</v>
      </c>
      <c r="R209" s="3" t="s">
        <v>2284</v>
      </c>
      <c r="S209" s="3" t="s">
        <v>2285</v>
      </c>
      <c r="T209" s="3"/>
      <c r="U209" s="3" t="s">
        <v>2286</v>
      </c>
      <c r="V209" s="3" t="s">
        <v>2287</v>
      </c>
      <c r="W209" s="3" t="s">
        <v>2288</v>
      </c>
      <c r="X209" s="3" t="s">
        <v>2289</v>
      </c>
      <c r="Y209" s="3" t="n">
        <v>2</v>
      </c>
      <c r="Z209" s="3" t="n">
        <v>3</v>
      </c>
      <c r="AA209" s="3" t="n">
        <v>1</v>
      </c>
      <c r="AB209" s="3" t="n">
        <v>2</v>
      </c>
      <c r="AC209" s="3" t="n">
        <v>3</v>
      </c>
      <c r="AD209" s="3" t="n">
        <v>1</v>
      </c>
      <c r="AE209" s="3" t="s">
        <v>2290</v>
      </c>
      <c r="AF209" s="3"/>
      <c r="AG209" s="3" t="s">
        <v>2291</v>
      </c>
      <c r="AH209" s="3"/>
      <c r="AI209" s="3" t="s">
        <v>2292</v>
      </c>
      <c r="AJ209" s="3" t="s">
        <v>98</v>
      </c>
      <c r="AK209" s="3"/>
      <c r="AL209" s="3"/>
      <c r="AM209" s="3" t="n">
        <v>5</v>
      </c>
      <c r="AN209" s="3"/>
      <c r="AO209" s="3"/>
      <c r="AP209" s="3" t="n">
        <v>5</v>
      </c>
      <c r="AQ209" s="3"/>
      <c r="AR209" s="3"/>
    </row>
    <row r="210" customFormat="false" ht="15" hidden="false" customHeight="true" outlineLevel="0" collapsed="false">
      <c r="A210" s="3" t="s">
        <v>2293</v>
      </c>
      <c r="B210" s="3" t="n">
        <v>3</v>
      </c>
      <c r="C210" s="3" t="n">
        <v>86</v>
      </c>
      <c r="D210" s="3"/>
      <c r="E210" s="4"/>
      <c r="F210" s="3" t="n">
        <v>46</v>
      </c>
      <c r="G210" s="3" t="str">
        <f aca="false">IF(F210="","",IF(F210&gt;=Notes!$B$5,"Elderly ("&amp;Notes!$B$5&amp;"+)",IF(F210&lt;=Notes!$B$4,"Student age (≤"&amp;Notes!$B$4&amp;")","Middle-aged ("&amp;(Notes!$B$4+1)&amp;"–"&amp;(Notes!$B$5-1)&amp;")")))</f>
        <v>Middle-aged (30–64)</v>
      </c>
      <c r="H210" s="3" t="s">
        <v>45</v>
      </c>
      <c r="I210" s="3"/>
      <c r="J210" s="3" t="s">
        <v>437</v>
      </c>
      <c r="K210" s="3" t="s">
        <v>437</v>
      </c>
      <c r="L210" s="3"/>
      <c r="M210" s="3" t="s">
        <v>437</v>
      </c>
      <c r="N210" s="3" t="s">
        <v>437</v>
      </c>
      <c r="O210" s="3" t="s">
        <v>2272</v>
      </c>
      <c r="P210" s="3" t="n">
        <v>30</v>
      </c>
      <c r="Q210" s="3" t="s">
        <v>117</v>
      </c>
      <c r="R210" s="3" t="s">
        <v>2294</v>
      </c>
      <c r="S210" s="3" t="s">
        <v>2295</v>
      </c>
      <c r="T210" s="3"/>
      <c r="U210" s="3" t="s">
        <v>2296</v>
      </c>
      <c r="V210" s="3" t="s">
        <v>2297</v>
      </c>
      <c r="W210" s="3" t="s">
        <v>2298</v>
      </c>
      <c r="X210" s="3" t="s">
        <v>2299</v>
      </c>
      <c r="Y210" s="3" t="n">
        <v>3</v>
      </c>
      <c r="Z210" s="3" t="n">
        <v>2</v>
      </c>
      <c r="AA210" s="3" t="n">
        <v>1</v>
      </c>
      <c r="AB210" s="3" t="n">
        <v>3</v>
      </c>
      <c r="AC210" s="3" t="n">
        <v>2</v>
      </c>
      <c r="AD210" s="3" t="n">
        <v>1</v>
      </c>
      <c r="AE210" s="3" t="s">
        <v>2300</v>
      </c>
      <c r="AF210" s="3"/>
      <c r="AG210" s="3" t="s">
        <v>2301</v>
      </c>
      <c r="AH210" s="3"/>
      <c r="AI210" s="3" t="s">
        <v>2302</v>
      </c>
      <c r="AJ210" s="3" t="s">
        <v>59</v>
      </c>
      <c r="AK210" s="3" t="s">
        <v>2303</v>
      </c>
      <c r="AL210" s="3"/>
      <c r="AM210" s="3" t="n">
        <v>5</v>
      </c>
      <c r="AN210" s="3"/>
      <c r="AO210" s="3"/>
      <c r="AP210" s="3" t="n">
        <v>5</v>
      </c>
      <c r="AQ210" s="3"/>
      <c r="AR210" s="3"/>
    </row>
    <row r="211" customFormat="false" ht="15" hidden="false" customHeight="true" outlineLevel="0" collapsed="false">
      <c r="A211" s="3" t="s">
        <v>2304</v>
      </c>
      <c r="B211" s="3" t="n">
        <v>3</v>
      </c>
      <c r="C211" s="3" t="n">
        <v>87</v>
      </c>
      <c r="D211" s="3"/>
      <c r="E211" s="4"/>
      <c r="F211" s="3" t="n">
        <v>38</v>
      </c>
      <c r="G211" s="3" t="str">
        <f aca="false">IF(F211="","",IF(F211&gt;=Notes!$B$5,"Elderly ("&amp;Notes!$B$5&amp;"+)",IF(F211&lt;=Notes!$B$4,"Student age (≤"&amp;Notes!$B$4&amp;")","Middle-aged ("&amp;(Notes!$B$4+1)&amp;"–"&amp;(Notes!$B$5-1)&amp;")")))</f>
        <v>Middle-aged (30–64)</v>
      </c>
      <c r="H211" s="3" t="s">
        <v>45</v>
      </c>
      <c r="I211" s="3"/>
      <c r="J211" s="3" t="s">
        <v>437</v>
      </c>
      <c r="K211" s="3" t="s">
        <v>437</v>
      </c>
      <c r="L211" s="3"/>
      <c r="M211" s="3" t="s">
        <v>437</v>
      </c>
      <c r="N211" s="3" t="s">
        <v>437</v>
      </c>
      <c r="O211" s="3" t="s">
        <v>2305</v>
      </c>
      <c r="P211" s="3" t="n">
        <v>60</v>
      </c>
      <c r="Q211" s="3" t="s">
        <v>52</v>
      </c>
      <c r="R211" s="3" t="s">
        <v>2306</v>
      </c>
      <c r="S211" s="3" t="s">
        <v>2307</v>
      </c>
      <c r="T211" s="3"/>
      <c r="U211" s="3" t="s">
        <v>2308</v>
      </c>
      <c r="V211" s="3" t="s">
        <v>2309</v>
      </c>
      <c r="W211" s="3" t="s">
        <v>2310</v>
      </c>
      <c r="X211" s="3" t="s">
        <v>2311</v>
      </c>
      <c r="Y211" s="3" t="n">
        <v>2</v>
      </c>
      <c r="Z211" s="3" t="n">
        <v>3</v>
      </c>
      <c r="AA211" s="3" t="n">
        <v>1</v>
      </c>
      <c r="AB211" s="3" t="n">
        <v>2</v>
      </c>
      <c r="AC211" s="3" t="n">
        <v>3</v>
      </c>
      <c r="AD211" s="3" t="n">
        <v>1</v>
      </c>
      <c r="AE211" s="3" t="s">
        <v>2312</v>
      </c>
      <c r="AF211" s="3"/>
      <c r="AG211" s="3" t="s">
        <v>2313</v>
      </c>
      <c r="AH211" s="3"/>
      <c r="AI211" s="3" t="s">
        <v>1768</v>
      </c>
      <c r="AJ211" s="3"/>
      <c r="AK211" s="3" t="s">
        <v>1768</v>
      </c>
      <c r="AL211" s="3"/>
      <c r="AM211" s="3" t="n">
        <v>5</v>
      </c>
      <c r="AN211" s="3"/>
      <c r="AO211" s="3"/>
      <c r="AP211" s="3" t="n">
        <v>5</v>
      </c>
      <c r="AQ211" s="3"/>
      <c r="AR211" s="3"/>
    </row>
    <row r="212" customFormat="false" ht="15" hidden="false" customHeight="true" outlineLevel="0" collapsed="false">
      <c r="A212" s="3" t="s">
        <v>2314</v>
      </c>
      <c r="B212" s="3" t="n">
        <v>3</v>
      </c>
      <c r="C212" s="3" t="n">
        <v>88</v>
      </c>
      <c r="D212" s="3"/>
      <c r="E212" s="4"/>
      <c r="F212" s="3" t="n">
        <v>49</v>
      </c>
      <c r="G212" s="3" t="str">
        <f aca="false">IF(F212="","",IF(F212&gt;=Notes!$B$5,"Elderly ("&amp;Notes!$B$5&amp;"+)",IF(F212&lt;=Notes!$B$4,"Student age (≤"&amp;Notes!$B$4&amp;")","Middle-aged ("&amp;(Notes!$B$4+1)&amp;"–"&amp;(Notes!$B$5-1)&amp;")")))</f>
        <v>Middle-aged (30–64)</v>
      </c>
      <c r="H212" s="3" t="s">
        <v>45</v>
      </c>
      <c r="I212" s="3"/>
      <c r="J212" s="3" t="s">
        <v>437</v>
      </c>
      <c r="K212" s="3" t="s">
        <v>437</v>
      </c>
      <c r="L212" s="3"/>
      <c r="M212" s="3" t="s">
        <v>437</v>
      </c>
      <c r="N212" s="3" t="s">
        <v>437</v>
      </c>
      <c r="O212" s="3" t="s">
        <v>2315</v>
      </c>
      <c r="P212" s="3" t="n">
        <v>40</v>
      </c>
      <c r="Q212" s="3" t="s">
        <v>52</v>
      </c>
      <c r="R212" s="3" t="s">
        <v>2316</v>
      </c>
      <c r="S212" s="3" t="s">
        <v>2317</v>
      </c>
      <c r="T212" s="3"/>
      <c r="U212" s="3" t="s">
        <v>2318</v>
      </c>
      <c r="V212" s="3" t="s">
        <v>2319</v>
      </c>
      <c r="W212" s="3" t="s">
        <v>2320</v>
      </c>
      <c r="X212" s="3" t="s">
        <v>2321</v>
      </c>
      <c r="Y212" s="3" t="n">
        <v>2</v>
      </c>
      <c r="Z212" s="3" t="n">
        <v>1</v>
      </c>
      <c r="AA212" s="3" t="n">
        <v>3</v>
      </c>
      <c r="AB212" s="3" t="n">
        <v>3</v>
      </c>
      <c r="AC212" s="3" t="n">
        <v>1</v>
      </c>
      <c r="AD212" s="3" t="n">
        <v>2</v>
      </c>
      <c r="AE212" s="3" t="s">
        <v>2322</v>
      </c>
      <c r="AF212" s="3"/>
      <c r="AG212" s="3" t="s">
        <v>2323</v>
      </c>
      <c r="AH212" s="3"/>
      <c r="AI212" s="3" t="s">
        <v>2324</v>
      </c>
      <c r="AJ212" s="3"/>
      <c r="AK212" s="3" t="s">
        <v>2325</v>
      </c>
      <c r="AL212" s="3"/>
      <c r="AM212" s="3" t="n">
        <v>5</v>
      </c>
      <c r="AN212" s="3"/>
      <c r="AO212" s="3"/>
      <c r="AP212" s="3" t="n">
        <v>5</v>
      </c>
      <c r="AQ212" s="3"/>
      <c r="AR212" s="3"/>
    </row>
    <row r="213" customFormat="false" ht="15" hidden="false" customHeight="true" outlineLevel="0" collapsed="false">
      <c r="A213" s="3" t="s">
        <v>2326</v>
      </c>
      <c r="B213" s="3" t="n">
        <v>3</v>
      </c>
      <c r="C213" s="3" t="n">
        <v>89</v>
      </c>
      <c r="D213" s="3"/>
      <c r="E213" s="4"/>
      <c r="F213" s="3" t="n">
        <v>50</v>
      </c>
      <c r="G213" s="3" t="str">
        <f aca="false">IF(F213="","",IF(F213&gt;=Notes!$B$5,"Elderly ("&amp;Notes!$B$5&amp;"+)",IF(F213&lt;=Notes!$B$4,"Student age (≤"&amp;Notes!$B$4&amp;")","Middle-aged ("&amp;(Notes!$B$4+1)&amp;"–"&amp;(Notes!$B$5-1)&amp;")")))</f>
        <v>Middle-aged (30–64)</v>
      </c>
      <c r="H213" s="3" t="s">
        <v>45</v>
      </c>
      <c r="I213" s="3"/>
      <c r="J213" s="3" t="s">
        <v>437</v>
      </c>
      <c r="K213" s="3" t="s">
        <v>437</v>
      </c>
      <c r="L213" s="3"/>
      <c r="M213" s="3" t="s">
        <v>437</v>
      </c>
      <c r="N213" s="3" t="s">
        <v>437</v>
      </c>
      <c r="O213" s="3" t="s">
        <v>2327</v>
      </c>
      <c r="P213" s="3" t="n">
        <v>30</v>
      </c>
      <c r="Q213" s="3" t="s">
        <v>117</v>
      </c>
      <c r="R213" s="3" t="s">
        <v>2328</v>
      </c>
      <c r="S213" s="3" t="s">
        <v>2329</v>
      </c>
      <c r="T213" s="3"/>
      <c r="U213" s="3" t="s">
        <v>59</v>
      </c>
      <c r="V213" s="3" t="s">
        <v>2330</v>
      </c>
      <c r="W213" s="3" t="s">
        <v>2331</v>
      </c>
      <c r="X213" s="3" t="s">
        <v>2332</v>
      </c>
      <c r="Y213" s="3" t="n">
        <v>3</v>
      </c>
      <c r="Z213" s="3" t="n">
        <v>2</v>
      </c>
      <c r="AA213" s="3" t="n">
        <v>1</v>
      </c>
      <c r="AB213" s="3" t="n">
        <v>1</v>
      </c>
      <c r="AC213" s="3" t="n">
        <v>3</v>
      </c>
      <c r="AD213" s="3" t="n">
        <v>2</v>
      </c>
      <c r="AE213" s="3" t="s">
        <v>2333</v>
      </c>
      <c r="AF213" s="3"/>
      <c r="AG213" s="3" t="s">
        <v>2313</v>
      </c>
      <c r="AH213" s="3"/>
      <c r="AI213" s="3" t="s">
        <v>2334</v>
      </c>
      <c r="AJ213" s="3" t="s">
        <v>59</v>
      </c>
      <c r="AK213" s="3" t="s">
        <v>2335</v>
      </c>
      <c r="AL213" s="3"/>
      <c r="AM213" s="3" t="n">
        <v>1</v>
      </c>
      <c r="AN213" s="3"/>
      <c r="AO213" s="3"/>
      <c r="AP213" s="3" t="n">
        <v>5</v>
      </c>
      <c r="AQ213" s="3"/>
      <c r="AR213" s="3"/>
    </row>
    <row r="214" customFormat="false" ht="15" hidden="false" customHeight="true" outlineLevel="0" collapsed="false">
      <c r="A214" s="3" t="s">
        <v>2336</v>
      </c>
      <c r="B214" s="3" t="n">
        <v>3</v>
      </c>
      <c r="C214" s="3" t="n">
        <v>90</v>
      </c>
      <c r="D214" s="3"/>
      <c r="E214" s="4"/>
      <c r="F214" s="3" t="n">
        <v>42</v>
      </c>
      <c r="G214" s="3" t="str">
        <f aca="false">IF(F214="","",IF(F214&gt;=Notes!$B$5,"Elderly ("&amp;Notes!$B$5&amp;"+)",IF(F214&lt;=Notes!$B$4,"Student age (≤"&amp;Notes!$B$4&amp;")","Middle-aged ("&amp;(Notes!$B$4+1)&amp;"–"&amp;(Notes!$B$5-1)&amp;")")))</f>
        <v>Middle-aged (30–64)</v>
      </c>
      <c r="H214" s="3" t="s">
        <v>45</v>
      </c>
      <c r="I214" s="3"/>
      <c r="J214" s="3" t="s">
        <v>437</v>
      </c>
      <c r="K214" s="3" t="s">
        <v>437</v>
      </c>
      <c r="L214" s="3"/>
      <c r="M214" s="3" t="s">
        <v>437</v>
      </c>
      <c r="N214" s="3" t="s">
        <v>437</v>
      </c>
      <c r="O214" s="3" t="s">
        <v>2337</v>
      </c>
      <c r="P214" s="3" t="n">
        <v>18.5</v>
      </c>
      <c r="Q214" s="3" t="s">
        <v>95</v>
      </c>
      <c r="R214" s="3" t="s">
        <v>2338</v>
      </c>
      <c r="S214" s="3" t="s">
        <v>2339</v>
      </c>
      <c r="T214" s="3"/>
      <c r="U214" s="3" t="s">
        <v>2340</v>
      </c>
      <c r="V214" s="3" t="s">
        <v>2341</v>
      </c>
      <c r="W214" s="3" t="s">
        <v>2342</v>
      </c>
      <c r="X214" s="3" t="s">
        <v>2343</v>
      </c>
      <c r="Y214" s="3" t="n">
        <v>1</v>
      </c>
      <c r="Z214" s="3" t="n">
        <v>3</v>
      </c>
      <c r="AA214" s="3" t="n">
        <v>2</v>
      </c>
      <c r="AB214" s="3" t="n">
        <v>1</v>
      </c>
      <c r="AC214" s="3" t="n">
        <v>2</v>
      </c>
      <c r="AD214" s="3" t="n">
        <v>3</v>
      </c>
      <c r="AE214" s="3" t="s">
        <v>2344</v>
      </c>
      <c r="AF214" s="3"/>
      <c r="AG214" s="3" t="s">
        <v>2345</v>
      </c>
      <c r="AH214" s="3"/>
      <c r="AI214" s="3" t="s">
        <v>2346</v>
      </c>
      <c r="AJ214" s="3"/>
      <c r="AK214" s="3" t="s">
        <v>2347</v>
      </c>
      <c r="AL214" s="3"/>
      <c r="AM214" s="3" t="n">
        <v>5</v>
      </c>
      <c r="AN214" s="3"/>
      <c r="AO214" s="3"/>
      <c r="AP214" s="3" t="n">
        <v>5</v>
      </c>
      <c r="AQ214" s="3"/>
      <c r="AR214" s="3"/>
    </row>
    <row r="215" customFormat="false" ht="15" hidden="false" customHeight="true" outlineLevel="0" collapsed="false">
      <c r="A215" s="3" t="s">
        <v>2348</v>
      </c>
      <c r="B215" s="3" t="n">
        <v>3</v>
      </c>
      <c r="C215" s="3" t="n">
        <v>91</v>
      </c>
      <c r="D215" s="3"/>
      <c r="E215" s="4"/>
      <c r="F215" s="3" t="n">
        <v>50</v>
      </c>
      <c r="G215" s="3" t="str">
        <f aca="false">IF(F215="","",IF(F215&gt;=Notes!$B$5,"Elderly ("&amp;Notes!$B$5&amp;"+)",IF(F215&lt;=Notes!$B$4,"Student age (≤"&amp;Notes!$B$4&amp;")","Middle-aged ("&amp;(Notes!$B$4+1)&amp;"–"&amp;(Notes!$B$5-1)&amp;")")))</f>
        <v>Middle-aged (30–64)</v>
      </c>
      <c r="H215" s="3" t="s">
        <v>45</v>
      </c>
      <c r="I215" s="3"/>
      <c r="J215" s="3" t="s">
        <v>437</v>
      </c>
      <c r="K215" s="3" t="s">
        <v>437</v>
      </c>
      <c r="L215" s="3"/>
      <c r="M215" s="3" t="s">
        <v>437</v>
      </c>
      <c r="N215" s="3" t="s">
        <v>437</v>
      </c>
      <c r="O215" s="3" t="s">
        <v>2349</v>
      </c>
      <c r="P215" s="3" t="n">
        <v>18</v>
      </c>
      <c r="Q215" s="3" t="s">
        <v>95</v>
      </c>
      <c r="R215" s="3" t="s">
        <v>2350</v>
      </c>
      <c r="S215" s="3" t="s">
        <v>2351</v>
      </c>
      <c r="T215" s="3"/>
      <c r="U215" s="3" t="s">
        <v>2352</v>
      </c>
      <c r="V215" s="3" t="s">
        <v>2353</v>
      </c>
      <c r="W215" s="3" t="s">
        <v>2354</v>
      </c>
      <c r="X215" s="3" t="s">
        <v>2355</v>
      </c>
      <c r="Y215" s="3" t="n">
        <v>2</v>
      </c>
      <c r="Z215" s="3" t="n">
        <v>1</v>
      </c>
      <c r="AA215" s="3" t="n">
        <v>3</v>
      </c>
      <c r="AB215" s="3" t="n">
        <v>1</v>
      </c>
      <c r="AC215" s="3" t="n">
        <v>2</v>
      </c>
      <c r="AD215" s="3" t="n">
        <v>3</v>
      </c>
      <c r="AE215" s="3" t="s">
        <v>2356</v>
      </c>
      <c r="AF215" s="3"/>
      <c r="AG215" s="3" t="s">
        <v>2357</v>
      </c>
      <c r="AH215" s="3"/>
      <c r="AI215" s="3" t="s">
        <v>2358</v>
      </c>
      <c r="AJ215" s="3" t="s">
        <v>59</v>
      </c>
      <c r="AK215" s="3" t="s">
        <v>2359</v>
      </c>
      <c r="AL215" s="3"/>
      <c r="AM215" s="3" t="n">
        <v>4</v>
      </c>
      <c r="AN215" s="3"/>
      <c r="AO215" s="3"/>
      <c r="AP215" s="3" t="n">
        <v>4</v>
      </c>
      <c r="AQ215" s="3"/>
      <c r="AR215" s="3"/>
    </row>
    <row r="216" customFormat="false" ht="15" hidden="false" customHeight="true" outlineLevel="0" collapsed="false">
      <c r="A216" s="3" t="s">
        <v>2360</v>
      </c>
      <c r="B216" s="3" t="n">
        <v>3</v>
      </c>
      <c r="C216" s="3" t="n">
        <v>92</v>
      </c>
      <c r="D216" s="3"/>
      <c r="E216" s="4"/>
      <c r="F216" s="3" t="n">
        <v>46</v>
      </c>
      <c r="G216" s="3" t="str">
        <f aca="false">IF(F216="","",IF(F216&gt;=Notes!$B$5,"Elderly ("&amp;Notes!$B$5&amp;"+)",IF(F216&lt;=Notes!$B$4,"Student age (≤"&amp;Notes!$B$4&amp;")","Middle-aged ("&amp;(Notes!$B$4+1)&amp;"–"&amp;(Notes!$B$5-1)&amp;")")))</f>
        <v>Middle-aged (30–64)</v>
      </c>
      <c r="H216" s="3" t="s">
        <v>83</v>
      </c>
      <c r="I216" s="3"/>
      <c r="J216" s="3" t="s">
        <v>437</v>
      </c>
      <c r="K216" s="3" t="s">
        <v>437</v>
      </c>
      <c r="L216" s="3"/>
      <c r="M216" s="3" t="s">
        <v>437</v>
      </c>
      <c r="N216" s="3" t="s">
        <v>437</v>
      </c>
      <c r="O216" s="3" t="s">
        <v>2361</v>
      </c>
      <c r="P216" s="3" t="n">
        <v>60</v>
      </c>
      <c r="Q216" s="3" t="s">
        <v>52</v>
      </c>
      <c r="R216" s="3" t="s">
        <v>2362</v>
      </c>
      <c r="S216" s="3" t="s">
        <v>2363</v>
      </c>
      <c r="T216" s="3"/>
      <c r="U216" s="3" t="s">
        <v>2364</v>
      </c>
      <c r="V216" s="3" t="s">
        <v>2365</v>
      </c>
      <c r="W216" s="3" t="s">
        <v>2366</v>
      </c>
      <c r="X216" s="3" t="s">
        <v>2367</v>
      </c>
      <c r="Y216" s="3" t="n">
        <v>3</v>
      </c>
      <c r="Z216" s="3" t="n">
        <v>2</v>
      </c>
      <c r="AA216" s="3" t="n">
        <v>1</v>
      </c>
      <c r="AB216" s="3" t="n">
        <v>3</v>
      </c>
      <c r="AC216" s="3" t="n">
        <v>2</v>
      </c>
      <c r="AD216" s="3" t="n">
        <v>1</v>
      </c>
      <c r="AE216" s="3" t="s">
        <v>2368</v>
      </c>
      <c r="AF216" s="3"/>
      <c r="AG216" s="3" t="s">
        <v>2369</v>
      </c>
      <c r="AH216" s="3"/>
      <c r="AI216" s="3" t="s">
        <v>2370</v>
      </c>
      <c r="AJ216" s="3"/>
      <c r="AK216" s="3" t="s">
        <v>2371</v>
      </c>
      <c r="AL216" s="3"/>
      <c r="AM216" s="3" t="n">
        <v>3</v>
      </c>
      <c r="AN216" s="3"/>
      <c r="AO216" s="3"/>
      <c r="AP216" s="3" t="n">
        <v>4</v>
      </c>
      <c r="AQ216" s="3"/>
      <c r="AR216" s="3"/>
    </row>
    <row r="217" customFormat="false" ht="15" hidden="false" customHeight="true" outlineLevel="0" collapsed="false">
      <c r="A217" s="3" t="s">
        <v>2372</v>
      </c>
      <c r="B217" s="3" t="n">
        <v>3</v>
      </c>
      <c r="C217" s="3" t="n">
        <v>93</v>
      </c>
      <c r="D217" s="3"/>
      <c r="E217" s="4"/>
      <c r="F217" s="3" t="n">
        <v>54</v>
      </c>
      <c r="G217" s="3" t="str">
        <f aca="false">IF(F217="","",IF(F217&gt;=Notes!$B$5,"Elderly ("&amp;Notes!$B$5&amp;"+)",IF(F217&lt;=Notes!$B$4,"Student age (≤"&amp;Notes!$B$4&amp;")","Middle-aged ("&amp;(Notes!$B$4+1)&amp;"–"&amp;(Notes!$B$5-1)&amp;")")))</f>
        <v>Middle-aged (30–64)</v>
      </c>
      <c r="H217" s="3" t="s">
        <v>45</v>
      </c>
      <c r="I217" s="3"/>
      <c r="J217" s="3" t="s">
        <v>437</v>
      </c>
      <c r="K217" s="3" t="s">
        <v>437</v>
      </c>
      <c r="L217" s="3"/>
      <c r="M217" s="3" t="s">
        <v>437</v>
      </c>
      <c r="N217" s="3" t="s">
        <v>437</v>
      </c>
      <c r="O217" s="3" t="s">
        <v>2373</v>
      </c>
      <c r="P217" s="3" t="n">
        <v>15</v>
      </c>
      <c r="Q217" s="3" t="s">
        <v>74</v>
      </c>
      <c r="R217" s="3" t="s">
        <v>2374</v>
      </c>
      <c r="S217" s="3" t="s">
        <v>2375</v>
      </c>
      <c r="T217" s="3"/>
      <c r="U217" s="3" t="s">
        <v>2376</v>
      </c>
      <c r="V217" s="3" t="s">
        <v>2377</v>
      </c>
      <c r="W217" s="3" t="s">
        <v>2378</v>
      </c>
      <c r="X217" s="3" t="s">
        <v>2379</v>
      </c>
      <c r="Y217" s="3" t="n">
        <v>3</v>
      </c>
      <c r="Z217" s="3" t="n">
        <v>2</v>
      </c>
      <c r="AA217" s="3" t="n">
        <v>1</v>
      </c>
      <c r="AB217" s="3" t="n">
        <v>3</v>
      </c>
      <c r="AC217" s="3" t="n">
        <v>2</v>
      </c>
      <c r="AD217" s="3" t="n">
        <v>1</v>
      </c>
      <c r="AE217" s="3" t="s">
        <v>2380</v>
      </c>
      <c r="AF217" s="3"/>
      <c r="AG217" s="3" t="s">
        <v>2381</v>
      </c>
      <c r="AH217" s="3"/>
      <c r="AI217" s="3" t="s">
        <v>2382</v>
      </c>
      <c r="AJ217" s="3" t="s">
        <v>98</v>
      </c>
      <c r="AK217" s="3"/>
      <c r="AL217" s="3"/>
      <c r="AM217" s="3" t="n">
        <v>4</v>
      </c>
      <c r="AN217" s="3"/>
      <c r="AO217" s="3"/>
      <c r="AP217" s="3" t="n">
        <v>4</v>
      </c>
      <c r="AQ217" s="3"/>
      <c r="AR217" s="3"/>
    </row>
    <row r="218" customFormat="false" ht="15" hidden="false" customHeight="true" outlineLevel="0" collapsed="false">
      <c r="A218" s="3" t="s">
        <v>2383</v>
      </c>
      <c r="B218" s="3" t="n">
        <v>3</v>
      </c>
      <c r="C218" s="3" t="n">
        <v>94</v>
      </c>
      <c r="D218" s="3"/>
      <c r="E218" s="4"/>
      <c r="F218" s="3" t="n">
        <v>46</v>
      </c>
      <c r="G218" s="3" t="str">
        <f aca="false">IF(F218="","",IF(F218&gt;=Notes!$B$5,"Elderly ("&amp;Notes!$B$5&amp;"+)",IF(F218&lt;=Notes!$B$4,"Student age (≤"&amp;Notes!$B$4&amp;")","Middle-aged ("&amp;(Notes!$B$4+1)&amp;"–"&amp;(Notes!$B$5-1)&amp;")")))</f>
        <v>Middle-aged (30–64)</v>
      </c>
      <c r="H218" s="3" t="s">
        <v>45</v>
      </c>
      <c r="I218" s="3"/>
      <c r="J218" s="3" t="s">
        <v>437</v>
      </c>
      <c r="K218" s="3" t="s">
        <v>437</v>
      </c>
      <c r="L218" s="3" t="s">
        <v>436</v>
      </c>
      <c r="M218" s="3" t="s">
        <v>437</v>
      </c>
      <c r="N218" s="3" t="s">
        <v>438</v>
      </c>
      <c r="O218" s="3" t="s">
        <v>2384</v>
      </c>
      <c r="P218" s="3" t="n">
        <v>60</v>
      </c>
      <c r="Q218" s="3" t="s">
        <v>52</v>
      </c>
      <c r="R218" s="3" t="s">
        <v>2385</v>
      </c>
      <c r="S218" s="3" t="s">
        <v>2386</v>
      </c>
      <c r="T218" s="3"/>
      <c r="U218" s="3" t="s">
        <v>98</v>
      </c>
      <c r="V218" s="3" t="s">
        <v>2387</v>
      </c>
      <c r="W218" s="3" t="s">
        <v>2388</v>
      </c>
      <c r="X218" s="3" t="s">
        <v>2389</v>
      </c>
      <c r="Y218" s="3" t="n">
        <v>3</v>
      </c>
      <c r="Z218" s="3" t="n">
        <v>2</v>
      </c>
      <c r="AA218" s="3" t="n">
        <v>1</v>
      </c>
      <c r="AB218" s="3" t="n">
        <v>3</v>
      </c>
      <c r="AC218" s="3" t="n">
        <v>2</v>
      </c>
      <c r="AD218" s="3" t="n">
        <v>1</v>
      </c>
      <c r="AE218" s="3" t="s">
        <v>2390</v>
      </c>
      <c r="AF218" s="3"/>
      <c r="AG218" s="3" t="s">
        <v>2391</v>
      </c>
      <c r="AH218" s="3"/>
      <c r="AI218" s="3" t="s">
        <v>2392</v>
      </c>
      <c r="AJ218" s="3" t="s">
        <v>59</v>
      </c>
      <c r="AK218" s="3" t="s">
        <v>2393</v>
      </c>
      <c r="AL218" s="3"/>
      <c r="AM218" s="3" t="n">
        <v>5</v>
      </c>
      <c r="AN218" s="3"/>
      <c r="AO218" s="3"/>
      <c r="AP218" s="3" t="n">
        <v>5</v>
      </c>
      <c r="AQ218" s="3"/>
      <c r="AR218" s="3"/>
    </row>
    <row r="219" customFormat="false" ht="15" hidden="false" customHeight="true" outlineLevel="0" collapsed="false">
      <c r="A219" s="3" t="s">
        <v>2394</v>
      </c>
      <c r="B219" s="3" t="n">
        <v>3</v>
      </c>
      <c r="C219" s="3" t="n">
        <v>95</v>
      </c>
      <c r="D219" s="3"/>
      <c r="E219" s="4"/>
      <c r="F219" s="3" t="n">
        <v>50</v>
      </c>
      <c r="G219" s="3" t="str">
        <f aca="false">IF(F219="","",IF(F219&gt;=Notes!$B$5,"Elderly ("&amp;Notes!$B$5&amp;"+)",IF(F219&lt;=Notes!$B$4,"Student age (≤"&amp;Notes!$B$4&amp;")","Middle-aged ("&amp;(Notes!$B$4+1)&amp;"–"&amp;(Notes!$B$5-1)&amp;")")))</f>
        <v>Middle-aged (30–64)</v>
      </c>
      <c r="H219" s="3" t="s">
        <v>83</v>
      </c>
      <c r="I219" s="3"/>
      <c r="J219" s="3" t="s">
        <v>437</v>
      </c>
      <c r="K219" s="3" t="s">
        <v>437</v>
      </c>
      <c r="L219" s="3"/>
      <c r="M219" s="3" t="s">
        <v>437</v>
      </c>
      <c r="N219" s="3" t="s">
        <v>437</v>
      </c>
      <c r="O219" s="3" t="s">
        <v>2395</v>
      </c>
      <c r="P219" s="3" t="n">
        <v>60</v>
      </c>
      <c r="Q219" s="3" t="s">
        <v>52</v>
      </c>
      <c r="R219" s="3" t="s">
        <v>2396</v>
      </c>
      <c r="S219" s="3" t="s">
        <v>2397</v>
      </c>
      <c r="T219" s="3"/>
      <c r="U219" s="3" t="s">
        <v>2398</v>
      </c>
      <c r="V219" s="3" t="s">
        <v>2399</v>
      </c>
      <c r="W219" s="3" t="s">
        <v>2400</v>
      </c>
      <c r="X219" s="3" t="s">
        <v>2401</v>
      </c>
      <c r="Y219" s="3" t="n">
        <v>2</v>
      </c>
      <c r="Z219" s="3" t="n">
        <v>3</v>
      </c>
      <c r="AA219" s="3" t="n">
        <v>1</v>
      </c>
      <c r="AB219" s="3" t="n">
        <v>3</v>
      </c>
      <c r="AC219" s="3" t="n">
        <v>1</v>
      </c>
      <c r="AD219" s="3" t="n">
        <v>2</v>
      </c>
      <c r="AE219" s="3" t="s">
        <v>2402</v>
      </c>
      <c r="AF219" s="3"/>
      <c r="AG219" s="3" t="s">
        <v>2403</v>
      </c>
      <c r="AH219" s="3"/>
      <c r="AI219" s="3" t="s">
        <v>2404</v>
      </c>
      <c r="AJ219" s="3" t="s">
        <v>59</v>
      </c>
      <c r="AK219" s="3" t="s">
        <v>2405</v>
      </c>
      <c r="AL219" s="3"/>
      <c r="AM219" s="3" t="n">
        <v>5</v>
      </c>
      <c r="AN219" s="3"/>
      <c r="AO219" s="3"/>
      <c r="AP219" s="3" t="n">
        <v>5</v>
      </c>
      <c r="AQ219" s="3"/>
      <c r="AR219" s="3"/>
    </row>
    <row r="220" customFormat="false" ht="15" hidden="false" customHeight="true" outlineLevel="0" collapsed="false">
      <c r="A220" s="3" t="s">
        <v>2406</v>
      </c>
      <c r="B220" s="3" t="n">
        <v>3</v>
      </c>
      <c r="C220" s="3" t="n">
        <v>96</v>
      </c>
      <c r="D220" s="3"/>
      <c r="E220" s="4"/>
      <c r="F220" s="3" t="n">
        <v>19</v>
      </c>
      <c r="G220" s="3" t="str">
        <f aca="false">IF(F220="","",IF(F220&gt;=Notes!$B$5,"Elderly ("&amp;Notes!$B$5&amp;"+)",IF(F220&lt;=Notes!$B$4,"Student age (≤"&amp;Notes!$B$4&amp;")","Middle-aged ("&amp;(Notes!$B$4+1)&amp;"–"&amp;(Notes!$B$5-1)&amp;")")))</f>
        <v>Student age (≤29)</v>
      </c>
      <c r="H220" s="3" t="s">
        <v>45</v>
      </c>
      <c r="I220" s="3"/>
      <c r="J220" s="3" t="s">
        <v>437</v>
      </c>
      <c r="K220" s="3" t="s">
        <v>437</v>
      </c>
      <c r="L220" s="3"/>
      <c r="M220" s="3" t="s">
        <v>47</v>
      </c>
      <c r="N220" s="3" t="s">
        <v>47</v>
      </c>
      <c r="O220" s="3" t="s">
        <v>2407</v>
      </c>
      <c r="P220" s="3" t="n">
        <v>25</v>
      </c>
      <c r="Q220" s="3" t="s">
        <v>117</v>
      </c>
      <c r="R220" s="3" t="s">
        <v>2408</v>
      </c>
      <c r="S220" s="3" t="s">
        <v>2409</v>
      </c>
      <c r="T220" s="3"/>
      <c r="U220" s="3" t="s">
        <v>2410</v>
      </c>
      <c r="V220" s="3" t="s">
        <v>2411</v>
      </c>
      <c r="W220" s="3" t="s">
        <v>2412</v>
      </c>
      <c r="X220" s="3" t="s">
        <v>2413</v>
      </c>
      <c r="Y220" s="3" t="n">
        <v>3</v>
      </c>
      <c r="Z220" s="3" t="n">
        <v>2</v>
      </c>
      <c r="AA220" s="3" t="n">
        <v>1</v>
      </c>
      <c r="AB220" s="3" t="n">
        <v>1</v>
      </c>
      <c r="AC220" s="3" t="n">
        <v>3</v>
      </c>
      <c r="AD220" s="3" t="n">
        <v>2</v>
      </c>
      <c r="AE220" s="3" t="s">
        <v>2414</v>
      </c>
      <c r="AF220" s="3"/>
      <c r="AG220" s="3" t="s">
        <v>2415</v>
      </c>
      <c r="AH220" s="3"/>
      <c r="AI220" s="3" t="s">
        <v>2416</v>
      </c>
      <c r="AJ220" s="3" t="s">
        <v>59</v>
      </c>
      <c r="AK220" s="3" t="s">
        <v>2417</v>
      </c>
      <c r="AL220" s="3"/>
      <c r="AM220" s="3" t="n">
        <v>4</v>
      </c>
      <c r="AN220" s="3"/>
      <c r="AO220" s="3"/>
      <c r="AP220" s="3" t="n">
        <v>5</v>
      </c>
      <c r="AQ220" s="3"/>
      <c r="AR220" s="3"/>
    </row>
    <row r="221" customFormat="false" ht="15" hidden="false" customHeight="true" outlineLevel="0" collapsed="false">
      <c r="A221" s="3" t="s">
        <v>2418</v>
      </c>
      <c r="B221" s="3" t="n">
        <v>3</v>
      </c>
      <c r="C221" s="3" t="n">
        <v>97</v>
      </c>
      <c r="D221" s="3"/>
      <c r="E221" s="4"/>
      <c r="F221" s="3" t="n">
        <v>48</v>
      </c>
      <c r="G221" s="3" t="str">
        <f aca="false">IF(F221="","",IF(F221&gt;=Notes!$B$5,"Elderly ("&amp;Notes!$B$5&amp;"+)",IF(F221&lt;=Notes!$B$4,"Student age (≤"&amp;Notes!$B$4&amp;")","Middle-aged ("&amp;(Notes!$B$4+1)&amp;"–"&amp;(Notes!$B$5-1)&amp;")")))</f>
        <v>Middle-aged (30–64)</v>
      </c>
      <c r="H221" s="3" t="s">
        <v>83</v>
      </c>
      <c r="I221" s="3"/>
      <c r="J221" s="3" t="s">
        <v>437</v>
      </c>
      <c r="K221" s="3" t="s">
        <v>437</v>
      </c>
      <c r="L221" s="3"/>
      <c r="M221" s="3" t="s">
        <v>437</v>
      </c>
      <c r="N221" s="3" t="s">
        <v>437</v>
      </c>
      <c r="O221" s="3" t="s">
        <v>2419</v>
      </c>
      <c r="P221" s="3" t="n">
        <v>20</v>
      </c>
      <c r="Q221" s="3" t="s">
        <v>95</v>
      </c>
      <c r="R221" s="3" t="s">
        <v>2420</v>
      </c>
      <c r="S221" s="3" t="s">
        <v>2421</v>
      </c>
      <c r="T221" s="3"/>
      <c r="U221" s="3" t="s">
        <v>59</v>
      </c>
      <c r="V221" s="3" t="s">
        <v>2422</v>
      </c>
      <c r="W221" s="3" t="s">
        <v>2423</v>
      </c>
      <c r="X221" s="3" t="s">
        <v>2424</v>
      </c>
      <c r="Y221" s="3" t="n">
        <v>2</v>
      </c>
      <c r="Z221" s="3" t="n">
        <v>1</v>
      </c>
      <c r="AA221" s="3" t="n">
        <v>3</v>
      </c>
      <c r="AB221" s="3" t="n">
        <v>2</v>
      </c>
      <c r="AC221" s="3" t="n">
        <v>3</v>
      </c>
      <c r="AD221" s="3" t="n">
        <v>1</v>
      </c>
      <c r="AE221" s="3" t="s">
        <v>2425</v>
      </c>
      <c r="AF221" s="3"/>
      <c r="AG221" s="3" t="s">
        <v>2426</v>
      </c>
      <c r="AH221" s="3"/>
      <c r="AI221" s="3" t="s">
        <v>2427</v>
      </c>
      <c r="AJ221" s="3"/>
      <c r="AK221" s="3" t="s">
        <v>2428</v>
      </c>
      <c r="AL221" s="3"/>
      <c r="AM221" s="3" t="n">
        <v>3</v>
      </c>
      <c r="AN221" s="3"/>
      <c r="AO221" s="3"/>
      <c r="AP221" s="3" t="n">
        <v>5</v>
      </c>
      <c r="AQ221" s="3"/>
      <c r="AR221" s="3"/>
    </row>
    <row r="222" customFormat="false" ht="15" hidden="false" customHeight="true" outlineLevel="0" collapsed="false">
      <c r="A222" s="3" t="s">
        <v>2429</v>
      </c>
      <c r="B222" s="3" t="n">
        <v>3</v>
      </c>
      <c r="C222" s="3" t="n">
        <v>98</v>
      </c>
      <c r="D222" s="3"/>
      <c r="E222" s="4"/>
      <c r="F222" s="3" t="n">
        <v>45</v>
      </c>
      <c r="G222" s="3" t="str">
        <f aca="false">IF(F222="","",IF(F222&gt;=Notes!$B$5,"Elderly ("&amp;Notes!$B$5&amp;"+)",IF(F222&lt;=Notes!$B$4,"Student age (≤"&amp;Notes!$B$4&amp;")","Middle-aged ("&amp;(Notes!$B$4+1)&amp;"–"&amp;(Notes!$B$5-1)&amp;")")))</f>
        <v>Middle-aged (30–64)</v>
      </c>
      <c r="H222" s="3" t="s">
        <v>45</v>
      </c>
      <c r="I222" s="3"/>
      <c r="J222" s="3" t="s">
        <v>437</v>
      </c>
      <c r="K222" s="3" t="s">
        <v>437</v>
      </c>
      <c r="L222" s="3"/>
      <c r="M222" s="3" t="s">
        <v>437</v>
      </c>
      <c r="N222" s="3" t="s">
        <v>437</v>
      </c>
      <c r="O222" s="3" t="s">
        <v>2430</v>
      </c>
      <c r="P222" s="3" t="n">
        <v>15</v>
      </c>
      <c r="Q222" s="3" t="s">
        <v>74</v>
      </c>
      <c r="R222" s="3" t="s">
        <v>2431</v>
      </c>
      <c r="S222" s="3" t="s">
        <v>2432</v>
      </c>
      <c r="T222" s="3"/>
      <c r="U222" s="3" t="s">
        <v>59</v>
      </c>
      <c r="V222" s="3" t="s">
        <v>2433</v>
      </c>
      <c r="W222" s="3" t="s">
        <v>582</v>
      </c>
      <c r="X222" s="3" t="s">
        <v>2434</v>
      </c>
      <c r="Y222" s="3" t="n">
        <v>3</v>
      </c>
      <c r="Z222" s="3" t="n">
        <v>1</v>
      </c>
      <c r="AA222" s="3" t="n">
        <v>2</v>
      </c>
      <c r="AB222" s="3" t="n">
        <v>1</v>
      </c>
      <c r="AC222" s="3" t="n">
        <v>3</v>
      </c>
      <c r="AD222" s="3" t="n">
        <v>2</v>
      </c>
      <c r="AE222" s="3" t="s">
        <v>2435</v>
      </c>
      <c r="AF222" s="3"/>
      <c r="AG222" s="3" t="s">
        <v>2313</v>
      </c>
      <c r="AH222" s="3"/>
      <c r="AI222" s="3" t="s">
        <v>2436</v>
      </c>
      <c r="AJ222" s="3"/>
      <c r="AK222" s="3" t="s">
        <v>2437</v>
      </c>
      <c r="AL222" s="3"/>
      <c r="AM222" s="3" t="n">
        <v>3</v>
      </c>
      <c r="AN222" s="3"/>
      <c r="AO222" s="3"/>
      <c r="AP222" s="3" t="n">
        <v>5</v>
      </c>
      <c r="AQ222" s="3"/>
      <c r="AR222" s="3"/>
    </row>
    <row r="223" customFormat="false" ht="15" hidden="false" customHeight="true" outlineLevel="0" collapsed="false">
      <c r="A223" s="3" t="s">
        <v>2438</v>
      </c>
      <c r="B223" s="3" t="n">
        <v>3</v>
      </c>
      <c r="C223" s="3" t="n">
        <v>99</v>
      </c>
      <c r="D223" s="3"/>
      <c r="E223" s="4"/>
      <c r="F223" s="3" t="n">
        <v>43</v>
      </c>
      <c r="G223" s="3" t="str">
        <f aca="false">IF(F223="","",IF(F223&gt;=Notes!$B$5,"Elderly ("&amp;Notes!$B$5&amp;"+)",IF(F223&lt;=Notes!$B$4,"Student age (≤"&amp;Notes!$B$4&amp;")","Middle-aged ("&amp;(Notes!$B$4+1)&amp;"–"&amp;(Notes!$B$5-1)&amp;")")))</f>
        <v>Middle-aged (30–64)</v>
      </c>
      <c r="H223" s="3" t="s">
        <v>45</v>
      </c>
      <c r="I223" s="3"/>
      <c r="J223" s="3" t="s">
        <v>437</v>
      </c>
      <c r="K223" s="3" t="s">
        <v>437</v>
      </c>
      <c r="L223" s="3"/>
      <c r="M223" s="3" t="s">
        <v>437</v>
      </c>
      <c r="N223" s="3" t="s">
        <v>437</v>
      </c>
      <c r="O223" s="3" t="s">
        <v>2439</v>
      </c>
      <c r="P223" s="3" t="n">
        <v>15</v>
      </c>
      <c r="Q223" s="3" t="s">
        <v>74</v>
      </c>
      <c r="R223" s="3" t="s">
        <v>2440</v>
      </c>
      <c r="S223" s="3" t="s">
        <v>2441</v>
      </c>
      <c r="T223" s="3"/>
      <c r="U223" s="3" t="s">
        <v>2442</v>
      </c>
      <c r="V223" s="3" t="s">
        <v>2443</v>
      </c>
      <c r="W223" s="3" t="s">
        <v>2444</v>
      </c>
      <c r="X223" s="3" t="s">
        <v>2445</v>
      </c>
      <c r="Y223" s="3" t="n">
        <v>3</v>
      </c>
      <c r="Z223" s="3" t="n">
        <v>2</v>
      </c>
      <c r="AA223" s="3" t="n">
        <v>1</v>
      </c>
      <c r="AB223" s="3" t="n">
        <v>3</v>
      </c>
      <c r="AC223" s="3" t="n">
        <v>2</v>
      </c>
      <c r="AD223" s="3" t="n">
        <v>1</v>
      </c>
      <c r="AE223" s="3" t="s">
        <v>2446</v>
      </c>
      <c r="AF223" s="3"/>
      <c r="AG223" s="3" t="s">
        <v>2447</v>
      </c>
      <c r="AH223" s="3"/>
      <c r="AI223" s="3" t="s">
        <v>2448</v>
      </c>
      <c r="AJ223" s="3"/>
      <c r="AK223" s="3" t="s">
        <v>2449</v>
      </c>
      <c r="AL223" s="3"/>
      <c r="AM223" s="3" t="n">
        <v>4</v>
      </c>
      <c r="AN223" s="3"/>
      <c r="AO223" s="3"/>
      <c r="AP223" s="3" t="n">
        <v>5</v>
      </c>
      <c r="AQ223" s="3"/>
      <c r="AR223" s="3" t="s">
        <v>2450</v>
      </c>
    </row>
    <row r="224" customFormat="false" ht="15" hidden="false" customHeight="true" outlineLevel="0" collapsed="false">
      <c r="A224" s="3" t="s">
        <v>2451</v>
      </c>
      <c r="B224" s="3" t="n">
        <v>3</v>
      </c>
      <c r="C224" s="3" t="n">
        <v>100</v>
      </c>
      <c r="D224" s="3"/>
      <c r="E224" s="4"/>
      <c r="F224" s="3" t="n">
        <v>31</v>
      </c>
      <c r="G224" s="3" t="str">
        <f aca="false">IF(F224="","",IF(F224&gt;=Notes!$B$5,"Elderly ("&amp;Notes!$B$5&amp;"+)",IF(F224&lt;=Notes!$B$4,"Student age (≤"&amp;Notes!$B$4&amp;")","Middle-aged ("&amp;(Notes!$B$4+1)&amp;"–"&amp;(Notes!$B$5-1)&amp;")")))</f>
        <v>Middle-aged (30–64)</v>
      </c>
      <c r="H224" s="3" t="s">
        <v>45</v>
      </c>
      <c r="I224" s="3"/>
      <c r="J224" s="3" t="s">
        <v>437</v>
      </c>
      <c r="K224" s="3" t="s">
        <v>437</v>
      </c>
      <c r="L224" s="3"/>
      <c r="M224" s="3" t="s">
        <v>437</v>
      </c>
      <c r="N224" s="3" t="s">
        <v>437</v>
      </c>
      <c r="O224" s="3" t="s">
        <v>2452</v>
      </c>
      <c r="P224" s="3"/>
      <c r="Q224" s="3"/>
      <c r="R224" s="3" t="s">
        <v>2453</v>
      </c>
      <c r="S224" s="3" t="s">
        <v>2454</v>
      </c>
      <c r="T224" s="3"/>
      <c r="U224" s="3" t="s">
        <v>2455</v>
      </c>
      <c r="V224" s="3" t="s">
        <v>2456</v>
      </c>
      <c r="W224" s="3" t="s">
        <v>2457</v>
      </c>
      <c r="X224" s="3" t="s">
        <v>2458</v>
      </c>
      <c r="Y224" s="3" t="n">
        <v>3</v>
      </c>
      <c r="Z224" s="3" t="n">
        <v>2</v>
      </c>
      <c r="AA224" s="3" t="n">
        <v>1</v>
      </c>
      <c r="AB224" s="3" t="n">
        <v>3</v>
      </c>
      <c r="AC224" s="3" t="n">
        <v>2</v>
      </c>
      <c r="AD224" s="3" t="n">
        <v>1</v>
      </c>
      <c r="AE224" s="3" t="s">
        <v>2459</v>
      </c>
      <c r="AF224" s="3"/>
      <c r="AG224" s="3" t="s">
        <v>2460</v>
      </c>
      <c r="AH224" s="3"/>
      <c r="AI224" s="3" t="s">
        <v>2461</v>
      </c>
      <c r="AJ224" s="3"/>
      <c r="AK224" s="3" t="s">
        <v>2462</v>
      </c>
      <c r="AL224" s="3"/>
      <c r="AM224" s="3" t="n">
        <v>4</v>
      </c>
      <c r="AN224" s="3"/>
      <c r="AO224" s="3"/>
      <c r="AP224" s="3" t="n">
        <v>5</v>
      </c>
      <c r="AQ224" s="3"/>
      <c r="AR224" s="3" t="s">
        <v>2463</v>
      </c>
    </row>
    <row r="225" customFormat="false" ht="15" hidden="false" customHeight="true" outlineLevel="0" collapsed="false">
      <c r="A225" s="3" t="s">
        <v>2464</v>
      </c>
      <c r="B225" s="3" t="n">
        <v>3</v>
      </c>
      <c r="C225" s="3" t="n">
        <v>101</v>
      </c>
      <c r="D225" s="3"/>
      <c r="E225" s="4"/>
      <c r="F225" s="3" t="n">
        <v>17</v>
      </c>
      <c r="G225" s="3" t="str">
        <f aca="false">IF(F225="","",IF(F225&gt;=Notes!$B$5,"Elderly ("&amp;Notes!$B$5&amp;"+)",IF(F225&lt;=Notes!$B$4,"Student age (≤"&amp;Notes!$B$4&amp;")","Middle-aged ("&amp;(Notes!$B$4+1)&amp;"–"&amp;(Notes!$B$5-1)&amp;")")))</f>
        <v>Student age (≤29)</v>
      </c>
      <c r="H225" s="3" t="s">
        <v>83</v>
      </c>
      <c r="I225" s="3"/>
      <c r="J225" s="3" t="s">
        <v>437</v>
      </c>
      <c r="K225" s="3" t="s">
        <v>437</v>
      </c>
      <c r="L225" s="3"/>
      <c r="M225" s="3" t="s">
        <v>2465</v>
      </c>
      <c r="N225" s="3" t="s">
        <v>2465</v>
      </c>
      <c r="O225" s="3" t="s">
        <v>2466</v>
      </c>
      <c r="P225" s="3" t="n">
        <v>28.5</v>
      </c>
      <c r="Q225" s="3" t="s">
        <v>117</v>
      </c>
      <c r="R225" s="3" t="s">
        <v>2467</v>
      </c>
      <c r="S225" s="3" t="s">
        <v>2468</v>
      </c>
      <c r="T225" s="3"/>
      <c r="U225" s="3" t="s">
        <v>2469</v>
      </c>
      <c r="V225" s="3" t="s">
        <v>2470</v>
      </c>
      <c r="W225" s="3" t="s">
        <v>2471</v>
      </c>
      <c r="X225" s="3" t="s">
        <v>2472</v>
      </c>
      <c r="Y225" s="3" t="n">
        <v>3</v>
      </c>
      <c r="Z225" s="3" t="n">
        <v>1</v>
      </c>
      <c r="AA225" s="3" t="n">
        <v>2</v>
      </c>
      <c r="AB225" s="3" t="n">
        <v>2</v>
      </c>
      <c r="AC225" s="3" t="n">
        <v>1</v>
      </c>
      <c r="AD225" s="3" t="n">
        <v>3</v>
      </c>
      <c r="AE225" s="3" t="s">
        <v>2473</v>
      </c>
      <c r="AF225" s="3"/>
      <c r="AG225" s="3" t="s">
        <v>2474</v>
      </c>
      <c r="AH225" s="3"/>
      <c r="AI225" s="3" t="s">
        <v>2475</v>
      </c>
      <c r="AJ225" s="3" t="s">
        <v>59</v>
      </c>
      <c r="AK225" s="3" t="s">
        <v>2476</v>
      </c>
      <c r="AL225" s="3"/>
      <c r="AM225" s="3" t="n">
        <v>4</v>
      </c>
      <c r="AN225" s="3"/>
      <c r="AO225" s="3"/>
      <c r="AP225" s="3" t="n">
        <v>5</v>
      </c>
      <c r="AQ225" s="3"/>
      <c r="AR225" s="3" t="s">
        <v>2477</v>
      </c>
    </row>
    <row r="226" customFormat="false" ht="15" hidden="false" customHeight="true" outlineLevel="0" collapsed="false">
      <c r="A226" s="3" t="s">
        <v>2478</v>
      </c>
      <c r="B226" s="3" t="n">
        <v>3</v>
      </c>
      <c r="C226" s="3" t="n">
        <v>102</v>
      </c>
      <c r="D226" s="3"/>
      <c r="E226" s="4"/>
      <c r="F226" s="3" t="n">
        <v>30</v>
      </c>
      <c r="G226" s="3" t="str">
        <f aca="false">IF(F226="","",IF(F226&gt;=Notes!$B$5,"Elderly ("&amp;Notes!$B$5&amp;"+)",IF(F226&lt;=Notes!$B$4,"Student age (≤"&amp;Notes!$B$4&amp;")","Middle-aged ("&amp;(Notes!$B$4+1)&amp;"–"&amp;(Notes!$B$5-1)&amp;")")))</f>
        <v>Middle-aged (30–64)</v>
      </c>
      <c r="H226" s="3" t="s">
        <v>45</v>
      </c>
      <c r="I226" s="3"/>
      <c r="J226" s="3" t="s">
        <v>437</v>
      </c>
      <c r="K226" s="3" t="s">
        <v>437</v>
      </c>
      <c r="L226" s="3"/>
      <c r="M226" s="3" t="s">
        <v>437</v>
      </c>
      <c r="N226" s="3" t="s">
        <v>437</v>
      </c>
      <c r="O226" s="3" t="s">
        <v>2479</v>
      </c>
      <c r="P226" s="3"/>
      <c r="Q226" s="3" t="s">
        <v>2242</v>
      </c>
      <c r="R226" s="3" t="s">
        <v>2479</v>
      </c>
      <c r="S226" s="3" t="s">
        <v>2479</v>
      </c>
      <c r="T226" s="3"/>
      <c r="U226" s="3" t="s">
        <v>2479</v>
      </c>
      <c r="V226" s="3" t="s">
        <v>2479</v>
      </c>
      <c r="W226" s="3" t="s">
        <v>2479</v>
      </c>
      <c r="X226" s="3" t="s">
        <v>2479</v>
      </c>
      <c r="Y226" s="3" t="n">
        <v>1</v>
      </c>
      <c r="Z226" s="3" t="n">
        <v>2</v>
      </c>
      <c r="AA226" s="3" t="n">
        <v>3</v>
      </c>
      <c r="AB226" s="3" t="n">
        <v>1</v>
      </c>
      <c r="AC226" s="3" t="n">
        <v>2</v>
      </c>
      <c r="AD226" s="3" t="n">
        <v>3</v>
      </c>
      <c r="AE226" s="3" t="s">
        <v>2479</v>
      </c>
      <c r="AF226" s="3"/>
      <c r="AG226" s="3" t="s">
        <v>2479</v>
      </c>
      <c r="AH226" s="3"/>
      <c r="AI226" s="3" t="s">
        <v>2479</v>
      </c>
      <c r="AJ226" s="3" t="s">
        <v>1625</v>
      </c>
      <c r="AK226" s="3" t="s">
        <v>2479</v>
      </c>
      <c r="AL226" s="3"/>
      <c r="AM226" s="3" t="n">
        <v>4</v>
      </c>
      <c r="AN226" s="3"/>
      <c r="AO226" s="3"/>
      <c r="AP226" s="3" t="n">
        <v>4</v>
      </c>
      <c r="AQ226" s="3"/>
      <c r="AR226" s="3"/>
    </row>
    <row r="227" customFormat="false" ht="15" hidden="false" customHeight="true" outlineLevel="0" collapsed="false">
      <c r="A227" s="3" t="s">
        <v>2480</v>
      </c>
      <c r="B227" s="3" t="n">
        <v>3</v>
      </c>
      <c r="C227" s="3" t="n">
        <v>103</v>
      </c>
      <c r="D227" s="3"/>
      <c r="E227" s="4"/>
      <c r="F227" s="3" t="n">
        <v>21</v>
      </c>
      <c r="G227" s="3" t="str">
        <f aca="false">IF(F227="","",IF(F227&gt;=Notes!$B$5,"Elderly ("&amp;Notes!$B$5&amp;"+)",IF(F227&lt;=Notes!$B$4,"Student age (≤"&amp;Notes!$B$4&amp;")","Middle-aged ("&amp;(Notes!$B$4+1)&amp;"–"&amp;(Notes!$B$5-1)&amp;")")))</f>
        <v>Student age (≤29)</v>
      </c>
      <c r="H227" s="3" t="s">
        <v>45</v>
      </c>
      <c r="I227" s="3"/>
      <c r="J227" s="3" t="s">
        <v>437</v>
      </c>
      <c r="K227" s="3" t="s">
        <v>437</v>
      </c>
      <c r="L227" s="3"/>
      <c r="M227" s="3" t="s">
        <v>47</v>
      </c>
      <c r="N227" s="3" t="s">
        <v>47</v>
      </c>
      <c r="O227" s="3" t="s">
        <v>2481</v>
      </c>
      <c r="P227" s="3" t="n">
        <v>60</v>
      </c>
      <c r="Q227" s="3" t="s">
        <v>52</v>
      </c>
      <c r="R227" s="3" t="s">
        <v>2482</v>
      </c>
      <c r="S227" s="3" t="s">
        <v>2483</v>
      </c>
      <c r="T227" s="3"/>
      <c r="U227" s="3" t="s">
        <v>2484</v>
      </c>
      <c r="V227" s="3" t="s">
        <v>2485</v>
      </c>
      <c r="W227" s="3" t="s">
        <v>2486</v>
      </c>
      <c r="X227" s="3" t="s">
        <v>2487</v>
      </c>
      <c r="Y227" s="3" t="n">
        <v>3</v>
      </c>
      <c r="Z227" s="3" t="n">
        <v>1</v>
      </c>
      <c r="AA227" s="3" t="n">
        <v>2</v>
      </c>
      <c r="AB227" s="3" t="n">
        <v>2</v>
      </c>
      <c r="AC227" s="3" t="n">
        <v>1</v>
      </c>
      <c r="AD227" s="3" t="n">
        <v>3</v>
      </c>
      <c r="AE227" s="3" t="s">
        <v>2488</v>
      </c>
      <c r="AF227" s="3"/>
      <c r="AG227" s="3" t="s">
        <v>2489</v>
      </c>
      <c r="AH227" s="3"/>
      <c r="AI227" s="3" t="s">
        <v>2490</v>
      </c>
      <c r="AJ227" s="3"/>
      <c r="AK227" s="3" t="s">
        <v>2491</v>
      </c>
      <c r="AL227" s="3"/>
      <c r="AM227" s="3" t="n">
        <v>5</v>
      </c>
      <c r="AN227" s="3"/>
      <c r="AO227" s="3"/>
      <c r="AP227" s="3" t="n">
        <v>5</v>
      </c>
      <c r="AQ227" s="3"/>
      <c r="AR227" s="3"/>
    </row>
    <row r="228" customFormat="false" ht="15" hidden="false" customHeight="true" outlineLevel="0" collapsed="false">
      <c r="A228" s="3" t="s">
        <v>2492</v>
      </c>
      <c r="B228" s="3" t="n">
        <v>4</v>
      </c>
      <c r="C228" s="3" t="n">
        <v>2</v>
      </c>
      <c r="D228" s="3"/>
      <c r="E228" s="4" t="n">
        <v>46287.9346472338</v>
      </c>
      <c r="F228" s="3" t="n">
        <v>25</v>
      </c>
      <c r="G228" s="3" t="str">
        <f aca="false">IF(F228="","",IF(F228&gt;=Notes!$B$5,"Elderly ("&amp;Notes!$B$5&amp;"+)",IF(F228&lt;=Notes!$B$4,"Student age (≤"&amp;Notes!$B$4&amp;")","Middle-aged ("&amp;(Notes!$B$4+1)&amp;"–"&amp;(Notes!$B$5-1)&amp;")")))</f>
        <v>Student age (≤29)</v>
      </c>
      <c r="H228" s="3" t="s">
        <v>83</v>
      </c>
      <c r="I228" s="3" t="s">
        <v>159</v>
      </c>
      <c r="J228" s="3" t="s">
        <v>47</v>
      </c>
      <c r="K228" s="3" t="s">
        <v>160</v>
      </c>
      <c r="L228" s="3" t="s">
        <v>159</v>
      </c>
      <c r="M228" s="3" t="s">
        <v>47</v>
      </c>
      <c r="N228" s="3" t="s">
        <v>160</v>
      </c>
      <c r="O228" s="3" t="s">
        <v>806</v>
      </c>
      <c r="P228" s="3"/>
      <c r="Q228" s="3" t="s">
        <v>74</v>
      </c>
      <c r="R228" s="3" t="s">
        <v>2493</v>
      </c>
      <c r="S228" s="3" t="s">
        <v>2494</v>
      </c>
      <c r="T228" s="3" t="s">
        <v>2495</v>
      </c>
      <c r="U228" s="3" t="s">
        <v>1690</v>
      </c>
      <c r="V228" s="3" t="s">
        <v>2496</v>
      </c>
      <c r="W228" s="3" t="s">
        <v>2497</v>
      </c>
      <c r="X228" s="3" t="s">
        <v>2498</v>
      </c>
      <c r="Y228" s="3" t="n">
        <v>3</v>
      </c>
      <c r="Z228" s="3" t="n">
        <v>2</v>
      </c>
      <c r="AA228" s="3" t="n">
        <v>1</v>
      </c>
      <c r="AB228" s="3" t="n">
        <v>3</v>
      </c>
      <c r="AC228" s="3" t="n">
        <v>2</v>
      </c>
      <c r="AD228" s="3" t="n">
        <v>1</v>
      </c>
      <c r="AE228" s="3" t="s">
        <v>2499</v>
      </c>
      <c r="AF228" s="3" t="s">
        <v>846</v>
      </c>
      <c r="AG228" s="3"/>
      <c r="AH228" s="3"/>
      <c r="AI228" s="3" t="s">
        <v>2500</v>
      </c>
      <c r="AJ228" s="3" t="s">
        <v>98</v>
      </c>
      <c r="AK228" s="3"/>
      <c r="AL228" s="3"/>
      <c r="AM228" s="3" t="n">
        <v>5</v>
      </c>
      <c r="AN228" s="3"/>
      <c r="AO228" s="3"/>
      <c r="AP228" s="3" t="n">
        <v>5</v>
      </c>
      <c r="AQ228" s="3"/>
      <c r="AR228" s="3"/>
    </row>
    <row r="229" customFormat="false" ht="15" hidden="false" customHeight="true" outlineLevel="0" collapsed="false">
      <c r="A229" s="3" t="s">
        <v>2501</v>
      </c>
      <c r="B229" s="3" t="n">
        <v>4</v>
      </c>
      <c r="C229" s="3" t="n">
        <v>3</v>
      </c>
      <c r="D229" s="3"/>
      <c r="E229" s="4" t="n">
        <v>46287.9380131481</v>
      </c>
      <c r="F229" s="3" t="n">
        <v>24</v>
      </c>
      <c r="G229" s="3" t="str">
        <f aca="false">IF(F229="","",IF(F229&gt;=Notes!$B$5,"Elderly ("&amp;Notes!$B$5&amp;"+)",IF(F229&lt;=Notes!$B$4,"Student age (≤"&amp;Notes!$B$4&amp;")","Middle-aged ("&amp;(Notes!$B$4+1)&amp;"–"&amp;(Notes!$B$5-1)&amp;")")))</f>
        <v>Student age (≤29)</v>
      </c>
      <c r="H229" s="3" t="s">
        <v>83</v>
      </c>
      <c r="I229" s="3"/>
      <c r="J229" s="3" t="s">
        <v>437</v>
      </c>
      <c r="K229" s="3" t="s">
        <v>437</v>
      </c>
      <c r="L229" s="3"/>
      <c r="M229" s="3" t="s">
        <v>437</v>
      </c>
      <c r="N229" s="3" t="s">
        <v>437</v>
      </c>
      <c r="O229" s="3" t="s">
        <v>806</v>
      </c>
      <c r="P229" s="3"/>
      <c r="Q229" s="3" t="s">
        <v>95</v>
      </c>
      <c r="R229" s="3" t="s">
        <v>2502</v>
      </c>
      <c r="S229" s="3" t="s">
        <v>2503</v>
      </c>
      <c r="T229" s="3" t="s">
        <v>2495</v>
      </c>
      <c r="U229" s="3" t="s">
        <v>1690</v>
      </c>
      <c r="V229" s="3" t="s">
        <v>2504</v>
      </c>
      <c r="W229" s="3" t="s">
        <v>2505</v>
      </c>
      <c r="X229" s="3" t="s">
        <v>2506</v>
      </c>
      <c r="Y229" s="3" t="n">
        <v>2</v>
      </c>
      <c r="Z229" s="3" t="n">
        <v>1</v>
      </c>
      <c r="AA229" s="3" t="n">
        <v>3</v>
      </c>
      <c r="AB229" s="3" t="n">
        <v>2</v>
      </c>
      <c r="AC229" s="3" t="n">
        <v>1</v>
      </c>
      <c r="AD229" s="3" t="n">
        <v>3</v>
      </c>
      <c r="AE229" s="3" t="s">
        <v>2507</v>
      </c>
      <c r="AF229" s="3" t="s">
        <v>847</v>
      </c>
      <c r="AG229" s="3"/>
      <c r="AH229" s="3"/>
      <c r="AI229" s="3" t="s">
        <v>2508</v>
      </c>
      <c r="AJ229" s="3" t="s">
        <v>59</v>
      </c>
      <c r="AK229" s="3"/>
      <c r="AL229" s="3"/>
      <c r="AM229" s="3" t="n">
        <v>4</v>
      </c>
      <c r="AN229" s="3"/>
      <c r="AO229" s="3"/>
      <c r="AP229" s="3" t="n">
        <v>5</v>
      </c>
      <c r="AQ229" s="3"/>
      <c r="AR229" s="3"/>
    </row>
    <row r="230" customFormat="false" ht="15" hidden="false" customHeight="true" outlineLevel="0" collapsed="false">
      <c r="A230" s="3" t="s">
        <v>2509</v>
      </c>
      <c r="B230" s="3" t="n">
        <v>4</v>
      </c>
      <c r="C230" s="3" t="n">
        <v>4</v>
      </c>
      <c r="D230" s="3"/>
      <c r="E230" s="4" t="n">
        <v>46287.9410434144</v>
      </c>
      <c r="F230" s="3" t="n">
        <v>14</v>
      </c>
      <c r="G230" s="3" t="str">
        <f aca="false">IF(F230="","",IF(F230&gt;=Notes!$B$5,"Elderly ("&amp;Notes!$B$5&amp;"+)",IF(F230&lt;=Notes!$B$4,"Student age (≤"&amp;Notes!$B$4&amp;")","Middle-aged ("&amp;(Notes!$B$4+1)&amp;"–"&amp;(Notes!$B$5-1)&amp;")")))</f>
        <v>Student age (≤29)</v>
      </c>
      <c r="H230" s="3" t="s">
        <v>83</v>
      </c>
      <c r="I230" s="3"/>
      <c r="J230" s="3" t="s">
        <v>437</v>
      </c>
      <c r="K230" s="3" t="s">
        <v>437</v>
      </c>
      <c r="L230" s="3"/>
      <c r="M230" s="3" t="s">
        <v>437</v>
      </c>
      <c r="N230" s="3" t="s">
        <v>437</v>
      </c>
      <c r="O230" s="3" t="s">
        <v>806</v>
      </c>
      <c r="P230" s="3"/>
      <c r="Q230" s="3" t="s">
        <v>52</v>
      </c>
      <c r="R230" s="3" t="s">
        <v>2493</v>
      </c>
      <c r="S230" s="3" t="s">
        <v>2510</v>
      </c>
      <c r="T230" s="3" t="s">
        <v>2495</v>
      </c>
      <c r="U230" s="3" t="s">
        <v>2242</v>
      </c>
      <c r="V230" s="3" t="s">
        <v>2511</v>
      </c>
      <c r="W230" s="3" t="s">
        <v>2242</v>
      </c>
      <c r="X230" s="3" t="s">
        <v>2512</v>
      </c>
      <c r="Y230" s="3" t="n">
        <v>2</v>
      </c>
      <c r="Z230" s="3" t="n">
        <v>1</v>
      </c>
      <c r="AA230" s="3" t="n">
        <v>3</v>
      </c>
      <c r="AB230" s="3" t="n">
        <v>2</v>
      </c>
      <c r="AC230" s="3" t="n">
        <v>1</v>
      </c>
      <c r="AD230" s="3" t="n">
        <v>3</v>
      </c>
      <c r="AE230" s="3" t="s">
        <v>2513</v>
      </c>
      <c r="AF230" s="3" t="s">
        <v>846</v>
      </c>
      <c r="AG230" s="3"/>
      <c r="AH230" s="3"/>
      <c r="AI230" s="3" t="s">
        <v>2508</v>
      </c>
      <c r="AJ230" s="3" t="s">
        <v>1625</v>
      </c>
      <c r="AK230" s="3"/>
      <c r="AL230" s="3"/>
      <c r="AM230" s="3" t="n">
        <v>5</v>
      </c>
      <c r="AN230" s="3"/>
      <c r="AO230" s="3"/>
      <c r="AP230" s="3" t="n">
        <v>5</v>
      </c>
      <c r="AQ230" s="3"/>
      <c r="AR230" s="3"/>
    </row>
    <row r="231" customFormat="false" ht="15" hidden="false" customHeight="true" outlineLevel="0" collapsed="false">
      <c r="A231" s="3" t="s">
        <v>2514</v>
      </c>
      <c r="B231" s="3" t="n">
        <v>4</v>
      </c>
      <c r="C231" s="3" t="n">
        <v>5</v>
      </c>
      <c r="D231" s="3"/>
      <c r="E231" s="4" t="n">
        <v>46287.9428940972</v>
      </c>
      <c r="F231" s="3" t="n">
        <v>23</v>
      </c>
      <c r="G231" s="3" t="str">
        <f aca="false">IF(F231="","",IF(F231&gt;=Notes!$B$5,"Elderly ("&amp;Notes!$B$5&amp;"+)",IF(F231&lt;=Notes!$B$4,"Student age (≤"&amp;Notes!$B$4&amp;")","Middle-aged ("&amp;(Notes!$B$4+1)&amp;"–"&amp;(Notes!$B$5-1)&amp;")")))</f>
        <v>Student age (≤29)</v>
      </c>
      <c r="H231" s="3" t="s">
        <v>45</v>
      </c>
      <c r="I231" s="3" t="s">
        <v>92</v>
      </c>
      <c r="J231" s="3" t="s">
        <v>47</v>
      </c>
      <c r="K231" s="3" t="s">
        <v>93</v>
      </c>
      <c r="L231" s="3" t="s">
        <v>49</v>
      </c>
      <c r="M231" s="3" t="s">
        <v>47</v>
      </c>
      <c r="N231" s="3" t="s">
        <v>50</v>
      </c>
      <c r="O231" s="3" t="s">
        <v>2515</v>
      </c>
      <c r="P231" s="3"/>
      <c r="Q231" s="3" t="s">
        <v>117</v>
      </c>
      <c r="R231" s="3" t="s">
        <v>2502</v>
      </c>
      <c r="S231" s="3" t="s">
        <v>2494</v>
      </c>
      <c r="T231" s="3" t="s">
        <v>2495</v>
      </c>
      <c r="U231" s="3" t="s">
        <v>1690</v>
      </c>
      <c r="V231" s="3" t="s">
        <v>2516</v>
      </c>
      <c r="W231" s="3" t="s">
        <v>2505</v>
      </c>
      <c r="X231" s="3" t="s">
        <v>2517</v>
      </c>
      <c r="Y231" s="3" t="n">
        <v>3</v>
      </c>
      <c r="Z231" s="3" t="n">
        <v>2</v>
      </c>
      <c r="AA231" s="3" t="n">
        <v>1</v>
      </c>
      <c r="AB231" s="3" t="n">
        <v>3</v>
      </c>
      <c r="AC231" s="3" t="n">
        <v>2</v>
      </c>
      <c r="AD231" s="3" t="n">
        <v>1</v>
      </c>
      <c r="AE231" s="3" t="s">
        <v>2518</v>
      </c>
      <c r="AF231" s="3" t="s">
        <v>846</v>
      </c>
      <c r="AG231" s="3"/>
      <c r="AH231" s="3"/>
      <c r="AI231" s="3" t="s">
        <v>2519</v>
      </c>
      <c r="AJ231" s="3" t="s">
        <v>59</v>
      </c>
      <c r="AK231" s="3"/>
      <c r="AL231" s="3"/>
      <c r="AM231" s="3" t="n">
        <v>5</v>
      </c>
      <c r="AN231" s="3"/>
      <c r="AO231" s="3"/>
      <c r="AP231" s="3" t="n">
        <v>5</v>
      </c>
      <c r="AQ231" s="3"/>
      <c r="AR231" s="3"/>
    </row>
    <row r="232" customFormat="false" ht="15" hidden="false" customHeight="true" outlineLevel="0" collapsed="false">
      <c r="A232" s="3" t="s">
        <v>2520</v>
      </c>
      <c r="B232" s="3" t="n">
        <v>4</v>
      </c>
      <c r="C232" s="3" t="n">
        <v>6</v>
      </c>
      <c r="D232" s="3"/>
      <c r="E232" s="4" t="n">
        <v>46287.9557183796</v>
      </c>
      <c r="F232" s="3" t="n">
        <v>27</v>
      </c>
      <c r="G232" s="3" t="str">
        <f aca="false">IF(F232="","",IF(F232&gt;=Notes!$B$5,"Elderly ("&amp;Notes!$B$5&amp;"+)",IF(F232&lt;=Notes!$B$4,"Student age (≤"&amp;Notes!$B$4&amp;")","Middle-aged ("&amp;(Notes!$B$4+1)&amp;"–"&amp;(Notes!$B$5-1)&amp;")")))</f>
        <v>Student age (≤29)</v>
      </c>
      <c r="H232" s="3" t="s">
        <v>83</v>
      </c>
      <c r="I232" s="3" t="s">
        <v>2521</v>
      </c>
      <c r="J232" s="3" t="s">
        <v>47</v>
      </c>
      <c r="K232" s="3" t="s">
        <v>2522</v>
      </c>
      <c r="L232" s="3" t="s">
        <v>2521</v>
      </c>
      <c r="M232" s="3" t="s">
        <v>47</v>
      </c>
      <c r="N232" s="3" t="s">
        <v>2522</v>
      </c>
      <c r="O232" s="3" t="s">
        <v>806</v>
      </c>
      <c r="P232" s="3"/>
      <c r="Q232" s="3" t="s">
        <v>95</v>
      </c>
      <c r="R232" s="3" t="s">
        <v>2523</v>
      </c>
      <c r="S232" s="3" t="s">
        <v>2524</v>
      </c>
      <c r="T232" s="3" t="s">
        <v>2495</v>
      </c>
      <c r="U232" s="3" t="s">
        <v>1690</v>
      </c>
      <c r="V232" s="3" t="s">
        <v>2525</v>
      </c>
      <c r="W232" s="3" t="s">
        <v>2497</v>
      </c>
      <c r="X232" s="3" t="s">
        <v>2526</v>
      </c>
      <c r="Y232" s="3" t="n">
        <v>3</v>
      </c>
      <c r="Z232" s="3" t="n">
        <v>1</v>
      </c>
      <c r="AA232" s="3" t="n">
        <v>2</v>
      </c>
      <c r="AB232" s="3" t="n">
        <v>2</v>
      </c>
      <c r="AC232" s="3" t="n">
        <v>1</v>
      </c>
      <c r="AD232" s="3" t="n">
        <v>3</v>
      </c>
      <c r="AE232" s="3" t="s">
        <v>2527</v>
      </c>
      <c r="AF232" s="3" t="s">
        <v>846</v>
      </c>
      <c r="AG232" s="3"/>
      <c r="AH232" s="3"/>
      <c r="AI232" s="3" t="s">
        <v>2508</v>
      </c>
      <c r="AJ232" s="3" t="s">
        <v>59</v>
      </c>
      <c r="AK232" s="3"/>
      <c r="AL232" s="3"/>
      <c r="AM232" s="3" t="n">
        <v>4</v>
      </c>
      <c r="AN232" s="3"/>
      <c r="AO232" s="3"/>
      <c r="AP232" s="3" t="n">
        <v>5</v>
      </c>
      <c r="AQ232" s="3"/>
      <c r="AR232" s="3"/>
    </row>
    <row r="233" customFormat="false" ht="15" hidden="false" customHeight="true" outlineLevel="0" collapsed="false">
      <c r="A233" s="3" t="s">
        <v>2528</v>
      </c>
      <c r="B233" s="3" t="n">
        <v>4</v>
      </c>
      <c r="C233" s="3" t="n">
        <v>7</v>
      </c>
      <c r="D233" s="3"/>
      <c r="E233" s="4" t="n">
        <v>46287.959585463</v>
      </c>
      <c r="F233" s="3" t="n">
        <v>57</v>
      </c>
      <c r="G233" s="3" t="str">
        <f aca="false">IF(F233="","",IF(F233&gt;=Notes!$B$5,"Elderly ("&amp;Notes!$B$5&amp;"+)",IF(F233&lt;=Notes!$B$4,"Student age (≤"&amp;Notes!$B$4&amp;")","Middle-aged ("&amp;(Notes!$B$4+1)&amp;"–"&amp;(Notes!$B$5-1)&amp;")")))</f>
        <v>Middle-aged (30–64)</v>
      </c>
      <c r="H233" s="3" t="s">
        <v>45</v>
      </c>
      <c r="I233" s="3"/>
      <c r="J233" s="3" t="s">
        <v>437</v>
      </c>
      <c r="K233" s="3" t="s">
        <v>437</v>
      </c>
      <c r="L233" s="3"/>
      <c r="M233" s="3" t="s">
        <v>437</v>
      </c>
      <c r="N233" s="3" t="s">
        <v>437</v>
      </c>
      <c r="O233" s="3" t="s">
        <v>2242</v>
      </c>
      <c r="P233" s="3"/>
      <c r="Q233" s="3" t="s">
        <v>2242</v>
      </c>
      <c r="R233" s="3" t="s">
        <v>2523</v>
      </c>
      <c r="S233" s="3" t="s">
        <v>2242</v>
      </c>
      <c r="T233" s="3" t="s">
        <v>2495</v>
      </c>
      <c r="U233" s="3" t="s">
        <v>2242</v>
      </c>
      <c r="V233" s="3" t="s">
        <v>2529</v>
      </c>
      <c r="W233" s="3" t="s">
        <v>2497</v>
      </c>
      <c r="X233" s="3" t="s">
        <v>2530</v>
      </c>
      <c r="Y233" s="3" t="n">
        <v>2</v>
      </c>
      <c r="Z233" s="3" t="n">
        <v>1</v>
      </c>
      <c r="AA233" s="3" t="n">
        <v>3</v>
      </c>
      <c r="AB233" s="3" t="n">
        <v>2</v>
      </c>
      <c r="AC233" s="3" t="n">
        <v>1</v>
      </c>
      <c r="AD233" s="3" t="n">
        <v>3</v>
      </c>
      <c r="AE233" s="3" t="s">
        <v>2531</v>
      </c>
      <c r="AF233" s="3" t="s">
        <v>847</v>
      </c>
      <c r="AG233" s="3"/>
      <c r="AH233" s="3"/>
      <c r="AI233" s="3" t="s">
        <v>2508</v>
      </c>
      <c r="AJ233" s="3" t="s">
        <v>1625</v>
      </c>
      <c r="AK233" s="3"/>
      <c r="AL233" s="3"/>
      <c r="AM233" s="3" t="n">
        <v>3</v>
      </c>
      <c r="AN233" s="3"/>
      <c r="AO233" s="3"/>
      <c r="AP233" s="3" t="n">
        <v>5</v>
      </c>
      <c r="AQ233" s="3"/>
      <c r="AR233" s="3"/>
    </row>
    <row r="234" customFormat="false" ht="15" hidden="false" customHeight="true" outlineLevel="0" collapsed="false">
      <c r="A234" s="3" t="s">
        <v>2532</v>
      </c>
      <c r="B234" s="3" t="n">
        <v>4</v>
      </c>
      <c r="C234" s="3" t="n">
        <v>8</v>
      </c>
      <c r="D234" s="3"/>
      <c r="E234" s="4" t="n">
        <v>46287.9604188773</v>
      </c>
      <c r="F234" s="3" t="n">
        <v>25</v>
      </c>
      <c r="G234" s="3" t="str">
        <f aca="false">IF(F234="","",IF(F234&gt;=Notes!$B$5,"Elderly ("&amp;Notes!$B$5&amp;"+)",IF(F234&lt;=Notes!$B$4,"Student age (≤"&amp;Notes!$B$4&amp;")","Middle-aged ("&amp;(Notes!$B$4+1)&amp;"–"&amp;(Notes!$B$5-1)&amp;")")))</f>
        <v>Student age (≤29)</v>
      </c>
      <c r="H234" s="3" t="s">
        <v>45</v>
      </c>
      <c r="I234" s="3" t="s">
        <v>159</v>
      </c>
      <c r="J234" s="3" t="s">
        <v>47</v>
      </c>
      <c r="K234" s="3" t="s">
        <v>160</v>
      </c>
      <c r="L234" s="3" t="s">
        <v>171</v>
      </c>
      <c r="M234" s="3" t="s">
        <v>47</v>
      </c>
      <c r="N234" s="3" t="s">
        <v>172</v>
      </c>
      <c r="O234" s="3" t="s">
        <v>2515</v>
      </c>
      <c r="P234" s="3"/>
      <c r="Q234" s="3" t="s">
        <v>74</v>
      </c>
      <c r="R234" s="3" t="s">
        <v>2494</v>
      </c>
      <c r="S234" s="3" t="s">
        <v>2503</v>
      </c>
      <c r="T234" s="3" t="s">
        <v>2533</v>
      </c>
      <c r="U234" s="3" t="s">
        <v>2242</v>
      </c>
      <c r="V234" s="3" t="s">
        <v>2534</v>
      </c>
      <c r="W234" s="3" t="s">
        <v>2505</v>
      </c>
      <c r="X234" s="3"/>
      <c r="Y234" s="3" t="n">
        <v>3</v>
      </c>
      <c r="Z234" s="3" t="n">
        <v>1</v>
      </c>
      <c r="AA234" s="3" t="n">
        <v>2</v>
      </c>
      <c r="AB234" s="3" t="n">
        <v>3</v>
      </c>
      <c r="AC234" s="3" t="n">
        <v>2</v>
      </c>
      <c r="AD234" s="3" t="n">
        <v>1</v>
      </c>
      <c r="AE234" s="3" t="s">
        <v>2535</v>
      </c>
      <c r="AF234" s="3" t="s">
        <v>846</v>
      </c>
      <c r="AG234" s="3"/>
      <c r="AH234" s="3"/>
      <c r="AI234" s="3" t="s">
        <v>2536</v>
      </c>
      <c r="AJ234" s="3" t="s">
        <v>59</v>
      </c>
      <c r="AK234" s="3"/>
      <c r="AL234" s="3"/>
      <c r="AM234" s="3" t="n">
        <v>4</v>
      </c>
      <c r="AN234" s="3"/>
      <c r="AO234" s="3"/>
      <c r="AP234" s="3" t="n">
        <v>4</v>
      </c>
      <c r="AQ234" s="3"/>
      <c r="AR234" s="3"/>
    </row>
    <row r="235" customFormat="false" ht="15" hidden="false" customHeight="true" outlineLevel="0" collapsed="false">
      <c r="A235" s="3" t="s">
        <v>2537</v>
      </c>
      <c r="B235" s="3" t="n">
        <v>4</v>
      </c>
      <c r="C235" s="3" t="n">
        <v>9</v>
      </c>
      <c r="D235" s="3"/>
      <c r="E235" s="4" t="n">
        <v>46287.9611409028</v>
      </c>
      <c r="F235" s="3" t="n">
        <v>24</v>
      </c>
      <c r="G235" s="3" t="str">
        <f aca="false">IF(F235="","",IF(F235&gt;=Notes!$B$5,"Elderly ("&amp;Notes!$B$5&amp;"+)",IF(F235&lt;=Notes!$B$4,"Student age (≤"&amp;Notes!$B$4&amp;")","Middle-aged ("&amp;(Notes!$B$4+1)&amp;"–"&amp;(Notes!$B$5-1)&amp;")")))</f>
        <v>Student age (≤29)</v>
      </c>
      <c r="H235" s="3" t="s">
        <v>83</v>
      </c>
      <c r="I235" s="3"/>
      <c r="J235" s="3" t="s">
        <v>437</v>
      </c>
      <c r="K235" s="3" t="s">
        <v>437</v>
      </c>
      <c r="L235" s="3" t="s">
        <v>49</v>
      </c>
      <c r="M235" s="3" t="s">
        <v>47</v>
      </c>
      <c r="N235" s="3" t="s">
        <v>50</v>
      </c>
      <c r="O235" s="3" t="s">
        <v>2538</v>
      </c>
      <c r="P235" s="3"/>
      <c r="Q235" s="3" t="s">
        <v>117</v>
      </c>
      <c r="R235" s="3" t="s">
        <v>2539</v>
      </c>
      <c r="S235" s="3" t="s">
        <v>2540</v>
      </c>
      <c r="T235" s="3" t="s">
        <v>2495</v>
      </c>
      <c r="U235" s="3" t="s">
        <v>1690</v>
      </c>
      <c r="V235" s="3" t="s">
        <v>2529</v>
      </c>
      <c r="W235" s="3" t="s">
        <v>2497</v>
      </c>
      <c r="X235" s="3" t="s">
        <v>2541</v>
      </c>
      <c r="Y235" s="3" t="n">
        <v>2</v>
      </c>
      <c r="Z235" s="3" t="n">
        <v>1</v>
      </c>
      <c r="AA235" s="3" t="n">
        <v>3</v>
      </c>
      <c r="AB235" s="3" t="n">
        <v>2</v>
      </c>
      <c r="AC235" s="3" t="n">
        <v>1</v>
      </c>
      <c r="AD235" s="3" t="n">
        <v>3</v>
      </c>
      <c r="AE235" s="3" t="s">
        <v>2542</v>
      </c>
      <c r="AF235" s="3" t="s">
        <v>847</v>
      </c>
      <c r="AG235" s="3"/>
      <c r="AH235" s="3"/>
      <c r="AI235" s="3" t="s">
        <v>2508</v>
      </c>
      <c r="AJ235" s="3" t="s">
        <v>59</v>
      </c>
      <c r="AK235" s="3"/>
      <c r="AL235" s="3"/>
      <c r="AM235" s="3" t="n">
        <v>4</v>
      </c>
      <c r="AN235" s="3"/>
      <c r="AO235" s="3"/>
      <c r="AP235" s="3" t="n">
        <v>4</v>
      </c>
      <c r="AQ235" s="3"/>
      <c r="AR235" s="3"/>
    </row>
    <row r="236" customFormat="false" ht="15" hidden="false" customHeight="true" outlineLevel="0" collapsed="false">
      <c r="A236" s="3" t="s">
        <v>2543</v>
      </c>
      <c r="B236" s="3" t="n">
        <v>4</v>
      </c>
      <c r="C236" s="3" t="n">
        <v>10</v>
      </c>
      <c r="D236" s="3"/>
      <c r="E236" s="4" t="n">
        <v>46287.9742354977</v>
      </c>
      <c r="F236" s="3" t="n">
        <v>24</v>
      </c>
      <c r="G236" s="3" t="str">
        <f aca="false">IF(F236="","",IF(F236&gt;=Notes!$B$5,"Elderly ("&amp;Notes!$B$5&amp;"+)",IF(F236&lt;=Notes!$B$4,"Student age (≤"&amp;Notes!$B$4&amp;")","Middle-aged ("&amp;(Notes!$B$4+1)&amp;"–"&amp;(Notes!$B$5-1)&amp;")")))</f>
        <v>Student age (≤29)</v>
      </c>
      <c r="H236" s="3" t="s">
        <v>83</v>
      </c>
      <c r="I236" s="3"/>
      <c r="J236" s="3" t="s">
        <v>437</v>
      </c>
      <c r="K236" s="3" t="s">
        <v>437</v>
      </c>
      <c r="L236" s="3" t="s">
        <v>159</v>
      </c>
      <c r="M236" s="3" t="s">
        <v>47</v>
      </c>
      <c r="N236" s="3" t="s">
        <v>160</v>
      </c>
      <c r="O236" s="3" t="s">
        <v>2538</v>
      </c>
      <c r="P236" s="3"/>
      <c r="Q236" s="3" t="s">
        <v>95</v>
      </c>
      <c r="R236" s="3" t="s">
        <v>2539</v>
      </c>
      <c r="S236" s="3" t="s">
        <v>2502</v>
      </c>
      <c r="T236" s="3" t="s">
        <v>2544</v>
      </c>
      <c r="U236" s="3" t="s">
        <v>59</v>
      </c>
      <c r="V236" s="3" t="s">
        <v>2545</v>
      </c>
      <c r="W236" s="3" t="s">
        <v>2546</v>
      </c>
      <c r="X236" s="3" t="s">
        <v>2547</v>
      </c>
      <c r="Y236" s="3" t="n">
        <v>1</v>
      </c>
      <c r="Z236" s="3" t="n">
        <v>2</v>
      </c>
      <c r="AA236" s="3" t="n">
        <v>3</v>
      </c>
      <c r="AB236" s="3" t="n">
        <v>1</v>
      </c>
      <c r="AC236" s="3" t="n">
        <v>3</v>
      </c>
      <c r="AD236" s="3" t="n">
        <v>2</v>
      </c>
      <c r="AE236" s="3" t="s">
        <v>2548</v>
      </c>
      <c r="AF236" s="3" t="s">
        <v>860</v>
      </c>
      <c r="AG236" s="3"/>
      <c r="AH236" s="3"/>
      <c r="AI236" s="3" t="s">
        <v>2549</v>
      </c>
      <c r="AJ236" s="3" t="s">
        <v>59</v>
      </c>
      <c r="AK236" s="3"/>
      <c r="AL236" s="3"/>
      <c r="AM236" s="3" t="n">
        <v>4</v>
      </c>
      <c r="AN236" s="3"/>
      <c r="AO236" s="3"/>
      <c r="AP236" s="3" t="n">
        <v>5</v>
      </c>
      <c r="AQ236" s="3"/>
      <c r="AR236" s="3"/>
    </row>
    <row r="237" customFormat="false" ht="15" hidden="false" customHeight="true" outlineLevel="0" collapsed="false">
      <c r="A237" s="3" t="s">
        <v>2550</v>
      </c>
      <c r="B237" s="3" t="n">
        <v>4</v>
      </c>
      <c r="C237" s="3" t="n">
        <v>11</v>
      </c>
      <c r="D237" s="3"/>
      <c r="E237" s="4" t="n">
        <v>46287.9776048958</v>
      </c>
      <c r="F237" s="3" t="n">
        <v>22</v>
      </c>
      <c r="G237" s="3" t="str">
        <f aca="false">IF(F237="","",IF(F237&gt;=Notes!$B$5,"Elderly ("&amp;Notes!$B$5&amp;"+)",IF(F237&lt;=Notes!$B$4,"Student age (≤"&amp;Notes!$B$4&amp;")","Middle-aged ("&amp;(Notes!$B$4+1)&amp;"–"&amp;(Notes!$B$5-1)&amp;")")))</f>
        <v>Student age (≤29)</v>
      </c>
      <c r="H237" s="3" t="s">
        <v>83</v>
      </c>
      <c r="I237" s="3"/>
      <c r="J237" s="3" t="s">
        <v>437</v>
      </c>
      <c r="K237" s="3" t="s">
        <v>437</v>
      </c>
      <c r="L237" s="3" t="s">
        <v>61</v>
      </c>
      <c r="M237" s="3" t="s">
        <v>47</v>
      </c>
      <c r="N237" s="3" t="s">
        <v>62</v>
      </c>
      <c r="O237" s="3" t="s">
        <v>2515</v>
      </c>
      <c r="P237" s="3"/>
      <c r="Q237" s="3" t="s">
        <v>74</v>
      </c>
      <c r="R237" s="3" t="s">
        <v>2502</v>
      </c>
      <c r="S237" s="3" t="s">
        <v>2502</v>
      </c>
      <c r="T237" s="3" t="s">
        <v>2495</v>
      </c>
      <c r="U237" s="3" t="s">
        <v>1690</v>
      </c>
      <c r="V237" s="3" t="s">
        <v>2516</v>
      </c>
      <c r="W237" s="3" t="s">
        <v>2551</v>
      </c>
      <c r="X237" s="3" t="s">
        <v>2552</v>
      </c>
      <c r="Y237" s="3" t="n">
        <v>1</v>
      </c>
      <c r="Z237" s="3" t="n">
        <v>2</v>
      </c>
      <c r="AA237" s="3" t="n">
        <v>3</v>
      </c>
      <c r="AB237" s="3" t="n">
        <v>2</v>
      </c>
      <c r="AC237" s="3" t="n">
        <v>1</v>
      </c>
      <c r="AD237" s="3" t="n">
        <v>3</v>
      </c>
      <c r="AE237" s="3" t="s">
        <v>2553</v>
      </c>
      <c r="AF237" s="3" t="s">
        <v>860</v>
      </c>
      <c r="AG237" s="3"/>
      <c r="AH237" s="3"/>
      <c r="AI237" s="3" t="s">
        <v>2508</v>
      </c>
      <c r="AJ237" s="3" t="s">
        <v>1625</v>
      </c>
      <c r="AK237" s="3"/>
      <c r="AL237" s="3"/>
      <c r="AM237" s="3" t="n">
        <v>4</v>
      </c>
      <c r="AN237" s="3"/>
      <c r="AO237" s="3"/>
      <c r="AP237" s="3" t="n">
        <v>5</v>
      </c>
      <c r="AQ237" s="3"/>
      <c r="AR237" s="3"/>
    </row>
    <row r="238" customFormat="false" ht="15" hidden="false" customHeight="true" outlineLevel="0" collapsed="false">
      <c r="A238" s="3" t="s">
        <v>2554</v>
      </c>
      <c r="B238" s="3" t="n">
        <v>4</v>
      </c>
      <c r="C238" s="3" t="n">
        <v>12</v>
      </c>
      <c r="D238" s="3"/>
      <c r="E238" s="4" t="n">
        <v>46287.9850674884</v>
      </c>
      <c r="F238" s="3" t="n">
        <v>23</v>
      </c>
      <c r="G238" s="3" t="str">
        <f aca="false">IF(F238="","",IF(F238&gt;=Notes!$B$5,"Elderly ("&amp;Notes!$B$5&amp;"+)",IF(F238&lt;=Notes!$B$4,"Student age (≤"&amp;Notes!$B$4&amp;")","Middle-aged ("&amp;(Notes!$B$4+1)&amp;"–"&amp;(Notes!$B$5-1)&amp;")")))</f>
        <v>Student age (≤29)</v>
      </c>
      <c r="H238" s="3" t="s">
        <v>83</v>
      </c>
      <c r="I238" s="3"/>
      <c r="J238" s="3" t="s">
        <v>437</v>
      </c>
      <c r="K238" s="3" t="s">
        <v>437</v>
      </c>
      <c r="L238" s="3" t="s">
        <v>71</v>
      </c>
      <c r="M238" s="3" t="s">
        <v>47</v>
      </c>
      <c r="N238" s="3" t="s">
        <v>72</v>
      </c>
      <c r="O238" s="3" t="s">
        <v>2515</v>
      </c>
      <c r="P238" s="3"/>
      <c r="Q238" s="3" t="s">
        <v>117</v>
      </c>
      <c r="R238" s="3" t="s">
        <v>2493</v>
      </c>
      <c r="S238" s="3" t="s">
        <v>2503</v>
      </c>
      <c r="T238" s="3" t="s">
        <v>2555</v>
      </c>
      <c r="U238" s="3" t="s">
        <v>59</v>
      </c>
      <c r="V238" s="3" t="s">
        <v>2516</v>
      </c>
      <c r="W238" s="3" t="s">
        <v>2497</v>
      </c>
      <c r="X238" s="3" t="s">
        <v>2556</v>
      </c>
      <c r="Y238" s="3" t="n">
        <v>2</v>
      </c>
      <c r="Z238" s="3" t="n">
        <v>1</v>
      </c>
      <c r="AA238" s="3" t="n">
        <v>3</v>
      </c>
      <c r="AB238" s="3" t="n">
        <v>2</v>
      </c>
      <c r="AC238" s="3" t="n">
        <v>3</v>
      </c>
      <c r="AD238" s="3" t="n">
        <v>1</v>
      </c>
      <c r="AE238" s="3" t="s">
        <v>2557</v>
      </c>
      <c r="AF238" s="3" t="s">
        <v>846</v>
      </c>
      <c r="AG238" s="3"/>
      <c r="AH238" s="3"/>
      <c r="AI238" s="3" t="s">
        <v>2519</v>
      </c>
      <c r="AJ238" s="3" t="s">
        <v>59</v>
      </c>
      <c r="AK238" s="3"/>
      <c r="AL238" s="3"/>
      <c r="AM238" s="3" t="n">
        <v>4</v>
      </c>
      <c r="AN238" s="3"/>
      <c r="AO238" s="3"/>
      <c r="AP238" s="3" t="n">
        <v>5</v>
      </c>
      <c r="AQ238" s="3"/>
      <c r="AR238" s="3"/>
    </row>
    <row r="239" customFormat="false" ht="15" hidden="false" customHeight="true" outlineLevel="0" collapsed="false">
      <c r="A239" s="3" t="s">
        <v>2558</v>
      </c>
      <c r="B239" s="3" t="n">
        <v>4</v>
      </c>
      <c r="C239" s="3" t="n">
        <v>13</v>
      </c>
      <c r="D239" s="3"/>
      <c r="E239" s="4" t="n">
        <v>46287.9861266898</v>
      </c>
      <c r="F239" s="3" t="n">
        <v>55</v>
      </c>
      <c r="G239" s="3" t="str">
        <f aca="false">IF(F239="","",IF(F239&gt;=Notes!$B$5,"Elderly ("&amp;Notes!$B$5&amp;"+)",IF(F239&lt;=Notes!$B$4,"Student age (≤"&amp;Notes!$B$4&amp;")","Middle-aged ("&amp;(Notes!$B$4+1)&amp;"–"&amp;(Notes!$B$5-1)&amp;")")))</f>
        <v>Middle-aged (30–64)</v>
      </c>
      <c r="H239" s="3" t="s">
        <v>83</v>
      </c>
      <c r="I239" s="3"/>
      <c r="J239" s="3" t="s">
        <v>437</v>
      </c>
      <c r="K239" s="3" t="s">
        <v>437</v>
      </c>
      <c r="L239" s="3"/>
      <c r="M239" s="3" t="s">
        <v>437</v>
      </c>
      <c r="N239" s="3" t="s">
        <v>437</v>
      </c>
      <c r="O239" s="3" t="s">
        <v>806</v>
      </c>
      <c r="P239" s="3"/>
      <c r="Q239" s="3" t="s">
        <v>117</v>
      </c>
      <c r="R239" s="3" t="s">
        <v>2540</v>
      </c>
      <c r="S239" s="3" t="s">
        <v>2540</v>
      </c>
      <c r="T239" s="3" t="s">
        <v>2495</v>
      </c>
      <c r="U239" s="3" t="s">
        <v>1690</v>
      </c>
      <c r="V239" s="3" t="s">
        <v>2504</v>
      </c>
      <c r="W239" s="3" t="s">
        <v>2497</v>
      </c>
      <c r="X239" s="3" t="s">
        <v>2559</v>
      </c>
      <c r="Y239" s="3" t="n">
        <v>3</v>
      </c>
      <c r="Z239" s="3" t="n">
        <v>1</v>
      </c>
      <c r="AA239" s="3" t="n">
        <v>2</v>
      </c>
      <c r="AB239" s="3" t="n">
        <v>3</v>
      </c>
      <c r="AC239" s="3" t="n">
        <v>1</v>
      </c>
      <c r="AD239" s="3" t="n">
        <v>2</v>
      </c>
      <c r="AE239" s="3" t="s">
        <v>2560</v>
      </c>
      <c r="AF239" s="3" t="s">
        <v>847</v>
      </c>
      <c r="AG239" s="3"/>
      <c r="AH239" s="3"/>
      <c r="AI239" s="3" t="s">
        <v>2549</v>
      </c>
      <c r="AJ239" s="3" t="s">
        <v>1625</v>
      </c>
      <c r="AK239" s="3"/>
      <c r="AL239" s="3"/>
      <c r="AM239" s="3" t="n">
        <v>4</v>
      </c>
      <c r="AN239" s="3"/>
      <c r="AO239" s="3"/>
      <c r="AP239" s="3" t="n">
        <v>5</v>
      </c>
      <c r="AQ239" s="3"/>
      <c r="AR239" s="3"/>
    </row>
    <row r="240" customFormat="false" ht="15" hidden="false" customHeight="true" outlineLevel="0" collapsed="false">
      <c r="A240" s="3" t="s">
        <v>2561</v>
      </c>
      <c r="B240" s="3" t="n">
        <v>4</v>
      </c>
      <c r="C240" s="3" t="n">
        <v>14</v>
      </c>
      <c r="D240" s="3"/>
      <c r="E240" s="4" t="n">
        <v>46287.9871653357</v>
      </c>
      <c r="F240" s="3" t="n">
        <v>22</v>
      </c>
      <c r="G240" s="3" t="str">
        <f aca="false">IF(F240="","",IF(F240&gt;=Notes!$B$5,"Elderly ("&amp;Notes!$B$5&amp;"+)",IF(F240&lt;=Notes!$B$4,"Student age (≤"&amp;Notes!$B$4&amp;")","Middle-aged ("&amp;(Notes!$B$4+1)&amp;"–"&amp;(Notes!$B$5-1)&amp;")")))</f>
        <v>Student age (≤29)</v>
      </c>
      <c r="H240" s="3" t="s">
        <v>83</v>
      </c>
      <c r="I240" s="3"/>
      <c r="J240" s="3" t="s">
        <v>437</v>
      </c>
      <c r="K240" s="3" t="s">
        <v>437</v>
      </c>
      <c r="L240" s="3"/>
      <c r="M240" s="3" t="s">
        <v>47</v>
      </c>
      <c r="N240" s="3" t="s">
        <v>47</v>
      </c>
      <c r="O240" s="3" t="s">
        <v>806</v>
      </c>
      <c r="P240" s="3"/>
      <c r="Q240" s="3" t="s">
        <v>52</v>
      </c>
      <c r="R240" s="3" t="s">
        <v>2494</v>
      </c>
      <c r="S240" s="3" t="s">
        <v>2540</v>
      </c>
      <c r="T240" s="3" t="s">
        <v>2555</v>
      </c>
      <c r="U240" s="3" t="s">
        <v>1690</v>
      </c>
      <c r="V240" s="3" t="s">
        <v>2562</v>
      </c>
      <c r="W240" s="3" t="s">
        <v>2497</v>
      </c>
      <c r="X240" s="3" t="s">
        <v>2563</v>
      </c>
      <c r="Y240" s="3"/>
      <c r="Z240" s="3"/>
      <c r="AA240" s="3"/>
      <c r="AB240" s="3"/>
      <c r="AC240" s="3"/>
      <c r="AD240" s="3"/>
      <c r="AE240" s="3" t="s">
        <v>2564</v>
      </c>
      <c r="AF240" s="3" t="s">
        <v>846</v>
      </c>
      <c r="AG240" s="3"/>
      <c r="AH240" s="3"/>
      <c r="AI240" s="3" t="s">
        <v>2508</v>
      </c>
      <c r="AJ240" s="3" t="s">
        <v>98</v>
      </c>
      <c r="AK240" s="3"/>
      <c r="AL240" s="3"/>
      <c r="AM240" s="3" t="n">
        <v>3</v>
      </c>
      <c r="AN240" s="3"/>
      <c r="AO240" s="3"/>
      <c r="AP240" s="3" t="n">
        <v>3</v>
      </c>
      <c r="AQ240" s="3"/>
      <c r="AR240" s="3" t="s">
        <v>2565</v>
      </c>
    </row>
    <row r="241" customFormat="false" ht="15" hidden="false" customHeight="true" outlineLevel="0" collapsed="false">
      <c r="A241" s="3" t="s">
        <v>2566</v>
      </c>
      <c r="B241" s="3" t="n">
        <v>4</v>
      </c>
      <c r="C241" s="3" t="n">
        <v>15</v>
      </c>
      <c r="D241" s="3"/>
      <c r="E241" s="4" t="n">
        <v>46287.9972564815</v>
      </c>
      <c r="F241" s="3" t="n">
        <v>21</v>
      </c>
      <c r="G241" s="3" t="str">
        <f aca="false">IF(F241="","",IF(F241&gt;=Notes!$B$5,"Elderly ("&amp;Notes!$B$5&amp;"+)",IF(F241&lt;=Notes!$B$4,"Student age (≤"&amp;Notes!$B$4&amp;")","Middle-aged ("&amp;(Notes!$B$4+1)&amp;"–"&amp;(Notes!$B$5-1)&amp;")")))</f>
        <v>Student age (≤29)</v>
      </c>
      <c r="H241" s="3" t="s">
        <v>45</v>
      </c>
      <c r="I241" s="3"/>
      <c r="J241" s="3" t="s">
        <v>437</v>
      </c>
      <c r="K241" s="3" t="s">
        <v>437</v>
      </c>
      <c r="L241" s="3" t="s">
        <v>1412</v>
      </c>
      <c r="M241" s="3" t="s">
        <v>47</v>
      </c>
      <c r="N241" s="3" t="s">
        <v>1413</v>
      </c>
      <c r="O241" s="3" t="s">
        <v>2538</v>
      </c>
      <c r="P241" s="3"/>
      <c r="Q241" s="3" t="s">
        <v>117</v>
      </c>
      <c r="R241" s="3" t="s">
        <v>2494</v>
      </c>
      <c r="S241" s="3" t="s">
        <v>2540</v>
      </c>
      <c r="T241" s="3" t="s">
        <v>2544</v>
      </c>
      <c r="U241" s="3" t="s">
        <v>59</v>
      </c>
      <c r="V241" s="3" t="s">
        <v>2516</v>
      </c>
      <c r="W241" s="3" t="s">
        <v>2546</v>
      </c>
      <c r="X241" s="3" t="s">
        <v>2567</v>
      </c>
      <c r="Y241" s="3" t="n">
        <v>3</v>
      </c>
      <c r="Z241" s="3" t="n">
        <v>1</v>
      </c>
      <c r="AA241" s="3" t="n">
        <v>2</v>
      </c>
      <c r="AB241" s="3" t="n">
        <v>3</v>
      </c>
      <c r="AC241" s="3" t="n">
        <v>1</v>
      </c>
      <c r="AD241" s="3" t="n">
        <v>2</v>
      </c>
      <c r="AE241" s="3" t="s">
        <v>2568</v>
      </c>
      <c r="AF241" s="3" t="s">
        <v>846</v>
      </c>
      <c r="AG241" s="3"/>
      <c r="AH241" s="3"/>
      <c r="AI241" s="3" t="s">
        <v>2508</v>
      </c>
      <c r="AJ241" s="3" t="s">
        <v>59</v>
      </c>
      <c r="AK241" s="3"/>
      <c r="AL241" s="3"/>
      <c r="AM241" s="3" t="n">
        <v>5</v>
      </c>
      <c r="AN241" s="3"/>
      <c r="AO241" s="3"/>
      <c r="AP241" s="3" t="n">
        <v>5</v>
      </c>
      <c r="AQ241" s="3"/>
      <c r="AR241" s="3"/>
    </row>
    <row r="242" customFormat="false" ht="15" hidden="false" customHeight="true" outlineLevel="0" collapsed="false">
      <c r="A242" s="3" t="s">
        <v>2569</v>
      </c>
      <c r="B242" s="3" t="n">
        <v>4</v>
      </c>
      <c r="C242" s="3" t="n">
        <v>16</v>
      </c>
      <c r="D242" s="3"/>
      <c r="E242" s="4" t="n">
        <v>46287.9977870023</v>
      </c>
      <c r="F242" s="3" t="n">
        <v>22</v>
      </c>
      <c r="G242" s="3" t="str">
        <f aca="false">IF(F242="","",IF(F242&gt;=Notes!$B$5,"Elderly ("&amp;Notes!$B$5&amp;"+)",IF(F242&lt;=Notes!$B$4,"Student age (≤"&amp;Notes!$B$4&amp;")","Middle-aged ("&amp;(Notes!$B$4+1)&amp;"–"&amp;(Notes!$B$5-1)&amp;")")))</f>
        <v>Student age (≤29)</v>
      </c>
      <c r="H242" s="3" t="s">
        <v>45</v>
      </c>
      <c r="I242" s="3"/>
      <c r="J242" s="3" t="s">
        <v>437</v>
      </c>
      <c r="K242" s="3" t="s">
        <v>437</v>
      </c>
      <c r="L242" s="3" t="s">
        <v>49</v>
      </c>
      <c r="M242" s="3" t="s">
        <v>47</v>
      </c>
      <c r="N242" s="3" t="s">
        <v>50</v>
      </c>
      <c r="O242" s="3" t="s">
        <v>2538</v>
      </c>
      <c r="P242" s="3"/>
      <c r="Q242" s="3" t="s">
        <v>52</v>
      </c>
      <c r="R242" s="3" t="s">
        <v>2494</v>
      </c>
      <c r="S242" s="3" t="s">
        <v>2493</v>
      </c>
      <c r="T242" s="3" t="s">
        <v>2555</v>
      </c>
      <c r="U242" s="3" t="s">
        <v>1690</v>
      </c>
      <c r="V242" s="3" t="s">
        <v>2570</v>
      </c>
      <c r="W242" s="3" t="s">
        <v>2497</v>
      </c>
      <c r="X242" s="3" t="s">
        <v>2571</v>
      </c>
      <c r="Y242" s="3" t="n">
        <v>2</v>
      </c>
      <c r="Z242" s="3" t="n">
        <v>1</v>
      </c>
      <c r="AA242" s="3" t="n">
        <v>3</v>
      </c>
      <c r="AB242" s="3" t="n">
        <v>2</v>
      </c>
      <c r="AC242" s="3" t="n">
        <v>1</v>
      </c>
      <c r="AD242" s="3" t="n">
        <v>3</v>
      </c>
      <c r="AE242" s="3" t="s">
        <v>2572</v>
      </c>
      <c r="AF242" s="3" t="s">
        <v>847</v>
      </c>
      <c r="AG242" s="3"/>
      <c r="AH242" s="3"/>
      <c r="AI242" s="3" t="s">
        <v>2508</v>
      </c>
      <c r="AJ242" s="3" t="s">
        <v>59</v>
      </c>
      <c r="AK242" s="3"/>
      <c r="AL242" s="3"/>
      <c r="AM242" s="3" t="n">
        <v>3</v>
      </c>
      <c r="AN242" s="3"/>
      <c r="AO242" s="3"/>
      <c r="AP242" s="3" t="n">
        <v>5</v>
      </c>
      <c r="AQ242" s="3"/>
      <c r="AR242" s="3"/>
    </row>
    <row r="243" customFormat="false" ht="15" hidden="false" customHeight="true" outlineLevel="0" collapsed="false">
      <c r="A243" s="3" t="s">
        <v>2573</v>
      </c>
      <c r="B243" s="3" t="n">
        <v>4</v>
      </c>
      <c r="C243" s="3" t="n">
        <v>17</v>
      </c>
      <c r="D243" s="3"/>
      <c r="E243" s="4" t="n">
        <v>46288.0005184838</v>
      </c>
      <c r="F243" s="3" t="n">
        <v>21</v>
      </c>
      <c r="G243" s="3" t="str">
        <f aca="false">IF(F243="","",IF(F243&gt;=Notes!$B$5,"Elderly ("&amp;Notes!$B$5&amp;"+)",IF(F243&lt;=Notes!$B$4,"Student age (≤"&amp;Notes!$B$4&amp;")","Middle-aged ("&amp;(Notes!$B$4+1)&amp;"–"&amp;(Notes!$B$5-1)&amp;")")))</f>
        <v>Student age (≤29)</v>
      </c>
      <c r="H243" s="3" t="s">
        <v>83</v>
      </c>
      <c r="I243" s="3"/>
      <c r="J243" s="3" t="s">
        <v>437</v>
      </c>
      <c r="K243" s="3" t="s">
        <v>437</v>
      </c>
      <c r="L243" s="3"/>
      <c r="M243" s="3" t="s">
        <v>2574</v>
      </c>
      <c r="N243" s="3" t="s">
        <v>2574</v>
      </c>
      <c r="O243" s="3" t="s">
        <v>2242</v>
      </c>
      <c r="P243" s="3"/>
      <c r="Q243" s="3" t="s">
        <v>74</v>
      </c>
      <c r="R243" s="3" t="s">
        <v>2539</v>
      </c>
      <c r="S243" s="3" t="s">
        <v>2502</v>
      </c>
      <c r="T243" s="3" t="s">
        <v>2555</v>
      </c>
      <c r="U243" s="3" t="s">
        <v>1690</v>
      </c>
      <c r="V243" s="3" t="s">
        <v>2575</v>
      </c>
      <c r="W243" s="3" t="s">
        <v>2546</v>
      </c>
      <c r="X243" s="3" t="s">
        <v>2576</v>
      </c>
      <c r="Y243" s="3" t="n">
        <v>1</v>
      </c>
      <c r="Z243" s="3" t="n">
        <v>2</v>
      </c>
      <c r="AA243" s="3" t="n">
        <v>3</v>
      </c>
      <c r="AB243" s="3" t="n">
        <v>1</v>
      </c>
      <c r="AC243" s="3" t="n">
        <v>2</v>
      </c>
      <c r="AD243" s="3" t="n">
        <v>3</v>
      </c>
      <c r="AE243" s="3" t="s">
        <v>2577</v>
      </c>
      <c r="AF243" s="3" t="s">
        <v>846</v>
      </c>
      <c r="AG243" s="3"/>
      <c r="AH243" s="3"/>
      <c r="AI243" s="3" t="s">
        <v>2500</v>
      </c>
      <c r="AJ243" s="3" t="s">
        <v>59</v>
      </c>
      <c r="AK243" s="3"/>
      <c r="AL243" s="3"/>
      <c r="AM243" s="3" t="n">
        <v>1</v>
      </c>
      <c r="AN243" s="3"/>
      <c r="AO243" s="3"/>
      <c r="AP243" s="3" t="n">
        <v>1</v>
      </c>
      <c r="AQ243" s="3"/>
      <c r="AR243" s="3"/>
    </row>
    <row r="244" customFormat="false" ht="15" hidden="false" customHeight="true" outlineLevel="0" collapsed="false">
      <c r="A244" s="3" t="s">
        <v>2578</v>
      </c>
      <c r="B244" s="3" t="n">
        <v>4</v>
      </c>
      <c r="C244" s="3" t="n">
        <v>18</v>
      </c>
      <c r="D244" s="3"/>
      <c r="E244" s="4" t="n">
        <v>46288.0011114236</v>
      </c>
      <c r="F244" s="3" t="n">
        <v>21</v>
      </c>
      <c r="G244" s="3" t="str">
        <f aca="false">IF(F244="","",IF(F244&gt;=Notes!$B$5,"Elderly ("&amp;Notes!$B$5&amp;"+)",IF(F244&lt;=Notes!$B$4,"Student age (≤"&amp;Notes!$B$4&amp;")","Middle-aged ("&amp;(Notes!$B$4+1)&amp;"–"&amp;(Notes!$B$5-1)&amp;")")))</f>
        <v>Student age (≤29)</v>
      </c>
      <c r="H244" s="3" t="s">
        <v>83</v>
      </c>
      <c r="I244" s="3"/>
      <c r="J244" s="3" t="s">
        <v>437</v>
      </c>
      <c r="K244" s="3" t="s">
        <v>437</v>
      </c>
      <c r="L244" s="3"/>
      <c r="M244" s="3" t="s">
        <v>47</v>
      </c>
      <c r="N244" s="3" t="s">
        <v>47</v>
      </c>
      <c r="O244" s="3" t="s">
        <v>806</v>
      </c>
      <c r="P244" s="3"/>
      <c r="Q244" s="3" t="s">
        <v>95</v>
      </c>
      <c r="R244" s="3" t="s">
        <v>2493</v>
      </c>
      <c r="S244" s="3" t="s">
        <v>2503</v>
      </c>
      <c r="T244" s="3" t="s">
        <v>2495</v>
      </c>
      <c r="U244" s="3" t="s">
        <v>59</v>
      </c>
      <c r="V244" s="3" t="s">
        <v>2504</v>
      </c>
      <c r="W244" s="3" t="s">
        <v>2505</v>
      </c>
      <c r="X244" s="3" t="s">
        <v>2579</v>
      </c>
      <c r="Y244" s="3" t="n">
        <v>1</v>
      </c>
      <c r="Z244" s="3" t="n">
        <v>2</v>
      </c>
      <c r="AA244" s="3" t="n">
        <v>3</v>
      </c>
      <c r="AB244" s="3" t="n">
        <v>1</v>
      </c>
      <c r="AC244" s="3" t="n">
        <v>2</v>
      </c>
      <c r="AD244" s="3" t="n">
        <v>3</v>
      </c>
      <c r="AE244" s="3" t="s">
        <v>2580</v>
      </c>
      <c r="AF244" s="3" t="s">
        <v>860</v>
      </c>
      <c r="AG244" s="3"/>
      <c r="AH244" s="3"/>
      <c r="AI244" s="3" t="s">
        <v>2549</v>
      </c>
      <c r="AJ244" s="3" t="s">
        <v>59</v>
      </c>
      <c r="AK244" s="3"/>
      <c r="AL244" s="3"/>
      <c r="AM244" s="3" t="n">
        <v>3</v>
      </c>
      <c r="AN244" s="3"/>
      <c r="AO244" s="3"/>
      <c r="AP244" s="3" t="n">
        <v>5</v>
      </c>
      <c r="AQ244" s="3"/>
      <c r="AR244" s="3"/>
    </row>
    <row r="245" customFormat="false" ht="15" hidden="false" customHeight="true" outlineLevel="0" collapsed="false">
      <c r="A245" s="3" t="s">
        <v>2581</v>
      </c>
      <c r="B245" s="3" t="n">
        <v>4</v>
      </c>
      <c r="C245" s="3" t="n">
        <v>19</v>
      </c>
      <c r="D245" s="3"/>
      <c r="E245" s="4" t="n">
        <v>46288.001267037</v>
      </c>
      <c r="F245" s="3" t="n">
        <v>24</v>
      </c>
      <c r="G245" s="3" t="str">
        <f aca="false">IF(F245="","",IF(F245&gt;=Notes!$B$5,"Elderly ("&amp;Notes!$B$5&amp;"+)",IF(F245&lt;=Notes!$B$4,"Student age (≤"&amp;Notes!$B$4&amp;")","Middle-aged ("&amp;(Notes!$B$4+1)&amp;"–"&amp;(Notes!$B$5-1)&amp;")")))</f>
        <v>Student age (≤29)</v>
      </c>
      <c r="H245" s="3" t="s">
        <v>83</v>
      </c>
      <c r="I245" s="3"/>
      <c r="J245" s="3" t="s">
        <v>437</v>
      </c>
      <c r="K245" s="3" t="s">
        <v>437</v>
      </c>
      <c r="L245" s="3" t="s">
        <v>452</v>
      </c>
      <c r="M245" s="3" t="s">
        <v>453</v>
      </c>
      <c r="N245" s="3" t="s">
        <v>454</v>
      </c>
      <c r="O245" s="3" t="s">
        <v>806</v>
      </c>
      <c r="P245" s="3"/>
      <c r="Q245" s="3" t="s">
        <v>74</v>
      </c>
      <c r="R245" s="3" t="s">
        <v>2493</v>
      </c>
      <c r="S245" s="3" t="s">
        <v>2524</v>
      </c>
      <c r="T245" s="3" t="s">
        <v>2582</v>
      </c>
      <c r="U245" s="3" t="s">
        <v>1690</v>
      </c>
      <c r="V245" s="3" t="s">
        <v>2529</v>
      </c>
      <c r="W245" s="3" t="s">
        <v>2497</v>
      </c>
      <c r="X245" s="3" t="s">
        <v>2583</v>
      </c>
      <c r="Y245" s="3" t="n">
        <v>1</v>
      </c>
      <c r="Z245" s="3" t="n">
        <v>2</v>
      </c>
      <c r="AA245" s="3" t="n">
        <v>3</v>
      </c>
      <c r="AB245" s="3" t="n">
        <v>3</v>
      </c>
      <c r="AC245" s="3" t="n">
        <v>2</v>
      </c>
      <c r="AD245" s="3" t="n">
        <v>1</v>
      </c>
      <c r="AE245" s="3" t="s">
        <v>2577</v>
      </c>
      <c r="AF245" s="3" t="s">
        <v>846</v>
      </c>
      <c r="AG245" s="3"/>
      <c r="AH245" s="3"/>
      <c r="AI245" s="3" t="s">
        <v>2519</v>
      </c>
      <c r="AJ245" s="3" t="s">
        <v>1625</v>
      </c>
      <c r="AK245" s="3"/>
      <c r="AL245" s="3"/>
      <c r="AM245" s="3" t="n">
        <v>4</v>
      </c>
      <c r="AN245" s="3"/>
      <c r="AO245" s="3"/>
      <c r="AP245" s="3" t="n">
        <v>4</v>
      </c>
      <c r="AQ245" s="3"/>
      <c r="AR245" s="3"/>
    </row>
    <row r="246" customFormat="false" ht="15" hidden="false" customHeight="true" outlineLevel="0" collapsed="false">
      <c r="A246" s="3" t="s">
        <v>2584</v>
      </c>
      <c r="B246" s="3" t="n">
        <v>4</v>
      </c>
      <c r="C246" s="3" t="n">
        <v>20</v>
      </c>
      <c r="D246" s="3"/>
      <c r="E246" s="4" t="n">
        <v>46288.0013570486</v>
      </c>
      <c r="F246" s="3" t="n">
        <v>20</v>
      </c>
      <c r="G246" s="3" t="str">
        <f aca="false">IF(F246="","",IF(F246&gt;=Notes!$B$5,"Elderly ("&amp;Notes!$B$5&amp;"+)",IF(F246&lt;=Notes!$B$4,"Student age (≤"&amp;Notes!$B$4&amp;")","Middle-aged ("&amp;(Notes!$B$4+1)&amp;"–"&amp;(Notes!$B$5-1)&amp;")")))</f>
        <v>Student age (≤29)</v>
      </c>
      <c r="H246" s="3" t="s">
        <v>83</v>
      </c>
      <c r="I246" s="3"/>
      <c r="J246" s="3" t="s">
        <v>437</v>
      </c>
      <c r="K246" s="3" t="s">
        <v>437</v>
      </c>
      <c r="L246" s="3"/>
      <c r="M246" s="3" t="s">
        <v>47</v>
      </c>
      <c r="N246" s="3" t="s">
        <v>47</v>
      </c>
      <c r="O246" s="3" t="s">
        <v>806</v>
      </c>
      <c r="P246" s="3"/>
      <c r="Q246" s="3" t="s">
        <v>74</v>
      </c>
      <c r="R246" s="3" t="s">
        <v>2493</v>
      </c>
      <c r="S246" s="3" t="s">
        <v>2539</v>
      </c>
      <c r="T246" s="3" t="s">
        <v>2533</v>
      </c>
      <c r="U246" s="3" t="s">
        <v>2242</v>
      </c>
      <c r="V246" s="3" t="s">
        <v>2516</v>
      </c>
      <c r="W246" s="3" t="s">
        <v>2546</v>
      </c>
      <c r="X246" s="3" t="s">
        <v>2585</v>
      </c>
      <c r="Y246" s="3" t="n">
        <v>1</v>
      </c>
      <c r="Z246" s="3" t="n">
        <v>3</v>
      </c>
      <c r="AA246" s="3" t="n">
        <v>2</v>
      </c>
      <c r="AB246" s="3" t="n">
        <v>1</v>
      </c>
      <c r="AC246" s="3" t="n">
        <v>3</v>
      </c>
      <c r="AD246" s="3" t="n">
        <v>2</v>
      </c>
      <c r="AE246" s="3" t="s">
        <v>2586</v>
      </c>
      <c r="AF246" s="3" t="s">
        <v>846</v>
      </c>
      <c r="AG246" s="3"/>
      <c r="AH246" s="3"/>
      <c r="AI246" s="3" t="s">
        <v>2508</v>
      </c>
      <c r="AJ246" s="3" t="s">
        <v>59</v>
      </c>
      <c r="AK246" s="3"/>
      <c r="AL246" s="3"/>
      <c r="AM246" s="3" t="n">
        <v>4</v>
      </c>
      <c r="AN246" s="3"/>
      <c r="AO246" s="3"/>
      <c r="AP246" s="3" t="n">
        <v>5</v>
      </c>
      <c r="AQ246" s="3"/>
      <c r="AR246" s="3"/>
    </row>
    <row r="247" customFormat="false" ht="15" hidden="false" customHeight="true" outlineLevel="0" collapsed="false">
      <c r="A247" s="3" t="s">
        <v>2587</v>
      </c>
      <c r="B247" s="3" t="n">
        <v>4</v>
      </c>
      <c r="C247" s="3" t="n">
        <v>21</v>
      </c>
      <c r="D247" s="3"/>
      <c r="E247" s="4" t="n">
        <v>46288.0128662269</v>
      </c>
      <c r="F247" s="3" t="n">
        <v>55</v>
      </c>
      <c r="G247" s="3" t="str">
        <f aca="false">IF(F247="","",IF(F247&gt;=Notes!$B$5,"Elderly ("&amp;Notes!$B$5&amp;"+)",IF(F247&lt;=Notes!$B$4,"Student age (≤"&amp;Notes!$B$4&amp;")","Middle-aged ("&amp;(Notes!$B$4+1)&amp;"–"&amp;(Notes!$B$5-1)&amp;")")))</f>
        <v>Middle-aged (30–64)</v>
      </c>
      <c r="H247" s="3" t="s">
        <v>83</v>
      </c>
      <c r="I247" s="3"/>
      <c r="J247" s="3" t="s">
        <v>437</v>
      </c>
      <c r="K247" s="3" t="s">
        <v>437</v>
      </c>
      <c r="L247" s="3"/>
      <c r="M247" s="3" t="s">
        <v>437</v>
      </c>
      <c r="N247" s="3" t="s">
        <v>437</v>
      </c>
      <c r="O247" s="3" t="s">
        <v>2538</v>
      </c>
      <c r="P247" s="3"/>
      <c r="Q247" s="3" t="s">
        <v>95</v>
      </c>
      <c r="R247" s="3" t="s">
        <v>2540</v>
      </c>
      <c r="S247" s="3" t="s">
        <v>2494</v>
      </c>
      <c r="T247" s="3" t="s">
        <v>2495</v>
      </c>
      <c r="U247" s="3" t="s">
        <v>59</v>
      </c>
      <c r="V247" s="3" t="s">
        <v>2504</v>
      </c>
      <c r="W247" s="3" t="s">
        <v>2546</v>
      </c>
      <c r="X247" s="3" t="s">
        <v>2588</v>
      </c>
      <c r="Y247" s="3" t="n">
        <v>1</v>
      </c>
      <c r="Z247" s="3" t="n">
        <v>2</v>
      </c>
      <c r="AA247" s="3" t="n">
        <v>3</v>
      </c>
      <c r="AB247" s="3" t="n">
        <v>3</v>
      </c>
      <c r="AC247" s="3" t="n">
        <v>1</v>
      </c>
      <c r="AD247" s="3" t="n">
        <v>2</v>
      </c>
      <c r="AE247" s="3" t="s">
        <v>2589</v>
      </c>
      <c r="AF247" s="3" t="s">
        <v>860</v>
      </c>
      <c r="AG247" s="3"/>
      <c r="AH247" s="3"/>
      <c r="AI247" s="3" t="s">
        <v>2519</v>
      </c>
      <c r="AJ247" s="3" t="s">
        <v>98</v>
      </c>
      <c r="AK247" s="3"/>
      <c r="AL247" s="3"/>
      <c r="AM247" s="3" t="n">
        <v>5</v>
      </c>
      <c r="AN247" s="3"/>
      <c r="AO247" s="3"/>
      <c r="AP247" s="3" t="n">
        <v>5</v>
      </c>
      <c r="AQ247" s="3"/>
      <c r="AR247" s="3"/>
    </row>
    <row r="248" customFormat="false" ht="15" hidden="false" customHeight="true" outlineLevel="0" collapsed="false">
      <c r="A248" s="3" t="s">
        <v>2590</v>
      </c>
      <c r="B248" s="3" t="n">
        <v>4</v>
      </c>
      <c r="C248" s="3" t="n">
        <v>22</v>
      </c>
      <c r="D248" s="3"/>
      <c r="E248" s="4" t="n">
        <v>46288.0199549653</v>
      </c>
      <c r="F248" s="3" t="n">
        <v>26</v>
      </c>
      <c r="G248" s="3" t="str">
        <f aca="false">IF(F248="","",IF(F248&gt;=Notes!$B$5,"Elderly ("&amp;Notes!$B$5&amp;"+)",IF(F248&lt;=Notes!$B$4,"Student age (≤"&amp;Notes!$B$4&amp;")","Middle-aged ("&amp;(Notes!$B$4+1)&amp;"–"&amp;(Notes!$B$5-1)&amp;")")))</f>
        <v>Student age (≤29)</v>
      </c>
      <c r="H248" s="3" t="s">
        <v>83</v>
      </c>
      <c r="I248" s="3" t="s">
        <v>289</v>
      </c>
      <c r="J248" s="3" t="s">
        <v>47</v>
      </c>
      <c r="K248" s="3" t="s">
        <v>290</v>
      </c>
      <c r="L248" s="3" t="s">
        <v>289</v>
      </c>
      <c r="M248" s="3" t="s">
        <v>47</v>
      </c>
      <c r="N248" s="3" t="s">
        <v>290</v>
      </c>
      <c r="O248" s="3" t="s">
        <v>806</v>
      </c>
      <c r="P248" s="3"/>
      <c r="Q248" s="3" t="s">
        <v>117</v>
      </c>
      <c r="R248" s="3" t="s">
        <v>2523</v>
      </c>
      <c r="S248" s="3" t="s">
        <v>2494</v>
      </c>
      <c r="T248" s="3" t="s">
        <v>2544</v>
      </c>
      <c r="U248" s="3" t="s">
        <v>59</v>
      </c>
      <c r="V248" s="3" t="s">
        <v>2591</v>
      </c>
      <c r="W248" s="3" t="s">
        <v>2497</v>
      </c>
      <c r="X248" s="3" t="s">
        <v>2592</v>
      </c>
      <c r="Y248" s="3"/>
      <c r="Z248" s="3"/>
      <c r="AA248" s="3"/>
      <c r="AB248" s="3"/>
      <c r="AC248" s="3"/>
      <c r="AD248" s="3"/>
      <c r="AE248" s="3" t="s">
        <v>2593</v>
      </c>
      <c r="AF248" s="3" t="s">
        <v>847</v>
      </c>
      <c r="AG248" s="3"/>
      <c r="AH248" s="3"/>
      <c r="AI248" s="3" t="s">
        <v>2508</v>
      </c>
      <c r="AJ248" s="3" t="s">
        <v>59</v>
      </c>
      <c r="AK248" s="3"/>
      <c r="AL248" s="3"/>
      <c r="AM248" s="3" t="n">
        <v>3</v>
      </c>
      <c r="AN248" s="3"/>
      <c r="AO248" s="3"/>
      <c r="AP248" s="3" t="n">
        <v>3</v>
      </c>
      <c r="AQ248" s="3"/>
      <c r="AR248" s="3" t="s">
        <v>2565</v>
      </c>
    </row>
    <row r="249" customFormat="false" ht="15" hidden="false" customHeight="true" outlineLevel="0" collapsed="false">
      <c r="A249" s="3" t="s">
        <v>2594</v>
      </c>
      <c r="B249" s="3" t="n">
        <v>4</v>
      </c>
      <c r="C249" s="3" t="n">
        <v>23</v>
      </c>
      <c r="D249" s="3"/>
      <c r="E249" s="4" t="n">
        <v>46288.0320629861</v>
      </c>
      <c r="F249" s="3" t="n">
        <v>25</v>
      </c>
      <c r="G249" s="3" t="str">
        <f aca="false">IF(F249="","",IF(F249&gt;=Notes!$B$5,"Elderly ("&amp;Notes!$B$5&amp;"+)",IF(F249&lt;=Notes!$B$4,"Student age (≤"&amp;Notes!$B$4&amp;")","Middle-aged ("&amp;(Notes!$B$4+1)&amp;"–"&amp;(Notes!$B$5-1)&amp;")")))</f>
        <v>Student age (≤29)</v>
      </c>
      <c r="H249" s="3" t="s">
        <v>45</v>
      </c>
      <c r="I249" s="3" t="s">
        <v>159</v>
      </c>
      <c r="J249" s="3" t="s">
        <v>47</v>
      </c>
      <c r="K249" s="3" t="s">
        <v>160</v>
      </c>
      <c r="L249" s="3" t="s">
        <v>159</v>
      </c>
      <c r="M249" s="3" t="s">
        <v>47</v>
      </c>
      <c r="N249" s="3" t="s">
        <v>160</v>
      </c>
      <c r="O249" s="3" t="s">
        <v>2538</v>
      </c>
      <c r="P249" s="3"/>
      <c r="Q249" s="3" t="s">
        <v>74</v>
      </c>
      <c r="R249" s="3" t="s">
        <v>2523</v>
      </c>
      <c r="S249" s="3" t="s">
        <v>2539</v>
      </c>
      <c r="T249" s="3" t="s">
        <v>2495</v>
      </c>
      <c r="U249" s="3" t="s">
        <v>59</v>
      </c>
      <c r="V249" s="3" t="s">
        <v>2595</v>
      </c>
      <c r="W249" s="3" t="s">
        <v>2551</v>
      </c>
      <c r="X249" s="3" t="s">
        <v>2596</v>
      </c>
      <c r="Y249" s="3"/>
      <c r="Z249" s="3" t="n">
        <v>1</v>
      </c>
      <c r="AA249" s="3"/>
      <c r="AB249" s="3" t="n">
        <v>2</v>
      </c>
      <c r="AC249" s="3"/>
      <c r="AD249" s="3"/>
      <c r="AE249" s="3" t="s">
        <v>2597</v>
      </c>
      <c r="AF249" s="3" t="s">
        <v>847</v>
      </c>
      <c r="AG249" s="3"/>
      <c r="AH249" s="3"/>
      <c r="AI249" s="3" t="s">
        <v>2508</v>
      </c>
      <c r="AJ249" s="3" t="s">
        <v>59</v>
      </c>
      <c r="AK249" s="3"/>
      <c r="AL249" s="3"/>
      <c r="AM249" s="3" t="n">
        <v>5</v>
      </c>
      <c r="AN249" s="3"/>
      <c r="AO249" s="3"/>
      <c r="AP249" s="3" t="n">
        <v>5</v>
      </c>
      <c r="AQ249" s="3"/>
      <c r="AR249" s="3" t="s">
        <v>2565</v>
      </c>
    </row>
    <row r="250" customFormat="false" ht="15" hidden="false" customHeight="true" outlineLevel="0" collapsed="false">
      <c r="A250" s="3" t="s">
        <v>2598</v>
      </c>
      <c r="B250" s="3" t="n">
        <v>4</v>
      </c>
      <c r="C250" s="3" t="n">
        <v>24</v>
      </c>
      <c r="D250" s="3"/>
      <c r="E250" s="4" t="n">
        <v>46288.106142338</v>
      </c>
      <c r="F250" s="3" t="n">
        <v>25</v>
      </c>
      <c r="G250" s="3" t="str">
        <f aca="false">IF(F250="","",IF(F250&gt;=Notes!$B$5,"Elderly ("&amp;Notes!$B$5&amp;"+)",IF(F250&lt;=Notes!$B$4,"Student age (≤"&amp;Notes!$B$4&amp;")","Middle-aged ("&amp;(Notes!$B$4+1)&amp;"–"&amp;(Notes!$B$5-1)&amp;")")))</f>
        <v>Student age (≤29)</v>
      </c>
      <c r="H250" s="3" t="s">
        <v>45</v>
      </c>
      <c r="I250" s="3"/>
      <c r="J250" s="3" t="s">
        <v>437</v>
      </c>
      <c r="K250" s="3" t="s">
        <v>437</v>
      </c>
      <c r="L250" s="3"/>
      <c r="M250" s="3" t="s">
        <v>2574</v>
      </c>
      <c r="N250" s="3" t="s">
        <v>2574</v>
      </c>
      <c r="O250" s="3" t="s">
        <v>2515</v>
      </c>
      <c r="P250" s="3"/>
      <c r="Q250" s="3" t="s">
        <v>74</v>
      </c>
      <c r="R250" s="3" t="s">
        <v>2493</v>
      </c>
      <c r="S250" s="3" t="s">
        <v>2524</v>
      </c>
      <c r="T250" s="3" t="s">
        <v>2533</v>
      </c>
      <c r="U250" s="3" t="s">
        <v>1690</v>
      </c>
      <c r="V250" s="3" t="s">
        <v>2504</v>
      </c>
      <c r="W250" s="3" t="s">
        <v>2497</v>
      </c>
      <c r="X250" s="3" t="s">
        <v>2599</v>
      </c>
      <c r="Y250" s="3" t="n">
        <v>2</v>
      </c>
      <c r="Z250" s="3" t="n">
        <v>1</v>
      </c>
      <c r="AA250" s="3" t="n">
        <v>3</v>
      </c>
      <c r="AB250" s="3" t="n">
        <v>1</v>
      </c>
      <c r="AC250" s="3" t="n">
        <v>2</v>
      </c>
      <c r="AD250" s="3" t="n">
        <v>3</v>
      </c>
      <c r="AE250" s="3" t="s">
        <v>2542</v>
      </c>
      <c r="AF250" s="3" t="s">
        <v>847</v>
      </c>
      <c r="AG250" s="3"/>
      <c r="AH250" s="3"/>
      <c r="AI250" s="3" t="s">
        <v>2508</v>
      </c>
      <c r="AJ250" s="3" t="s">
        <v>59</v>
      </c>
      <c r="AK250" s="3"/>
      <c r="AL250" s="3"/>
      <c r="AM250" s="3" t="n">
        <v>4</v>
      </c>
      <c r="AN250" s="3"/>
      <c r="AO250" s="3"/>
      <c r="AP250" s="3" t="n">
        <v>5</v>
      </c>
      <c r="AQ250" s="3"/>
      <c r="AR250" s="3"/>
    </row>
    <row r="251" customFormat="false" ht="15" hidden="false" customHeight="true" outlineLevel="0" collapsed="false">
      <c r="A251" s="3" t="s">
        <v>2600</v>
      </c>
      <c r="B251" s="3" t="n">
        <v>4</v>
      </c>
      <c r="C251" s="3" t="n">
        <v>25</v>
      </c>
      <c r="D251" s="3"/>
      <c r="E251" s="4" t="n">
        <v>46288.1600868519</v>
      </c>
      <c r="F251" s="3" t="n">
        <v>28</v>
      </c>
      <c r="G251" s="3" t="str">
        <f aca="false">IF(F251="","",IF(F251&gt;=Notes!$B$5,"Elderly ("&amp;Notes!$B$5&amp;"+)",IF(F251&lt;=Notes!$B$4,"Student age (≤"&amp;Notes!$B$4&amp;")","Middle-aged ("&amp;(Notes!$B$4+1)&amp;"–"&amp;(Notes!$B$5-1)&amp;")")))</f>
        <v>Student age (≤29)</v>
      </c>
      <c r="H251" s="3" t="s">
        <v>83</v>
      </c>
      <c r="I251" s="3" t="s">
        <v>71</v>
      </c>
      <c r="J251" s="3" t="s">
        <v>47</v>
      </c>
      <c r="K251" s="3" t="s">
        <v>72</v>
      </c>
      <c r="L251" s="3" t="s">
        <v>71</v>
      </c>
      <c r="M251" s="3" t="s">
        <v>47</v>
      </c>
      <c r="N251" s="3" t="s">
        <v>72</v>
      </c>
      <c r="O251" s="3" t="s">
        <v>806</v>
      </c>
      <c r="P251" s="3"/>
      <c r="Q251" s="3" t="s">
        <v>74</v>
      </c>
      <c r="R251" s="3" t="s">
        <v>2494</v>
      </c>
      <c r="S251" s="3" t="s">
        <v>2494</v>
      </c>
      <c r="T251" s="3" t="s">
        <v>2495</v>
      </c>
      <c r="U251" s="3" t="s">
        <v>2242</v>
      </c>
      <c r="V251" s="3" t="s">
        <v>2529</v>
      </c>
      <c r="W251" s="3" t="s">
        <v>2497</v>
      </c>
      <c r="X251" s="3"/>
      <c r="Y251" s="3" t="n">
        <v>3</v>
      </c>
      <c r="Z251" s="3" t="n">
        <v>1</v>
      </c>
      <c r="AA251" s="3" t="n">
        <v>2</v>
      </c>
      <c r="AB251" s="3" t="n">
        <v>2</v>
      </c>
      <c r="AC251" s="3" t="n">
        <v>1</v>
      </c>
      <c r="AD251" s="3" t="n">
        <v>3</v>
      </c>
      <c r="AE251" s="3" t="s">
        <v>2518</v>
      </c>
      <c r="AF251" s="3" t="s">
        <v>847</v>
      </c>
      <c r="AG251" s="3"/>
      <c r="AH251" s="3"/>
      <c r="AI251" s="3" t="s">
        <v>2519</v>
      </c>
      <c r="AJ251" s="3" t="s">
        <v>59</v>
      </c>
      <c r="AK251" s="3"/>
      <c r="AL251" s="3"/>
      <c r="AM251" s="3" t="n">
        <v>4</v>
      </c>
      <c r="AN251" s="3"/>
      <c r="AO251" s="3"/>
      <c r="AP251" s="3" t="n">
        <v>5</v>
      </c>
      <c r="AQ251" s="3"/>
      <c r="AR251" s="3"/>
    </row>
    <row r="252" customFormat="false" ht="15" hidden="false" customHeight="true" outlineLevel="0" collapsed="false">
      <c r="A252" s="3" t="s">
        <v>2601</v>
      </c>
      <c r="B252" s="3" t="n">
        <v>4</v>
      </c>
      <c r="C252" s="3" t="n">
        <v>26</v>
      </c>
      <c r="D252" s="3"/>
      <c r="E252" s="4" t="n">
        <v>46288.3342885648</v>
      </c>
      <c r="F252" s="3" t="n">
        <v>22</v>
      </c>
      <c r="G252" s="3" t="str">
        <f aca="false">IF(F252="","",IF(F252&gt;=Notes!$B$5,"Elderly ("&amp;Notes!$B$5&amp;"+)",IF(F252&lt;=Notes!$B$4,"Student age (≤"&amp;Notes!$B$4&amp;")","Middle-aged ("&amp;(Notes!$B$4+1)&amp;"–"&amp;(Notes!$B$5-1)&amp;")")))</f>
        <v>Student age (≤29)</v>
      </c>
      <c r="H252" s="3" t="s">
        <v>83</v>
      </c>
      <c r="I252" s="3"/>
      <c r="J252" s="3" t="s">
        <v>437</v>
      </c>
      <c r="K252" s="3" t="s">
        <v>437</v>
      </c>
      <c r="L252" s="3" t="s">
        <v>49</v>
      </c>
      <c r="M252" s="3" t="s">
        <v>47</v>
      </c>
      <c r="N252" s="3" t="s">
        <v>50</v>
      </c>
      <c r="O252" s="3" t="s">
        <v>2515</v>
      </c>
      <c r="P252" s="3"/>
      <c r="Q252" s="3" t="s">
        <v>95</v>
      </c>
      <c r="R252" s="3" t="s">
        <v>2502</v>
      </c>
      <c r="S252" s="3" t="s">
        <v>2539</v>
      </c>
      <c r="T252" s="3" t="s">
        <v>2533</v>
      </c>
      <c r="U252" s="3" t="s">
        <v>59</v>
      </c>
      <c r="V252" s="3" t="s">
        <v>2602</v>
      </c>
      <c r="W252" s="3" t="s">
        <v>2497</v>
      </c>
      <c r="X252" s="3" t="s">
        <v>2603</v>
      </c>
      <c r="Y252" s="3" t="n">
        <v>3</v>
      </c>
      <c r="Z252" s="3" t="n">
        <v>2</v>
      </c>
      <c r="AA252" s="3" t="n">
        <v>1</v>
      </c>
      <c r="AB252" s="3" t="n">
        <v>3</v>
      </c>
      <c r="AC252" s="3" t="n">
        <v>2</v>
      </c>
      <c r="AD252" s="3" t="n">
        <v>1</v>
      </c>
      <c r="AE252" s="3" t="s">
        <v>2604</v>
      </c>
      <c r="AF252" s="3" t="s">
        <v>846</v>
      </c>
      <c r="AG252" s="3"/>
      <c r="AH252" s="3"/>
      <c r="AI252" s="3" t="s">
        <v>2500</v>
      </c>
      <c r="AJ252" s="3" t="s">
        <v>59</v>
      </c>
      <c r="AK252" s="3"/>
      <c r="AL252" s="3"/>
      <c r="AM252" s="3" t="n">
        <v>1</v>
      </c>
      <c r="AN252" s="3"/>
      <c r="AO252" s="3"/>
      <c r="AP252" s="3" t="n">
        <v>4</v>
      </c>
      <c r="AQ252" s="3"/>
      <c r="AR252" s="3"/>
    </row>
    <row r="253" customFormat="false" ht="15" hidden="false" customHeight="true" outlineLevel="0" collapsed="false">
      <c r="A253" s="3" t="s">
        <v>2605</v>
      </c>
      <c r="B253" s="3" t="n">
        <v>4</v>
      </c>
      <c r="C253" s="3" t="n">
        <v>27</v>
      </c>
      <c r="D253" s="3"/>
      <c r="E253" s="4" t="n">
        <v>46288.3938942245</v>
      </c>
      <c r="F253" s="3" t="n">
        <v>54</v>
      </c>
      <c r="G253" s="3" t="str">
        <f aca="false">IF(F253="","",IF(F253&gt;=Notes!$B$5,"Elderly ("&amp;Notes!$B$5&amp;"+)",IF(F253&lt;=Notes!$B$4,"Student age (≤"&amp;Notes!$B$4&amp;")","Middle-aged ("&amp;(Notes!$B$4+1)&amp;"–"&amp;(Notes!$B$5-1)&amp;")")))</f>
        <v>Middle-aged (30–64)</v>
      </c>
      <c r="H253" s="3" t="s">
        <v>83</v>
      </c>
      <c r="I253" s="3"/>
      <c r="J253" s="3" t="s">
        <v>437</v>
      </c>
      <c r="K253" s="3" t="s">
        <v>437</v>
      </c>
      <c r="L253" s="3" t="s">
        <v>92</v>
      </c>
      <c r="M253" s="3" t="s">
        <v>47</v>
      </c>
      <c r="N253" s="3" t="s">
        <v>93</v>
      </c>
      <c r="O253" s="3" t="s">
        <v>2515</v>
      </c>
      <c r="P253" s="3"/>
      <c r="Q253" s="3" t="s">
        <v>95</v>
      </c>
      <c r="R253" s="3" t="s">
        <v>2510</v>
      </c>
      <c r="S253" s="3" t="s">
        <v>2493</v>
      </c>
      <c r="T253" s="3" t="s">
        <v>2495</v>
      </c>
      <c r="U253" s="3" t="s">
        <v>59</v>
      </c>
      <c r="V253" s="3" t="s">
        <v>2504</v>
      </c>
      <c r="W253" s="3" t="s">
        <v>2546</v>
      </c>
      <c r="X253" s="3" t="s">
        <v>2606</v>
      </c>
      <c r="Y253" s="3" t="n">
        <v>2</v>
      </c>
      <c r="Z253" s="3" t="n">
        <v>1</v>
      </c>
      <c r="AA253" s="3" t="n">
        <v>3</v>
      </c>
      <c r="AB253" s="3" t="n">
        <v>3</v>
      </c>
      <c r="AC253" s="3" t="n">
        <v>1</v>
      </c>
      <c r="AD253" s="3" t="n">
        <v>2</v>
      </c>
      <c r="AE253" s="3" t="s">
        <v>2607</v>
      </c>
      <c r="AF253" s="3" t="s">
        <v>846</v>
      </c>
      <c r="AG253" s="3"/>
      <c r="AH253" s="3"/>
      <c r="AI253" s="3" t="s">
        <v>2608</v>
      </c>
      <c r="AJ253" s="3" t="s">
        <v>59</v>
      </c>
      <c r="AK253" s="3"/>
      <c r="AL253" s="3"/>
      <c r="AM253" s="3" t="n">
        <v>4</v>
      </c>
      <c r="AN253" s="3"/>
      <c r="AO253" s="3"/>
      <c r="AP253" s="3" t="n">
        <v>5</v>
      </c>
      <c r="AQ253" s="3"/>
      <c r="AR253" s="3"/>
    </row>
    <row r="254" customFormat="false" ht="15" hidden="false" customHeight="true" outlineLevel="0" collapsed="false">
      <c r="A254" s="3" t="s">
        <v>2609</v>
      </c>
      <c r="B254" s="3" t="n">
        <v>4</v>
      </c>
      <c r="C254" s="3" t="n">
        <v>28</v>
      </c>
      <c r="D254" s="3"/>
      <c r="E254" s="4" t="n">
        <v>46288.4022026852</v>
      </c>
      <c r="F254" s="3" t="n">
        <v>58</v>
      </c>
      <c r="G254" s="3" t="str">
        <f aca="false">IF(F254="","",IF(F254&gt;=Notes!$B$5,"Elderly ("&amp;Notes!$B$5&amp;"+)",IF(F254&lt;=Notes!$B$4,"Student age (≤"&amp;Notes!$B$4&amp;")","Middle-aged ("&amp;(Notes!$B$4+1)&amp;"–"&amp;(Notes!$B$5-1)&amp;")")))</f>
        <v>Middle-aged (30–64)</v>
      </c>
      <c r="H254" s="3" t="s">
        <v>83</v>
      </c>
      <c r="I254" s="3"/>
      <c r="J254" s="3" t="s">
        <v>437</v>
      </c>
      <c r="K254" s="3" t="s">
        <v>437</v>
      </c>
      <c r="L254" s="3"/>
      <c r="M254" s="3" t="s">
        <v>437</v>
      </c>
      <c r="N254" s="3" t="s">
        <v>437</v>
      </c>
      <c r="O254" s="3" t="s">
        <v>2538</v>
      </c>
      <c r="P254" s="3"/>
      <c r="Q254" s="3" t="s">
        <v>95</v>
      </c>
      <c r="R254" s="3" t="s">
        <v>2510</v>
      </c>
      <c r="S254" s="3" t="s">
        <v>2503</v>
      </c>
      <c r="T254" s="3" t="s">
        <v>2555</v>
      </c>
      <c r="U254" s="3" t="s">
        <v>2242</v>
      </c>
      <c r="V254" s="3" t="s">
        <v>2610</v>
      </c>
      <c r="W254" s="3" t="s">
        <v>2497</v>
      </c>
      <c r="X254" s="3" t="s">
        <v>2611</v>
      </c>
      <c r="Y254" s="3" t="n">
        <v>3</v>
      </c>
      <c r="Z254" s="3" t="n">
        <v>2</v>
      </c>
      <c r="AA254" s="3" t="n">
        <v>1</v>
      </c>
      <c r="AB254" s="3" t="n">
        <v>3</v>
      </c>
      <c r="AC254" s="3" t="n">
        <v>2</v>
      </c>
      <c r="AD254" s="3" t="n">
        <v>1</v>
      </c>
      <c r="AE254" s="3" t="s">
        <v>2612</v>
      </c>
      <c r="AF254" s="3" t="s">
        <v>846</v>
      </c>
      <c r="AG254" s="3"/>
      <c r="AH254" s="3"/>
      <c r="AI254" s="3" t="s">
        <v>2508</v>
      </c>
      <c r="AJ254" s="3" t="s">
        <v>1625</v>
      </c>
      <c r="AK254" s="3"/>
      <c r="AL254" s="3"/>
      <c r="AM254" s="3" t="n">
        <v>5</v>
      </c>
      <c r="AN254" s="3"/>
      <c r="AO254" s="3"/>
      <c r="AP254" s="3" t="n">
        <v>5</v>
      </c>
      <c r="AQ254" s="3"/>
      <c r="AR254" s="3"/>
    </row>
    <row r="255" customFormat="false" ht="15" hidden="false" customHeight="true" outlineLevel="0" collapsed="false">
      <c r="A255" s="3" t="s">
        <v>2613</v>
      </c>
      <c r="B255" s="3" t="n">
        <v>4</v>
      </c>
      <c r="C255" s="3" t="n">
        <v>29</v>
      </c>
      <c r="D255" s="3"/>
      <c r="E255" s="4" t="n">
        <v>46288.4134148843</v>
      </c>
      <c r="F255" s="3" t="n">
        <v>55</v>
      </c>
      <c r="G255" s="3" t="str">
        <f aca="false">IF(F255="","",IF(F255&gt;=Notes!$B$5,"Elderly ("&amp;Notes!$B$5&amp;"+)",IF(F255&lt;=Notes!$B$4,"Student age (≤"&amp;Notes!$B$4&amp;")","Middle-aged ("&amp;(Notes!$B$4+1)&amp;"–"&amp;(Notes!$B$5-1)&amp;")")))</f>
        <v>Middle-aged (30–64)</v>
      </c>
      <c r="H255" s="3" t="s">
        <v>83</v>
      </c>
      <c r="I255" s="3"/>
      <c r="J255" s="3" t="s">
        <v>437</v>
      </c>
      <c r="K255" s="3" t="s">
        <v>437</v>
      </c>
      <c r="L255" s="3"/>
      <c r="M255" s="3" t="s">
        <v>47</v>
      </c>
      <c r="N255" s="3" t="s">
        <v>47</v>
      </c>
      <c r="O255" s="3" t="s">
        <v>2614</v>
      </c>
      <c r="P255" s="3"/>
      <c r="Q255" s="3" t="s">
        <v>95</v>
      </c>
      <c r="R255" s="3" t="s">
        <v>2493</v>
      </c>
      <c r="S255" s="3" t="s">
        <v>2540</v>
      </c>
      <c r="T255" s="3" t="s">
        <v>2495</v>
      </c>
      <c r="U255" s="3" t="s">
        <v>1690</v>
      </c>
      <c r="V255" s="3" t="s">
        <v>2529</v>
      </c>
      <c r="W255" s="3" t="s">
        <v>2505</v>
      </c>
      <c r="X255" s="3"/>
      <c r="Y255" s="3" t="n">
        <v>3</v>
      </c>
      <c r="Z255" s="3" t="n">
        <v>1</v>
      </c>
      <c r="AA255" s="3" t="n">
        <v>2</v>
      </c>
      <c r="AB255" s="3" t="n">
        <v>1</v>
      </c>
      <c r="AC255" s="3" t="n">
        <v>2</v>
      </c>
      <c r="AD255" s="3" t="n">
        <v>3</v>
      </c>
      <c r="AE255" s="3" t="s">
        <v>2615</v>
      </c>
      <c r="AF255" s="3" t="s">
        <v>847</v>
      </c>
      <c r="AG255" s="3"/>
      <c r="AH255" s="3"/>
      <c r="AI255" s="3" t="s">
        <v>2500</v>
      </c>
      <c r="AJ255" s="3" t="s">
        <v>1625</v>
      </c>
      <c r="AK255" s="3"/>
      <c r="AL255" s="3"/>
      <c r="AM255" s="3" t="n">
        <v>4</v>
      </c>
      <c r="AN255" s="3"/>
      <c r="AO255" s="3"/>
      <c r="AP255" s="3" t="n">
        <v>4</v>
      </c>
      <c r="AQ255" s="3"/>
      <c r="AR255" s="3"/>
    </row>
    <row r="256" customFormat="false" ht="15" hidden="false" customHeight="true" outlineLevel="0" collapsed="false">
      <c r="A256" s="3" t="s">
        <v>2616</v>
      </c>
      <c r="B256" s="3" t="n">
        <v>4</v>
      </c>
      <c r="C256" s="3" t="n">
        <v>30</v>
      </c>
      <c r="D256" s="3"/>
      <c r="E256" s="4" t="n">
        <v>46288.4578982755</v>
      </c>
      <c r="F256" s="3" t="n">
        <v>55</v>
      </c>
      <c r="G256" s="3" t="str">
        <f aca="false">IF(F256="","",IF(F256&gt;=Notes!$B$5,"Elderly ("&amp;Notes!$B$5&amp;"+)",IF(F256&lt;=Notes!$B$4,"Student age (≤"&amp;Notes!$B$4&amp;")","Middle-aged ("&amp;(Notes!$B$4+1)&amp;"–"&amp;(Notes!$B$5-1)&amp;")")))</f>
        <v>Middle-aged (30–64)</v>
      </c>
      <c r="H256" s="3" t="s">
        <v>45</v>
      </c>
      <c r="I256" s="3"/>
      <c r="J256" s="3" t="s">
        <v>437</v>
      </c>
      <c r="K256" s="3" t="s">
        <v>437</v>
      </c>
      <c r="L256" s="3"/>
      <c r="M256" s="3" t="s">
        <v>437</v>
      </c>
      <c r="N256" s="3" t="s">
        <v>437</v>
      </c>
      <c r="O256" s="3" t="s">
        <v>2538</v>
      </c>
      <c r="P256" s="3"/>
      <c r="Q256" s="3" t="s">
        <v>2242</v>
      </c>
      <c r="R256" s="3" t="s">
        <v>2493</v>
      </c>
      <c r="S256" s="3" t="s">
        <v>2493</v>
      </c>
      <c r="T256" s="3" t="s">
        <v>2555</v>
      </c>
      <c r="U256" s="3" t="s">
        <v>59</v>
      </c>
      <c r="V256" s="3" t="s">
        <v>2617</v>
      </c>
      <c r="W256" s="3" t="s">
        <v>2546</v>
      </c>
      <c r="X256" s="3" t="s">
        <v>2618</v>
      </c>
      <c r="Y256" s="3" t="n">
        <v>1</v>
      </c>
      <c r="Z256" s="3"/>
      <c r="AA256" s="3"/>
      <c r="AB256" s="3" t="n">
        <v>1</v>
      </c>
      <c r="AC256" s="3"/>
      <c r="AD256" s="3"/>
      <c r="AE256" s="3" t="s">
        <v>2568</v>
      </c>
      <c r="AF256" s="3" t="s">
        <v>846</v>
      </c>
      <c r="AG256" s="3"/>
      <c r="AH256" s="3"/>
      <c r="AI256" s="3" t="s">
        <v>2519</v>
      </c>
      <c r="AJ256" s="3" t="s">
        <v>59</v>
      </c>
      <c r="AK256" s="3"/>
      <c r="AL256" s="3"/>
      <c r="AM256" s="3" t="n">
        <v>5</v>
      </c>
      <c r="AN256" s="3"/>
      <c r="AO256" s="3"/>
      <c r="AP256" s="3" t="n">
        <v>5</v>
      </c>
      <c r="AQ256" s="3"/>
      <c r="AR256" s="3" t="s">
        <v>2565</v>
      </c>
    </row>
    <row r="257" customFormat="false" ht="15" hidden="false" customHeight="true" outlineLevel="0" collapsed="false">
      <c r="A257" s="3" t="s">
        <v>2619</v>
      </c>
      <c r="B257" s="3" t="n">
        <v>4</v>
      </c>
      <c r="C257" s="3" t="n">
        <v>31</v>
      </c>
      <c r="D257" s="3"/>
      <c r="E257" s="4" t="n">
        <v>46288.4660163657</v>
      </c>
      <c r="F257" s="3" t="n">
        <v>23</v>
      </c>
      <c r="G257" s="3" t="str">
        <f aca="false">IF(F257="","",IF(F257&gt;=Notes!$B$5,"Elderly ("&amp;Notes!$B$5&amp;"+)",IF(F257&lt;=Notes!$B$4,"Student age (≤"&amp;Notes!$B$4&amp;")","Middle-aged ("&amp;(Notes!$B$4+1)&amp;"–"&amp;(Notes!$B$5-1)&amp;")")))</f>
        <v>Student age (≤29)</v>
      </c>
      <c r="H257" s="3" t="s">
        <v>83</v>
      </c>
      <c r="I257" s="3"/>
      <c r="J257" s="3" t="s">
        <v>437</v>
      </c>
      <c r="K257" s="3" t="s">
        <v>437</v>
      </c>
      <c r="L257" s="3"/>
      <c r="M257" s="3" t="s">
        <v>47</v>
      </c>
      <c r="N257" s="3" t="s">
        <v>47</v>
      </c>
      <c r="O257" s="3" t="s">
        <v>2515</v>
      </c>
      <c r="P257" s="3"/>
      <c r="Q257" s="3" t="s">
        <v>74</v>
      </c>
      <c r="R257" s="3" t="s">
        <v>2524</v>
      </c>
      <c r="S257" s="3" t="s">
        <v>2524</v>
      </c>
      <c r="T257" s="3" t="s">
        <v>2495</v>
      </c>
      <c r="U257" s="3" t="s">
        <v>59</v>
      </c>
      <c r="V257" s="3" t="s">
        <v>2529</v>
      </c>
      <c r="W257" s="3" t="s">
        <v>2546</v>
      </c>
      <c r="X257" s="3" t="s">
        <v>2620</v>
      </c>
      <c r="Y257" s="3" t="n">
        <v>2</v>
      </c>
      <c r="Z257" s="3" t="n">
        <v>1</v>
      </c>
      <c r="AA257" s="3" t="n">
        <v>3</v>
      </c>
      <c r="AB257" s="3" t="n">
        <v>1</v>
      </c>
      <c r="AC257" s="3" t="n">
        <v>3</v>
      </c>
      <c r="AD257" s="3" t="n">
        <v>2</v>
      </c>
      <c r="AE257" s="3" t="s">
        <v>2621</v>
      </c>
      <c r="AF257" s="3" t="s">
        <v>847</v>
      </c>
      <c r="AG257" s="3"/>
      <c r="AH257" s="3"/>
      <c r="AI257" s="3" t="s">
        <v>2500</v>
      </c>
      <c r="AJ257" s="3" t="s">
        <v>59</v>
      </c>
      <c r="AK257" s="3"/>
      <c r="AL257" s="3"/>
      <c r="AM257" s="3" t="n">
        <v>5</v>
      </c>
      <c r="AN257" s="3"/>
      <c r="AO257" s="3"/>
      <c r="AP257" s="3" t="n">
        <v>5</v>
      </c>
      <c r="AQ257" s="3"/>
      <c r="AR257" s="3"/>
    </row>
    <row r="258" customFormat="false" ht="15" hidden="false" customHeight="true" outlineLevel="0" collapsed="false">
      <c r="A258" s="3" t="s">
        <v>2622</v>
      </c>
      <c r="B258" s="3" t="n">
        <v>4</v>
      </c>
      <c r="C258" s="3" t="n">
        <v>32</v>
      </c>
      <c r="D258" s="3"/>
      <c r="E258" s="4" t="n">
        <v>46288.5074583681</v>
      </c>
      <c r="F258" s="3" t="n">
        <v>23</v>
      </c>
      <c r="G258" s="3" t="str">
        <f aca="false">IF(F258="","",IF(F258&gt;=Notes!$B$5,"Elderly ("&amp;Notes!$B$5&amp;"+)",IF(F258&lt;=Notes!$B$4,"Student age (≤"&amp;Notes!$B$4&amp;")","Middle-aged ("&amp;(Notes!$B$4+1)&amp;"–"&amp;(Notes!$B$5-1)&amp;")")))</f>
        <v>Student age (≤29)</v>
      </c>
      <c r="H258" s="3" t="s">
        <v>45</v>
      </c>
      <c r="I258" s="3"/>
      <c r="J258" s="3" t="s">
        <v>437</v>
      </c>
      <c r="K258" s="3" t="s">
        <v>437</v>
      </c>
      <c r="L258" s="3"/>
      <c r="M258" s="3" t="s">
        <v>437</v>
      </c>
      <c r="N258" s="3" t="s">
        <v>437</v>
      </c>
      <c r="O258" s="3" t="s">
        <v>2515</v>
      </c>
      <c r="P258" s="3"/>
      <c r="Q258" s="3" t="s">
        <v>117</v>
      </c>
      <c r="R258" s="3" t="s">
        <v>2540</v>
      </c>
      <c r="S258" s="3" t="s">
        <v>2493</v>
      </c>
      <c r="T258" s="3" t="s">
        <v>2495</v>
      </c>
      <c r="U258" s="3" t="s">
        <v>2242</v>
      </c>
      <c r="V258" s="3" t="s">
        <v>2529</v>
      </c>
      <c r="W258" s="3" t="s">
        <v>2551</v>
      </c>
      <c r="X258" s="3" t="s">
        <v>2623</v>
      </c>
      <c r="Y258" s="3" t="n">
        <v>3</v>
      </c>
      <c r="Z258" s="3" t="n">
        <v>1</v>
      </c>
      <c r="AA258" s="3" t="n">
        <v>2</v>
      </c>
      <c r="AB258" s="3" t="n">
        <v>2</v>
      </c>
      <c r="AC258" s="3" t="n">
        <v>1</v>
      </c>
      <c r="AD258" s="3" t="n">
        <v>3</v>
      </c>
      <c r="AE258" s="3" t="s">
        <v>2542</v>
      </c>
      <c r="AF258" s="3" t="s">
        <v>847</v>
      </c>
      <c r="AG258" s="3"/>
      <c r="AH258" s="3"/>
      <c r="AI258" s="3" t="s">
        <v>2608</v>
      </c>
      <c r="AJ258" s="3" t="s">
        <v>59</v>
      </c>
      <c r="AK258" s="3"/>
      <c r="AL258" s="3"/>
      <c r="AM258" s="3" t="n">
        <v>3</v>
      </c>
      <c r="AN258" s="3"/>
      <c r="AO258" s="3"/>
      <c r="AP258" s="3" t="n">
        <v>3</v>
      </c>
      <c r="AQ258" s="3"/>
      <c r="AR258" s="3"/>
    </row>
    <row r="259" customFormat="false" ht="15" hidden="false" customHeight="true" outlineLevel="0" collapsed="false">
      <c r="A259" s="3" t="s">
        <v>2624</v>
      </c>
      <c r="B259" s="3" t="n">
        <v>4</v>
      </c>
      <c r="C259" s="3" t="n">
        <v>33</v>
      </c>
      <c r="D259" s="3"/>
      <c r="E259" s="4" t="n">
        <v>46288.5211472338</v>
      </c>
      <c r="F259" s="3" t="n">
        <v>22</v>
      </c>
      <c r="G259" s="3" t="str">
        <f aca="false">IF(F259="","",IF(F259&gt;=Notes!$B$5,"Elderly ("&amp;Notes!$B$5&amp;"+)",IF(F259&lt;=Notes!$B$4,"Student age (≤"&amp;Notes!$B$4&amp;")","Middle-aged ("&amp;(Notes!$B$4+1)&amp;"–"&amp;(Notes!$B$5-1)&amp;")")))</f>
        <v>Student age (≤29)</v>
      </c>
      <c r="H259" s="3" t="s">
        <v>83</v>
      </c>
      <c r="I259" s="3"/>
      <c r="J259" s="3" t="s">
        <v>437</v>
      </c>
      <c r="K259" s="3" t="s">
        <v>437</v>
      </c>
      <c r="L259" s="3"/>
      <c r="M259" s="3" t="s">
        <v>47</v>
      </c>
      <c r="N259" s="3" t="s">
        <v>47</v>
      </c>
      <c r="O259" s="3" t="s">
        <v>2614</v>
      </c>
      <c r="P259" s="3"/>
      <c r="Q259" s="3" t="s">
        <v>95</v>
      </c>
      <c r="R259" s="3" t="s">
        <v>2494</v>
      </c>
      <c r="S259" s="3" t="s">
        <v>2540</v>
      </c>
      <c r="T259" s="3" t="s">
        <v>2495</v>
      </c>
      <c r="U259" s="3" t="s">
        <v>1690</v>
      </c>
      <c r="V259" s="3" t="s">
        <v>2625</v>
      </c>
      <c r="W259" s="3" t="s">
        <v>2546</v>
      </c>
      <c r="X259" s="3" t="s">
        <v>2626</v>
      </c>
      <c r="Y259" s="3" t="n">
        <v>1</v>
      </c>
      <c r="Z259" s="3" t="n">
        <v>3</v>
      </c>
      <c r="AA259" s="3" t="n">
        <v>2</v>
      </c>
      <c r="AB259" s="3" t="n">
        <v>3</v>
      </c>
      <c r="AC259" s="3" t="n">
        <v>2</v>
      </c>
      <c r="AD259" s="3" t="n">
        <v>1</v>
      </c>
      <c r="AE259" s="3" t="s">
        <v>2627</v>
      </c>
      <c r="AF259" s="3" t="s">
        <v>847</v>
      </c>
      <c r="AG259" s="3"/>
      <c r="AH259" s="3"/>
      <c r="AI259" s="3" t="s">
        <v>2628</v>
      </c>
      <c r="AJ259" s="3" t="s">
        <v>59</v>
      </c>
      <c r="AK259" s="3"/>
      <c r="AL259" s="3"/>
      <c r="AM259" s="3" t="n">
        <v>2</v>
      </c>
      <c r="AN259" s="3"/>
      <c r="AO259" s="3"/>
      <c r="AP259" s="3" t="n">
        <v>3</v>
      </c>
      <c r="AQ259" s="3"/>
      <c r="AR259" s="3"/>
    </row>
    <row r="260" customFormat="false" ht="15" hidden="false" customHeight="true" outlineLevel="0" collapsed="false">
      <c r="A260" s="3" t="s">
        <v>2629</v>
      </c>
      <c r="B260" s="3" t="n">
        <v>4</v>
      </c>
      <c r="C260" s="3" t="n">
        <v>34</v>
      </c>
      <c r="D260" s="3"/>
      <c r="E260" s="4" t="n">
        <v>46288.5623652546</v>
      </c>
      <c r="F260" s="3" t="n">
        <v>24</v>
      </c>
      <c r="G260" s="3" t="str">
        <f aca="false">IF(F260="","",IF(F260&gt;=Notes!$B$5,"Elderly ("&amp;Notes!$B$5&amp;"+)",IF(F260&lt;=Notes!$B$4,"Student age (≤"&amp;Notes!$B$4&amp;")","Middle-aged ("&amp;(Notes!$B$4+1)&amp;"–"&amp;(Notes!$B$5-1)&amp;")")))</f>
        <v>Student age (≤29)</v>
      </c>
      <c r="H260" s="3" t="s">
        <v>83</v>
      </c>
      <c r="I260" s="3"/>
      <c r="J260" s="3" t="s">
        <v>437</v>
      </c>
      <c r="K260" s="3" t="s">
        <v>437</v>
      </c>
      <c r="L260" s="3"/>
      <c r="M260" s="3" t="s">
        <v>47</v>
      </c>
      <c r="N260" s="3" t="s">
        <v>47</v>
      </c>
      <c r="O260" s="3" t="s">
        <v>2515</v>
      </c>
      <c r="P260" s="3"/>
      <c r="Q260" s="3" t="s">
        <v>2242</v>
      </c>
      <c r="R260" s="3" t="s">
        <v>2494</v>
      </c>
      <c r="S260" s="3" t="s">
        <v>2494</v>
      </c>
      <c r="T260" s="3" t="s">
        <v>2544</v>
      </c>
      <c r="U260" s="3" t="s">
        <v>2242</v>
      </c>
      <c r="V260" s="3" t="s">
        <v>2562</v>
      </c>
      <c r="W260" s="3" t="s">
        <v>2497</v>
      </c>
      <c r="X260" s="3" t="s">
        <v>2630</v>
      </c>
      <c r="Y260" s="3" t="n">
        <v>3</v>
      </c>
      <c r="Z260" s="3" t="n">
        <v>1</v>
      </c>
      <c r="AA260" s="3" t="n">
        <v>2</v>
      </c>
      <c r="AB260" s="3" t="n">
        <v>3</v>
      </c>
      <c r="AC260" s="3" t="n">
        <v>1</v>
      </c>
      <c r="AD260" s="3" t="n">
        <v>2</v>
      </c>
      <c r="AE260" s="3" t="s">
        <v>2631</v>
      </c>
      <c r="AF260" s="3" t="s">
        <v>847</v>
      </c>
      <c r="AG260" s="3"/>
      <c r="AH260" s="3"/>
      <c r="AI260" s="3" t="s">
        <v>2508</v>
      </c>
      <c r="AJ260" s="3" t="s">
        <v>59</v>
      </c>
      <c r="AK260" s="3"/>
      <c r="AL260" s="3"/>
      <c r="AM260" s="3" t="n">
        <v>4</v>
      </c>
      <c r="AN260" s="3"/>
      <c r="AO260" s="3"/>
      <c r="AP260" s="3" t="n">
        <v>5</v>
      </c>
      <c r="AQ260" s="3"/>
      <c r="AR260" s="3"/>
    </row>
    <row r="261" customFormat="false" ht="15" hidden="false" customHeight="true" outlineLevel="0" collapsed="false">
      <c r="A261" s="3" t="s">
        <v>2632</v>
      </c>
      <c r="B261" s="3" t="n">
        <v>4</v>
      </c>
      <c r="C261" s="3" t="n">
        <v>35</v>
      </c>
      <c r="D261" s="3"/>
      <c r="E261" s="4" t="n">
        <v>46288.5630961921</v>
      </c>
      <c r="F261" s="3" t="n">
        <v>24</v>
      </c>
      <c r="G261" s="3" t="str">
        <f aca="false">IF(F261="","",IF(F261&gt;=Notes!$B$5,"Elderly ("&amp;Notes!$B$5&amp;"+)",IF(F261&lt;=Notes!$B$4,"Student age (≤"&amp;Notes!$B$4&amp;")","Middle-aged ("&amp;(Notes!$B$4+1)&amp;"–"&amp;(Notes!$B$5-1)&amp;")")))</f>
        <v>Student age (≤29)</v>
      </c>
      <c r="H261" s="3" t="s">
        <v>83</v>
      </c>
      <c r="I261" s="3" t="s">
        <v>159</v>
      </c>
      <c r="J261" s="3" t="s">
        <v>47</v>
      </c>
      <c r="K261" s="3" t="s">
        <v>160</v>
      </c>
      <c r="L261" s="3" t="s">
        <v>159</v>
      </c>
      <c r="M261" s="3" t="s">
        <v>47</v>
      </c>
      <c r="N261" s="3" t="s">
        <v>160</v>
      </c>
      <c r="O261" s="3" t="s">
        <v>2515</v>
      </c>
      <c r="P261" s="3"/>
      <c r="Q261" s="3" t="s">
        <v>95</v>
      </c>
      <c r="R261" s="3" t="s">
        <v>2502</v>
      </c>
      <c r="S261" s="3" t="s">
        <v>2539</v>
      </c>
      <c r="T261" s="3" t="s">
        <v>2533</v>
      </c>
      <c r="U261" s="3" t="s">
        <v>1690</v>
      </c>
      <c r="V261" s="3" t="s">
        <v>2633</v>
      </c>
      <c r="W261" s="3" t="s">
        <v>2546</v>
      </c>
      <c r="X261" s="3" t="s">
        <v>2634</v>
      </c>
      <c r="Y261" s="3" t="n">
        <v>3</v>
      </c>
      <c r="Z261" s="3" t="n">
        <v>1</v>
      </c>
      <c r="AA261" s="3" t="n">
        <v>2</v>
      </c>
      <c r="AB261" s="3" t="n">
        <v>3</v>
      </c>
      <c r="AC261" s="3" t="n">
        <v>2</v>
      </c>
      <c r="AD261" s="3" t="n">
        <v>1</v>
      </c>
      <c r="AE261" s="3" t="s">
        <v>2635</v>
      </c>
      <c r="AF261" s="3" t="s">
        <v>847</v>
      </c>
      <c r="AG261" s="3"/>
      <c r="AH261" s="3"/>
      <c r="AI261" s="3" t="s">
        <v>2508</v>
      </c>
      <c r="AJ261" s="3" t="s">
        <v>1625</v>
      </c>
      <c r="AK261" s="3"/>
      <c r="AL261" s="3"/>
      <c r="AM261" s="3" t="n">
        <v>5</v>
      </c>
      <c r="AN261" s="3"/>
      <c r="AO261" s="3"/>
      <c r="AP261" s="3" t="n">
        <v>5</v>
      </c>
      <c r="AQ261" s="3"/>
      <c r="AR261" s="3"/>
    </row>
    <row r="262" customFormat="false" ht="15" hidden="false" customHeight="true" outlineLevel="0" collapsed="false">
      <c r="A262" s="3" t="s">
        <v>2636</v>
      </c>
      <c r="B262" s="3" t="n">
        <v>4</v>
      </c>
      <c r="C262" s="3" t="n">
        <v>36</v>
      </c>
      <c r="D262" s="3"/>
      <c r="E262" s="4" t="n">
        <v>46288.5760710648</v>
      </c>
      <c r="F262" s="3" t="n">
        <v>25</v>
      </c>
      <c r="G262" s="3" t="str">
        <f aca="false">IF(F262="","",IF(F262&gt;=Notes!$B$5,"Elderly ("&amp;Notes!$B$5&amp;"+)",IF(F262&lt;=Notes!$B$4,"Student age (≤"&amp;Notes!$B$4&amp;")","Middle-aged ("&amp;(Notes!$B$4+1)&amp;"–"&amp;(Notes!$B$5-1)&amp;")")))</f>
        <v>Student age (≤29)</v>
      </c>
      <c r="H262" s="3" t="s">
        <v>45</v>
      </c>
      <c r="I262" s="3" t="s">
        <v>159</v>
      </c>
      <c r="J262" s="3" t="s">
        <v>47</v>
      </c>
      <c r="K262" s="3" t="s">
        <v>160</v>
      </c>
      <c r="L262" s="3" t="s">
        <v>159</v>
      </c>
      <c r="M262" s="3" t="s">
        <v>47</v>
      </c>
      <c r="N262" s="3" t="s">
        <v>160</v>
      </c>
      <c r="O262" s="3" t="s">
        <v>2515</v>
      </c>
      <c r="P262" s="3"/>
      <c r="Q262" s="3" t="s">
        <v>52</v>
      </c>
      <c r="R262" s="3" t="s">
        <v>2510</v>
      </c>
      <c r="S262" s="3" t="s">
        <v>2539</v>
      </c>
      <c r="T262" s="3" t="s">
        <v>2495</v>
      </c>
      <c r="U262" s="3" t="s">
        <v>1690</v>
      </c>
      <c r="V262" s="3" t="s">
        <v>2496</v>
      </c>
      <c r="W262" s="3" t="s">
        <v>2546</v>
      </c>
      <c r="X262" s="3" t="s">
        <v>2637</v>
      </c>
      <c r="Y262" s="3" t="n">
        <v>2</v>
      </c>
      <c r="Z262" s="3" t="n">
        <v>1</v>
      </c>
      <c r="AA262" s="3" t="n">
        <v>3</v>
      </c>
      <c r="AB262" s="3" t="n">
        <v>3</v>
      </c>
      <c r="AC262" s="3" t="n">
        <v>1</v>
      </c>
      <c r="AD262" s="3" t="n">
        <v>2</v>
      </c>
      <c r="AE262" s="3" t="s">
        <v>2638</v>
      </c>
      <c r="AF262" s="3" t="s">
        <v>847</v>
      </c>
      <c r="AG262" s="3"/>
      <c r="AH262" s="3"/>
      <c r="AI262" s="3" t="s">
        <v>2549</v>
      </c>
      <c r="AJ262" s="3" t="s">
        <v>59</v>
      </c>
      <c r="AK262" s="3"/>
      <c r="AL262" s="3"/>
      <c r="AM262" s="3" t="n">
        <v>4</v>
      </c>
      <c r="AN262" s="3"/>
      <c r="AO262" s="3"/>
      <c r="AP262" s="3" t="n">
        <v>5</v>
      </c>
      <c r="AQ262" s="3"/>
      <c r="AR262" s="3"/>
    </row>
    <row r="263" customFormat="false" ht="15" hidden="false" customHeight="true" outlineLevel="0" collapsed="false">
      <c r="A263" s="3" t="s">
        <v>2639</v>
      </c>
      <c r="B263" s="3" t="n">
        <v>4</v>
      </c>
      <c r="C263" s="3" t="n">
        <v>37</v>
      </c>
      <c r="D263" s="3"/>
      <c r="E263" s="4" t="n">
        <v>46288.7154150579</v>
      </c>
      <c r="F263" s="3" t="n">
        <v>23</v>
      </c>
      <c r="G263" s="3" t="str">
        <f aca="false">IF(F263="","",IF(F263&gt;=Notes!$B$5,"Elderly ("&amp;Notes!$B$5&amp;"+)",IF(F263&lt;=Notes!$B$4,"Student age (≤"&amp;Notes!$B$4&amp;")","Middle-aged ("&amp;(Notes!$B$4+1)&amp;"–"&amp;(Notes!$B$5-1)&amp;")")))</f>
        <v>Student age (≤29)</v>
      </c>
      <c r="H263" s="3" t="s">
        <v>45</v>
      </c>
      <c r="I263" s="3"/>
      <c r="J263" s="3" t="s">
        <v>437</v>
      </c>
      <c r="K263" s="3" t="s">
        <v>437</v>
      </c>
      <c r="L263" s="3"/>
      <c r="M263" s="3" t="s">
        <v>2640</v>
      </c>
      <c r="N263" s="3" t="s">
        <v>2640</v>
      </c>
      <c r="O263" s="3" t="s">
        <v>2515</v>
      </c>
      <c r="P263" s="3"/>
      <c r="Q263" s="3" t="s">
        <v>74</v>
      </c>
      <c r="R263" s="3" t="s">
        <v>2510</v>
      </c>
      <c r="S263" s="3" t="s">
        <v>2510</v>
      </c>
      <c r="T263" s="3" t="s">
        <v>2495</v>
      </c>
      <c r="U263" s="3" t="s">
        <v>1690</v>
      </c>
      <c r="V263" s="3" t="s">
        <v>2641</v>
      </c>
      <c r="W263" s="3" t="s">
        <v>2546</v>
      </c>
      <c r="X263" s="3" t="s">
        <v>2642</v>
      </c>
      <c r="Y263" s="3" t="n">
        <v>3</v>
      </c>
      <c r="Z263" s="3" t="n">
        <v>1</v>
      </c>
      <c r="AA263" s="3" t="n">
        <v>2</v>
      </c>
      <c r="AB263" s="3" t="n">
        <v>2</v>
      </c>
      <c r="AC263" s="3" t="n">
        <v>1</v>
      </c>
      <c r="AD263" s="3" t="n">
        <v>3</v>
      </c>
      <c r="AE263" s="3" t="s">
        <v>2643</v>
      </c>
      <c r="AF263" s="3" t="s">
        <v>847</v>
      </c>
      <c r="AG263" s="3"/>
      <c r="AH263" s="3"/>
      <c r="AI263" s="3" t="s">
        <v>2549</v>
      </c>
      <c r="AJ263" s="3" t="s">
        <v>59</v>
      </c>
      <c r="AK263" s="3"/>
      <c r="AL263" s="3"/>
      <c r="AM263" s="3" t="n">
        <v>2</v>
      </c>
      <c r="AN263" s="3"/>
      <c r="AO263" s="3"/>
      <c r="AP263" s="3" t="n">
        <v>5</v>
      </c>
      <c r="AQ263" s="3"/>
      <c r="AR263" s="3"/>
    </row>
    <row r="264" customFormat="false" ht="15" hidden="false" customHeight="true" outlineLevel="0" collapsed="false">
      <c r="A264" s="3" t="s">
        <v>2644</v>
      </c>
      <c r="B264" s="3" t="n">
        <v>4</v>
      </c>
      <c r="C264" s="3" t="n">
        <v>38</v>
      </c>
      <c r="D264" s="3"/>
      <c r="E264" s="4" t="n">
        <v>46288.7157744213</v>
      </c>
      <c r="F264" s="3" t="n">
        <v>50</v>
      </c>
      <c r="G264" s="3" t="str">
        <f aca="false">IF(F264="","",IF(F264&gt;=Notes!$B$5,"Elderly ("&amp;Notes!$B$5&amp;"+)",IF(F264&lt;=Notes!$B$4,"Student age (≤"&amp;Notes!$B$4&amp;")","Middle-aged ("&amp;(Notes!$B$4+1)&amp;"–"&amp;(Notes!$B$5-1)&amp;")")))</f>
        <v>Middle-aged (30–64)</v>
      </c>
      <c r="H264" s="3" t="s">
        <v>83</v>
      </c>
      <c r="I264" s="3" t="s">
        <v>532</v>
      </c>
      <c r="J264" s="3" t="s">
        <v>47</v>
      </c>
      <c r="K264" s="3" t="s">
        <v>533</v>
      </c>
      <c r="L264" s="3" t="s">
        <v>532</v>
      </c>
      <c r="M264" s="3" t="s">
        <v>47</v>
      </c>
      <c r="N264" s="3" t="s">
        <v>533</v>
      </c>
      <c r="O264" s="3" t="s">
        <v>806</v>
      </c>
      <c r="P264" s="3"/>
      <c r="Q264" s="3" t="s">
        <v>117</v>
      </c>
      <c r="R264" s="3" t="s">
        <v>2523</v>
      </c>
      <c r="S264" s="3" t="s">
        <v>2539</v>
      </c>
      <c r="T264" s="3" t="s">
        <v>2544</v>
      </c>
      <c r="U264" s="3" t="s">
        <v>1690</v>
      </c>
      <c r="V264" s="3" t="s">
        <v>2516</v>
      </c>
      <c r="W264" s="3" t="s">
        <v>2546</v>
      </c>
      <c r="X264" s="3" t="s">
        <v>2645</v>
      </c>
      <c r="Y264" s="3" t="n">
        <v>1</v>
      </c>
      <c r="Z264" s="3" t="n">
        <v>2</v>
      </c>
      <c r="AA264" s="3" t="n">
        <v>3</v>
      </c>
      <c r="AB264" s="3" t="n">
        <v>3</v>
      </c>
      <c r="AC264" s="3" t="n">
        <v>2</v>
      </c>
      <c r="AD264" s="3" t="n">
        <v>1</v>
      </c>
      <c r="AE264" s="3" t="s">
        <v>2527</v>
      </c>
      <c r="AF264" s="3" t="s">
        <v>846</v>
      </c>
      <c r="AG264" s="3"/>
      <c r="AH264" s="3"/>
      <c r="AI264" s="3" t="s">
        <v>2549</v>
      </c>
      <c r="AJ264" s="3" t="s">
        <v>59</v>
      </c>
      <c r="AK264" s="3"/>
      <c r="AL264" s="3"/>
      <c r="AM264" s="3" t="n">
        <v>5</v>
      </c>
      <c r="AN264" s="3"/>
      <c r="AO264" s="3"/>
      <c r="AP264" s="3" t="n">
        <v>4</v>
      </c>
      <c r="AQ264" s="3"/>
      <c r="AR264" s="3"/>
    </row>
    <row r="265" customFormat="false" ht="15" hidden="false" customHeight="true" outlineLevel="0" collapsed="false">
      <c r="A265" s="3" t="s">
        <v>2646</v>
      </c>
      <c r="B265" s="3" t="n">
        <v>4</v>
      </c>
      <c r="C265" s="3" t="n">
        <v>39</v>
      </c>
      <c r="D265" s="3"/>
      <c r="E265" s="4" t="n">
        <v>46288.7812641088</v>
      </c>
      <c r="F265" s="3" t="n">
        <v>46</v>
      </c>
      <c r="G265" s="3" t="str">
        <f aca="false">IF(F265="","",IF(F265&gt;=Notes!$B$5,"Elderly ("&amp;Notes!$B$5&amp;"+)",IF(F265&lt;=Notes!$B$4,"Student age (≤"&amp;Notes!$B$4&amp;")","Middle-aged ("&amp;(Notes!$B$4+1)&amp;"–"&amp;(Notes!$B$5-1)&amp;")")))</f>
        <v>Middle-aged (30–64)</v>
      </c>
      <c r="H265" s="3" t="s">
        <v>45</v>
      </c>
      <c r="I265" s="3"/>
      <c r="J265" s="3" t="s">
        <v>333</v>
      </c>
      <c r="K265" s="3" t="s">
        <v>333</v>
      </c>
      <c r="L265" s="3" t="s">
        <v>532</v>
      </c>
      <c r="M265" s="3" t="s">
        <v>47</v>
      </c>
      <c r="N265" s="3" t="s">
        <v>533</v>
      </c>
      <c r="O265" s="3" t="s">
        <v>2515</v>
      </c>
      <c r="P265" s="3"/>
      <c r="Q265" s="3" t="s">
        <v>52</v>
      </c>
      <c r="R265" s="3" t="s">
        <v>2540</v>
      </c>
      <c r="S265" s="3" t="s">
        <v>2540</v>
      </c>
      <c r="T265" s="3" t="s">
        <v>2495</v>
      </c>
      <c r="U265" s="3" t="s">
        <v>1690</v>
      </c>
      <c r="V265" s="3" t="s">
        <v>2496</v>
      </c>
      <c r="W265" s="3" t="s">
        <v>2546</v>
      </c>
      <c r="X265" s="3" t="s">
        <v>2647</v>
      </c>
      <c r="Y265" s="3" t="n">
        <v>1</v>
      </c>
      <c r="Z265" s="3" t="n">
        <v>3</v>
      </c>
      <c r="AA265" s="3" t="n">
        <v>2</v>
      </c>
      <c r="AB265" s="3" t="n">
        <v>1</v>
      </c>
      <c r="AC265" s="3" t="n">
        <v>2</v>
      </c>
      <c r="AD265" s="3" t="n">
        <v>3</v>
      </c>
      <c r="AE265" s="3" t="s">
        <v>2607</v>
      </c>
      <c r="AF265" s="3" t="s">
        <v>846</v>
      </c>
      <c r="AG265" s="3"/>
      <c r="AH265" s="3"/>
      <c r="AI265" s="3" t="s">
        <v>2608</v>
      </c>
      <c r="AJ265" s="3" t="s">
        <v>59</v>
      </c>
      <c r="AK265" s="3"/>
      <c r="AL265" s="3"/>
      <c r="AM265" s="3" t="n">
        <v>3</v>
      </c>
      <c r="AN265" s="3"/>
      <c r="AO265" s="3"/>
      <c r="AP265" s="3" t="n">
        <v>4</v>
      </c>
      <c r="AQ265" s="3"/>
      <c r="AR265" s="3"/>
    </row>
    <row r="266" customFormat="false" ht="15" hidden="false" customHeight="true" outlineLevel="0" collapsed="false">
      <c r="A266" s="3" t="s">
        <v>2648</v>
      </c>
      <c r="B266" s="3" t="n">
        <v>4</v>
      </c>
      <c r="C266" s="3" t="n">
        <v>40</v>
      </c>
      <c r="D266" s="3"/>
      <c r="E266" s="4" t="n">
        <v>46288.7864995023</v>
      </c>
      <c r="F266" s="3" t="n">
        <v>34</v>
      </c>
      <c r="G266" s="3" t="str">
        <f aca="false">IF(F266="","",IF(F266&gt;=Notes!$B$5,"Elderly ("&amp;Notes!$B$5&amp;"+)",IF(F266&lt;=Notes!$B$4,"Student age (≤"&amp;Notes!$B$4&amp;")","Middle-aged ("&amp;(Notes!$B$4+1)&amp;"–"&amp;(Notes!$B$5-1)&amp;")")))</f>
        <v>Middle-aged (30–64)</v>
      </c>
      <c r="H266" s="3" t="s">
        <v>83</v>
      </c>
      <c r="I266" s="3"/>
      <c r="J266" s="3" t="s">
        <v>437</v>
      </c>
      <c r="K266" s="3" t="s">
        <v>437</v>
      </c>
      <c r="L266" s="3"/>
      <c r="M266" s="3" t="s">
        <v>47</v>
      </c>
      <c r="N266" s="3" t="s">
        <v>47</v>
      </c>
      <c r="O266" s="3" t="s">
        <v>2614</v>
      </c>
      <c r="P266" s="3"/>
      <c r="Q266" s="3" t="s">
        <v>95</v>
      </c>
      <c r="R266" s="3" t="s">
        <v>2540</v>
      </c>
      <c r="S266" s="3" t="s">
        <v>2503</v>
      </c>
      <c r="T266" s="3" t="s">
        <v>2495</v>
      </c>
      <c r="U266" s="3" t="s">
        <v>1690</v>
      </c>
      <c r="V266" s="3" t="s">
        <v>2504</v>
      </c>
      <c r="W266" s="3" t="s">
        <v>2546</v>
      </c>
      <c r="X266" s="3" t="s">
        <v>2649</v>
      </c>
      <c r="Y266" s="3" t="n">
        <v>1</v>
      </c>
      <c r="Z266" s="3" t="n">
        <v>2</v>
      </c>
      <c r="AA266" s="3" t="n">
        <v>3</v>
      </c>
      <c r="AB266" s="3" t="n">
        <v>3</v>
      </c>
      <c r="AC266" s="3" t="n">
        <v>1</v>
      </c>
      <c r="AD266" s="3" t="n">
        <v>2</v>
      </c>
      <c r="AE266" s="3" t="s">
        <v>2542</v>
      </c>
      <c r="AF266" s="3" t="s">
        <v>847</v>
      </c>
      <c r="AG266" s="3"/>
      <c r="AH266" s="3"/>
      <c r="AI266" s="3" t="s">
        <v>2628</v>
      </c>
      <c r="AJ266" s="3" t="s">
        <v>59</v>
      </c>
      <c r="AK266" s="3"/>
      <c r="AL266" s="3"/>
      <c r="AM266" s="3" t="n">
        <v>2</v>
      </c>
      <c r="AN266" s="3"/>
      <c r="AO266" s="3"/>
      <c r="AP266" s="3" t="n">
        <v>3</v>
      </c>
      <c r="AQ266" s="3"/>
      <c r="AR266" s="3"/>
    </row>
    <row r="267" customFormat="false" ht="15" hidden="false" customHeight="true" outlineLevel="0" collapsed="false">
      <c r="A267" s="3" t="s">
        <v>2650</v>
      </c>
      <c r="B267" s="3" t="n">
        <v>4</v>
      </c>
      <c r="C267" s="3" t="n">
        <v>41</v>
      </c>
      <c r="D267" s="3"/>
      <c r="E267" s="4" t="n">
        <v>46288.8810686111</v>
      </c>
      <c r="F267" s="3" t="n">
        <v>22</v>
      </c>
      <c r="G267" s="3" t="str">
        <f aca="false">IF(F267="","",IF(F267&gt;=Notes!$B$5,"Elderly ("&amp;Notes!$B$5&amp;"+)",IF(F267&lt;=Notes!$B$4,"Student age (≤"&amp;Notes!$B$4&amp;")","Middle-aged ("&amp;(Notes!$B$4+1)&amp;"–"&amp;(Notes!$B$5-1)&amp;")")))</f>
        <v>Student age (≤29)</v>
      </c>
      <c r="H267" s="3" t="s">
        <v>45</v>
      </c>
      <c r="I267" s="3"/>
      <c r="J267" s="3" t="s">
        <v>437</v>
      </c>
      <c r="K267" s="3" t="s">
        <v>437</v>
      </c>
      <c r="L267" s="3"/>
      <c r="M267" s="3" t="s">
        <v>2651</v>
      </c>
      <c r="N267" s="3" t="s">
        <v>2651</v>
      </c>
      <c r="O267" s="3" t="s">
        <v>2538</v>
      </c>
      <c r="P267" s="3"/>
      <c r="Q267" s="3" t="s">
        <v>2242</v>
      </c>
      <c r="R267" s="3" t="s">
        <v>2494</v>
      </c>
      <c r="S267" s="3" t="s">
        <v>2494</v>
      </c>
      <c r="T267" s="3" t="s">
        <v>2582</v>
      </c>
      <c r="U267" s="3" t="s">
        <v>1690</v>
      </c>
      <c r="V267" s="3" t="s">
        <v>2652</v>
      </c>
      <c r="W267" s="3" t="s">
        <v>2546</v>
      </c>
      <c r="X267" s="3"/>
      <c r="Y267" s="3" t="n">
        <v>2</v>
      </c>
      <c r="Z267" s="3" t="n">
        <v>1</v>
      </c>
      <c r="AA267" s="3" t="n">
        <v>3</v>
      </c>
      <c r="AB267" s="3" t="n">
        <v>3</v>
      </c>
      <c r="AC267" s="3" t="n">
        <v>1</v>
      </c>
      <c r="AD267" s="3" t="n">
        <v>2</v>
      </c>
      <c r="AE267" s="3" t="s">
        <v>2653</v>
      </c>
      <c r="AF267" s="3" t="s">
        <v>847</v>
      </c>
      <c r="AG267" s="3"/>
      <c r="AH267" s="3"/>
      <c r="AI267" s="3" t="s">
        <v>2519</v>
      </c>
      <c r="AJ267" s="3" t="s">
        <v>59</v>
      </c>
      <c r="AK267" s="3"/>
      <c r="AL267" s="3"/>
      <c r="AM267" s="3" t="n">
        <v>3</v>
      </c>
      <c r="AN267" s="3"/>
      <c r="AO267" s="3"/>
      <c r="AP267" s="3" t="n">
        <v>4</v>
      </c>
      <c r="AQ267" s="3"/>
      <c r="AR267" s="3"/>
    </row>
    <row r="268" customFormat="false" ht="15" hidden="false" customHeight="true" outlineLevel="0" collapsed="false">
      <c r="A268" s="3" t="s">
        <v>2654</v>
      </c>
      <c r="B268" s="3" t="n">
        <v>4</v>
      </c>
      <c r="C268" s="3" t="n">
        <v>42</v>
      </c>
      <c r="D268" s="3"/>
      <c r="E268" s="4" t="n">
        <v>46288.8828979977</v>
      </c>
      <c r="F268" s="3" t="n">
        <v>37</v>
      </c>
      <c r="G268" s="3" t="str">
        <f aca="false">IF(F268="","",IF(F268&gt;=Notes!$B$5,"Elderly ("&amp;Notes!$B$5&amp;"+)",IF(F268&lt;=Notes!$B$4,"Student age (≤"&amp;Notes!$B$4&amp;")","Middle-aged ("&amp;(Notes!$B$4+1)&amp;"–"&amp;(Notes!$B$5-1)&amp;")")))</f>
        <v>Middle-aged (30–64)</v>
      </c>
      <c r="H268" s="3" t="s">
        <v>45</v>
      </c>
      <c r="I268" s="3"/>
      <c r="J268" s="3" t="s">
        <v>437</v>
      </c>
      <c r="K268" s="3" t="s">
        <v>437</v>
      </c>
      <c r="L268" s="3" t="s">
        <v>321</v>
      </c>
      <c r="M268" s="3" t="s">
        <v>47</v>
      </c>
      <c r="N268" s="3" t="s">
        <v>322</v>
      </c>
      <c r="O268" s="3" t="s">
        <v>2515</v>
      </c>
      <c r="P268" s="3"/>
      <c r="Q268" s="3" t="s">
        <v>95</v>
      </c>
      <c r="R268" s="3" t="s">
        <v>2523</v>
      </c>
      <c r="S268" s="3" t="s">
        <v>2502</v>
      </c>
      <c r="T268" s="3" t="s">
        <v>2495</v>
      </c>
      <c r="U268" s="3" t="s">
        <v>59</v>
      </c>
      <c r="V268" s="3" t="s">
        <v>2496</v>
      </c>
      <c r="W268" s="3" t="s">
        <v>2551</v>
      </c>
      <c r="X268" s="3" t="s">
        <v>2655</v>
      </c>
      <c r="Y268" s="3" t="n">
        <v>2</v>
      </c>
      <c r="Z268" s="3" t="n">
        <v>1</v>
      </c>
      <c r="AA268" s="3" t="n">
        <v>3</v>
      </c>
      <c r="AB268" s="3" t="n">
        <v>3</v>
      </c>
      <c r="AC268" s="3" t="n">
        <v>1</v>
      </c>
      <c r="AD268" s="3" t="n">
        <v>2</v>
      </c>
      <c r="AE268" s="3" t="s">
        <v>2507</v>
      </c>
      <c r="AF268" s="3" t="s">
        <v>847</v>
      </c>
      <c r="AG268" s="3"/>
      <c r="AH268" s="3"/>
      <c r="AI268" s="3" t="s">
        <v>2508</v>
      </c>
      <c r="AJ268" s="3" t="s">
        <v>59</v>
      </c>
      <c r="AK268" s="3"/>
      <c r="AL268" s="3"/>
      <c r="AM268" s="3" t="n">
        <v>5</v>
      </c>
      <c r="AN268" s="3"/>
      <c r="AO268" s="3"/>
      <c r="AP268" s="3" t="n">
        <v>5</v>
      </c>
      <c r="AQ268" s="3"/>
      <c r="AR268" s="3"/>
    </row>
    <row r="269" customFormat="false" ht="15" hidden="false" customHeight="true" outlineLevel="0" collapsed="false">
      <c r="A269" s="3" t="s">
        <v>2656</v>
      </c>
      <c r="B269" s="3" t="n">
        <v>4</v>
      </c>
      <c r="C269" s="3" t="n">
        <v>43</v>
      </c>
      <c r="D269" s="3"/>
      <c r="E269" s="4" t="n">
        <v>46288.9221006134</v>
      </c>
      <c r="F269" s="3" t="n">
        <v>22</v>
      </c>
      <c r="G269" s="3" t="str">
        <f aca="false">IF(F269="","",IF(F269&gt;=Notes!$B$5,"Elderly ("&amp;Notes!$B$5&amp;"+)",IF(F269&lt;=Notes!$B$4,"Student age (≤"&amp;Notes!$B$4&amp;")","Middle-aged ("&amp;(Notes!$B$4+1)&amp;"–"&amp;(Notes!$B$5-1)&amp;")")))</f>
        <v>Student age (≤29)</v>
      </c>
      <c r="H269" s="3" t="s">
        <v>45</v>
      </c>
      <c r="I269" s="3"/>
      <c r="J269" s="3" t="s">
        <v>437</v>
      </c>
      <c r="K269" s="3" t="s">
        <v>437</v>
      </c>
      <c r="L269" s="3" t="s">
        <v>49</v>
      </c>
      <c r="M269" s="3" t="s">
        <v>47</v>
      </c>
      <c r="N269" s="3" t="s">
        <v>50</v>
      </c>
      <c r="O269" s="3" t="s">
        <v>2515</v>
      </c>
      <c r="P269" s="3"/>
      <c r="Q269" s="3" t="s">
        <v>95</v>
      </c>
      <c r="R269" s="3" t="s">
        <v>2524</v>
      </c>
      <c r="S269" s="3" t="s">
        <v>2524</v>
      </c>
      <c r="T269" s="3" t="s">
        <v>2544</v>
      </c>
      <c r="U269" s="3" t="s">
        <v>59</v>
      </c>
      <c r="V269" s="3" t="s">
        <v>2504</v>
      </c>
      <c r="W269" s="3" t="s">
        <v>2497</v>
      </c>
      <c r="X269" s="3" t="s">
        <v>2657</v>
      </c>
      <c r="Y269" s="3" t="n">
        <v>2</v>
      </c>
      <c r="Z269" s="3" t="n">
        <v>1</v>
      </c>
      <c r="AA269" s="3" t="n">
        <v>3</v>
      </c>
      <c r="AB269" s="3" t="n">
        <v>1</v>
      </c>
      <c r="AC269" s="3" t="n">
        <v>2</v>
      </c>
      <c r="AD269" s="3" t="n">
        <v>3</v>
      </c>
      <c r="AE269" s="3" t="s">
        <v>2597</v>
      </c>
      <c r="AF269" s="3" t="s">
        <v>847</v>
      </c>
      <c r="AG269" s="3"/>
      <c r="AH269" s="3"/>
      <c r="AI269" s="3" t="s">
        <v>2508</v>
      </c>
      <c r="AJ269" s="3" t="s">
        <v>59</v>
      </c>
      <c r="AK269" s="3"/>
      <c r="AL269" s="3"/>
      <c r="AM269" s="3" t="n">
        <v>4</v>
      </c>
      <c r="AN269" s="3"/>
      <c r="AO269" s="3"/>
      <c r="AP269" s="3" t="n">
        <v>5</v>
      </c>
      <c r="AQ269" s="3"/>
      <c r="AR269" s="3"/>
    </row>
    <row r="270" customFormat="false" ht="15" hidden="false" customHeight="true" outlineLevel="0" collapsed="false">
      <c r="A270" s="3" t="s">
        <v>2658</v>
      </c>
      <c r="B270" s="3" t="n">
        <v>4</v>
      </c>
      <c r="C270" s="3" t="n">
        <v>44</v>
      </c>
      <c r="D270" s="3"/>
      <c r="E270" s="4" t="n">
        <v>46288.9389393519</v>
      </c>
      <c r="F270" s="3" t="n">
        <v>22</v>
      </c>
      <c r="G270" s="3" t="str">
        <f aca="false">IF(F270="","",IF(F270&gt;=Notes!$B$5,"Elderly ("&amp;Notes!$B$5&amp;"+)",IF(F270&lt;=Notes!$B$4,"Student age (≤"&amp;Notes!$B$4&amp;")","Middle-aged ("&amp;(Notes!$B$4+1)&amp;"–"&amp;(Notes!$B$5-1)&amp;")")))</f>
        <v>Student age (≤29)</v>
      </c>
      <c r="H270" s="3" t="s">
        <v>45</v>
      </c>
      <c r="I270" s="3"/>
      <c r="J270" s="3" t="s">
        <v>437</v>
      </c>
      <c r="K270" s="3" t="s">
        <v>437</v>
      </c>
      <c r="L270" s="3" t="s">
        <v>49</v>
      </c>
      <c r="M270" s="3" t="s">
        <v>47</v>
      </c>
      <c r="N270" s="3" t="s">
        <v>50</v>
      </c>
      <c r="O270" s="3" t="s">
        <v>2515</v>
      </c>
      <c r="P270" s="3"/>
      <c r="Q270" s="3" t="s">
        <v>95</v>
      </c>
      <c r="R270" s="3" t="s">
        <v>2539</v>
      </c>
      <c r="S270" s="3" t="s">
        <v>2523</v>
      </c>
      <c r="T270" s="3" t="s">
        <v>2555</v>
      </c>
      <c r="U270" s="3" t="s">
        <v>59</v>
      </c>
      <c r="V270" s="3" t="s">
        <v>2659</v>
      </c>
      <c r="W270" s="3" t="s">
        <v>2497</v>
      </c>
      <c r="X270" s="3" t="s">
        <v>2660</v>
      </c>
      <c r="Y270" s="3" t="n">
        <v>1</v>
      </c>
      <c r="Z270" s="3"/>
      <c r="AA270" s="3"/>
      <c r="AB270" s="3" t="n">
        <v>1</v>
      </c>
      <c r="AC270" s="3"/>
      <c r="AD270" s="3"/>
      <c r="AE270" s="3" t="s">
        <v>2513</v>
      </c>
      <c r="AF270" s="3" t="s">
        <v>847</v>
      </c>
      <c r="AG270" s="3"/>
      <c r="AH270" s="3"/>
      <c r="AI270" s="3" t="s">
        <v>2608</v>
      </c>
      <c r="AJ270" s="3" t="s">
        <v>59</v>
      </c>
      <c r="AK270" s="3"/>
      <c r="AL270" s="3"/>
      <c r="AM270" s="3"/>
      <c r="AN270" s="3"/>
      <c r="AO270" s="3"/>
      <c r="AP270" s="3" t="n">
        <v>3</v>
      </c>
      <c r="AQ270" s="3"/>
      <c r="AR270" s="3" t="s">
        <v>2565</v>
      </c>
    </row>
    <row r="271" customFormat="false" ht="15" hidden="false" customHeight="true" outlineLevel="0" collapsed="false">
      <c r="A271" s="3" t="s">
        <v>2661</v>
      </c>
      <c r="B271" s="3" t="n">
        <v>4</v>
      </c>
      <c r="C271" s="3" t="n">
        <v>45</v>
      </c>
      <c r="D271" s="3"/>
      <c r="E271" s="4" t="n">
        <v>46288.9393176273</v>
      </c>
      <c r="F271" s="3" t="n">
        <v>23</v>
      </c>
      <c r="G271" s="3" t="str">
        <f aca="false">IF(F271="","",IF(F271&gt;=Notes!$B$5,"Elderly ("&amp;Notes!$B$5&amp;"+)",IF(F271&lt;=Notes!$B$4,"Student age (≤"&amp;Notes!$B$4&amp;")","Middle-aged ("&amp;(Notes!$B$4+1)&amp;"–"&amp;(Notes!$B$5-1)&amp;")")))</f>
        <v>Student age (≤29)</v>
      </c>
      <c r="H271" s="3" t="s">
        <v>45</v>
      </c>
      <c r="I271" s="3"/>
      <c r="J271" s="3" t="s">
        <v>437</v>
      </c>
      <c r="K271" s="3" t="s">
        <v>437</v>
      </c>
      <c r="L271" s="3" t="s">
        <v>49</v>
      </c>
      <c r="M271" s="3" t="s">
        <v>47</v>
      </c>
      <c r="N271" s="3" t="s">
        <v>50</v>
      </c>
      <c r="O271" s="3" t="s">
        <v>2538</v>
      </c>
      <c r="P271" s="3"/>
      <c r="Q271" s="3" t="s">
        <v>95</v>
      </c>
      <c r="R271" s="3" t="s">
        <v>2540</v>
      </c>
      <c r="S271" s="3" t="s">
        <v>2539</v>
      </c>
      <c r="T271" s="3" t="s">
        <v>2495</v>
      </c>
      <c r="U271" s="3" t="s">
        <v>59</v>
      </c>
      <c r="V271" s="3" t="s">
        <v>2504</v>
      </c>
      <c r="W271" s="3" t="s">
        <v>2497</v>
      </c>
      <c r="X271" s="3" t="s">
        <v>2662</v>
      </c>
      <c r="Y271" s="3" t="n">
        <v>1</v>
      </c>
      <c r="Z271" s="3" t="n">
        <v>2</v>
      </c>
      <c r="AA271" s="3" t="n">
        <v>3</v>
      </c>
      <c r="AB271" s="3" t="n">
        <v>3</v>
      </c>
      <c r="AC271" s="3" t="n">
        <v>1</v>
      </c>
      <c r="AD271" s="3" t="n">
        <v>2</v>
      </c>
      <c r="AE271" s="3" t="s">
        <v>2518</v>
      </c>
      <c r="AF271" s="3" t="s">
        <v>846</v>
      </c>
      <c r="AG271" s="3"/>
      <c r="AH271" s="3"/>
      <c r="AI271" s="3" t="s">
        <v>2608</v>
      </c>
      <c r="AJ271" s="3" t="s">
        <v>59</v>
      </c>
      <c r="AK271" s="3"/>
      <c r="AL271" s="3"/>
      <c r="AM271" s="3" t="n">
        <v>4</v>
      </c>
      <c r="AN271" s="3"/>
      <c r="AO271" s="3"/>
      <c r="AP271" s="3" t="n">
        <v>5</v>
      </c>
      <c r="AQ271" s="3"/>
      <c r="AR271" s="3"/>
    </row>
    <row r="272" customFormat="false" ht="15" hidden="false" customHeight="true" outlineLevel="0" collapsed="false">
      <c r="A272" s="3" t="s">
        <v>2663</v>
      </c>
      <c r="B272" s="3" t="n">
        <v>4</v>
      </c>
      <c r="C272" s="3" t="n">
        <v>46</v>
      </c>
      <c r="D272" s="3"/>
      <c r="E272" s="4" t="n">
        <v>46289.3675570139</v>
      </c>
      <c r="F272" s="3" t="n">
        <v>18</v>
      </c>
      <c r="G272" s="3" t="str">
        <f aca="false">IF(F272="","",IF(F272&gt;=Notes!$B$5,"Elderly ("&amp;Notes!$B$5&amp;"+)",IF(F272&lt;=Notes!$B$4,"Student age (≤"&amp;Notes!$B$4&amp;")","Middle-aged ("&amp;(Notes!$B$4+1)&amp;"–"&amp;(Notes!$B$5-1)&amp;")")))</f>
        <v>Student age (≤29)</v>
      </c>
      <c r="H272" s="3" t="s">
        <v>45</v>
      </c>
      <c r="I272" s="3"/>
      <c r="J272" s="3" t="s">
        <v>437</v>
      </c>
      <c r="K272" s="3" t="s">
        <v>437</v>
      </c>
      <c r="L272" s="3"/>
      <c r="M272" s="3" t="s">
        <v>437</v>
      </c>
      <c r="N272" s="3" t="s">
        <v>437</v>
      </c>
      <c r="O272" s="3" t="s">
        <v>2614</v>
      </c>
      <c r="P272" s="3"/>
      <c r="Q272" s="3" t="s">
        <v>74</v>
      </c>
      <c r="R272" s="3" t="s">
        <v>2503</v>
      </c>
      <c r="S272" s="3" t="s">
        <v>2493</v>
      </c>
      <c r="T272" s="3" t="s">
        <v>2555</v>
      </c>
      <c r="U272" s="3" t="s">
        <v>98</v>
      </c>
      <c r="V272" s="3" t="s">
        <v>2664</v>
      </c>
      <c r="W272" s="3" t="s">
        <v>2505</v>
      </c>
      <c r="X272" s="3" t="s">
        <v>2665</v>
      </c>
      <c r="Y272" s="3" t="n">
        <v>1</v>
      </c>
      <c r="Z272" s="3" t="n">
        <v>2</v>
      </c>
      <c r="AA272" s="3" t="n">
        <v>3</v>
      </c>
      <c r="AB272" s="3"/>
      <c r="AC272" s="3" t="n">
        <v>2</v>
      </c>
      <c r="AD272" s="3"/>
      <c r="AE272" s="3" t="s">
        <v>2666</v>
      </c>
      <c r="AF272" s="3" t="s">
        <v>847</v>
      </c>
      <c r="AG272" s="3"/>
      <c r="AH272" s="3"/>
      <c r="AI272" s="3" t="s">
        <v>2628</v>
      </c>
      <c r="AJ272" s="3" t="s">
        <v>98</v>
      </c>
      <c r="AK272" s="3"/>
      <c r="AL272" s="3"/>
      <c r="AM272" s="3" t="n">
        <v>4</v>
      </c>
      <c r="AN272" s="3"/>
      <c r="AO272" s="3"/>
      <c r="AP272" s="3" t="n">
        <v>4</v>
      </c>
      <c r="AQ272" s="3"/>
      <c r="AR272" s="3" t="s">
        <v>2667</v>
      </c>
    </row>
    <row r="273" customFormat="false" ht="15" hidden="false" customHeight="true" outlineLevel="0" collapsed="false">
      <c r="A273" s="3" t="s">
        <v>2668</v>
      </c>
      <c r="B273" s="3" t="n">
        <v>4</v>
      </c>
      <c r="C273" s="3" t="n">
        <v>47</v>
      </c>
      <c r="D273" s="3"/>
      <c r="E273" s="4" t="n">
        <v>46289.373101007</v>
      </c>
      <c r="F273" s="3" t="n">
        <v>22</v>
      </c>
      <c r="G273" s="3" t="str">
        <f aca="false">IF(F273="","",IF(F273&gt;=Notes!$B$5,"Elderly ("&amp;Notes!$B$5&amp;"+)",IF(F273&lt;=Notes!$B$4,"Student age (≤"&amp;Notes!$B$4&amp;")","Middle-aged ("&amp;(Notes!$B$4+1)&amp;"–"&amp;(Notes!$B$5-1)&amp;")")))</f>
        <v>Student age (≤29)</v>
      </c>
      <c r="H273" s="3" t="s">
        <v>83</v>
      </c>
      <c r="I273" s="3"/>
      <c r="J273" s="3" t="s">
        <v>437</v>
      </c>
      <c r="K273" s="3" t="s">
        <v>437</v>
      </c>
      <c r="L273" s="3" t="s">
        <v>49</v>
      </c>
      <c r="M273" s="3" t="s">
        <v>47</v>
      </c>
      <c r="N273" s="3" t="s">
        <v>50</v>
      </c>
      <c r="O273" s="3" t="s">
        <v>2515</v>
      </c>
      <c r="P273" s="3"/>
      <c r="Q273" s="3" t="s">
        <v>74</v>
      </c>
      <c r="R273" s="3" t="s">
        <v>2523</v>
      </c>
      <c r="S273" s="3" t="s">
        <v>2539</v>
      </c>
      <c r="T273" s="3" t="s">
        <v>2544</v>
      </c>
      <c r="U273" s="3" t="s">
        <v>59</v>
      </c>
      <c r="V273" s="3" t="s">
        <v>2610</v>
      </c>
      <c r="W273" s="3" t="s">
        <v>2497</v>
      </c>
      <c r="X273" s="3" t="s">
        <v>2669</v>
      </c>
      <c r="Y273" s="3" t="n">
        <v>2</v>
      </c>
      <c r="Z273" s="3" t="n">
        <v>1</v>
      </c>
      <c r="AA273" s="3" t="n">
        <v>3</v>
      </c>
      <c r="AB273" s="3" t="n">
        <v>2</v>
      </c>
      <c r="AC273" s="3" t="n">
        <v>1</v>
      </c>
      <c r="AD273" s="3" t="n">
        <v>3</v>
      </c>
      <c r="AE273" s="3" t="s">
        <v>2542</v>
      </c>
      <c r="AF273" s="3" t="s">
        <v>860</v>
      </c>
      <c r="AG273" s="3"/>
      <c r="AH273" s="3"/>
      <c r="AI273" s="3" t="s">
        <v>2500</v>
      </c>
      <c r="AJ273" s="3" t="s">
        <v>59</v>
      </c>
      <c r="AK273" s="3"/>
      <c r="AL273" s="3"/>
      <c r="AM273" s="3" t="n">
        <v>4</v>
      </c>
      <c r="AN273" s="3"/>
      <c r="AO273" s="3"/>
      <c r="AP273" s="3" t="n">
        <v>5</v>
      </c>
      <c r="AQ273" s="3"/>
      <c r="AR273" s="3"/>
    </row>
    <row r="274" customFormat="false" ht="15" hidden="false" customHeight="true" outlineLevel="0" collapsed="false">
      <c r="A274" s="3" t="s">
        <v>2670</v>
      </c>
      <c r="B274" s="3" t="n">
        <v>4</v>
      </c>
      <c r="C274" s="3" t="n">
        <v>48</v>
      </c>
      <c r="D274" s="3"/>
      <c r="E274" s="4" t="n">
        <v>46289.3762327431</v>
      </c>
      <c r="F274" s="3" t="n">
        <v>22</v>
      </c>
      <c r="G274" s="3" t="str">
        <f aca="false">IF(F274="","",IF(F274&gt;=Notes!$B$5,"Elderly ("&amp;Notes!$B$5&amp;"+)",IF(F274&lt;=Notes!$B$4,"Student age (≤"&amp;Notes!$B$4&amp;")","Middle-aged ("&amp;(Notes!$B$4+1)&amp;"–"&amp;(Notes!$B$5-1)&amp;")")))</f>
        <v>Student age (≤29)</v>
      </c>
      <c r="H274" s="3" t="s">
        <v>45</v>
      </c>
      <c r="I274" s="3"/>
      <c r="J274" s="3" t="s">
        <v>437</v>
      </c>
      <c r="K274" s="3" t="s">
        <v>437</v>
      </c>
      <c r="L274" s="3"/>
      <c r="M274" s="3" t="s">
        <v>47</v>
      </c>
      <c r="N274" s="3" t="s">
        <v>47</v>
      </c>
      <c r="O274" s="3" t="s">
        <v>2538</v>
      </c>
      <c r="P274" s="3"/>
      <c r="Q274" s="3" t="s">
        <v>95</v>
      </c>
      <c r="R274" s="3" t="s">
        <v>2523</v>
      </c>
      <c r="S274" s="3" t="s">
        <v>2523</v>
      </c>
      <c r="T274" s="3" t="s">
        <v>2495</v>
      </c>
      <c r="U274" s="3" t="s">
        <v>2242</v>
      </c>
      <c r="V274" s="3" t="s">
        <v>2504</v>
      </c>
      <c r="W274" s="3" t="s">
        <v>2551</v>
      </c>
      <c r="X274" s="3" t="s">
        <v>2671</v>
      </c>
      <c r="Y274" s="3" t="n">
        <v>2</v>
      </c>
      <c r="Z274" s="3" t="n">
        <v>1</v>
      </c>
      <c r="AA274" s="3" t="n">
        <v>3</v>
      </c>
      <c r="AB274" s="3" t="n">
        <v>2</v>
      </c>
      <c r="AC274" s="3" t="n">
        <v>1</v>
      </c>
      <c r="AD274" s="3" t="n">
        <v>3</v>
      </c>
      <c r="AE274" s="3" t="s">
        <v>2542</v>
      </c>
      <c r="AF274" s="3" t="s">
        <v>847</v>
      </c>
      <c r="AG274" s="3"/>
      <c r="AH274" s="3"/>
      <c r="AI274" s="3" t="s">
        <v>2508</v>
      </c>
      <c r="AJ274" s="3" t="s">
        <v>59</v>
      </c>
      <c r="AK274" s="3"/>
      <c r="AL274" s="3"/>
      <c r="AM274" s="3" t="n">
        <v>4</v>
      </c>
      <c r="AN274" s="3"/>
      <c r="AO274" s="3"/>
      <c r="AP274" s="3" t="n">
        <v>5</v>
      </c>
      <c r="AQ274" s="3"/>
      <c r="AR274" s="3"/>
    </row>
    <row r="275" customFormat="false" ht="15" hidden="false" customHeight="true" outlineLevel="0" collapsed="false">
      <c r="A275" s="3" t="s">
        <v>2672</v>
      </c>
      <c r="B275" s="3" t="n">
        <v>4</v>
      </c>
      <c r="C275" s="3" t="n">
        <v>49</v>
      </c>
      <c r="D275" s="3"/>
      <c r="E275" s="4" t="n">
        <v>46289.3796107176</v>
      </c>
      <c r="F275" s="3" t="n">
        <v>22</v>
      </c>
      <c r="G275" s="3" t="str">
        <f aca="false">IF(F275="","",IF(F275&gt;=Notes!$B$5,"Elderly ("&amp;Notes!$B$5&amp;"+)",IF(F275&lt;=Notes!$B$4,"Student age (≤"&amp;Notes!$B$4&amp;")","Middle-aged ("&amp;(Notes!$B$4+1)&amp;"–"&amp;(Notes!$B$5-1)&amp;")")))</f>
        <v>Student age (≤29)</v>
      </c>
      <c r="H275" s="3" t="s">
        <v>45</v>
      </c>
      <c r="I275" s="3"/>
      <c r="J275" s="3" t="s">
        <v>437</v>
      </c>
      <c r="K275" s="3" t="s">
        <v>437</v>
      </c>
      <c r="L275" s="3"/>
      <c r="M275" s="3" t="s">
        <v>437</v>
      </c>
      <c r="N275" s="3" t="s">
        <v>437</v>
      </c>
      <c r="O275" s="3" t="s">
        <v>2538</v>
      </c>
      <c r="P275" s="3"/>
      <c r="Q275" s="3" t="s">
        <v>117</v>
      </c>
      <c r="R275" s="3" t="s">
        <v>2523</v>
      </c>
      <c r="S275" s="3" t="s">
        <v>2523</v>
      </c>
      <c r="T275" s="3" t="s">
        <v>2555</v>
      </c>
      <c r="U275" s="3" t="s">
        <v>2242</v>
      </c>
      <c r="V275" s="3" t="s">
        <v>2504</v>
      </c>
      <c r="W275" s="3" t="s">
        <v>2497</v>
      </c>
      <c r="X275" s="3" t="s">
        <v>2673</v>
      </c>
      <c r="Y275" s="3" t="n">
        <v>1</v>
      </c>
      <c r="Z275" s="3" t="n">
        <v>3</v>
      </c>
      <c r="AA275" s="3" t="n">
        <v>2</v>
      </c>
      <c r="AB275" s="3"/>
      <c r="AC275" s="3"/>
      <c r="AD275" s="3"/>
      <c r="AE275" s="3" t="s">
        <v>2674</v>
      </c>
      <c r="AF275" s="3" t="s">
        <v>846</v>
      </c>
      <c r="AG275" s="3"/>
      <c r="AH275" s="3"/>
      <c r="AI275" s="3" t="s">
        <v>2519</v>
      </c>
      <c r="AJ275" s="3" t="s">
        <v>59</v>
      </c>
      <c r="AK275" s="3"/>
      <c r="AL275" s="3"/>
      <c r="AM275" s="3" t="n">
        <v>4</v>
      </c>
      <c r="AN275" s="3"/>
      <c r="AO275" s="3"/>
      <c r="AP275" s="3" t="n">
        <v>4</v>
      </c>
      <c r="AQ275" s="3"/>
      <c r="AR275" s="3" t="s">
        <v>2667</v>
      </c>
    </row>
    <row r="276" customFormat="false" ht="15" hidden="false" customHeight="true" outlineLevel="0" collapsed="false">
      <c r="A276" s="3" t="s">
        <v>2675</v>
      </c>
      <c r="B276" s="3" t="n">
        <v>4</v>
      </c>
      <c r="C276" s="3" t="n">
        <v>50</v>
      </c>
      <c r="D276" s="3"/>
      <c r="E276" s="4" t="n">
        <v>46289.3844521181</v>
      </c>
      <c r="F276" s="3" t="n">
        <v>21</v>
      </c>
      <c r="G276" s="3" t="str">
        <f aca="false">IF(F276="","",IF(F276&gt;=Notes!$B$5,"Elderly ("&amp;Notes!$B$5&amp;"+)",IF(F276&lt;=Notes!$B$4,"Student age (≤"&amp;Notes!$B$4&amp;")","Middle-aged ("&amp;(Notes!$B$4+1)&amp;"–"&amp;(Notes!$B$5-1)&amp;")")))</f>
        <v>Student age (≤29)</v>
      </c>
      <c r="H276" s="3" t="s">
        <v>45</v>
      </c>
      <c r="I276" s="3"/>
      <c r="J276" s="3" t="s">
        <v>437</v>
      </c>
      <c r="K276" s="3" t="s">
        <v>437</v>
      </c>
      <c r="L276" s="3" t="s">
        <v>49</v>
      </c>
      <c r="M276" s="3" t="s">
        <v>47</v>
      </c>
      <c r="N276" s="3" t="s">
        <v>50</v>
      </c>
      <c r="O276" s="3" t="s">
        <v>2614</v>
      </c>
      <c r="P276" s="3"/>
      <c r="Q276" s="3" t="s">
        <v>117</v>
      </c>
      <c r="R276" s="3" t="s">
        <v>2493</v>
      </c>
      <c r="S276" s="3" t="s">
        <v>2540</v>
      </c>
      <c r="T276" s="3" t="s">
        <v>2495</v>
      </c>
      <c r="U276" s="3" t="s">
        <v>98</v>
      </c>
      <c r="V276" s="3" t="s">
        <v>2504</v>
      </c>
      <c r="W276" s="3" t="s">
        <v>2497</v>
      </c>
      <c r="X276" s="3" t="s">
        <v>2676</v>
      </c>
      <c r="Y276" s="3" t="n">
        <v>2</v>
      </c>
      <c r="Z276" s="3" t="n">
        <v>1</v>
      </c>
      <c r="AA276" s="3" t="n">
        <v>3</v>
      </c>
      <c r="AB276" s="3" t="n">
        <v>3</v>
      </c>
      <c r="AC276" s="3" t="n">
        <v>1</v>
      </c>
      <c r="AD276" s="3" t="n">
        <v>2</v>
      </c>
      <c r="AE276" s="3" t="s">
        <v>2542</v>
      </c>
      <c r="AF276" s="3" t="s">
        <v>846</v>
      </c>
      <c r="AG276" s="3"/>
      <c r="AH276" s="3"/>
      <c r="AI276" s="3" t="s">
        <v>2549</v>
      </c>
      <c r="AJ276" s="3" t="s">
        <v>59</v>
      </c>
      <c r="AK276" s="3"/>
      <c r="AL276" s="3"/>
      <c r="AM276" s="3" t="n">
        <v>2</v>
      </c>
      <c r="AN276" s="3"/>
      <c r="AO276" s="3"/>
      <c r="AP276" s="3" t="n">
        <v>1</v>
      </c>
      <c r="AQ276" s="3"/>
      <c r="AR276" s="3"/>
    </row>
    <row r="277" customFormat="false" ht="15" hidden="false" customHeight="true" outlineLevel="0" collapsed="false">
      <c r="A277" s="3" t="s">
        <v>2677</v>
      </c>
      <c r="B277" s="3" t="n">
        <v>4</v>
      </c>
      <c r="C277" s="3" t="n">
        <v>51</v>
      </c>
      <c r="D277" s="3"/>
      <c r="E277" s="4" t="n">
        <v>46289.3845429167</v>
      </c>
      <c r="F277" s="3" t="n">
        <v>22</v>
      </c>
      <c r="G277" s="3" t="str">
        <f aca="false">IF(F277="","",IF(F277&gt;=Notes!$B$5,"Elderly ("&amp;Notes!$B$5&amp;"+)",IF(F277&lt;=Notes!$B$4,"Student age (≤"&amp;Notes!$B$4&amp;")","Middle-aged ("&amp;(Notes!$B$4+1)&amp;"–"&amp;(Notes!$B$5-1)&amp;")")))</f>
        <v>Student age (≤29)</v>
      </c>
      <c r="H277" s="3" t="s">
        <v>45</v>
      </c>
      <c r="I277" s="3"/>
      <c r="J277" s="3" t="s">
        <v>437</v>
      </c>
      <c r="K277" s="3" t="s">
        <v>437</v>
      </c>
      <c r="L277" s="3" t="s">
        <v>49</v>
      </c>
      <c r="M277" s="3" t="s">
        <v>47</v>
      </c>
      <c r="N277" s="3" t="s">
        <v>50</v>
      </c>
      <c r="O277" s="3" t="s">
        <v>2515</v>
      </c>
      <c r="P277" s="3"/>
      <c r="Q277" s="3" t="s">
        <v>2242</v>
      </c>
      <c r="R277" s="3" t="s">
        <v>2510</v>
      </c>
      <c r="S277" s="3" t="s">
        <v>2494</v>
      </c>
      <c r="T277" s="3" t="s">
        <v>2495</v>
      </c>
      <c r="U277" s="3" t="s">
        <v>2242</v>
      </c>
      <c r="V277" s="3" t="s">
        <v>2678</v>
      </c>
      <c r="W277" s="3" t="s">
        <v>2546</v>
      </c>
      <c r="X277" s="3"/>
      <c r="Y277" s="3" t="n">
        <v>3</v>
      </c>
      <c r="Z277" s="3" t="n">
        <v>2</v>
      </c>
      <c r="AA277" s="3" t="n">
        <v>1</v>
      </c>
      <c r="AB277" s="3" t="n">
        <v>3</v>
      </c>
      <c r="AC277" s="3" t="n">
        <v>2</v>
      </c>
      <c r="AD277" s="3" t="n">
        <v>1</v>
      </c>
      <c r="AE277" s="3" t="s">
        <v>2679</v>
      </c>
      <c r="AF277" s="3" t="s">
        <v>846</v>
      </c>
      <c r="AG277" s="3"/>
      <c r="AH277" s="3"/>
      <c r="AI277" s="3"/>
      <c r="AJ277" s="3" t="s">
        <v>59</v>
      </c>
      <c r="AK277" s="3"/>
      <c r="AL277" s="3"/>
      <c r="AM277" s="3" t="n">
        <v>1</v>
      </c>
      <c r="AN277" s="3"/>
      <c r="AO277" s="3"/>
      <c r="AP277" s="3" t="n">
        <v>3</v>
      </c>
      <c r="AQ277" s="3"/>
      <c r="AR277" s="3"/>
    </row>
    <row r="278" customFormat="false" ht="15" hidden="false" customHeight="true" outlineLevel="0" collapsed="false">
      <c r="A278" s="3" t="s">
        <v>2680</v>
      </c>
      <c r="B278" s="3" t="n">
        <v>4</v>
      </c>
      <c r="C278" s="3" t="n">
        <v>52</v>
      </c>
      <c r="D278" s="3"/>
      <c r="E278" s="4" t="n">
        <v>46289.3845587963</v>
      </c>
      <c r="F278" s="3" t="n">
        <v>23</v>
      </c>
      <c r="G278" s="3" t="str">
        <f aca="false">IF(F278="","",IF(F278&gt;=Notes!$B$5,"Elderly ("&amp;Notes!$B$5&amp;"+)",IF(F278&lt;=Notes!$B$4,"Student age (≤"&amp;Notes!$B$4&amp;")","Middle-aged ("&amp;(Notes!$B$4+1)&amp;"–"&amp;(Notes!$B$5-1)&amp;")")))</f>
        <v>Student age (≤29)</v>
      </c>
      <c r="H278" s="3"/>
      <c r="I278" s="3"/>
      <c r="J278" s="3" t="s">
        <v>437</v>
      </c>
      <c r="K278" s="3" t="s">
        <v>437</v>
      </c>
      <c r="L278" s="3" t="s">
        <v>49</v>
      </c>
      <c r="M278" s="3" t="s">
        <v>47</v>
      </c>
      <c r="N278" s="3" t="s">
        <v>50</v>
      </c>
      <c r="O278" s="3" t="s">
        <v>2538</v>
      </c>
      <c r="P278" s="3"/>
      <c r="Q278" s="3" t="s">
        <v>52</v>
      </c>
      <c r="R278" s="3" t="s">
        <v>2493</v>
      </c>
      <c r="S278" s="3" t="s">
        <v>2539</v>
      </c>
      <c r="T278" s="3" t="s">
        <v>2582</v>
      </c>
      <c r="U278" s="3" t="s">
        <v>1690</v>
      </c>
      <c r="V278" s="3" t="s">
        <v>2516</v>
      </c>
      <c r="W278" s="3" t="s">
        <v>2505</v>
      </c>
      <c r="X278" s="3" t="s">
        <v>2681</v>
      </c>
      <c r="Y278" s="3" t="n">
        <v>1</v>
      </c>
      <c r="Z278" s="3" t="n">
        <v>2</v>
      </c>
      <c r="AA278" s="3" t="n">
        <v>3</v>
      </c>
      <c r="AB278" s="3" t="n">
        <v>2</v>
      </c>
      <c r="AC278" s="3" t="n">
        <v>1</v>
      </c>
      <c r="AD278" s="3" t="n">
        <v>3</v>
      </c>
      <c r="AE278" s="3" t="s">
        <v>2653</v>
      </c>
      <c r="AF278" s="3" t="s">
        <v>860</v>
      </c>
      <c r="AG278" s="3"/>
      <c r="AH278" s="3"/>
      <c r="AI278" s="3" t="s">
        <v>2508</v>
      </c>
      <c r="AJ278" s="3" t="s">
        <v>59</v>
      </c>
      <c r="AK278" s="3"/>
      <c r="AL278" s="3"/>
      <c r="AM278" s="3" t="n">
        <v>5</v>
      </c>
      <c r="AN278" s="3"/>
      <c r="AO278" s="3"/>
      <c r="AP278" s="3" t="n">
        <v>5</v>
      </c>
      <c r="AQ278" s="3"/>
      <c r="AR278" s="3"/>
    </row>
    <row r="279" customFormat="false" ht="15" hidden="false" customHeight="true" outlineLevel="0" collapsed="false">
      <c r="A279" s="3" t="s">
        <v>2682</v>
      </c>
      <c r="B279" s="3" t="n">
        <v>4</v>
      </c>
      <c r="C279" s="3" t="n">
        <v>53</v>
      </c>
      <c r="D279" s="3"/>
      <c r="E279" s="4" t="n">
        <v>46289.3881422338</v>
      </c>
      <c r="F279" s="3" t="n">
        <v>22</v>
      </c>
      <c r="G279" s="3" t="str">
        <f aca="false">IF(F279="","",IF(F279&gt;=Notes!$B$5,"Elderly ("&amp;Notes!$B$5&amp;"+)",IF(F279&lt;=Notes!$B$4,"Student age (≤"&amp;Notes!$B$4&amp;")","Middle-aged ("&amp;(Notes!$B$4+1)&amp;"–"&amp;(Notes!$B$5-1)&amp;")")))</f>
        <v>Student age (≤29)</v>
      </c>
      <c r="H279" s="3" t="s">
        <v>83</v>
      </c>
      <c r="I279" s="3"/>
      <c r="J279" s="3" t="s">
        <v>437</v>
      </c>
      <c r="K279" s="3" t="s">
        <v>437</v>
      </c>
      <c r="L279" s="3"/>
      <c r="M279" s="3" t="s">
        <v>47</v>
      </c>
      <c r="N279" s="3" t="s">
        <v>47</v>
      </c>
      <c r="O279" s="3" t="s">
        <v>2242</v>
      </c>
      <c r="P279" s="3"/>
      <c r="Q279" s="3" t="s">
        <v>2242</v>
      </c>
      <c r="R279" s="3" t="s">
        <v>2510</v>
      </c>
      <c r="S279" s="3" t="s">
        <v>2539</v>
      </c>
      <c r="T279" s="3" t="s">
        <v>2533</v>
      </c>
      <c r="U279" s="3" t="s">
        <v>2242</v>
      </c>
      <c r="V279" s="3" t="s">
        <v>2683</v>
      </c>
      <c r="W279" s="3" t="s">
        <v>2242</v>
      </c>
      <c r="X279" s="3" t="s">
        <v>2684</v>
      </c>
      <c r="Y279" s="3" t="n">
        <v>1</v>
      </c>
      <c r="Z279" s="3" t="n">
        <v>2</v>
      </c>
      <c r="AA279" s="3" t="n">
        <v>3</v>
      </c>
      <c r="AB279" s="3" t="n">
        <v>1</v>
      </c>
      <c r="AC279" s="3" t="n">
        <v>3</v>
      </c>
      <c r="AD279" s="3" t="n">
        <v>2</v>
      </c>
      <c r="AE279" s="3" t="s">
        <v>2499</v>
      </c>
      <c r="AF279" s="3" t="s">
        <v>846</v>
      </c>
      <c r="AG279" s="3"/>
      <c r="AH279" s="3"/>
      <c r="AI279" s="3" t="s">
        <v>2500</v>
      </c>
      <c r="AJ279" s="3" t="s">
        <v>1625</v>
      </c>
      <c r="AK279" s="3"/>
      <c r="AL279" s="3"/>
      <c r="AM279" s="3" t="n">
        <v>5</v>
      </c>
      <c r="AN279" s="3"/>
      <c r="AO279" s="3"/>
      <c r="AP279" s="3" t="n">
        <v>5</v>
      </c>
      <c r="AQ279" s="3"/>
      <c r="AR279" s="3"/>
    </row>
    <row r="280" customFormat="false" ht="15" hidden="false" customHeight="true" outlineLevel="0" collapsed="false">
      <c r="A280" s="3" t="s">
        <v>2685</v>
      </c>
      <c r="B280" s="3" t="n">
        <v>4</v>
      </c>
      <c r="C280" s="3" t="n">
        <v>54</v>
      </c>
      <c r="D280" s="3"/>
      <c r="E280" s="4" t="n">
        <v>46289.3938620833</v>
      </c>
      <c r="F280" s="3" t="n">
        <v>24</v>
      </c>
      <c r="G280" s="3" t="str">
        <f aca="false">IF(F280="","",IF(F280&gt;=Notes!$B$5,"Elderly ("&amp;Notes!$B$5&amp;"+)",IF(F280&lt;=Notes!$B$4,"Student age (≤"&amp;Notes!$B$4&amp;")","Middle-aged ("&amp;(Notes!$B$4+1)&amp;"–"&amp;(Notes!$B$5-1)&amp;")")))</f>
        <v>Student age (≤29)</v>
      </c>
      <c r="H280" s="3" t="s">
        <v>45</v>
      </c>
      <c r="I280" s="3"/>
      <c r="J280" s="3" t="s">
        <v>437</v>
      </c>
      <c r="K280" s="3" t="s">
        <v>437</v>
      </c>
      <c r="L280" s="3"/>
      <c r="M280" s="3" t="s">
        <v>437</v>
      </c>
      <c r="N280" s="3" t="s">
        <v>437</v>
      </c>
      <c r="O280" s="3" t="s">
        <v>2614</v>
      </c>
      <c r="P280" s="3"/>
      <c r="Q280" s="3" t="s">
        <v>95</v>
      </c>
      <c r="R280" s="3" t="s">
        <v>2494</v>
      </c>
      <c r="S280" s="3" t="s">
        <v>2493</v>
      </c>
      <c r="T280" s="3" t="s">
        <v>2555</v>
      </c>
      <c r="U280" s="3" t="s">
        <v>1690</v>
      </c>
      <c r="V280" s="3" t="s">
        <v>2686</v>
      </c>
      <c r="W280" s="3" t="s">
        <v>2497</v>
      </c>
      <c r="X280" s="3" t="s">
        <v>2687</v>
      </c>
      <c r="Y280" s="3" t="n">
        <v>3</v>
      </c>
      <c r="Z280" s="3" t="n">
        <v>2</v>
      </c>
      <c r="AA280" s="3" t="n">
        <v>1</v>
      </c>
      <c r="AB280" s="3" t="n">
        <v>2</v>
      </c>
      <c r="AC280" s="3" t="n">
        <v>1</v>
      </c>
      <c r="AD280" s="3" t="n">
        <v>3</v>
      </c>
      <c r="AE280" s="3" t="s">
        <v>2688</v>
      </c>
      <c r="AF280" s="3" t="s">
        <v>846</v>
      </c>
      <c r="AG280" s="3"/>
      <c r="AH280" s="3"/>
      <c r="AI280" s="3" t="s">
        <v>2628</v>
      </c>
      <c r="AJ280" s="3" t="s">
        <v>59</v>
      </c>
      <c r="AK280" s="3"/>
      <c r="AL280" s="3"/>
      <c r="AM280" s="3" t="n">
        <v>3</v>
      </c>
      <c r="AN280" s="3"/>
      <c r="AO280" s="3"/>
      <c r="AP280" s="3" t="n">
        <v>3</v>
      </c>
      <c r="AQ280" s="3"/>
      <c r="AR280" s="3"/>
    </row>
    <row r="281" customFormat="false" ht="15" hidden="false" customHeight="true" outlineLevel="0" collapsed="false">
      <c r="A281" s="3" t="s">
        <v>2689</v>
      </c>
      <c r="B281" s="3" t="n">
        <v>4</v>
      </c>
      <c r="C281" s="3" t="n">
        <v>55</v>
      </c>
      <c r="D281" s="3"/>
      <c r="E281" s="4" t="n">
        <v>46289.3944340394</v>
      </c>
      <c r="F281" s="3" t="n">
        <v>22</v>
      </c>
      <c r="G281" s="3" t="str">
        <f aca="false">IF(F281="","",IF(F281&gt;=Notes!$B$5,"Elderly ("&amp;Notes!$B$5&amp;"+)",IF(F281&lt;=Notes!$B$4,"Student age (≤"&amp;Notes!$B$4&amp;")","Middle-aged ("&amp;(Notes!$B$4+1)&amp;"–"&amp;(Notes!$B$5-1)&amp;")")))</f>
        <v>Student age (≤29)</v>
      </c>
      <c r="H281" s="3" t="s">
        <v>45</v>
      </c>
      <c r="I281" s="3" t="s">
        <v>114</v>
      </c>
      <c r="J281" s="3" t="s">
        <v>47</v>
      </c>
      <c r="K281" s="3" t="s">
        <v>115</v>
      </c>
      <c r="L281" s="3" t="s">
        <v>49</v>
      </c>
      <c r="M281" s="3" t="s">
        <v>47</v>
      </c>
      <c r="N281" s="3" t="s">
        <v>50</v>
      </c>
      <c r="O281" s="3" t="s">
        <v>2538</v>
      </c>
      <c r="P281" s="3"/>
      <c r="Q281" s="3" t="s">
        <v>52</v>
      </c>
      <c r="R281" s="3" t="s">
        <v>2523</v>
      </c>
      <c r="S281" s="3" t="s">
        <v>2540</v>
      </c>
      <c r="T281" s="3" t="s">
        <v>2495</v>
      </c>
      <c r="U281" s="3" t="s">
        <v>59</v>
      </c>
      <c r="V281" s="3" t="s">
        <v>2690</v>
      </c>
      <c r="W281" s="3" t="s">
        <v>2505</v>
      </c>
      <c r="X281" s="3" t="s">
        <v>2691</v>
      </c>
      <c r="Y281" s="3" t="n">
        <v>2</v>
      </c>
      <c r="Z281" s="3" t="n">
        <v>3</v>
      </c>
      <c r="AA281" s="3" t="n">
        <v>1</v>
      </c>
      <c r="AB281" s="3" t="n">
        <v>2</v>
      </c>
      <c r="AC281" s="3" t="n">
        <v>3</v>
      </c>
      <c r="AD281" s="3" t="n">
        <v>1</v>
      </c>
      <c r="AE281" s="3" t="s">
        <v>2692</v>
      </c>
      <c r="AF281" s="3" t="s">
        <v>846</v>
      </c>
      <c r="AG281" s="3"/>
      <c r="AH281" s="3"/>
      <c r="AI281" s="3" t="s">
        <v>2508</v>
      </c>
      <c r="AJ281" s="3" t="s">
        <v>59</v>
      </c>
      <c r="AK281" s="3"/>
      <c r="AL281" s="3"/>
      <c r="AM281" s="3" t="n">
        <v>4</v>
      </c>
      <c r="AN281" s="3"/>
      <c r="AO281" s="3"/>
      <c r="AP281" s="3" t="n">
        <v>5</v>
      </c>
      <c r="AQ281" s="3"/>
      <c r="AR281" s="3"/>
    </row>
    <row r="282" customFormat="false" ht="15" hidden="false" customHeight="true" outlineLevel="0" collapsed="false">
      <c r="A282" s="3" t="s">
        <v>2693</v>
      </c>
      <c r="B282" s="3" t="n">
        <v>4</v>
      </c>
      <c r="C282" s="3" t="n">
        <v>56</v>
      </c>
      <c r="D282" s="3"/>
      <c r="E282" s="4" t="n">
        <v>46289.3965173264</v>
      </c>
      <c r="F282" s="3" t="n">
        <v>22</v>
      </c>
      <c r="G282" s="3" t="str">
        <f aca="false">IF(F282="","",IF(F282&gt;=Notes!$B$5,"Elderly ("&amp;Notes!$B$5&amp;"+)",IF(F282&lt;=Notes!$B$4,"Student age (≤"&amp;Notes!$B$4&amp;")","Middle-aged ("&amp;(Notes!$B$4+1)&amp;"–"&amp;(Notes!$B$5-1)&amp;")")))</f>
        <v>Student age (≤29)</v>
      </c>
      <c r="H282" s="3" t="s">
        <v>45</v>
      </c>
      <c r="I282" s="3"/>
      <c r="J282" s="3" t="s">
        <v>437</v>
      </c>
      <c r="K282" s="3" t="s">
        <v>437</v>
      </c>
      <c r="L282" s="3" t="s">
        <v>49</v>
      </c>
      <c r="M282" s="3" t="s">
        <v>47</v>
      </c>
      <c r="N282" s="3" t="s">
        <v>50</v>
      </c>
      <c r="O282" s="3" t="s">
        <v>2538</v>
      </c>
      <c r="P282" s="3"/>
      <c r="Q282" s="3" t="s">
        <v>2242</v>
      </c>
      <c r="R282" s="3" t="s">
        <v>2503</v>
      </c>
      <c r="S282" s="3" t="s">
        <v>2503</v>
      </c>
      <c r="T282" s="3" t="s">
        <v>2495</v>
      </c>
      <c r="U282" s="3" t="s">
        <v>1690</v>
      </c>
      <c r="V282" s="3" t="s">
        <v>2496</v>
      </c>
      <c r="W282" s="3" t="s">
        <v>2551</v>
      </c>
      <c r="X282" s="3" t="s">
        <v>2694</v>
      </c>
      <c r="Y282" s="3" t="n">
        <v>2</v>
      </c>
      <c r="Z282" s="3" t="n">
        <v>1</v>
      </c>
      <c r="AA282" s="3" t="n">
        <v>3</v>
      </c>
      <c r="AB282" s="3" t="n">
        <v>3</v>
      </c>
      <c r="AC282" s="3" t="n">
        <v>2</v>
      </c>
      <c r="AD282" s="3" t="n">
        <v>1</v>
      </c>
      <c r="AE282" s="3" t="s">
        <v>2695</v>
      </c>
      <c r="AF282" s="3" t="s">
        <v>847</v>
      </c>
      <c r="AG282" s="3"/>
      <c r="AH282" s="3"/>
      <c r="AI282" s="3" t="s">
        <v>2549</v>
      </c>
      <c r="AJ282" s="3" t="s">
        <v>59</v>
      </c>
      <c r="AK282" s="3"/>
      <c r="AL282" s="3"/>
      <c r="AM282" s="3" t="n">
        <v>4</v>
      </c>
      <c r="AN282" s="3"/>
      <c r="AO282" s="3"/>
      <c r="AP282" s="3" t="n">
        <v>5</v>
      </c>
      <c r="AQ282" s="3"/>
      <c r="AR282" s="3"/>
    </row>
    <row r="283" customFormat="false" ht="15" hidden="false" customHeight="true" outlineLevel="0" collapsed="false">
      <c r="A283" s="3" t="s">
        <v>2696</v>
      </c>
      <c r="B283" s="3" t="n">
        <v>4</v>
      </c>
      <c r="C283" s="3" t="n">
        <v>57</v>
      </c>
      <c r="D283" s="3"/>
      <c r="E283" s="4" t="n">
        <v>46289.408687963</v>
      </c>
      <c r="F283" s="3" t="n">
        <v>22</v>
      </c>
      <c r="G283" s="3" t="str">
        <f aca="false">IF(F283="","",IF(F283&gt;=Notes!$B$5,"Elderly ("&amp;Notes!$B$5&amp;"+)",IF(F283&lt;=Notes!$B$4,"Student age (≤"&amp;Notes!$B$4&amp;")","Middle-aged ("&amp;(Notes!$B$4+1)&amp;"–"&amp;(Notes!$B$5-1)&amp;")")))</f>
        <v>Student age (≤29)</v>
      </c>
      <c r="H283" s="3" t="s">
        <v>83</v>
      </c>
      <c r="I283" s="3"/>
      <c r="J283" s="3" t="s">
        <v>437</v>
      </c>
      <c r="K283" s="3" t="s">
        <v>437</v>
      </c>
      <c r="L283" s="3"/>
      <c r="M283" s="3" t="s">
        <v>47</v>
      </c>
      <c r="N283" s="3" t="s">
        <v>47</v>
      </c>
      <c r="O283" s="3" t="s">
        <v>806</v>
      </c>
      <c r="P283" s="3"/>
      <c r="Q283" s="3" t="s">
        <v>95</v>
      </c>
      <c r="R283" s="3" t="s">
        <v>2539</v>
      </c>
      <c r="S283" s="3" t="s">
        <v>2493</v>
      </c>
      <c r="T283" s="3" t="s">
        <v>2544</v>
      </c>
      <c r="U283" s="3" t="s">
        <v>59</v>
      </c>
      <c r="V283" s="3" t="s">
        <v>2659</v>
      </c>
      <c r="W283" s="3" t="s">
        <v>2497</v>
      </c>
      <c r="X283" s="3" t="s">
        <v>2697</v>
      </c>
      <c r="Y283" s="3" t="n">
        <v>3</v>
      </c>
      <c r="Z283" s="3" t="n">
        <v>2</v>
      </c>
      <c r="AA283" s="3" t="n">
        <v>1</v>
      </c>
      <c r="AB283" s="3" t="n">
        <v>3</v>
      </c>
      <c r="AC283" s="3" t="n">
        <v>2</v>
      </c>
      <c r="AD283" s="3" t="n">
        <v>1</v>
      </c>
      <c r="AE283" s="3" t="s">
        <v>2698</v>
      </c>
      <c r="AF283" s="3" t="s">
        <v>846</v>
      </c>
      <c r="AG283" s="3"/>
      <c r="AH283" s="3"/>
      <c r="AI283" s="3" t="s">
        <v>2508</v>
      </c>
      <c r="AJ283" s="3" t="s">
        <v>59</v>
      </c>
      <c r="AK283" s="3"/>
      <c r="AL283" s="3"/>
      <c r="AM283" s="3" t="n">
        <v>4</v>
      </c>
      <c r="AN283" s="3"/>
      <c r="AO283" s="3"/>
      <c r="AP283" s="3" t="n">
        <v>4</v>
      </c>
      <c r="AQ283" s="3"/>
      <c r="AR283" s="3"/>
    </row>
    <row r="284" customFormat="false" ht="15" hidden="false" customHeight="true" outlineLevel="0" collapsed="false">
      <c r="A284" s="3" t="s">
        <v>2699</v>
      </c>
      <c r="B284" s="3" t="n">
        <v>4</v>
      </c>
      <c r="C284" s="3" t="n">
        <v>58</v>
      </c>
      <c r="D284" s="3"/>
      <c r="E284" s="4" t="n">
        <v>46289.4141170602</v>
      </c>
      <c r="F284" s="3" t="n">
        <v>22</v>
      </c>
      <c r="G284" s="3" t="str">
        <f aca="false">IF(F284="","",IF(F284&gt;=Notes!$B$5,"Elderly ("&amp;Notes!$B$5&amp;"+)",IF(F284&lt;=Notes!$B$4,"Student age (≤"&amp;Notes!$B$4&amp;")","Middle-aged ("&amp;(Notes!$B$4+1)&amp;"–"&amp;(Notes!$B$5-1)&amp;")")))</f>
        <v>Student age (≤29)</v>
      </c>
      <c r="H284" s="3" t="s">
        <v>45</v>
      </c>
      <c r="I284" s="3"/>
      <c r="J284" s="3" t="s">
        <v>437</v>
      </c>
      <c r="K284" s="3" t="s">
        <v>437</v>
      </c>
      <c r="L284" s="3" t="s">
        <v>49</v>
      </c>
      <c r="M284" s="3" t="s">
        <v>47</v>
      </c>
      <c r="N284" s="3" t="s">
        <v>50</v>
      </c>
      <c r="O284" s="3" t="s">
        <v>2614</v>
      </c>
      <c r="P284" s="3"/>
      <c r="Q284" s="3" t="s">
        <v>117</v>
      </c>
      <c r="R284" s="3" t="s">
        <v>2502</v>
      </c>
      <c r="S284" s="3" t="s">
        <v>2540</v>
      </c>
      <c r="T284" s="3" t="s">
        <v>2555</v>
      </c>
      <c r="U284" s="3"/>
      <c r="V284" s="3" t="s">
        <v>2700</v>
      </c>
      <c r="W284" s="3" t="s">
        <v>2546</v>
      </c>
      <c r="X284" s="3"/>
      <c r="Y284" s="3"/>
      <c r="Z284" s="3"/>
      <c r="AA284" s="3"/>
      <c r="AB284" s="3"/>
      <c r="AC284" s="3"/>
      <c r="AD284" s="3"/>
      <c r="AE284" s="3" t="s">
        <v>2701</v>
      </c>
      <c r="AF284" s="3" t="s">
        <v>846</v>
      </c>
      <c r="AG284" s="3"/>
      <c r="AH284" s="3"/>
      <c r="AI284" s="3" t="s">
        <v>2549</v>
      </c>
      <c r="AJ284" s="3" t="s">
        <v>59</v>
      </c>
      <c r="AK284" s="3"/>
      <c r="AL284" s="3"/>
      <c r="AM284" s="3" t="n">
        <v>3</v>
      </c>
      <c r="AN284" s="3"/>
      <c r="AO284" s="3"/>
      <c r="AP284" s="3" t="n">
        <v>3</v>
      </c>
      <c r="AQ284" s="3"/>
      <c r="AR284" s="3" t="s">
        <v>2565</v>
      </c>
    </row>
    <row r="285" customFormat="false" ht="15" hidden="false" customHeight="true" outlineLevel="0" collapsed="false">
      <c r="A285" s="3" t="s">
        <v>2702</v>
      </c>
      <c r="B285" s="3" t="n">
        <v>4</v>
      </c>
      <c r="C285" s="3" t="n">
        <v>59</v>
      </c>
      <c r="D285" s="3"/>
      <c r="E285" s="4" t="n">
        <v>46289.4151246759</v>
      </c>
      <c r="F285" s="3" t="n">
        <v>22</v>
      </c>
      <c r="G285" s="3" t="str">
        <f aca="false">IF(F285="","",IF(F285&gt;=Notes!$B$5,"Elderly ("&amp;Notes!$B$5&amp;"+)",IF(F285&lt;=Notes!$B$4,"Student age (≤"&amp;Notes!$B$4&amp;")","Middle-aged ("&amp;(Notes!$B$4+1)&amp;"–"&amp;(Notes!$B$5-1)&amp;")")))</f>
        <v>Student age (≤29)</v>
      </c>
      <c r="H285" s="3" t="s">
        <v>83</v>
      </c>
      <c r="I285" s="3"/>
      <c r="J285" s="3" t="s">
        <v>437</v>
      </c>
      <c r="K285" s="3" t="s">
        <v>437</v>
      </c>
      <c r="L285" s="3"/>
      <c r="M285" s="3" t="s">
        <v>47</v>
      </c>
      <c r="N285" s="3" t="s">
        <v>47</v>
      </c>
      <c r="O285" s="3" t="s">
        <v>2515</v>
      </c>
      <c r="P285" s="3"/>
      <c r="Q285" s="3" t="s">
        <v>74</v>
      </c>
      <c r="R285" s="3" t="s">
        <v>2502</v>
      </c>
      <c r="S285" s="3" t="s">
        <v>2502</v>
      </c>
      <c r="T285" s="3" t="s">
        <v>2495</v>
      </c>
      <c r="U285" s="3" t="s">
        <v>59</v>
      </c>
      <c r="V285" s="3" t="s">
        <v>2504</v>
      </c>
      <c r="W285" s="3" t="s">
        <v>2546</v>
      </c>
      <c r="X285" s="3"/>
      <c r="Y285" s="3" t="n">
        <v>3</v>
      </c>
      <c r="Z285" s="3" t="n">
        <v>2</v>
      </c>
      <c r="AA285" s="3" t="n">
        <v>1</v>
      </c>
      <c r="AB285" s="3" t="n">
        <v>2</v>
      </c>
      <c r="AC285" s="3" t="n">
        <v>1</v>
      </c>
      <c r="AD285" s="3" t="n">
        <v>3</v>
      </c>
      <c r="AE285" s="3" t="s">
        <v>2527</v>
      </c>
      <c r="AF285" s="3" t="s">
        <v>846</v>
      </c>
      <c r="AG285" s="3"/>
      <c r="AH285" s="3"/>
      <c r="AI285" s="3" t="s">
        <v>2549</v>
      </c>
      <c r="AJ285" s="3" t="s">
        <v>59</v>
      </c>
      <c r="AK285" s="3"/>
      <c r="AL285" s="3"/>
      <c r="AM285" s="3" t="n">
        <v>3</v>
      </c>
      <c r="AN285" s="3"/>
      <c r="AO285" s="3"/>
      <c r="AP285" s="3" t="n">
        <v>3</v>
      </c>
      <c r="AQ285" s="3"/>
      <c r="AR285" s="3"/>
    </row>
    <row r="286" customFormat="false" ht="15" hidden="false" customHeight="true" outlineLevel="0" collapsed="false">
      <c r="A286" s="3" t="s">
        <v>2703</v>
      </c>
      <c r="B286" s="3" t="n">
        <v>4</v>
      </c>
      <c r="C286" s="3" t="n">
        <v>60</v>
      </c>
      <c r="D286" s="3"/>
      <c r="E286" s="4" t="n">
        <v>46289.4216786921</v>
      </c>
      <c r="F286" s="3" t="n">
        <v>22</v>
      </c>
      <c r="G286" s="3" t="str">
        <f aca="false">IF(F286="","",IF(F286&gt;=Notes!$B$5,"Elderly ("&amp;Notes!$B$5&amp;"+)",IF(F286&lt;=Notes!$B$4,"Student age (≤"&amp;Notes!$B$4&amp;")","Middle-aged ("&amp;(Notes!$B$4+1)&amp;"–"&amp;(Notes!$B$5-1)&amp;")")))</f>
        <v>Student age (≤29)</v>
      </c>
      <c r="H286" s="3" t="s">
        <v>45</v>
      </c>
      <c r="I286" s="3"/>
      <c r="J286" s="3" t="s">
        <v>437</v>
      </c>
      <c r="K286" s="3" t="s">
        <v>437</v>
      </c>
      <c r="L286" s="3" t="s">
        <v>825</v>
      </c>
      <c r="M286" s="3" t="s">
        <v>47</v>
      </c>
      <c r="N286" s="3" t="s">
        <v>826</v>
      </c>
      <c r="O286" s="3" t="s">
        <v>2614</v>
      </c>
      <c r="P286" s="3"/>
      <c r="Q286" s="3" t="s">
        <v>117</v>
      </c>
      <c r="R286" s="3" t="s">
        <v>2540</v>
      </c>
      <c r="S286" s="3" t="s">
        <v>2502</v>
      </c>
      <c r="T286" s="3" t="s">
        <v>2495</v>
      </c>
      <c r="U286" s="3" t="s">
        <v>1690</v>
      </c>
      <c r="V286" s="3" t="s">
        <v>2504</v>
      </c>
      <c r="W286" s="3" t="s">
        <v>2546</v>
      </c>
      <c r="X286" s="3" t="s">
        <v>2704</v>
      </c>
      <c r="Y286" s="3" t="n">
        <v>2</v>
      </c>
      <c r="Z286" s="3" t="n">
        <v>1</v>
      </c>
      <c r="AA286" s="3" t="n">
        <v>3</v>
      </c>
      <c r="AB286" s="3" t="n">
        <v>1</v>
      </c>
      <c r="AC286" s="3" t="n">
        <v>2</v>
      </c>
      <c r="AD286" s="3" t="n">
        <v>3</v>
      </c>
      <c r="AE286" s="3" t="s">
        <v>2705</v>
      </c>
      <c r="AF286" s="3" t="s">
        <v>847</v>
      </c>
      <c r="AG286" s="3"/>
      <c r="AH286" s="3"/>
      <c r="AI286" s="3" t="s">
        <v>2508</v>
      </c>
      <c r="AJ286" s="3" t="s">
        <v>59</v>
      </c>
      <c r="AK286" s="3"/>
      <c r="AL286" s="3"/>
      <c r="AM286" s="3" t="n">
        <v>3</v>
      </c>
      <c r="AN286" s="3"/>
      <c r="AO286" s="3"/>
      <c r="AP286" s="3" t="n">
        <v>5</v>
      </c>
      <c r="AQ286" s="3"/>
      <c r="AR286" s="3"/>
    </row>
    <row r="287" customFormat="false" ht="15" hidden="false" customHeight="true" outlineLevel="0" collapsed="false">
      <c r="A287" s="3" t="s">
        <v>2706</v>
      </c>
      <c r="B287" s="3" t="n">
        <v>4</v>
      </c>
      <c r="C287" s="3" t="n">
        <v>61</v>
      </c>
      <c r="D287" s="3"/>
      <c r="E287" s="4" t="n">
        <v>46289.4239772685</v>
      </c>
      <c r="F287" s="3" t="n">
        <v>22</v>
      </c>
      <c r="G287" s="3" t="str">
        <f aca="false">IF(F287="","",IF(F287&gt;=Notes!$B$5,"Elderly ("&amp;Notes!$B$5&amp;"+)",IF(F287&lt;=Notes!$B$4,"Student age (≤"&amp;Notes!$B$4&amp;")","Middle-aged ("&amp;(Notes!$B$4+1)&amp;"–"&amp;(Notes!$B$5-1)&amp;")")))</f>
        <v>Student age (≤29)</v>
      </c>
      <c r="H287" s="3" t="s">
        <v>83</v>
      </c>
      <c r="I287" s="3"/>
      <c r="J287" s="3" t="s">
        <v>437</v>
      </c>
      <c r="K287" s="3" t="s">
        <v>437</v>
      </c>
      <c r="L287" s="3"/>
      <c r="M287" s="3" t="s">
        <v>47</v>
      </c>
      <c r="N287" s="3" t="s">
        <v>47</v>
      </c>
      <c r="O287" s="3" t="s">
        <v>2538</v>
      </c>
      <c r="P287" s="3"/>
      <c r="Q287" s="3" t="s">
        <v>117</v>
      </c>
      <c r="R287" s="3" t="s">
        <v>2540</v>
      </c>
      <c r="S287" s="3" t="s">
        <v>2502</v>
      </c>
      <c r="T287" s="3" t="s">
        <v>2544</v>
      </c>
      <c r="U287" s="3" t="s">
        <v>1690</v>
      </c>
      <c r="V287" s="3" t="s">
        <v>2659</v>
      </c>
      <c r="W287" s="3" t="s">
        <v>2505</v>
      </c>
      <c r="X287" s="3" t="s">
        <v>2707</v>
      </c>
      <c r="Y287" s="3" t="n">
        <v>3</v>
      </c>
      <c r="Z287" s="3" t="n">
        <v>1</v>
      </c>
      <c r="AA287" s="3" t="n">
        <v>2</v>
      </c>
      <c r="AB287" s="3" t="n">
        <v>1</v>
      </c>
      <c r="AC287" s="3" t="n">
        <v>2</v>
      </c>
      <c r="AD287" s="3" t="n">
        <v>3</v>
      </c>
      <c r="AE287" s="3" t="s">
        <v>2708</v>
      </c>
      <c r="AF287" s="3" t="s">
        <v>860</v>
      </c>
      <c r="AG287" s="3"/>
      <c r="AH287" s="3"/>
      <c r="AI287" s="3" t="s">
        <v>2549</v>
      </c>
      <c r="AJ287" s="3" t="s">
        <v>98</v>
      </c>
      <c r="AK287" s="3"/>
      <c r="AL287" s="3"/>
      <c r="AM287" s="3" t="n">
        <v>1</v>
      </c>
      <c r="AN287" s="3"/>
      <c r="AO287" s="3"/>
      <c r="AP287" s="3" t="n">
        <v>4</v>
      </c>
      <c r="AQ287" s="3"/>
      <c r="AR287" s="3"/>
    </row>
    <row r="288" customFormat="false" ht="15" hidden="false" customHeight="true" outlineLevel="0" collapsed="false">
      <c r="A288" s="3" t="s">
        <v>2709</v>
      </c>
      <c r="B288" s="3" t="n">
        <v>4</v>
      </c>
      <c r="C288" s="3" t="n">
        <v>62</v>
      </c>
      <c r="D288" s="3"/>
      <c r="E288" s="4" t="n">
        <v>46289.4241718982</v>
      </c>
      <c r="F288" s="3" t="n">
        <v>23</v>
      </c>
      <c r="G288" s="3" t="str">
        <f aca="false">IF(F288="","",IF(F288&gt;=Notes!$B$5,"Elderly ("&amp;Notes!$B$5&amp;"+)",IF(F288&lt;=Notes!$B$4,"Student age (≤"&amp;Notes!$B$4&amp;")","Middle-aged ("&amp;(Notes!$B$4+1)&amp;"–"&amp;(Notes!$B$5-1)&amp;")")))</f>
        <v>Student age (≤29)</v>
      </c>
      <c r="H288" s="3" t="s">
        <v>45</v>
      </c>
      <c r="I288" s="3"/>
      <c r="J288" s="3" t="s">
        <v>437</v>
      </c>
      <c r="K288" s="3" t="s">
        <v>437</v>
      </c>
      <c r="L288" s="3"/>
      <c r="M288" s="3" t="s">
        <v>47</v>
      </c>
      <c r="N288" s="3" t="s">
        <v>47</v>
      </c>
      <c r="O288" s="3" t="s">
        <v>2614</v>
      </c>
      <c r="P288" s="3"/>
      <c r="Q288" s="3" t="s">
        <v>95</v>
      </c>
      <c r="R288" s="3" t="s">
        <v>2524</v>
      </c>
      <c r="S288" s="3" t="s">
        <v>2524</v>
      </c>
      <c r="T288" s="3" t="s">
        <v>2544</v>
      </c>
      <c r="U288" s="3" t="s">
        <v>2242</v>
      </c>
      <c r="V288" s="3" t="s">
        <v>2591</v>
      </c>
      <c r="W288" s="3" t="s">
        <v>2505</v>
      </c>
      <c r="X288" s="3" t="s">
        <v>2710</v>
      </c>
      <c r="Y288" s="3" t="n">
        <v>1</v>
      </c>
      <c r="Z288" s="3" t="n">
        <v>2</v>
      </c>
      <c r="AA288" s="3" t="n">
        <v>3</v>
      </c>
      <c r="AB288" s="3" t="n">
        <v>1</v>
      </c>
      <c r="AC288" s="3" t="n">
        <v>2</v>
      </c>
      <c r="AD288" s="3" t="n">
        <v>3</v>
      </c>
      <c r="AE288" s="3" t="s">
        <v>2711</v>
      </c>
      <c r="AF288" s="3" t="s">
        <v>860</v>
      </c>
      <c r="AG288" s="3"/>
      <c r="AH288" s="3"/>
      <c r="AI288" s="3" t="s">
        <v>2549</v>
      </c>
      <c r="AJ288" s="3" t="s">
        <v>59</v>
      </c>
      <c r="AK288" s="3"/>
      <c r="AL288" s="3"/>
      <c r="AM288" s="3" t="n">
        <v>3</v>
      </c>
      <c r="AN288" s="3"/>
      <c r="AO288" s="3"/>
      <c r="AP288" s="3" t="n">
        <v>5</v>
      </c>
      <c r="AQ288" s="3"/>
      <c r="AR288" s="3"/>
    </row>
    <row r="289" customFormat="false" ht="15" hidden="false" customHeight="true" outlineLevel="0" collapsed="false">
      <c r="A289" s="3" t="s">
        <v>2712</v>
      </c>
      <c r="B289" s="3" t="n">
        <v>4</v>
      </c>
      <c r="C289" s="3" t="n">
        <v>63</v>
      </c>
      <c r="D289" s="3"/>
      <c r="E289" s="4" t="n">
        <v>46289.4286827315</v>
      </c>
      <c r="F289" s="3" t="n">
        <v>23</v>
      </c>
      <c r="G289" s="3" t="str">
        <f aca="false">IF(F289="","",IF(F289&gt;=Notes!$B$5,"Elderly ("&amp;Notes!$B$5&amp;"+)",IF(F289&lt;=Notes!$B$4,"Student age (≤"&amp;Notes!$B$4&amp;")","Middle-aged ("&amp;(Notes!$B$4+1)&amp;"–"&amp;(Notes!$B$5-1)&amp;")")))</f>
        <v>Student age (≤29)</v>
      </c>
      <c r="H289" s="3" t="s">
        <v>83</v>
      </c>
      <c r="I289" s="3"/>
      <c r="J289" s="3" t="s">
        <v>437</v>
      </c>
      <c r="K289" s="3" t="s">
        <v>437</v>
      </c>
      <c r="L289" s="3" t="s">
        <v>49</v>
      </c>
      <c r="M289" s="3" t="s">
        <v>47</v>
      </c>
      <c r="N289" s="3" t="s">
        <v>50</v>
      </c>
      <c r="O289" s="3" t="s">
        <v>2614</v>
      </c>
      <c r="P289" s="3"/>
      <c r="Q289" s="3" t="s">
        <v>74</v>
      </c>
      <c r="R289" s="3" t="s">
        <v>2494</v>
      </c>
      <c r="S289" s="3" t="s">
        <v>2494</v>
      </c>
      <c r="T289" s="3" t="s">
        <v>2495</v>
      </c>
      <c r="U289" s="3" t="s">
        <v>59</v>
      </c>
      <c r="V289" s="3" t="s">
        <v>2504</v>
      </c>
      <c r="W289" s="3" t="s">
        <v>2497</v>
      </c>
      <c r="X289" s="3" t="s">
        <v>2713</v>
      </c>
      <c r="Y289" s="3" t="n">
        <v>2</v>
      </c>
      <c r="Z289" s="3" t="n">
        <v>1</v>
      </c>
      <c r="AA289" s="3" t="n">
        <v>3</v>
      </c>
      <c r="AB289" s="3" t="n">
        <v>2</v>
      </c>
      <c r="AC289" s="3" t="n">
        <v>1</v>
      </c>
      <c r="AD289" s="3" t="n">
        <v>3</v>
      </c>
      <c r="AE289" s="3" t="s">
        <v>2507</v>
      </c>
      <c r="AF289" s="3" t="s">
        <v>860</v>
      </c>
      <c r="AG289" s="3"/>
      <c r="AH289" s="3"/>
      <c r="AI289" s="3" t="s">
        <v>2508</v>
      </c>
      <c r="AJ289" s="3" t="s">
        <v>59</v>
      </c>
      <c r="AK289" s="3"/>
      <c r="AL289" s="3"/>
      <c r="AM289" s="3" t="n">
        <v>5</v>
      </c>
      <c r="AN289" s="3"/>
      <c r="AO289" s="3"/>
      <c r="AP289" s="3" t="n">
        <v>5</v>
      </c>
      <c r="AQ289" s="3"/>
      <c r="AR289" s="3"/>
    </row>
    <row r="290" customFormat="false" ht="15" hidden="false" customHeight="true" outlineLevel="0" collapsed="false">
      <c r="A290" s="3" t="s">
        <v>2714</v>
      </c>
      <c r="B290" s="3" t="n">
        <v>4</v>
      </c>
      <c r="C290" s="3" t="n">
        <v>64</v>
      </c>
      <c r="D290" s="3"/>
      <c r="E290" s="4" t="n">
        <v>46289.4293893287</v>
      </c>
      <c r="F290" s="3" t="n">
        <v>23</v>
      </c>
      <c r="G290" s="3" t="str">
        <f aca="false">IF(F290="","",IF(F290&gt;=Notes!$B$5,"Elderly ("&amp;Notes!$B$5&amp;"+)",IF(F290&lt;=Notes!$B$4,"Student age (≤"&amp;Notes!$B$4&amp;")","Middle-aged ("&amp;(Notes!$B$4+1)&amp;"–"&amp;(Notes!$B$5-1)&amp;")")))</f>
        <v>Student age (≤29)</v>
      </c>
      <c r="H290" s="3" t="s">
        <v>45</v>
      </c>
      <c r="I290" s="3"/>
      <c r="J290" s="3" t="s">
        <v>437</v>
      </c>
      <c r="K290" s="3" t="s">
        <v>437</v>
      </c>
      <c r="L290" s="3" t="s">
        <v>49</v>
      </c>
      <c r="M290" s="3" t="s">
        <v>47</v>
      </c>
      <c r="N290" s="3" t="s">
        <v>50</v>
      </c>
      <c r="O290" s="3" t="s">
        <v>806</v>
      </c>
      <c r="P290" s="3"/>
      <c r="Q290" s="3" t="s">
        <v>117</v>
      </c>
      <c r="R290" s="3" t="s">
        <v>2493</v>
      </c>
      <c r="S290" s="3" t="s">
        <v>2493</v>
      </c>
      <c r="T290" s="3" t="s">
        <v>2544</v>
      </c>
      <c r="U290" s="3" t="s">
        <v>59</v>
      </c>
      <c r="V290" s="3" t="s">
        <v>2504</v>
      </c>
      <c r="W290" s="3" t="s">
        <v>2546</v>
      </c>
      <c r="X290" s="3"/>
      <c r="Y290" s="3" t="n">
        <v>1</v>
      </c>
      <c r="Z290" s="3" t="n">
        <v>2</v>
      </c>
      <c r="AA290" s="3" t="n">
        <v>3</v>
      </c>
      <c r="AB290" s="3" t="n">
        <v>2</v>
      </c>
      <c r="AC290" s="3" t="n">
        <v>1</v>
      </c>
      <c r="AD290" s="3" t="n">
        <v>3</v>
      </c>
      <c r="AE290" s="3" t="s">
        <v>2701</v>
      </c>
      <c r="AF290" s="3" t="s">
        <v>860</v>
      </c>
      <c r="AG290" s="3"/>
      <c r="AH290" s="3"/>
      <c r="AI290" s="3" t="s">
        <v>2549</v>
      </c>
      <c r="AJ290" s="3" t="s">
        <v>59</v>
      </c>
      <c r="AK290" s="3"/>
      <c r="AL290" s="3"/>
      <c r="AM290" s="3" t="n">
        <v>5</v>
      </c>
      <c r="AN290" s="3"/>
      <c r="AO290" s="3"/>
      <c r="AP290" s="3" t="n">
        <v>5</v>
      </c>
      <c r="AQ290" s="3"/>
      <c r="AR290" s="3"/>
    </row>
    <row r="291" customFormat="false" ht="15" hidden="false" customHeight="true" outlineLevel="0" collapsed="false">
      <c r="A291" s="3" t="s">
        <v>2715</v>
      </c>
      <c r="B291" s="3" t="n">
        <v>4</v>
      </c>
      <c r="C291" s="3" t="n">
        <v>65</v>
      </c>
      <c r="D291" s="3"/>
      <c r="E291" s="4" t="n">
        <v>46289.4413232639</v>
      </c>
      <c r="F291" s="3" t="n">
        <v>22</v>
      </c>
      <c r="G291" s="3" t="str">
        <f aca="false">IF(F291="","",IF(F291&gt;=Notes!$B$5,"Elderly ("&amp;Notes!$B$5&amp;"+)",IF(F291&lt;=Notes!$B$4,"Student age (≤"&amp;Notes!$B$4&amp;")","Middle-aged ("&amp;(Notes!$B$4+1)&amp;"–"&amp;(Notes!$B$5-1)&amp;")")))</f>
        <v>Student age (≤29)</v>
      </c>
      <c r="H291" s="3" t="s">
        <v>45</v>
      </c>
      <c r="I291" s="3" t="s">
        <v>71</v>
      </c>
      <c r="J291" s="3" t="s">
        <v>47</v>
      </c>
      <c r="K291" s="3" t="s">
        <v>72</v>
      </c>
      <c r="L291" s="3"/>
      <c r="M291" s="3" t="s">
        <v>47</v>
      </c>
      <c r="N291" s="3" t="s">
        <v>47</v>
      </c>
      <c r="O291" s="3" t="s">
        <v>2538</v>
      </c>
      <c r="P291" s="3"/>
      <c r="Q291" s="3" t="s">
        <v>95</v>
      </c>
      <c r="R291" s="3" t="s">
        <v>2494</v>
      </c>
      <c r="S291" s="3" t="s">
        <v>2540</v>
      </c>
      <c r="T291" s="3" t="s">
        <v>2495</v>
      </c>
      <c r="U291" s="3" t="s">
        <v>59</v>
      </c>
      <c r="V291" s="3" t="s">
        <v>2496</v>
      </c>
      <c r="W291" s="3" t="s">
        <v>2497</v>
      </c>
      <c r="X291" s="3" t="s">
        <v>2716</v>
      </c>
      <c r="Y291" s="3" t="n">
        <v>3</v>
      </c>
      <c r="Z291" s="3" t="n">
        <v>1</v>
      </c>
      <c r="AA291" s="3" t="n">
        <v>2</v>
      </c>
      <c r="AB291" s="3" t="n">
        <v>2</v>
      </c>
      <c r="AC291" s="3" t="n">
        <v>1</v>
      </c>
      <c r="AD291" s="3" t="n">
        <v>3</v>
      </c>
      <c r="AE291" s="3" t="s">
        <v>2717</v>
      </c>
      <c r="AF291" s="3" t="s">
        <v>847</v>
      </c>
      <c r="AG291" s="3"/>
      <c r="AH291" s="3"/>
      <c r="AI291" s="3" t="s">
        <v>2508</v>
      </c>
      <c r="AJ291" s="3" t="s">
        <v>59</v>
      </c>
      <c r="AK291" s="3"/>
      <c r="AL291" s="3"/>
      <c r="AM291" s="3" t="n">
        <v>3</v>
      </c>
      <c r="AN291" s="3"/>
      <c r="AO291" s="3"/>
      <c r="AP291" s="3" t="n">
        <v>4</v>
      </c>
      <c r="AQ291" s="3"/>
      <c r="AR291" s="3"/>
    </row>
    <row r="292" customFormat="false" ht="15" hidden="false" customHeight="true" outlineLevel="0" collapsed="false">
      <c r="A292" s="3" t="s">
        <v>2718</v>
      </c>
      <c r="B292" s="3" t="n">
        <v>4</v>
      </c>
      <c r="C292" s="3" t="n">
        <v>66</v>
      </c>
      <c r="D292" s="3"/>
      <c r="E292" s="4" t="n">
        <v>46289.4588284607</v>
      </c>
      <c r="F292" s="3" t="n">
        <v>23</v>
      </c>
      <c r="G292" s="3" t="str">
        <f aca="false">IF(F292="","",IF(F292&gt;=Notes!$B$5,"Elderly ("&amp;Notes!$B$5&amp;"+)",IF(F292&lt;=Notes!$B$4,"Student age (≤"&amp;Notes!$B$4&amp;")","Middle-aged ("&amp;(Notes!$B$4+1)&amp;"–"&amp;(Notes!$B$5-1)&amp;")")))</f>
        <v>Student age (≤29)</v>
      </c>
      <c r="H292" s="3" t="s">
        <v>45</v>
      </c>
      <c r="I292" s="3"/>
      <c r="J292" s="3" t="s">
        <v>437</v>
      </c>
      <c r="K292" s="3" t="s">
        <v>437</v>
      </c>
      <c r="L292" s="3" t="s">
        <v>49</v>
      </c>
      <c r="M292" s="3" t="s">
        <v>47</v>
      </c>
      <c r="N292" s="3" t="s">
        <v>50</v>
      </c>
      <c r="O292" s="3" t="s">
        <v>2538</v>
      </c>
      <c r="P292" s="3"/>
      <c r="Q292" s="3" t="s">
        <v>74</v>
      </c>
      <c r="R292" s="3" t="s">
        <v>2524</v>
      </c>
      <c r="S292" s="3" t="s">
        <v>2524</v>
      </c>
      <c r="T292" s="3" t="s">
        <v>2582</v>
      </c>
      <c r="U292" s="3" t="s">
        <v>1690</v>
      </c>
      <c r="V292" s="3" t="s">
        <v>2496</v>
      </c>
      <c r="W292" s="3" t="s">
        <v>2497</v>
      </c>
      <c r="X292" s="3"/>
      <c r="Y292" s="3" t="n">
        <v>3</v>
      </c>
      <c r="Z292" s="3" t="n">
        <v>1</v>
      </c>
      <c r="AA292" s="3" t="n">
        <v>2</v>
      </c>
      <c r="AB292" s="3" t="n">
        <v>1</v>
      </c>
      <c r="AC292" s="3" t="n">
        <v>3</v>
      </c>
      <c r="AD292" s="3" t="n">
        <v>2</v>
      </c>
      <c r="AE292" s="3" t="s">
        <v>2719</v>
      </c>
      <c r="AF292" s="3" t="s">
        <v>846</v>
      </c>
      <c r="AG292" s="3"/>
      <c r="AH292" s="3"/>
      <c r="AI292" s="3" t="s">
        <v>2508</v>
      </c>
      <c r="AJ292" s="3" t="s">
        <v>59</v>
      </c>
      <c r="AK292" s="3"/>
      <c r="AL292" s="3"/>
      <c r="AM292" s="3" t="n">
        <v>4</v>
      </c>
      <c r="AN292" s="3"/>
      <c r="AO292" s="3"/>
      <c r="AP292" s="3" t="n">
        <v>5</v>
      </c>
      <c r="AQ292" s="3"/>
      <c r="AR292" s="3"/>
    </row>
    <row r="293" customFormat="false" ht="15" hidden="false" customHeight="true" outlineLevel="0" collapsed="false">
      <c r="A293" s="3" t="s">
        <v>2720</v>
      </c>
      <c r="B293" s="3" t="n">
        <v>4</v>
      </c>
      <c r="C293" s="3" t="n">
        <v>67</v>
      </c>
      <c r="D293" s="3"/>
      <c r="E293" s="4" t="n">
        <v>46289.4641748611</v>
      </c>
      <c r="F293" s="3" t="n">
        <v>22</v>
      </c>
      <c r="G293" s="3" t="str">
        <f aca="false">IF(F293="","",IF(F293&gt;=Notes!$B$5,"Elderly ("&amp;Notes!$B$5&amp;"+)",IF(F293&lt;=Notes!$B$4,"Student age (≤"&amp;Notes!$B$4&amp;")","Middle-aged ("&amp;(Notes!$B$4+1)&amp;"–"&amp;(Notes!$B$5-1)&amp;")")))</f>
        <v>Student age (≤29)</v>
      </c>
      <c r="H293" s="3" t="s">
        <v>45</v>
      </c>
      <c r="I293" s="3"/>
      <c r="J293" s="3" t="s">
        <v>437</v>
      </c>
      <c r="K293" s="3" t="s">
        <v>437</v>
      </c>
      <c r="L293" s="3" t="s">
        <v>49</v>
      </c>
      <c r="M293" s="3" t="s">
        <v>47</v>
      </c>
      <c r="N293" s="3" t="s">
        <v>50</v>
      </c>
      <c r="O293" s="3" t="s">
        <v>2515</v>
      </c>
      <c r="P293" s="3"/>
      <c r="Q293" s="3" t="s">
        <v>74</v>
      </c>
      <c r="R293" s="3" t="s">
        <v>2540</v>
      </c>
      <c r="S293" s="3" t="s">
        <v>2523</v>
      </c>
      <c r="T293" s="3" t="s">
        <v>2555</v>
      </c>
      <c r="U293" s="3" t="s">
        <v>59</v>
      </c>
      <c r="V293" s="3" t="s">
        <v>2641</v>
      </c>
      <c r="W293" s="3" t="s">
        <v>2497</v>
      </c>
      <c r="X293" s="3" t="s">
        <v>2721</v>
      </c>
      <c r="Y293" s="3" t="n">
        <v>3</v>
      </c>
      <c r="Z293" s="3" t="n">
        <v>1</v>
      </c>
      <c r="AA293" s="3" t="n">
        <v>2</v>
      </c>
      <c r="AB293" s="3" t="n">
        <v>2</v>
      </c>
      <c r="AC293" s="3" t="n">
        <v>1</v>
      </c>
      <c r="AD293" s="3" t="n">
        <v>3</v>
      </c>
      <c r="AE293" s="3" t="s">
        <v>2711</v>
      </c>
      <c r="AF293" s="3" t="s">
        <v>847</v>
      </c>
      <c r="AG293" s="3"/>
      <c r="AH293" s="3"/>
      <c r="AI293" s="3" t="s">
        <v>2549</v>
      </c>
      <c r="AJ293" s="3" t="s">
        <v>59</v>
      </c>
      <c r="AK293" s="3"/>
      <c r="AL293" s="3"/>
      <c r="AM293" s="3" t="n">
        <v>4</v>
      </c>
      <c r="AN293" s="3"/>
      <c r="AO293" s="3"/>
      <c r="AP293" s="3" t="n">
        <v>4</v>
      </c>
      <c r="AQ293" s="3"/>
      <c r="AR293" s="3"/>
    </row>
    <row r="294" customFormat="false" ht="15" hidden="false" customHeight="true" outlineLevel="0" collapsed="false">
      <c r="A294" s="3" t="s">
        <v>2722</v>
      </c>
      <c r="B294" s="3" t="n">
        <v>4</v>
      </c>
      <c r="C294" s="3" t="n">
        <v>68</v>
      </c>
      <c r="D294" s="3"/>
      <c r="E294" s="4" t="n">
        <v>46289.4720046528</v>
      </c>
      <c r="F294" s="3" t="n">
        <v>51</v>
      </c>
      <c r="G294" s="3" t="str">
        <f aca="false">IF(F294="","",IF(F294&gt;=Notes!$B$5,"Elderly ("&amp;Notes!$B$5&amp;"+)",IF(F294&lt;=Notes!$B$4,"Student age (≤"&amp;Notes!$B$4&amp;")","Middle-aged ("&amp;(Notes!$B$4+1)&amp;"–"&amp;(Notes!$B$5-1)&amp;")")))</f>
        <v>Middle-aged (30–64)</v>
      </c>
      <c r="H294" s="3" t="s">
        <v>83</v>
      </c>
      <c r="I294" s="3"/>
      <c r="J294" s="3" t="s">
        <v>437</v>
      </c>
      <c r="K294" s="3" t="s">
        <v>437</v>
      </c>
      <c r="L294" s="3" t="s">
        <v>532</v>
      </c>
      <c r="M294" s="3" t="s">
        <v>47</v>
      </c>
      <c r="N294" s="3" t="s">
        <v>533</v>
      </c>
      <c r="O294" s="3" t="s">
        <v>2538</v>
      </c>
      <c r="P294" s="3"/>
      <c r="Q294" s="3" t="s">
        <v>95</v>
      </c>
      <c r="R294" s="3" t="s">
        <v>2540</v>
      </c>
      <c r="S294" s="3" t="s">
        <v>2524</v>
      </c>
      <c r="T294" s="3" t="s">
        <v>2495</v>
      </c>
      <c r="U294" s="3" t="s">
        <v>1690</v>
      </c>
      <c r="V294" s="3" t="s">
        <v>2723</v>
      </c>
      <c r="W294" s="3" t="s">
        <v>2546</v>
      </c>
      <c r="X294" s="3" t="s">
        <v>2724</v>
      </c>
      <c r="Y294" s="3" t="n">
        <v>1</v>
      </c>
      <c r="Z294" s="3" t="n">
        <v>3</v>
      </c>
      <c r="AA294" s="3" t="n">
        <v>2</v>
      </c>
      <c r="AB294" s="3" t="n">
        <v>1</v>
      </c>
      <c r="AC294" s="3" t="n">
        <v>2</v>
      </c>
      <c r="AD294" s="3" t="n">
        <v>3</v>
      </c>
      <c r="AE294" s="3" t="s">
        <v>2542</v>
      </c>
      <c r="AF294" s="3" t="s">
        <v>860</v>
      </c>
      <c r="AG294" s="3"/>
      <c r="AH294" s="3"/>
      <c r="AI294" s="3" t="s">
        <v>2508</v>
      </c>
      <c r="AJ294" s="3" t="s">
        <v>59</v>
      </c>
      <c r="AK294" s="3"/>
      <c r="AL294" s="3"/>
      <c r="AM294" s="3" t="n">
        <v>5</v>
      </c>
      <c r="AN294" s="3"/>
      <c r="AO294" s="3"/>
      <c r="AP294" s="3" t="n">
        <v>4</v>
      </c>
      <c r="AQ294" s="3"/>
      <c r="AR294" s="3"/>
    </row>
    <row r="295" customFormat="false" ht="15" hidden="false" customHeight="true" outlineLevel="0" collapsed="false">
      <c r="A295" s="3" t="s">
        <v>2725</v>
      </c>
      <c r="B295" s="3" t="n">
        <v>4</v>
      </c>
      <c r="C295" s="3" t="n">
        <v>69</v>
      </c>
      <c r="D295" s="3"/>
      <c r="E295" s="4" t="n">
        <v>46289.4769766782</v>
      </c>
      <c r="F295" s="3" t="n">
        <v>22</v>
      </c>
      <c r="G295" s="3" t="str">
        <f aca="false">IF(F295="","",IF(F295&gt;=Notes!$B$5,"Elderly ("&amp;Notes!$B$5&amp;"+)",IF(F295&lt;=Notes!$B$4,"Student age (≤"&amp;Notes!$B$4&amp;")","Middle-aged ("&amp;(Notes!$B$4+1)&amp;"–"&amp;(Notes!$B$5-1)&amp;")")))</f>
        <v>Student age (≤29)</v>
      </c>
      <c r="H295" s="3" t="s">
        <v>83</v>
      </c>
      <c r="I295" s="3"/>
      <c r="J295" s="3" t="s">
        <v>437</v>
      </c>
      <c r="K295" s="3" t="s">
        <v>437</v>
      </c>
      <c r="L295" s="3"/>
      <c r="M295" s="3" t="s">
        <v>47</v>
      </c>
      <c r="N295" s="3" t="s">
        <v>47</v>
      </c>
      <c r="O295" s="3" t="s">
        <v>2538</v>
      </c>
      <c r="P295" s="3"/>
      <c r="Q295" s="3" t="s">
        <v>117</v>
      </c>
      <c r="R295" s="3" t="s">
        <v>2510</v>
      </c>
      <c r="S295" s="3" t="s">
        <v>2510</v>
      </c>
      <c r="T295" s="3" t="s">
        <v>2495</v>
      </c>
      <c r="U295" s="3" t="s">
        <v>98</v>
      </c>
      <c r="V295" s="3" t="s">
        <v>2496</v>
      </c>
      <c r="W295" s="3"/>
      <c r="X295" s="3"/>
      <c r="Y295" s="3" t="n">
        <v>1</v>
      </c>
      <c r="Z295" s="3" t="n">
        <v>3</v>
      </c>
      <c r="AA295" s="3" t="n">
        <v>2</v>
      </c>
      <c r="AB295" s="3" t="n">
        <v>1</v>
      </c>
      <c r="AC295" s="3"/>
      <c r="AD295" s="3"/>
      <c r="AE295" s="3" t="s">
        <v>2577</v>
      </c>
      <c r="AF295" s="3" t="s">
        <v>860</v>
      </c>
      <c r="AG295" s="3"/>
      <c r="AH295" s="3"/>
      <c r="AI295" s="3" t="s">
        <v>2549</v>
      </c>
      <c r="AJ295" s="3" t="s">
        <v>59</v>
      </c>
      <c r="AK295" s="3"/>
      <c r="AL295" s="3"/>
      <c r="AM295" s="3" t="n">
        <v>5</v>
      </c>
      <c r="AN295" s="3"/>
      <c r="AO295" s="3"/>
      <c r="AP295" s="3" t="n">
        <v>5</v>
      </c>
      <c r="AQ295" s="3"/>
      <c r="AR295" s="3" t="s">
        <v>2667</v>
      </c>
    </row>
    <row r="296" customFormat="false" ht="15" hidden="false" customHeight="true" outlineLevel="0" collapsed="false">
      <c r="A296" s="3" t="s">
        <v>2726</v>
      </c>
      <c r="B296" s="3" t="n">
        <v>4</v>
      </c>
      <c r="C296" s="3" t="n">
        <v>70</v>
      </c>
      <c r="D296" s="3"/>
      <c r="E296" s="4" t="n">
        <v>46289.4836808333</v>
      </c>
      <c r="F296" s="3" t="n">
        <v>21</v>
      </c>
      <c r="G296" s="3" t="str">
        <f aca="false">IF(F296="","",IF(F296&gt;=Notes!$B$5,"Elderly ("&amp;Notes!$B$5&amp;"+)",IF(F296&lt;=Notes!$B$4,"Student age (≤"&amp;Notes!$B$4&amp;")","Middle-aged ("&amp;(Notes!$B$4+1)&amp;"–"&amp;(Notes!$B$5-1)&amp;")")))</f>
        <v>Student age (≤29)</v>
      </c>
      <c r="H296" s="3" t="s">
        <v>83</v>
      </c>
      <c r="I296" s="3"/>
      <c r="J296" s="3" t="s">
        <v>437</v>
      </c>
      <c r="K296" s="3" t="s">
        <v>437</v>
      </c>
      <c r="L296" s="3"/>
      <c r="M296" s="3" t="s">
        <v>453</v>
      </c>
      <c r="N296" s="3" t="s">
        <v>453</v>
      </c>
      <c r="O296" s="3" t="s">
        <v>2538</v>
      </c>
      <c r="P296" s="3"/>
      <c r="Q296" s="3" t="s">
        <v>95</v>
      </c>
      <c r="R296" s="3" t="s">
        <v>2493</v>
      </c>
      <c r="S296" s="3" t="s">
        <v>2540</v>
      </c>
      <c r="T296" s="3" t="s">
        <v>2582</v>
      </c>
      <c r="U296" s="3" t="s">
        <v>1690</v>
      </c>
      <c r="V296" s="3" t="s">
        <v>2496</v>
      </c>
      <c r="W296" s="3" t="s">
        <v>2551</v>
      </c>
      <c r="X296" s="3"/>
      <c r="Y296" s="3" t="n">
        <v>3</v>
      </c>
      <c r="Z296" s="3" t="n">
        <v>2</v>
      </c>
      <c r="AA296" s="3" t="n">
        <v>1</v>
      </c>
      <c r="AB296" s="3" t="n">
        <v>1</v>
      </c>
      <c r="AC296" s="3" t="n">
        <v>3</v>
      </c>
      <c r="AD296" s="3" t="n">
        <v>2</v>
      </c>
      <c r="AE296" s="3" t="s">
        <v>2727</v>
      </c>
      <c r="AF296" s="3" t="s">
        <v>846</v>
      </c>
      <c r="AG296" s="3"/>
      <c r="AH296" s="3"/>
      <c r="AI296" s="3" t="s">
        <v>2608</v>
      </c>
      <c r="AJ296" s="3" t="s">
        <v>59</v>
      </c>
      <c r="AK296" s="3"/>
      <c r="AL296" s="3"/>
      <c r="AM296" s="3" t="n">
        <v>3</v>
      </c>
      <c r="AN296" s="3"/>
      <c r="AO296" s="3"/>
      <c r="AP296" s="3" t="n">
        <v>5</v>
      </c>
      <c r="AQ296" s="3"/>
      <c r="AR296" s="3"/>
    </row>
    <row r="297" customFormat="false" ht="15" hidden="false" customHeight="true" outlineLevel="0" collapsed="false">
      <c r="A297" s="3" t="s">
        <v>2728</v>
      </c>
      <c r="B297" s="3" t="n">
        <v>4</v>
      </c>
      <c r="C297" s="3" t="n">
        <v>71</v>
      </c>
      <c r="D297" s="3"/>
      <c r="E297" s="4" t="n">
        <v>46289.4850380093</v>
      </c>
      <c r="F297" s="3" t="n">
        <v>22</v>
      </c>
      <c r="G297" s="3" t="str">
        <f aca="false">IF(F297="","",IF(F297&gt;=Notes!$B$5,"Elderly ("&amp;Notes!$B$5&amp;"+)",IF(F297&lt;=Notes!$B$4,"Student age (≤"&amp;Notes!$B$4&amp;")","Middle-aged ("&amp;(Notes!$B$4+1)&amp;"–"&amp;(Notes!$B$5-1)&amp;")")))</f>
        <v>Student age (≤29)</v>
      </c>
      <c r="H297" s="3" t="s">
        <v>45</v>
      </c>
      <c r="I297" s="3"/>
      <c r="J297" s="3" t="s">
        <v>437</v>
      </c>
      <c r="K297" s="3" t="s">
        <v>437</v>
      </c>
      <c r="L297" s="3" t="s">
        <v>49</v>
      </c>
      <c r="M297" s="3" t="s">
        <v>47</v>
      </c>
      <c r="N297" s="3" t="s">
        <v>50</v>
      </c>
      <c r="O297" s="3" t="s">
        <v>2614</v>
      </c>
      <c r="P297" s="3"/>
      <c r="Q297" s="3" t="s">
        <v>74</v>
      </c>
      <c r="R297" s="3" t="s">
        <v>2493</v>
      </c>
      <c r="S297" s="3" t="s">
        <v>2503</v>
      </c>
      <c r="T297" s="3" t="s">
        <v>2555</v>
      </c>
      <c r="U297" s="3" t="s">
        <v>1690</v>
      </c>
      <c r="V297" s="3" t="s">
        <v>2496</v>
      </c>
      <c r="W297" s="3" t="s">
        <v>2505</v>
      </c>
      <c r="X297" s="3" t="s">
        <v>2729</v>
      </c>
      <c r="Y297" s="3" t="n">
        <v>2</v>
      </c>
      <c r="Z297" s="3" t="n">
        <v>3</v>
      </c>
      <c r="AA297" s="3" t="n">
        <v>1</v>
      </c>
      <c r="AB297" s="3" t="n">
        <v>1</v>
      </c>
      <c r="AC297" s="3" t="n">
        <v>3</v>
      </c>
      <c r="AD297" s="3" t="n">
        <v>2</v>
      </c>
      <c r="AE297" s="3" t="s">
        <v>2730</v>
      </c>
      <c r="AF297" s="3" t="s">
        <v>846</v>
      </c>
      <c r="AG297" s="3"/>
      <c r="AH297" s="3"/>
      <c r="AI297" s="3" t="s">
        <v>2549</v>
      </c>
      <c r="AJ297" s="3" t="s">
        <v>59</v>
      </c>
      <c r="AK297" s="3"/>
      <c r="AL297" s="3"/>
      <c r="AM297" s="3" t="n">
        <v>4</v>
      </c>
      <c r="AN297" s="3"/>
      <c r="AO297" s="3"/>
      <c r="AP297" s="3" t="n">
        <v>3</v>
      </c>
      <c r="AQ297" s="3"/>
      <c r="AR297" s="3"/>
    </row>
    <row r="298" customFormat="false" ht="15" hidden="false" customHeight="true" outlineLevel="0" collapsed="false">
      <c r="A298" s="3" t="s">
        <v>2731</v>
      </c>
      <c r="B298" s="3" t="n">
        <v>4</v>
      </c>
      <c r="C298" s="3" t="n">
        <v>72</v>
      </c>
      <c r="D298" s="3"/>
      <c r="E298" s="4" t="n">
        <v>46289.486276088</v>
      </c>
      <c r="F298" s="3" t="n">
        <v>27</v>
      </c>
      <c r="G298" s="3" t="str">
        <f aca="false">IF(F298="","",IF(F298&gt;=Notes!$B$5,"Elderly ("&amp;Notes!$B$5&amp;"+)",IF(F298&lt;=Notes!$B$4,"Student age (≤"&amp;Notes!$B$4&amp;")","Middle-aged ("&amp;(Notes!$B$4+1)&amp;"–"&amp;(Notes!$B$5-1)&amp;")")))</f>
        <v>Student age (≤29)</v>
      </c>
      <c r="H298" s="3" t="s">
        <v>83</v>
      </c>
      <c r="I298" s="3"/>
      <c r="J298" s="3" t="s">
        <v>437</v>
      </c>
      <c r="K298" s="3" t="s">
        <v>437</v>
      </c>
      <c r="L298" s="3" t="s">
        <v>71</v>
      </c>
      <c r="M298" s="3" t="s">
        <v>47</v>
      </c>
      <c r="N298" s="3" t="s">
        <v>72</v>
      </c>
      <c r="O298" s="3" t="s">
        <v>2515</v>
      </c>
      <c r="P298" s="3"/>
      <c r="Q298" s="3" t="s">
        <v>95</v>
      </c>
      <c r="R298" s="3" t="s">
        <v>2494</v>
      </c>
      <c r="S298" s="3" t="s">
        <v>2502</v>
      </c>
      <c r="T298" s="3" t="s">
        <v>2555</v>
      </c>
      <c r="U298" s="3" t="s">
        <v>1690</v>
      </c>
      <c r="V298" s="3" t="s">
        <v>2496</v>
      </c>
      <c r="W298" s="3" t="s">
        <v>2505</v>
      </c>
      <c r="X298" s="3" t="s">
        <v>2732</v>
      </c>
      <c r="Y298" s="3" t="n">
        <v>2</v>
      </c>
      <c r="Z298" s="3" t="n">
        <v>1</v>
      </c>
      <c r="AA298" s="3" t="n">
        <v>3</v>
      </c>
      <c r="AB298" s="3" t="n">
        <v>1</v>
      </c>
      <c r="AC298" s="3" t="n">
        <v>2</v>
      </c>
      <c r="AD298" s="3" t="n">
        <v>3</v>
      </c>
      <c r="AE298" s="3" t="s">
        <v>2577</v>
      </c>
      <c r="AF298" s="3" t="s">
        <v>847</v>
      </c>
      <c r="AG298" s="3"/>
      <c r="AH298" s="3"/>
      <c r="AI298" s="3" t="s">
        <v>2508</v>
      </c>
      <c r="AJ298" s="3" t="s">
        <v>59</v>
      </c>
      <c r="AK298" s="3"/>
      <c r="AL298" s="3"/>
      <c r="AM298" s="3" t="n">
        <v>3</v>
      </c>
      <c r="AN298" s="3"/>
      <c r="AO298" s="3"/>
      <c r="AP298" s="3" t="n">
        <v>5</v>
      </c>
      <c r="AQ298" s="3"/>
      <c r="AR298" s="3"/>
    </row>
    <row r="299" customFormat="false" ht="15" hidden="false" customHeight="true" outlineLevel="0" collapsed="false">
      <c r="A299" s="3" t="s">
        <v>2733</v>
      </c>
      <c r="B299" s="3" t="n">
        <v>4</v>
      </c>
      <c r="C299" s="3" t="n">
        <v>73</v>
      </c>
      <c r="D299" s="3"/>
      <c r="E299" s="4" t="n">
        <v>46289.4890871991</v>
      </c>
      <c r="F299" s="3" t="n">
        <v>23</v>
      </c>
      <c r="G299" s="3" t="str">
        <f aca="false">IF(F299="","",IF(F299&gt;=Notes!$B$5,"Elderly ("&amp;Notes!$B$5&amp;"+)",IF(F299&lt;=Notes!$B$4,"Student age (≤"&amp;Notes!$B$4&amp;")","Middle-aged ("&amp;(Notes!$B$4+1)&amp;"–"&amp;(Notes!$B$5-1)&amp;")")))</f>
        <v>Student age (≤29)</v>
      </c>
      <c r="H299" s="3" t="s">
        <v>83</v>
      </c>
      <c r="I299" s="3"/>
      <c r="J299" s="3" t="s">
        <v>437</v>
      </c>
      <c r="K299" s="3" t="s">
        <v>437</v>
      </c>
      <c r="L299" s="3" t="s">
        <v>49</v>
      </c>
      <c r="M299" s="3" t="s">
        <v>47</v>
      </c>
      <c r="N299" s="3" t="s">
        <v>50</v>
      </c>
      <c r="O299" s="3" t="s">
        <v>2734</v>
      </c>
      <c r="P299" s="3"/>
      <c r="Q299" s="3" t="s">
        <v>117</v>
      </c>
      <c r="R299" s="3" t="s">
        <v>2494</v>
      </c>
      <c r="S299" s="3" t="s">
        <v>2539</v>
      </c>
      <c r="T299" s="3" t="s">
        <v>2495</v>
      </c>
      <c r="U299" s="3" t="s">
        <v>59</v>
      </c>
      <c r="V299" s="3" t="s">
        <v>2617</v>
      </c>
      <c r="W299" s="3" t="s">
        <v>2497</v>
      </c>
      <c r="X299" s="3" t="s">
        <v>2735</v>
      </c>
      <c r="Y299" s="3" t="n">
        <v>3</v>
      </c>
      <c r="Z299" s="3" t="n">
        <v>1</v>
      </c>
      <c r="AA299" s="3" t="n">
        <v>2</v>
      </c>
      <c r="AB299" s="3" t="n">
        <v>2</v>
      </c>
      <c r="AC299" s="3" t="n">
        <v>1</v>
      </c>
      <c r="AD299" s="3" t="n">
        <v>3</v>
      </c>
      <c r="AE299" s="3" t="s">
        <v>2736</v>
      </c>
      <c r="AF299" s="3" t="s">
        <v>847</v>
      </c>
      <c r="AG299" s="3"/>
      <c r="AH299" s="3"/>
      <c r="AI299" s="3" t="s">
        <v>2508</v>
      </c>
      <c r="AJ299" s="3" t="s">
        <v>59</v>
      </c>
      <c r="AK299" s="3"/>
      <c r="AL299" s="3"/>
      <c r="AM299" s="3" t="n">
        <v>3</v>
      </c>
      <c r="AN299" s="3"/>
      <c r="AO299" s="3"/>
      <c r="AP299" s="3" t="n">
        <v>3</v>
      </c>
      <c r="AQ299" s="3"/>
      <c r="AR299" s="3"/>
    </row>
    <row r="300" customFormat="false" ht="15" hidden="false" customHeight="true" outlineLevel="0" collapsed="false">
      <c r="A300" s="3" t="s">
        <v>2737</v>
      </c>
      <c r="B300" s="3" t="n">
        <v>4</v>
      </c>
      <c r="C300" s="3" t="n">
        <v>74</v>
      </c>
      <c r="D300" s="3"/>
      <c r="E300" s="4" t="n">
        <v>46289.4891516551</v>
      </c>
      <c r="F300" s="3" t="n">
        <v>22</v>
      </c>
      <c r="G300" s="3" t="str">
        <f aca="false">IF(F300="","",IF(F300&gt;=Notes!$B$5,"Elderly ("&amp;Notes!$B$5&amp;"+)",IF(F300&lt;=Notes!$B$4,"Student age (≤"&amp;Notes!$B$4&amp;")","Middle-aged ("&amp;(Notes!$B$4+1)&amp;"–"&amp;(Notes!$B$5-1)&amp;")")))</f>
        <v>Student age (≤29)</v>
      </c>
      <c r="H300" s="3" t="s">
        <v>45</v>
      </c>
      <c r="I300" s="3"/>
      <c r="J300" s="3" t="s">
        <v>437</v>
      </c>
      <c r="K300" s="3" t="s">
        <v>437</v>
      </c>
      <c r="L300" s="3" t="s">
        <v>49</v>
      </c>
      <c r="M300" s="3" t="s">
        <v>47</v>
      </c>
      <c r="N300" s="3" t="s">
        <v>50</v>
      </c>
      <c r="O300" s="3" t="s">
        <v>2538</v>
      </c>
      <c r="P300" s="3"/>
      <c r="Q300" s="3" t="s">
        <v>95</v>
      </c>
      <c r="R300" s="3" t="s">
        <v>2540</v>
      </c>
      <c r="S300" s="3" t="s">
        <v>2540</v>
      </c>
      <c r="T300" s="3" t="s">
        <v>2495</v>
      </c>
      <c r="U300" s="3" t="s">
        <v>2242</v>
      </c>
      <c r="V300" s="3" t="s">
        <v>2738</v>
      </c>
      <c r="W300" s="3" t="s">
        <v>2546</v>
      </c>
      <c r="X300" s="3" t="s">
        <v>2739</v>
      </c>
      <c r="Y300" s="3" t="n">
        <v>2</v>
      </c>
      <c r="Z300" s="3" t="n">
        <v>1</v>
      </c>
      <c r="AA300" s="3" t="n">
        <v>3</v>
      </c>
      <c r="AB300" s="3" t="n">
        <v>2</v>
      </c>
      <c r="AC300" s="3" t="n">
        <v>1</v>
      </c>
      <c r="AD300" s="3" t="n">
        <v>3</v>
      </c>
      <c r="AE300" s="3" t="s">
        <v>2740</v>
      </c>
      <c r="AF300" s="3" t="s">
        <v>846</v>
      </c>
      <c r="AG300" s="3"/>
      <c r="AH300" s="3"/>
      <c r="AI300" s="3" t="s">
        <v>2519</v>
      </c>
      <c r="AJ300" s="3" t="s">
        <v>59</v>
      </c>
      <c r="AK300" s="3"/>
      <c r="AL300" s="3"/>
      <c r="AM300" s="3" t="n">
        <v>3</v>
      </c>
      <c r="AN300" s="3"/>
      <c r="AO300" s="3"/>
      <c r="AP300" s="3" t="n">
        <v>4</v>
      </c>
      <c r="AQ300" s="3"/>
      <c r="AR300" s="3"/>
    </row>
    <row r="301" customFormat="false" ht="15" hidden="false" customHeight="true" outlineLevel="0" collapsed="false">
      <c r="A301" s="3" t="s">
        <v>2741</v>
      </c>
      <c r="B301" s="3" t="n">
        <v>4</v>
      </c>
      <c r="C301" s="3" t="n">
        <v>75</v>
      </c>
      <c r="D301" s="3"/>
      <c r="E301" s="4" t="n">
        <v>46289.4921359838</v>
      </c>
      <c r="F301" s="3" t="n">
        <v>21</v>
      </c>
      <c r="G301" s="3" t="str">
        <f aca="false">IF(F301="","",IF(F301&gt;=Notes!$B$5,"Elderly ("&amp;Notes!$B$5&amp;"+)",IF(F301&lt;=Notes!$B$4,"Student age (≤"&amp;Notes!$B$4&amp;")","Middle-aged ("&amp;(Notes!$B$4+1)&amp;"–"&amp;(Notes!$B$5-1)&amp;")")))</f>
        <v>Student age (≤29)</v>
      </c>
      <c r="H301" s="3" t="s">
        <v>83</v>
      </c>
      <c r="I301" s="3"/>
      <c r="J301" s="3" t="s">
        <v>437</v>
      </c>
      <c r="K301" s="3" t="s">
        <v>437</v>
      </c>
      <c r="L301" s="3"/>
      <c r="M301" s="3" t="s">
        <v>453</v>
      </c>
      <c r="N301" s="3" t="s">
        <v>453</v>
      </c>
      <c r="O301" s="3" t="s">
        <v>2538</v>
      </c>
      <c r="P301" s="3"/>
      <c r="Q301" s="3" t="s">
        <v>95</v>
      </c>
      <c r="R301" s="3" t="s">
        <v>2494</v>
      </c>
      <c r="S301" s="3" t="s">
        <v>2524</v>
      </c>
      <c r="T301" s="3" t="s">
        <v>2544</v>
      </c>
      <c r="U301" s="3" t="s">
        <v>1690</v>
      </c>
      <c r="V301" s="3" t="s">
        <v>2504</v>
      </c>
      <c r="W301" s="3" t="s">
        <v>2497</v>
      </c>
      <c r="X301" s="3" t="s">
        <v>2742</v>
      </c>
      <c r="Y301" s="3" t="n">
        <v>3</v>
      </c>
      <c r="Z301" s="3" t="n">
        <v>2</v>
      </c>
      <c r="AA301" s="3" t="n">
        <v>1</v>
      </c>
      <c r="AB301" s="3" t="n">
        <v>3</v>
      </c>
      <c r="AC301" s="3" t="n">
        <v>2</v>
      </c>
      <c r="AD301" s="3" t="n">
        <v>1</v>
      </c>
      <c r="AE301" s="3" t="s">
        <v>2743</v>
      </c>
      <c r="AF301" s="3" t="s">
        <v>846</v>
      </c>
      <c r="AG301" s="3"/>
      <c r="AH301" s="3"/>
      <c r="AI301" s="3" t="s">
        <v>2608</v>
      </c>
      <c r="AJ301" s="3" t="s">
        <v>98</v>
      </c>
      <c r="AK301" s="3"/>
      <c r="AL301" s="3"/>
      <c r="AM301" s="3" t="n">
        <v>4</v>
      </c>
      <c r="AN301" s="3"/>
      <c r="AO301" s="3"/>
      <c r="AP301" s="3" t="n">
        <v>4</v>
      </c>
      <c r="AQ301" s="3"/>
      <c r="AR301" s="3"/>
    </row>
    <row r="302" customFormat="false" ht="15" hidden="false" customHeight="true" outlineLevel="0" collapsed="false">
      <c r="A302" s="3" t="s">
        <v>2744</v>
      </c>
      <c r="B302" s="3" t="n">
        <v>4</v>
      </c>
      <c r="C302" s="3" t="n">
        <v>76</v>
      </c>
      <c r="D302" s="3"/>
      <c r="E302" s="4" t="n">
        <v>46289.5063812153</v>
      </c>
      <c r="F302" s="3" t="n">
        <v>22</v>
      </c>
      <c r="G302" s="3" t="str">
        <f aca="false">IF(F302="","",IF(F302&gt;=Notes!$B$5,"Elderly ("&amp;Notes!$B$5&amp;"+)",IF(F302&lt;=Notes!$B$4,"Student age (≤"&amp;Notes!$B$4&amp;")","Middle-aged ("&amp;(Notes!$B$4+1)&amp;"–"&amp;(Notes!$B$5-1)&amp;")")))</f>
        <v>Student age (≤29)</v>
      </c>
      <c r="H302" s="3" t="s">
        <v>45</v>
      </c>
      <c r="I302" s="3" t="s">
        <v>159</v>
      </c>
      <c r="J302" s="3" t="s">
        <v>47</v>
      </c>
      <c r="K302" s="3" t="s">
        <v>160</v>
      </c>
      <c r="L302" s="3" t="s">
        <v>159</v>
      </c>
      <c r="M302" s="3" t="s">
        <v>47</v>
      </c>
      <c r="N302" s="3" t="s">
        <v>160</v>
      </c>
      <c r="O302" s="3" t="s">
        <v>2515</v>
      </c>
      <c r="P302" s="3"/>
      <c r="Q302" s="3" t="s">
        <v>117</v>
      </c>
      <c r="R302" s="3" t="s">
        <v>2539</v>
      </c>
      <c r="S302" s="3" t="s">
        <v>2539</v>
      </c>
      <c r="T302" s="3" t="s">
        <v>2495</v>
      </c>
      <c r="U302" s="3" t="s">
        <v>59</v>
      </c>
      <c r="V302" s="3" t="s">
        <v>2516</v>
      </c>
      <c r="W302" s="3" t="s">
        <v>2497</v>
      </c>
      <c r="X302" s="3" t="s">
        <v>2745</v>
      </c>
      <c r="Y302" s="3" t="n">
        <v>3</v>
      </c>
      <c r="Z302" s="3" t="n">
        <v>1</v>
      </c>
      <c r="AA302" s="3" t="n">
        <v>2</v>
      </c>
      <c r="AB302" s="3" t="n">
        <v>2</v>
      </c>
      <c r="AC302" s="3" t="n">
        <v>1</v>
      </c>
      <c r="AD302" s="3" t="n">
        <v>3</v>
      </c>
      <c r="AE302" s="3" t="s">
        <v>2746</v>
      </c>
      <c r="AF302" s="3" t="s">
        <v>846</v>
      </c>
      <c r="AG302" s="3"/>
      <c r="AH302" s="3"/>
      <c r="AI302" s="3" t="s">
        <v>2519</v>
      </c>
      <c r="AJ302" s="3" t="s">
        <v>59</v>
      </c>
      <c r="AK302" s="3"/>
      <c r="AL302" s="3"/>
      <c r="AM302" s="3" t="n">
        <v>5</v>
      </c>
      <c r="AN302" s="3"/>
      <c r="AO302" s="3"/>
      <c r="AP302" s="3" t="n">
        <v>5</v>
      </c>
      <c r="AQ302" s="3"/>
      <c r="AR302" s="3"/>
    </row>
    <row r="303" customFormat="false" ht="15" hidden="false" customHeight="true" outlineLevel="0" collapsed="false">
      <c r="A303" s="3" t="s">
        <v>2747</v>
      </c>
      <c r="B303" s="3" t="n">
        <v>4</v>
      </c>
      <c r="C303" s="3" t="n">
        <v>77</v>
      </c>
      <c r="D303" s="3"/>
      <c r="E303" s="4" t="n">
        <v>46289.516215</v>
      </c>
      <c r="F303" s="3" t="n">
        <v>23</v>
      </c>
      <c r="G303" s="3" t="str">
        <f aca="false">IF(F303="","",IF(F303&gt;=Notes!$B$5,"Elderly ("&amp;Notes!$B$5&amp;"+)",IF(F303&lt;=Notes!$B$4,"Student age (≤"&amp;Notes!$B$4&amp;")","Middle-aged ("&amp;(Notes!$B$4+1)&amp;"–"&amp;(Notes!$B$5-1)&amp;")")))</f>
        <v>Student age (≤29)</v>
      </c>
      <c r="H303" s="3" t="s">
        <v>83</v>
      </c>
      <c r="I303" s="3"/>
      <c r="J303" s="3" t="s">
        <v>437</v>
      </c>
      <c r="K303" s="3" t="s">
        <v>437</v>
      </c>
      <c r="L303" s="3"/>
      <c r="M303" s="3" t="s">
        <v>47</v>
      </c>
      <c r="N303" s="3" t="s">
        <v>47</v>
      </c>
      <c r="O303" s="3" t="s">
        <v>2515</v>
      </c>
      <c r="P303" s="3"/>
      <c r="Q303" s="3" t="s">
        <v>117</v>
      </c>
      <c r="R303" s="3" t="s">
        <v>2540</v>
      </c>
      <c r="S303" s="3" t="s">
        <v>2539</v>
      </c>
      <c r="T303" s="3" t="s">
        <v>2555</v>
      </c>
      <c r="U303" s="3" t="s">
        <v>59</v>
      </c>
      <c r="V303" s="3" t="s">
        <v>2511</v>
      </c>
      <c r="W303" s="3" t="s">
        <v>2497</v>
      </c>
      <c r="X303" s="3" t="s">
        <v>2748</v>
      </c>
      <c r="Y303" s="3" t="n">
        <v>3</v>
      </c>
      <c r="Z303" s="3" t="n">
        <v>1</v>
      </c>
      <c r="AA303" s="3" t="n">
        <v>2</v>
      </c>
      <c r="AB303" s="3" t="n">
        <v>3</v>
      </c>
      <c r="AC303" s="3" t="n">
        <v>1</v>
      </c>
      <c r="AD303" s="3" t="n">
        <v>2</v>
      </c>
      <c r="AE303" s="3" t="s">
        <v>2749</v>
      </c>
      <c r="AF303" s="3" t="s">
        <v>847</v>
      </c>
      <c r="AG303" s="3"/>
      <c r="AH303" s="3"/>
      <c r="AI303" s="3" t="s">
        <v>2628</v>
      </c>
      <c r="AJ303" s="3" t="s">
        <v>59</v>
      </c>
      <c r="AK303" s="3"/>
      <c r="AL303" s="3"/>
      <c r="AM303" s="3" t="n">
        <v>4</v>
      </c>
      <c r="AN303" s="3"/>
      <c r="AO303" s="3"/>
      <c r="AP303" s="3" t="n">
        <v>5</v>
      </c>
      <c r="AQ303" s="3"/>
      <c r="AR303" s="3"/>
    </row>
    <row r="304" customFormat="false" ht="15" hidden="false" customHeight="true" outlineLevel="0" collapsed="false">
      <c r="A304" s="3" t="s">
        <v>2750</v>
      </c>
      <c r="B304" s="3" t="n">
        <v>4</v>
      </c>
      <c r="C304" s="3" t="n">
        <v>78</v>
      </c>
      <c r="D304" s="3"/>
      <c r="E304" s="4" t="n">
        <v>46289.5167606713</v>
      </c>
      <c r="F304" s="3" t="n">
        <v>24</v>
      </c>
      <c r="G304" s="3" t="str">
        <f aca="false">IF(F304="","",IF(F304&gt;=Notes!$B$5,"Elderly ("&amp;Notes!$B$5&amp;"+)",IF(F304&lt;=Notes!$B$4,"Student age (≤"&amp;Notes!$B$4&amp;")","Middle-aged ("&amp;(Notes!$B$4+1)&amp;"–"&amp;(Notes!$B$5-1)&amp;")")))</f>
        <v>Student age (≤29)</v>
      </c>
      <c r="H304" s="3" t="s">
        <v>83</v>
      </c>
      <c r="I304" s="3"/>
      <c r="J304" s="3" t="s">
        <v>437</v>
      </c>
      <c r="K304" s="3" t="s">
        <v>437</v>
      </c>
      <c r="L304" s="3"/>
      <c r="M304" s="3" t="s">
        <v>437</v>
      </c>
      <c r="N304" s="3" t="s">
        <v>437</v>
      </c>
      <c r="O304" s="3" t="s">
        <v>2515</v>
      </c>
      <c r="P304" s="3"/>
      <c r="Q304" s="3" t="s">
        <v>117</v>
      </c>
      <c r="R304" s="3" t="s">
        <v>2523</v>
      </c>
      <c r="S304" s="3" t="s">
        <v>2539</v>
      </c>
      <c r="T304" s="3" t="s">
        <v>2751</v>
      </c>
      <c r="U304" s="3" t="s">
        <v>1690</v>
      </c>
      <c r="V304" s="3" t="s">
        <v>2496</v>
      </c>
      <c r="W304" s="3" t="s">
        <v>2497</v>
      </c>
      <c r="X304" s="3" t="s">
        <v>2752</v>
      </c>
      <c r="Y304" s="3" t="n">
        <v>3</v>
      </c>
      <c r="Z304" s="3" t="n">
        <v>2</v>
      </c>
      <c r="AA304" s="3" t="n">
        <v>1</v>
      </c>
      <c r="AB304" s="3" t="n">
        <v>3</v>
      </c>
      <c r="AC304" s="3" t="n">
        <v>2</v>
      </c>
      <c r="AD304" s="3" t="n">
        <v>1</v>
      </c>
      <c r="AE304" s="3" t="s">
        <v>2753</v>
      </c>
      <c r="AF304" s="3" t="s">
        <v>846</v>
      </c>
      <c r="AG304" s="3"/>
      <c r="AH304" s="3"/>
      <c r="AI304" s="3" t="s">
        <v>2508</v>
      </c>
      <c r="AJ304" s="3" t="s">
        <v>59</v>
      </c>
      <c r="AK304" s="3"/>
      <c r="AL304" s="3"/>
      <c r="AM304" s="3" t="n">
        <v>4</v>
      </c>
      <c r="AN304" s="3"/>
      <c r="AO304" s="3"/>
      <c r="AP304" s="3" t="n">
        <v>5</v>
      </c>
      <c r="AQ304" s="3"/>
      <c r="AR304" s="3"/>
    </row>
    <row r="305" customFormat="false" ht="15" hidden="false" customHeight="true" outlineLevel="0" collapsed="false">
      <c r="A305" s="3" t="s">
        <v>2754</v>
      </c>
      <c r="B305" s="3" t="n">
        <v>4</v>
      </c>
      <c r="C305" s="3" t="n">
        <v>79</v>
      </c>
      <c r="D305" s="3"/>
      <c r="E305" s="4" t="n">
        <v>46289.519487963</v>
      </c>
      <c r="F305" s="3" t="n">
        <v>23</v>
      </c>
      <c r="G305" s="3" t="str">
        <f aca="false">IF(F305="","",IF(F305&gt;=Notes!$B$5,"Elderly ("&amp;Notes!$B$5&amp;"+)",IF(F305&lt;=Notes!$B$4,"Student age (≤"&amp;Notes!$B$4&amp;")","Middle-aged ("&amp;(Notes!$B$4+1)&amp;"–"&amp;(Notes!$B$5-1)&amp;")")))</f>
        <v>Student age (≤29)</v>
      </c>
      <c r="H305" s="3" t="s">
        <v>45</v>
      </c>
      <c r="I305" s="3"/>
      <c r="J305" s="3" t="s">
        <v>437</v>
      </c>
      <c r="K305" s="3" t="s">
        <v>437</v>
      </c>
      <c r="L305" s="3" t="s">
        <v>159</v>
      </c>
      <c r="M305" s="3" t="s">
        <v>47</v>
      </c>
      <c r="N305" s="3" t="s">
        <v>160</v>
      </c>
      <c r="O305" s="3" t="s">
        <v>806</v>
      </c>
      <c r="P305" s="3"/>
      <c r="Q305" s="3" t="s">
        <v>117</v>
      </c>
      <c r="R305" s="3" t="s">
        <v>2510</v>
      </c>
      <c r="S305" s="3" t="s">
        <v>2510</v>
      </c>
      <c r="T305" s="3" t="s">
        <v>2582</v>
      </c>
      <c r="U305" s="3" t="s">
        <v>1690</v>
      </c>
      <c r="V305" s="3" t="s">
        <v>2641</v>
      </c>
      <c r="W305" s="3" t="s">
        <v>2497</v>
      </c>
      <c r="X305" s="3" t="s">
        <v>2755</v>
      </c>
      <c r="Y305" s="3" t="n">
        <v>2</v>
      </c>
      <c r="Z305" s="3" t="n">
        <v>1</v>
      </c>
      <c r="AA305" s="3" t="n">
        <v>3</v>
      </c>
      <c r="AB305" s="3" t="n">
        <v>3</v>
      </c>
      <c r="AC305" s="3" t="n">
        <v>1</v>
      </c>
      <c r="AD305" s="3" t="n">
        <v>2</v>
      </c>
      <c r="AE305" s="3" t="s">
        <v>2756</v>
      </c>
      <c r="AF305" s="3" t="s">
        <v>847</v>
      </c>
      <c r="AG305" s="3"/>
      <c r="AH305" s="3"/>
      <c r="AI305" s="3" t="s">
        <v>2628</v>
      </c>
      <c r="AJ305" s="3" t="s">
        <v>59</v>
      </c>
      <c r="AK305" s="3"/>
      <c r="AL305" s="3"/>
      <c r="AM305" s="3" t="n">
        <v>4</v>
      </c>
      <c r="AN305" s="3"/>
      <c r="AO305" s="3"/>
      <c r="AP305" s="3" t="n">
        <v>5</v>
      </c>
      <c r="AQ305" s="3"/>
      <c r="AR305" s="3"/>
    </row>
    <row r="306" customFormat="false" ht="15" hidden="false" customHeight="true" outlineLevel="0" collapsed="false">
      <c r="A306" s="3" t="s">
        <v>2757</v>
      </c>
      <c r="B306" s="3" t="n">
        <v>4</v>
      </c>
      <c r="C306" s="3" t="n">
        <v>80</v>
      </c>
      <c r="D306" s="3"/>
      <c r="E306" s="4" t="n">
        <v>46289.5364919792</v>
      </c>
      <c r="F306" s="3" t="n">
        <v>27</v>
      </c>
      <c r="G306" s="3" t="str">
        <f aca="false">IF(F306="","",IF(F306&gt;=Notes!$B$5,"Elderly ("&amp;Notes!$B$5&amp;"+)",IF(F306&lt;=Notes!$B$4,"Student age (≤"&amp;Notes!$B$4&amp;")","Middle-aged ("&amp;(Notes!$B$4+1)&amp;"–"&amp;(Notes!$B$5-1)&amp;")")))</f>
        <v>Student age (≤29)</v>
      </c>
      <c r="H306" s="3" t="s">
        <v>83</v>
      </c>
      <c r="I306" s="3"/>
      <c r="J306" s="3" t="s">
        <v>437</v>
      </c>
      <c r="K306" s="3" t="s">
        <v>437</v>
      </c>
      <c r="L306" s="3"/>
      <c r="M306" s="3" t="s">
        <v>453</v>
      </c>
      <c r="N306" s="3" t="s">
        <v>453</v>
      </c>
      <c r="O306" s="3" t="s">
        <v>2538</v>
      </c>
      <c r="P306" s="3"/>
      <c r="Q306" s="3" t="s">
        <v>95</v>
      </c>
      <c r="R306" s="3" t="s">
        <v>2510</v>
      </c>
      <c r="S306" s="3" t="s">
        <v>2524</v>
      </c>
      <c r="T306" s="3" t="s">
        <v>2582</v>
      </c>
      <c r="U306" s="3" t="s">
        <v>59</v>
      </c>
      <c r="V306" s="3" t="s">
        <v>2683</v>
      </c>
      <c r="W306" s="3" t="s">
        <v>2546</v>
      </c>
      <c r="X306" s="3" t="s">
        <v>2758</v>
      </c>
      <c r="Y306" s="3" t="n">
        <v>1</v>
      </c>
      <c r="Z306" s="3" t="n">
        <v>2</v>
      </c>
      <c r="AA306" s="3" t="n">
        <v>3</v>
      </c>
      <c r="AB306" s="3" t="n">
        <v>1</v>
      </c>
      <c r="AC306" s="3" t="n">
        <v>3</v>
      </c>
      <c r="AD306" s="3" t="n">
        <v>2</v>
      </c>
      <c r="AE306" s="3" t="s">
        <v>2759</v>
      </c>
      <c r="AF306" s="3" t="s">
        <v>860</v>
      </c>
      <c r="AG306" s="3"/>
      <c r="AH306" s="3"/>
      <c r="AI306" s="3" t="s">
        <v>2628</v>
      </c>
      <c r="AJ306" s="3" t="s">
        <v>59</v>
      </c>
      <c r="AK306" s="3"/>
      <c r="AL306" s="3"/>
      <c r="AM306" s="3" t="n">
        <v>5</v>
      </c>
      <c r="AN306" s="3"/>
      <c r="AO306" s="3"/>
      <c r="AP306" s="3" t="n">
        <v>5</v>
      </c>
      <c r="AQ306" s="3"/>
      <c r="AR306" s="3"/>
    </row>
    <row r="307" customFormat="false" ht="15" hidden="false" customHeight="true" outlineLevel="0" collapsed="false">
      <c r="A307" s="3" t="s">
        <v>2760</v>
      </c>
      <c r="B307" s="3" t="n">
        <v>4</v>
      </c>
      <c r="C307" s="3" t="n">
        <v>81</v>
      </c>
      <c r="D307" s="3"/>
      <c r="E307" s="4" t="n">
        <v>46289.5498174769</v>
      </c>
      <c r="F307" s="3" t="n">
        <v>22</v>
      </c>
      <c r="G307" s="3" t="str">
        <f aca="false">IF(F307="","",IF(F307&gt;=Notes!$B$5,"Elderly ("&amp;Notes!$B$5&amp;"+)",IF(F307&lt;=Notes!$B$4,"Student age (≤"&amp;Notes!$B$4&amp;")","Middle-aged ("&amp;(Notes!$B$4+1)&amp;"–"&amp;(Notes!$B$5-1)&amp;")")))</f>
        <v>Student age (≤29)</v>
      </c>
      <c r="H307" s="3" t="s">
        <v>83</v>
      </c>
      <c r="I307" s="3"/>
      <c r="J307" s="3" t="s">
        <v>437</v>
      </c>
      <c r="K307" s="3" t="s">
        <v>437</v>
      </c>
      <c r="L307" s="3"/>
      <c r="M307" s="3" t="s">
        <v>437</v>
      </c>
      <c r="N307" s="3" t="s">
        <v>437</v>
      </c>
      <c r="O307" s="3" t="s">
        <v>2614</v>
      </c>
      <c r="P307" s="3"/>
      <c r="Q307" s="3" t="s">
        <v>117</v>
      </c>
      <c r="R307" s="3" t="s">
        <v>2540</v>
      </c>
      <c r="S307" s="3" t="s">
        <v>2493</v>
      </c>
      <c r="T307" s="3" t="s">
        <v>2555</v>
      </c>
      <c r="U307" s="3" t="s">
        <v>1690</v>
      </c>
      <c r="V307" s="3" t="s">
        <v>2529</v>
      </c>
      <c r="W307" s="3" t="s">
        <v>2505</v>
      </c>
      <c r="X307" s="3" t="s">
        <v>2761</v>
      </c>
      <c r="Y307" s="3" t="n">
        <v>1</v>
      </c>
      <c r="Z307" s="3" t="n">
        <v>3</v>
      </c>
      <c r="AA307" s="3" t="n">
        <v>2</v>
      </c>
      <c r="AB307" s="3" t="n">
        <v>3</v>
      </c>
      <c r="AC307" s="3" t="n">
        <v>1</v>
      </c>
      <c r="AD307" s="3" t="n">
        <v>2</v>
      </c>
      <c r="AE307" s="3" t="s">
        <v>2698</v>
      </c>
      <c r="AF307" s="3" t="s">
        <v>846</v>
      </c>
      <c r="AG307" s="3"/>
      <c r="AH307" s="3"/>
      <c r="AI307" s="3" t="s">
        <v>2608</v>
      </c>
      <c r="AJ307" s="3" t="s">
        <v>59</v>
      </c>
      <c r="AK307" s="3"/>
      <c r="AL307" s="3"/>
      <c r="AM307" s="3" t="n">
        <v>4</v>
      </c>
      <c r="AN307" s="3"/>
      <c r="AO307" s="3"/>
      <c r="AP307" s="3" t="n">
        <v>5</v>
      </c>
      <c r="AQ307" s="3"/>
      <c r="AR307" s="3"/>
    </row>
    <row r="308" customFormat="false" ht="15" hidden="false" customHeight="true" outlineLevel="0" collapsed="false">
      <c r="A308" s="3" t="s">
        <v>2762</v>
      </c>
      <c r="B308" s="3" t="n">
        <v>4</v>
      </c>
      <c r="C308" s="3" t="n">
        <v>82</v>
      </c>
      <c r="D308" s="3"/>
      <c r="E308" s="4" t="n">
        <v>46289.5775064005</v>
      </c>
      <c r="F308" s="3" t="n">
        <v>22</v>
      </c>
      <c r="G308" s="3" t="str">
        <f aca="false">IF(F308="","",IF(F308&gt;=Notes!$B$5,"Elderly ("&amp;Notes!$B$5&amp;"+)",IF(F308&lt;=Notes!$B$4,"Student age (≤"&amp;Notes!$B$4&amp;")","Middle-aged ("&amp;(Notes!$B$4+1)&amp;"–"&amp;(Notes!$B$5-1)&amp;")")))</f>
        <v>Student age (≤29)</v>
      </c>
      <c r="H308" s="3" t="s">
        <v>45</v>
      </c>
      <c r="I308" s="3"/>
      <c r="J308" s="3" t="s">
        <v>437</v>
      </c>
      <c r="K308" s="3" t="s">
        <v>437</v>
      </c>
      <c r="L308" s="3" t="s">
        <v>49</v>
      </c>
      <c r="M308" s="3" t="s">
        <v>47</v>
      </c>
      <c r="N308" s="3" t="s">
        <v>50</v>
      </c>
      <c r="O308" s="3" t="s">
        <v>2538</v>
      </c>
      <c r="P308" s="3"/>
      <c r="Q308" s="3" t="s">
        <v>74</v>
      </c>
      <c r="R308" s="3" t="s">
        <v>2503</v>
      </c>
      <c r="S308" s="3" t="s">
        <v>2540</v>
      </c>
      <c r="T308" s="3" t="s">
        <v>2544</v>
      </c>
      <c r="U308" s="3" t="s">
        <v>1690</v>
      </c>
      <c r="V308" s="3" t="s">
        <v>2610</v>
      </c>
      <c r="W308" s="3" t="s">
        <v>2497</v>
      </c>
      <c r="X308" s="3"/>
      <c r="Y308" s="3"/>
      <c r="Z308" s="3"/>
      <c r="AA308" s="3"/>
      <c r="AB308" s="3"/>
      <c r="AC308" s="3"/>
      <c r="AD308" s="3"/>
      <c r="AE308" s="3"/>
      <c r="AF308" s="3"/>
      <c r="AG308" s="3"/>
      <c r="AH308" s="3"/>
      <c r="AI308" s="3"/>
      <c r="AJ308" s="3"/>
      <c r="AK308" s="3"/>
      <c r="AL308" s="3"/>
      <c r="AM308" s="3"/>
      <c r="AN308" s="3"/>
      <c r="AO308" s="3"/>
      <c r="AP308" s="3"/>
      <c r="AQ308" s="3"/>
      <c r="AR308" s="3" t="s">
        <v>2565</v>
      </c>
    </row>
    <row r="309" customFormat="false" ht="15" hidden="false" customHeight="true" outlineLevel="0" collapsed="false">
      <c r="A309" s="3" t="s">
        <v>2763</v>
      </c>
      <c r="B309" s="3" t="n">
        <v>4</v>
      </c>
      <c r="C309" s="3" t="n">
        <v>83</v>
      </c>
      <c r="D309" s="3"/>
      <c r="E309" s="4" t="n">
        <v>46289.5888099884</v>
      </c>
      <c r="F309" s="3" t="n">
        <v>22</v>
      </c>
      <c r="G309" s="3" t="str">
        <f aca="false">IF(F309="","",IF(F309&gt;=Notes!$B$5,"Elderly ("&amp;Notes!$B$5&amp;"+)",IF(F309&lt;=Notes!$B$4,"Student age (≤"&amp;Notes!$B$4&amp;")","Middle-aged ("&amp;(Notes!$B$4+1)&amp;"–"&amp;(Notes!$B$5-1)&amp;")")))</f>
        <v>Student age (≤29)</v>
      </c>
      <c r="H309" s="3" t="s">
        <v>45</v>
      </c>
      <c r="I309" s="3" t="s">
        <v>92</v>
      </c>
      <c r="J309" s="3" t="s">
        <v>47</v>
      </c>
      <c r="K309" s="3" t="s">
        <v>93</v>
      </c>
      <c r="L309" s="3" t="s">
        <v>92</v>
      </c>
      <c r="M309" s="3" t="s">
        <v>47</v>
      </c>
      <c r="N309" s="3" t="s">
        <v>93</v>
      </c>
      <c r="O309" s="3" t="s">
        <v>2538</v>
      </c>
      <c r="P309" s="3"/>
      <c r="Q309" s="3" t="s">
        <v>95</v>
      </c>
      <c r="R309" s="3" t="s">
        <v>2523</v>
      </c>
      <c r="S309" s="3" t="s">
        <v>2539</v>
      </c>
      <c r="T309" s="3" t="s">
        <v>2533</v>
      </c>
      <c r="U309" s="3" t="s">
        <v>59</v>
      </c>
      <c r="V309" s="3" t="s">
        <v>2496</v>
      </c>
      <c r="W309" s="3" t="s">
        <v>2546</v>
      </c>
      <c r="X309" s="3" t="s">
        <v>2764</v>
      </c>
      <c r="Y309" s="3"/>
      <c r="Z309" s="3"/>
      <c r="AA309" s="3" t="n">
        <v>3</v>
      </c>
      <c r="AB309" s="3" t="n">
        <v>1</v>
      </c>
      <c r="AC309" s="3" t="n">
        <v>2</v>
      </c>
      <c r="AD309" s="3" t="n">
        <v>3</v>
      </c>
      <c r="AE309" s="3" t="s">
        <v>2765</v>
      </c>
      <c r="AF309" s="3" t="s">
        <v>860</v>
      </c>
      <c r="AG309" s="3"/>
      <c r="AH309" s="3"/>
      <c r="AI309" s="3" t="s">
        <v>2508</v>
      </c>
      <c r="AJ309" s="3" t="s">
        <v>59</v>
      </c>
      <c r="AK309" s="3"/>
      <c r="AL309" s="3"/>
      <c r="AM309" s="3" t="n">
        <v>4</v>
      </c>
      <c r="AN309" s="3"/>
      <c r="AO309" s="3"/>
      <c r="AP309" s="3" t="n">
        <v>4</v>
      </c>
      <c r="AQ309" s="3"/>
      <c r="AR309" s="3" t="s">
        <v>2766</v>
      </c>
    </row>
    <row r="310" customFormat="false" ht="15" hidden="false" customHeight="true" outlineLevel="0" collapsed="false">
      <c r="A310" s="3" t="s">
        <v>2767</v>
      </c>
      <c r="B310" s="3" t="n">
        <v>4</v>
      </c>
      <c r="C310" s="3" t="n">
        <v>84</v>
      </c>
      <c r="D310" s="3"/>
      <c r="E310" s="4" t="n">
        <v>46289.6407066204</v>
      </c>
      <c r="F310" s="3" t="n">
        <v>24</v>
      </c>
      <c r="G310" s="3" t="str">
        <f aca="false">IF(F310="","",IF(F310&gt;=Notes!$B$5,"Elderly ("&amp;Notes!$B$5&amp;"+)",IF(F310&lt;=Notes!$B$4,"Student age (≤"&amp;Notes!$B$4&amp;")","Middle-aged ("&amp;(Notes!$B$4+1)&amp;"–"&amp;(Notes!$B$5-1)&amp;")")))</f>
        <v>Student age (≤29)</v>
      </c>
      <c r="H310" s="3" t="s">
        <v>83</v>
      </c>
      <c r="I310" s="3"/>
      <c r="J310" s="3" t="s">
        <v>437</v>
      </c>
      <c r="K310" s="3" t="s">
        <v>437</v>
      </c>
      <c r="L310" s="3"/>
      <c r="M310" s="3" t="s">
        <v>47</v>
      </c>
      <c r="N310" s="3" t="s">
        <v>47</v>
      </c>
      <c r="O310" s="3" t="s">
        <v>2538</v>
      </c>
      <c r="P310" s="3"/>
      <c r="Q310" s="3" t="s">
        <v>95</v>
      </c>
      <c r="R310" s="3" t="s">
        <v>2524</v>
      </c>
      <c r="S310" s="3" t="s">
        <v>2524</v>
      </c>
      <c r="T310" s="3" t="s">
        <v>2544</v>
      </c>
      <c r="U310" s="3" t="s">
        <v>1690</v>
      </c>
      <c r="V310" s="3" t="s">
        <v>2504</v>
      </c>
      <c r="W310" s="3" t="s">
        <v>2546</v>
      </c>
      <c r="X310" s="3" t="s">
        <v>2630</v>
      </c>
      <c r="Y310" s="3" t="n">
        <v>3</v>
      </c>
      <c r="Z310" s="3" t="n">
        <v>1</v>
      </c>
      <c r="AA310" s="3" t="n">
        <v>2</v>
      </c>
      <c r="AB310" s="3" t="n">
        <v>3</v>
      </c>
      <c r="AC310" s="3" t="n">
        <v>1</v>
      </c>
      <c r="AD310" s="3" t="n">
        <v>2</v>
      </c>
      <c r="AE310" s="3" t="s">
        <v>2631</v>
      </c>
      <c r="AF310" s="3" t="s">
        <v>847</v>
      </c>
      <c r="AG310" s="3"/>
      <c r="AH310" s="3"/>
      <c r="AI310" s="3" t="s">
        <v>2508</v>
      </c>
      <c r="AJ310" s="3" t="s">
        <v>59</v>
      </c>
      <c r="AK310" s="3"/>
      <c r="AL310" s="3"/>
      <c r="AM310" s="3" t="n">
        <v>4</v>
      </c>
      <c r="AN310" s="3"/>
      <c r="AO310" s="3"/>
      <c r="AP310" s="3" t="n">
        <v>5</v>
      </c>
      <c r="AQ310" s="3"/>
      <c r="AR310" s="3"/>
    </row>
    <row r="311" customFormat="false" ht="15" hidden="false" customHeight="true" outlineLevel="0" collapsed="false">
      <c r="A311" s="3" t="s">
        <v>2768</v>
      </c>
      <c r="B311" s="3" t="n">
        <v>4</v>
      </c>
      <c r="C311" s="3" t="n">
        <v>85</v>
      </c>
      <c r="D311" s="3"/>
      <c r="E311" s="4" t="n">
        <v>46289.7151608218</v>
      </c>
      <c r="F311" s="3" t="n">
        <v>21</v>
      </c>
      <c r="G311" s="3" t="str">
        <f aca="false">IF(F311="","",IF(F311&gt;=Notes!$B$5,"Elderly ("&amp;Notes!$B$5&amp;"+)",IF(F311&lt;=Notes!$B$4,"Student age (≤"&amp;Notes!$B$4&amp;")","Middle-aged ("&amp;(Notes!$B$4+1)&amp;"–"&amp;(Notes!$B$5-1)&amp;")")))</f>
        <v>Student age (≤29)</v>
      </c>
      <c r="H311" s="3" t="s">
        <v>45</v>
      </c>
      <c r="I311" s="3"/>
      <c r="J311" s="3" t="s">
        <v>437</v>
      </c>
      <c r="K311" s="3" t="s">
        <v>437</v>
      </c>
      <c r="L311" s="3"/>
      <c r="M311" s="3" t="s">
        <v>47</v>
      </c>
      <c r="N311" s="3" t="s">
        <v>47</v>
      </c>
      <c r="O311" s="3" t="s">
        <v>2515</v>
      </c>
      <c r="P311" s="3"/>
      <c r="Q311" s="3" t="s">
        <v>74</v>
      </c>
      <c r="R311" s="3" t="s">
        <v>2494</v>
      </c>
      <c r="S311" s="3" t="s">
        <v>2539</v>
      </c>
      <c r="T311" s="3" t="s">
        <v>2582</v>
      </c>
      <c r="U311" s="3" t="s">
        <v>59</v>
      </c>
      <c r="V311" s="3" t="s">
        <v>2516</v>
      </c>
      <c r="W311" s="3" t="s">
        <v>2551</v>
      </c>
      <c r="X311" s="3" t="s">
        <v>2769</v>
      </c>
      <c r="Y311" s="3"/>
      <c r="Z311" s="3"/>
      <c r="AA311" s="3" t="n">
        <v>2</v>
      </c>
      <c r="AB311" s="3" t="n">
        <v>3</v>
      </c>
      <c r="AC311" s="3" t="n">
        <v>1</v>
      </c>
      <c r="AD311" s="3" t="n">
        <v>2</v>
      </c>
      <c r="AE311" s="3" t="s">
        <v>2770</v>
      </c>
      <c r="AF311" s="3" t="s">
        <v>847</v>
      </c>
      <c r="AG311" s="3"/>
      <c r="AH311" s="3"/>
      <c r="AI311" s="3" t="s">
        <v>2549</v>
      </c>
      <c r="AJ311" s="3" t="s">
        <v>59</v>
      </c>
      <c r="AK311" s="3"/>
      <c r="AL311" s="3"/>
      <c r="AM311" s="3" t="n">
        <v>4</v>
      </c>
      <c r="AN311" s="3"/>
      <c r="AO311" s="3"/>
      <c r="AP311" s="3" t="n">
        <v>5</v>
      </c>
      <c r="AQ311" s="3"/>
      <c r="AR311" s="3" t="s">
        <v>2766</v>
      </c>
    </row>
    <row r="312" customFormat="false" ht="15" hidden="false" customHeight="true" outlineLevel="0" collapsed="false">
      <c r="A312" s="3" t="s">
        <v>2771</v>
      </c>
      <c r="B312" s="3" t="n">
        <v>4</v>
      </c>
      <c r="C312" s="3" t="n">
        <v>86</v>
      </c>
      <c r="D312" s="3"/>
      <c r="E312" s="4" t="n">
        <v>46289.7926942245</v>
      </c>
      <c r="F312" s="3" t="n">
        <v>22</v>
      </c>
      <c r="G312" s="3" t="str">
        <f aca="false">IF(F312="","",IF(F312&gt;=Notes!$B$5,"Elderly ("&amp;Notes!$B$5&amp;"+)",IF(F312&lt;=Notes!$B$4,"Student age (≤"&amp;Notes!$B$4&amp;")","Middle-aged ("&amp;(Notes!$B$4+1)&amp;"–"&amp;(Notes!$B$5-1)&amp;")")))</f>
        <v>Student age (≤29)</v>
      </c>
      <c r="H312" s="3" t="s">
        <v>45</v>
      </c>
      <c r="I312" s="3"/>
      <c r="J312" s="3" t="s">
        <v>437</v>
      </c>
      <c r="K312" s="3" t="s">
        <v>437</v>
      </c>
      <c r="L312" s="3" t="s">
        <v>61</v>
      </c>
      <c r="M312" s="3" t="s">
        <v>47</v>
      </c>
      <c r="N312" s="3" t="s">
        <v>62</v>
      </c>
      <c r="O312" s="3" t="s">
        <v>806</v>
      </c>
      <c r="P312" s="3"/>
      <c r="Q312" s="3" t="s">
        <v>95</v>
      </c>
      <c r="R312" s="3" t="s">
        <v>2523</v>
      </c>
      <c r="S312" s="3" t="s">
        <v>2524</v>
      </c>
      <c r="T312" s="3" t="s">
        <v>2495</v>
      </c>
      <c r="U312" s="3" t="s">
        <v>59</v>
      </c>
      <c r="V312" s="3" t="s">
        <v>2496</v>
      </c>
      <c r="W312" s="3" t="s">
        <v>2546</v>
      </c>
      <c r="X312" s="3" t="s">
        <v>2772</v>
      </c>
      <c r="Y312" s="3" t="n">
        <v>2</v>
      </c>
      <c r="Z312" s="3" t="n">
        <v>1</v>
      </c>
      <c r="AA312" s="3" t="n">
        <v>3</v>
      </c>
      <c r="AB312" s="3" t="n">
        <v>2</v>
      </c>
      <c r="AC312" s="3" t="n">
        <v>1</v>
      </c>
      <c r="AD312" s="3" t="n">
        <v>3</v>
      </c>
      <c r="AE312" s="3" t="s">
        <v>2773</v>
      </c>
      <c r="AF312" s="3" t="s">
        <v>847</v>
      </c>
      <c r="AG312" s="3"/>
      <c r="AH312" s="3"/>
      <c r="AI312" s="3" t="s">
        <v>2508</v>
      </c>
      <c r="AJ312" s="3" t="s">
        <v>59</v>
      </c>
      <c r="AK312" s="3"/>
      <c r="AL312" s="3"/>
      <c r="AM312" s="3" t="n">
        <v>4</v>
      </c>
      <c r="AN312" s="3"/>
      <c r="AO312" s="3"/>
      <c r="AP312" s="3" t="n">
        <v>5</v>
      </c>
      <c r="AQ312" s="3"/>
      <c r="AR312" s="3"/>
    </row>
    <row r="313" customFormat="false" ht="15" hidden="false" customHeight="true" outlineLevel="0" collapsed="false">
      <c r="A313" s="3" t="s">
        <v>2774</v>
      </c>
      <c r="B313" s="3" t="n">
        <v>4</v>
      </c>
      <c r="C313" s="3" t="n">
        <v>87</v>
      </c>
      <c r="D313" s="3"/>
      <c r="E313" s="4" t="n">
        <v>46289.7953752199</v>
      </c>
      <c r="F313" s="3" t="n">
        <v>22</v>
      </c>
      <c r="G313" s="3" t="str">
        <f aca="false">IF(F313="","",IF(F313&gt;=Notes!$B$5,"Elderly ("&amp;Notes!$B$5&amp;"+)",IF(F313&lt;=Notes!$B$4,"Student age (≤"&amp;Notes!$B$4&amp;")","Middle-aged ("&amp;(Notes!$B$4+1)&amp;"–"&amp;(Notes!$B$5-1)&amp;")")))</f>
        <v>Student age (≤29)</v>
      </c>
      <c r="H313" s="3" t="s">
        <v>83</v>
      </c>
      <c r="I313" s="3"/>
      <c r="J313" s="3" t="s">
        <v>437</v>
      </c>
      <c r="K313" s="3" t="s">
        <v>437</v>
      </c>
      <c r="L313" s="3" t="s">
        <v>49</v>
      </c>
      <c r="M313" s="3" t="s">
        <v>47</v>
      </c>
      <c r="N313" s="3" t="s">
        <v>50</v>
      </c>
      <c r="O313" s="3" t="s">
        <v>2538</v>
      </c>
      <c r="P313" s="3"/>
      <c r="Q313" s="3" t="s">
        <v>52</v>
      </c>
      <c r="R313" s="3" t="s">
        <v>2539</v>
      </c>
      <c r="S313" s="3" t="s">
        <v>2539</v>
      </c>
      <c r="T313" s="3" t="s">
        <v>2582</v>
      </c>
      <c r="U313" s="3" t="s">
        <v>59</v>
      </c>
      <c r="V313" s="3" t="s">
        <v>2504</v>
      </c>
      <c r="W313" s="3" t="s">
        <v>2497</v>
      </c>
      <c r="X313" s="3" t="s">
        <v>2775</v>
      </c>
      <c r="Y313" s="3" t="n">
        <v>2</v>
      </c>
      <c r="Z313" s="3" t="n">
        <v>3</v>
      </c>
      <c r="AA313" s="3" t="n">
        <v>1</v>
      </c>
      <c r="AB313" s="3" t="n">
        <v>2</v>
      </c>
      <c r="AC313" s="3" t="n">
        <v>1</v>
      </c>
      <c r="AD313" s="3" t="n">
        <v>3</v>
      </c>
      <c r="AE313" s="3" t="s">
        <v>2692</v>
      </c>
      <c r="AF313" s="3" t="s">
        <v>846</v>
      </c>
      <c r="AG313" s="3"/>
      <c r="AH313" s="3"/>
      <c r="AI313" s="3" t="s">
        <v>2508</v>
      </c>
      <c r="AJ313" s="3" t="s">
        <v>59</v>
      </c>
      <c r="AK313" s="3"/>
      <c r="AL313" s="3"/>
      <c r="AM313" s="3" t="n">
        <v>5</v>
      </c>
      <c r="AN313" s="3"/>
      <c r="AO313" s="3"/>
      <c r="AP313" s="3" t="n">
        <v>5</v>
      </c>
      <c r="AQ313" s="3"/>
      <c r="AR313" s="3"/>
    </row>
    <row r="314" customFormat="false" ht="15" hidden="false" customHeight="true" outlineLevel="0" collapsed="false">
      <c r="A314" s="3" t="s">
        <v>2776</v>
      </c>
      <c r="B314" s="3" t="n">
        <v>4</v>
      </c>
      <c r="C314" s="3" t="n">
        <v>88</v>
      </c>
      <c r="D314" s="3"/>
      <c r="E314" s="4" t="n">
        <v>46289.798158831</v>
      </c>
      <c r="F314" s="3" t="n">
        <v>23</v>
      </c>
      <c r="G314" s="3" t="str">
        <f aca="false">IF(F314="","",IF(F314&gt;=Notes!$B$5,"Elderly ("&amp;Notes!$B$5&amp;"+)",IF(F314&lt;=Notes!$B$4,"Student age (≤"&amp;Notes!$B$4&amp;")","Middle-aged ("&amp;(Notes!$B$4+1)&amp;"–"&amp;(Notes!$B$5-1)&amp;")")))</f>
        <v>Student age (≤29)</v>
      </c>
      <c r="H314" s="3" t="s">
        <v>45</v>
      </c>
      <c r="I314" s="3"/>
      <c r="J314" s="3" t="s">
        <v>437</v>
      </c>
      <c r="K314" s="3" t="s">
        <v>437</v>
      </c>
      <c r="L314" s="3" t="s">
        <v>825</v>
      </c>
      <c r="M314" s="3" t="s">
        <v>47</v>
      </c>
      <c r="N314" s="3" t="s">
        <v>826</v>
      </c>
      <c r="O314" s="3" t="s">
        <v>2538</v>
      </c>
      <c r="P314" s="3"/>
      <c r="Q314" s="3" t="s">
        <v>52</v>
      </c>
      <c r="R314" s="3" t="s">
        <v>2540</v>
      </c>
      <c r="S314" s="3" t="s">
        <v>2493</v>
      </c>
      <c r="T314" s="3" t="s">
        <v>2544</v>
      </c>
      <c r="U314" s="3" t="s">
        <v>59</v>
      </c>
      <c r="V314" s="3" t="s">
        <v>2777</v>
      </c>
      <c r="W314" s="3" t="s">
        <v>2505</v>
      </c>
      <c r="X314" s="3" t="s">
        <v>2778</v>
      </c>
      <c r="Y314" s="3"/>
      <c r="Z314" s="3"/>
      <c r="AA314" s="3"/>
      <c r="AB314" s="3"/>
      <c r="AC314" s="3"/>
      <c r="AD314" s="3"/>
      <c r="AE314" s="3" t="s">
        <v>2779</v>
      </c>
      <c r="AF314" s="3" t="s">
        <v>847</v>
      </c>
      <c r="AG314" s="3"/>
      <c r="AH314" s="3"/>
      <c r="AI314" s="3" t="s">
        <v>2628</v>
      </c>
      <c r="AJ314" s="3" t="s">
        <v>98</v>
      </c>
      <c r="AK314" s="3"/>
      <c r="AL314" s="3"/>
      <c r="AM314" s="3" t="n">
        <v>3</v>
      </c>
      <c r="AN314" s="3"/>
      <c r="AO314" s="3"/>
      <c r="AP314" s="3" t="n">
        <v>1</v>
      </c>
      <c r="AQ314" s="3"/>
      <c r="AR314" s="3" t="s">
        <v>2565</v>
      </c>
    </row>
    <row r="315" customFormat="false" ht="15" hidden="false" customHeight="true" outlineLevel="0" collapsed="false">
      <c r="A315" s="3" t="s">
        <v>2780</v>
      </c>
      <c r="B315" s="3" t="n">
        <v>4</v>
      </c>
      <c r="C315" s="3" t="n">
        <v>89</v>
      </c>
      <c r="D315" s="3"/>
      <c r="E315" s="4" t="n">
        <v>46289.7998443634</v>
      </c>
      <c r="F315" s="3" t="n">
        <v>21</v>
      </c>
      <c r="G315" s="3" t="str">
        <f aca="false">IF(F315="","",IF(F315&gt;=Notes!$B$5,"Elderly ("&amp;Notes!$B$5&amp;"+)",IF(F315&lt;=Notes!$B$4,"Student age (≤"&amp;Notes!$B$4&amp;")","Middle-aged ("&amp;(Notes!$B$4+1)&amp;"–"&amp;(Notes!$B$5-1)&amp;")")))</f>
        <v>Student age (≤29)</v>
      </c>
      <c r="H315" s="3" t="s">
        <v>45</v>
      </c>
      <c r="I315" s="3" t="s">
        <v>1569</v>
      </c>
      <c r="J315" s="3" t="s">
        <v>437</v>
      </c>
      <c r="K315" s="3" t="s">
        <v>1570</v>
      </c>
      <c r="L315" s="3" t="s">
        <v>92</v>
      </c>
      <c r="M315" s="3" t="s">
        <v>47</v>
      </c>
      <c r="N315" s="3" t="s">
        <v>93</v>
      </c>
      <c r="O315" s="3" t="s">
        <v>2515</v>
      </c>
      <c r="P315" s="3"/>
      <c r="Q315" s="3" t="s">
        <v>117</v>
      </c>
      <c r="R315" s="3" t="s">
        <v>2493</v>
      </c>
      <c r="S315" s="3" t="s">
        <v>2540</v>
      </c>
      <c r="T315" s="3" t="s">
        <v>2544</v>
      </c>
      <c r="U315" s="3" t="s">
        <v>98</v>
      </c>
      <c r="V315" s="3" t="s">
        <v>2529</v>
      </c>
      <c r="W315" s="3" t="s">
        <v>2546</v>
      </c>
      <c r="X315" s="3" t="s">
        <v>2781</v>
      </c>
      <c r="Y315" s="3" t="n">
        <v>2</v>
      </c>
      <c r="Z315" s="3" t="n">
        <v>1</v>
      </c>
      <c r="AA315" s="3" t="n">
        <v>3</v>
      </c>
      <c r="AB315" s="3" t="n">
        <v>1</v>
      </c>
      <c r="AC315" s="3" t="n">
        <v>2</v>
      </c>
      <c r="AD315" s="3" t="n">
        <v>3</v>
      </c>
      <c r="AE315" s="3" t="s">
        <v>2782</v>
      </c>
      <c r="AF315" s="3" t="s">
        <v>860</v>
      </c>
      <c r="AG315" s="3"/>
      <c r="AH315" s="3"/>
      <c r="AI315" s="3" t="s">
        <v>2508</v>
      </c>
      <c r="AJ315" s="3" t="s">
        <v>59</v>
      </c>
      <c r="AK315" s="3"/>
      <c r="AL315" s="3"/>
      <c r="AM315" s="3" t="n">
        <v>5</v>
      </c>
      <c r="AN315" s="3"/>
      <c r="AO315" s="3"/>
      <c r="AP315" s="3" t="n">
        <v>5</v>
      </c>
      <c r="AQ315" s="3"/>
      <c r="AR315" s="3"/>
    </row>
    <row r="316" customFormat="false" ht="15" hidden="false" customHeight="true" outlineLevel="0" collapsed="false">
      <c r="A316" s="3" t="s">
        <v>2783</v>
      </c>
      <c r="B316" s="3" t="n">
        <v>4</v>
      </c>
      <c r="C316" s="3" t="n">
        <v>90</v>
      </c>
      <c r="D316" s="3"/>
      <c r="E316" s="4" t="n">
        <v>46289.8009889352</v>
      </c>
      <c r="F316" s="3" t="n">
        <v>22</v>
      </c>
      <c r="G316" s="3" t="str">
        <f aca="false">IF(F316="","",IF(F316&gt;=Notes!$B$5,"Elderly ("&amp;Notes!$B$5&amp;"+)",IF(F316&lt;=Notes!$B$4,"Student age (≤"&amp;Notes!$B$4&amp;")","Middle-aged ("&amp;(Notes!$B$4+1)&amp;"–"&amp;(Notes!$B$5-1)&amp;")")))</f>
        <v>Student age (≤29)</v>
      </c>
      <c r="H316" s="3" t="s">
        <v>83</v>
      </c>
      <c r="I316" s="3"/>
      <c r="J316" s="3" t="s">
        <v>437</v>
      </c>
      <c r="K316" s="3" t="s">
        <v>437</v>
      </c>
      <c r="L316" s="3"/>
      <c r="M316" s="3" t="s">
        <v>47</v>
      </c>
      <c r="N316" s="3" t="s">
        <v>47</v>
      </c>
      <c r="O316" s="3" t="s">
        <v>2515</v>
      </c>
      <c r="P316" s="3"/>
      <c r="Q316" s="3" t="s">
        <v>74</v>
      </c>
      <c r="R316" s="3" t="s">
        <v>2493</v>
      </c>
      <c r="S316" s="3" t="s">
        <v>2539</v>
      </c>
      <c r="T316" s="3" t="s">
        <v>2533</v>
      </c>
      <c r="U316" s="3" t="s">
        <v>59</v>
      </c>
      <c r="V316" s="3" t="s">
        <v>2516</v>
      </c>
      <c r="W316" s="3" t="s">
        <v>2497</v>
      </c>
      <c r="X316" s="3" t="s">
        <v>2784</v>
      </c>
      <c r="Y316" s="3"/>
      <c r="Z316" s="3"/>
      <c r="AA316" s="3" t="n">
        <v>2</v>
      </c>
      <c r="AB316" s="3"/>
      <c r="AC316" s="3"/>
      <c r="AD316" s="3"/>
      <c r="AE316" s="3" t="s">
        <v>2577</v>
      </c>
      <c r="AF316" s="3" t="s">
        <v>847</v>
      </c>
      <c r="AG316" s="3"/>
      <c r="AH316" s="3"/>
      <c r="AI316" s="3" t="s">
        <v>2508</v>
      </c>
      <c r="AJ316" s="3" t="s">
        <v>59</v>
      </c>
      <c r="AK316" s="3"/>
      <c r="AL316" s="3"/>
      <c r="AM316" s="3" t="n">
        <v>5</v>
      </c>
      <c r="AN316" s="3"/>
      <c r="AO316" s="3"/>
      <c r="AP316" s="3" t="n">
        <v>5</v>
      </c>
      <c r="AQ316" s="3"/>
      <c r="AR316" s="3" t="s">
        <v>2565</v>
      </c>
    </row>
    <row r="317" customFormat="false" ht="15" hidden="false" customHeight="true" outlineLevel="0" collapsed="false">
      <c r="A317" s="3" t="s">
        <v>2785</v>
      </c>
      <c r="B317" s="3" t="n">
        <v>4</v>
      </c>
      <c r="C317" s="3" t="n">
        <v>91</v>
      </c>
      <c r="D317" s="3"/>
      <c r="E317" s="4" t="n">
        <v>46289.8072490046</v>
      </c>
      <c r="F317" s="3" t="n">
        <v>20</v>
      </c>
      <c r="G317" s="3" t="str">
        <f aca="false">IF(F317="","",IF(F317&gt;=Notes!$B$5,"Elderly ("&amp;Notes!$B$5&amp;"+)",IF(F317&lt;=Notes!$B$4,"Student age (≤"&amp;Notes!$B$4&amp;")","Middle-aged ("&amp;(Notes!$B$4+1)&amp;"–"&amp;(Notes!$B$5-1)&amp;")")))</f>
        <v>Student age (≤29)</v>
      </c>
      <c r="H317" s="3" t="s">
        <v>83</v>
      </c>
      <c r="I317" s="3"/>
      <c r="J317" s="3" t="s">
        <v>437</v>
      </c>
      <c r="K317" s="3" t="s">
        <v>437</v>
      </c>
      <c r="L317" s="3" t="s">
        <v>49</v>
      </c>
      <c r="M317" s="3" t="s">
        <v>47</v>
      </c>
      <c r="N317" s="3" t="s">
        <v>50</v>
      </c>
      <c r="O317" s="3" t="s">
        <v>2614</v>
      </c>
      <c r="P317" s="3"/>
      <c r="Q317" s="3" t="s">
        <v>117</v>
      </c>
      <c r="R317" s="3" t="s">
        <v>2540</v>
      </c>
      <c r="S317" s="3" t="s">
        <v>2540</v>
      </c>
      <c r="T317" s="3" t="s">
        <v>2495</v>
      </c>
      <c r="U317" s="3" t="s">
        <v>59</v>
      </c>
      <c r="V317" s="3" t="s">
        <v>2504</v>
      </c>
      <c r="W317" s="3" t="s">
        <v>2546</v>
      </c>
      <c r="X317" s="3" t="s">
        <v>2786</v>
      </c>
      <c r="Y317" s="3" t="n">
        <v>2</v>
      </c>
      <c r="Z317" s="3" t="n">
        <v>1</v>
      </c>
      <c r="AA317" s="3" t="n">
        <v>3</v>
      </c>
      <c r="AB317" s="3" t="n">
        <v>3</v>
      </c>
      <c r="AC317" s="3" t="n">
        <v>1</v>
      </c>
      <c r="AD317" s="3" t="n">
        <v>2</v>
      </c>
      <c r="AE317" s="3" t="s">
        <v>2787</v>
      </c>
      <c r="AF317" s="3" t="s">
        <v>846</v>
      </c>
      <c r="AG317" s="3"/>
      <c r="AH317" s="3"/>
      <c r="AI317" s="3" t="s">
        <v>2628</v>
      </c>
      <c r="AJ317" s="3" t="s">
        <v>59</v>
      </c>
      <c r="AK317" s="3"/>
      <c r="AL317" s="3"/>
      <c r="AM317" s="3" t="n">
        <v>5</v>
      </c>
      <c r="AN317" s="3"/>
      <c r="AO317" s="3"/>
      <c r="AP317" s="3" t="n">
        <v>5</v>
      </c>
      <c r="AQ317" s="3"/>
      <c r="AR317" s="3"/>
    </row>
    <row r="318" customFormat="false" ht="15" hidden="false" customHeight="true" outlineLevel="0" collapsed="false">
      <c r="A318" s="3" t="s">
        <v>2788</v>
      </c>
      <c r="B318" s="3" t="n">
        <v>4</v>
      </c>
      <c r="C318" s="3" t="n">
        <v>92</v>
      </c>
      <c r="D318" s="3"/>
      <c r="E318" s="4" t="n">
        <v>46289.8132053241</v>
      </c>
      <c r="F318" s="3" t="n">
        <v>21</v>
      </c>
      <c r="G318" s="3" t="str">
        <f aca="false">IF(F318="","",IF(F318&gt;=Notes!$B$5,"Elderly ("&amp;Notes!$B$5&amp;"+)",IF(F318&lt;=Notes!$B$4,"Student age (≤"&amp;Notes!$B$4&amp;")","Middle-aged ("&amp;(Notes!$B$4+1)&amp;"–"&amp;(Notes!$B$5-1)&amp;")")))</f>
        <v>Student age (≤29)</v>
      </c>
      <c r="H318" s="3" t="s">
        <v>45</v>
      </c>
      <c r="I318" s="3"/>
      <c r="J318" s="3" t="s">
        <v>437</v>
      </c>
      <c r="K318" s="3" t="s">
        <v>437</v>
      </c>
      <c r="L318" s="3" t="s">
        <v>159</v>
      </c>
      <c r="M318" s="3" t="s">
        <v>47</v>
      </c>
      <c r="N318" s="3" t="s">
        <v>160</v>
      </c>
      <c r="O318" s="3" t="s">
        <v>2515</v>
      </c>
      <c r="P318" s="3"/>
      <c r="Q318" s="3" t="s">
        <v>117</v>
      </c>
      <c r="R318" s="3" t="s">
        <v>2510</v>
      </c>
      <c r="S318" s="3" t="s">
        <v>2523</v>
      </c>
      <c r="T318" s="3" t="s">
        <v>2544</v>
      </c>
      <c r="U318" s="3" t="s">
        <v>1690</v>
      </c>
      <c r="V318" s="3" t="s">
        <v>2789</v>
      </c>
      <c r="W318" s="3" t="s">
        <v>2546</v>
      </c>
      <c r="X318" s="3" t="s">
        <v>2790</v>
      </c>
      <c r="Y318" s="3" t="n">
        <v>1</v>
      </c>
      <c r="Z318" s="3" t="n">
        <v>3</v>
      </c>
      <c r="AA318" s="3" t="n">
        <v>2</v>
      </c>
      <c r="AB318" s="3" t="n">
        <v>2</v>
      </c>
      <c r="AC318" s="3" t="n">
        <v>3</v>
      </c>
      <c r="AD318" s="3" t="n">
        <v>1</v>
      </c>
      <c r="AE318" s="3" t="s">
        <v>2791</v>
      </c>
      <c r="AF318" s="3" t="s">
        <v>860</v>
      </c>
      <c r="AG318" s="3"/>
      <c r="AH318" s="3"/>
      <c r="AI318" s="3" t="s">
        <v>2628</v>
      </c>
      <c r="AJ318" s="3" t="s">
        <v>59</v>
      </c>
      <c r="AK318" s="3"/>
      <c r="AL318" s="3"/>
      <c r="AM318" s="3" t="n">
        <v>5</v>
      </c>
      <c r="AN318" s="3"/>
      <c r="AO318" s="3"/>
      <c r="AP318" s="3" t="n">
        <v>5</v>
      </c>
      <c r="AQ318" s="3"/>
      <c r="AR318" s="3"/>
    </row>
    <row r="319" customFormat="false" ht="15" hidden="false" customHeight="true" outlineLevel="0" collapsed="false">
      <c r="A319" s="3" t="s">
        <v>2792</v>
      </c>
      <c r="B319" s="3" t="n">
        <v>4</v>
      </c>
      <c r="C319" s="3" t="n">
        <v>93</v>
      </c>
      <c r="D319" s="3"/>
      <c r="E319" s="4" t="n">
        <v>46289.8281274769</v>
      </c>
      <c r="F319" s="3" t="n">
        <v>22</v>
      </c>
      <c r="G319" s="3" t="str">
        <f aca="false">IF(F319="","",IF(F319&gt;=Notes!$B$5,"Elderly ("&amp;Notes!$B$5&amp;"+)",IF(F319&lt;=Notes!$B$4,"Student age (≤"&amp;Notes!$B$4&amp;")","Middle-aged ("&amp;(Notes!$B$4+1)&amp;"–"&amp;(Notes!$B$5-1)&amp;")")))</f>
        <v>Student age (≤29)</v>
      </c>
      <c r="H319" s="3" t="s">
        <v>83</v>
      </c>
      <c r="I319" s="3"/>
      <c r="J319" s="3" t="s">
        <v>437</v>
      </c>
      <c r="K319" s="3" t="s">
        <v>437</v>
      </c>
      <c r="L319" s="3"/>
      <c r="M319" s="3" t="s">
        <v>47</v>
      </c>
      <c r="N319" s="3" t="s">
        <v>47</v>
      </c>
      <c r="O319" s="3" t="s">
        <v>2515</v>
      </c>
      <c r="P319" s="3"/>
      <c r="Q319" s="3" t="s">
        <v>117</v>
      </c>
      <c r="R319" s="3" t="s">
        <v>2503</v>
      </c>
      <c r="S319" s="3" t="s">
        <v>2493</v>
      </c>
      <c r="T319" s="3" t="s">
        <v>2544</v>
      </c>
      <c r="U319" s="3" t="s">
        <v>1690</v>
      </c>
      <c r="V319" s="3" t="s">
        <v>2516</v>
      </c>
      <c r="W319" s="3" t="s">
        <v>2497</v>
      </c>
      <c r="X319" s="3" t="s">
        <v>2793</v>
      </c>
      <c r="Y319" s="3" t="n">
        <v>1</v>
      </c>
      <c r="Z319" s="3" t="n">
        <v>3</v>
      </c>
      <c r="AA319" s="3" t="n">
        <v>2</v>
      </c>
      <c r="AB319" s="3"/>
      <c r="AC319" s="3"/>
      <c r="AD319" s="3"/>
      <c r="AE319" s="3" t="s">
        <v>2794</v>
      </c>
      <c r="AF319" s="3" t="s">
        <v>846</v>
      </c>
      <c r="AG319" s="3"/>
      <c r="AH319" s="3"/>
      <c r="AI319" s="3" t="s">
        <v>2628</v>
      </c>
      <c r="AJ319" s="3" t="s">
        <v>1625</v>
      </c>
      <c r="AK319" s="3"/>
      <c r="AL319" s="3"/>
      <c r="AM319" s="3" t="n">
        <v>5</v>
      </c>
      <c r="AN319" s="3"/>
      <c r="AO319" s="3"/>
      <c r="AP319" s="3" t="n">
        <v>3</v>
      </c>
      <c r="AQ319" s="3"/>
      <c r="AR319" s="3" t="s">
        <v>2667</v>
      </c>
    </row>
    <row r="320" customFormat="false" ht="15" hidden="false" customHeight="true" outlineLevel="0" collapsed="false">
      <c r="A320" s="3" t="s">
        <v>2795</v>
      </c>
      <c r="B320" s="3" t="n">
        <v>4</v>
      </c>
      <c r="C320" s="3" t="n">
        <v>94</v>
      </c>
      <c r="D320" s="3"/>
      <c r="E320" s="4" t="n">
        <v>46289.9341183218</v>
      </c>
      <c r="F320" s="3" t="n">
        <v>22</v>
      </c>
      <c r="G320" s="3" t="str">
        <f aca="false">IF(F320="","",IF(F320&gt;=Notes!$B$5,"Elderly ("&amp;Notes!$B$5&amp;"+)",IF(F320&lt;=Notes!$B$4,"Student age (≤"&amp;Notes!$B$4&amp;")","Middle-aged ("&amp;(Notes!$B$4+1)&amp;"–"&amp;(Notes!$B$5-1)&amp;")")))</f>
        <v>Student age (≤29)</v>
      </c>
      <c r="H320" s="3" t="s">
        <v>83</v>
      </c>
      <c r="I320" s="3"/>
      <c r="J320" s="3" t="s">
        <v>437</v>
      </c>
      <c r="K320" s="3" t="s">
        <v>437</v>
      </c>
      <c r="L320" s="3"/>
      <c r="M320" s="3" t="s">
        <v>47</v>
      </c>
      <c r="N320" s="3" t="s">
        <v>47</v>
      </c>
      <c r="O320" s="3" t="s">
        <v>806</v>
      </c>
      <c r="P320" s="3"/>
      <c r="Q320" s="3" t="s">
        <v>95</v>
      </c>
      <c r="R320" s="3" t="s">
        <v>2524</v>
      </c>
      <c r="S320" s="3" t="s">
        <v>2539</v>
      </c>
      <c r="T320" s="3" t="s">
        <v>2544</v>
      </c>
      <c r="U320" s="3" t="s">
        <v>1690</v>
      </c>
      <c r="V320" s="3" t="s">
        <v>2796</v>
      </c>
      <c r="W320" s="3" t="s">
        <v>2497</v>
      </c>
      <c r="X320" s="3"/>
      <c r="Y320" s="3" t="n">
        <v>2</v>
      </c>
      <c r="Z320" s="3"/>
      <c r="AA320" s="3"/>
      <c r="AB320" s="3"/>
      <c r="AC320" s="3"/>
      <c r="AD320" s="3" t="n">
        <v>2</v>
      </c>
      <c r="AE320" s="3" t="s">
        <v>2797</v>
      </c>
      <c r="AF320" s="3" t="s">
        <v>846</v>
      </c>
      <c r="AG320" s="3"/>
      <c r="AH320" s="3"/>
      <c r="AI320" s="3" t="s">
        <v>2549</v>
      </c>
      <c r="AJ320" s="3" t="s">
        <v>59</v>
      </c>
      <c r="AK320" s="3"/>
      <c r="AL320" s="3"/>
      <c r="AM320" s="3" t="n">
        <v>1</v>
      </c>
      <c r="AN320" s="3"/>
      <c r="AO320" s="3"/>
      <c r="AP320" s="3" t="n">
        <v>4</v>
      </c>
      <c r="AQ320" s="3"/>
      <c r="AR320" s="3" t="s">
        <v>2565</v>
      </c>
    </row>
    <row r="321" customFormat="false" ht="15" hidden="false" customHeight="true" outlineLevel="0" collapsed="false">
      <c r="A321" s="3" t="s">
        <v>2798</v>
      </c>
      <c r="B321" s="3" t="n">
        <v>4</v>
      </c>
      <c r="C321" s="3" t="n">
        <v>95</v>
      </c>
      <c r="D321" s="3"/>
      <c r="E321" s="4" t="n">
        <v>46290.3580512963</v>
      </c>
      <c r="F321" s="3" t="n">
        <v>22</v>
      </c>
      <c r="G321" s="3" t="str">
        <f aca="false">IF(F321="","",IF(F321&gt;=Notes!$B$5,"Elderly ("&amp;Notes!$B$5&amp;"+)",IF(F321&lt;=Notes!$B$4,"Student age (≤"&amp;Notes!$B$4&amp;")","Middle-aged ("&amp;(Notes!$B$4+1)&amp;"–"&amp;(Notes!$B$5-1)&amp;")")))</f>
        <v>Student age (≤29)</v>
      </c>
      <c r="H321" s="3" t="s">
        <v>83</v>
      </c>
      <c r="I321" s="3"/>
      <c r="J321" s="3" t="s">
        <v>437</v>
      </c>
      <c r="K321" s="3" t="s">
        <v>437</v>
      </c>
      <c r="L321" s="3" t="s">
        <v>49</v>
      </c>
      <c r="M321" s="3" t="s">
        <v>47</v>
      </c>
      <c r="N321" s="3" t="s">
        <v>50</v>
      </c>
      <c r="O321" s="3" t="s">
        <v>2614</v>
      </c>
      <c r="P321" s="3"/>
      <c r="Q321" s="3" t="s">
        <v>74</v>
      </c>
      <c r="R321" s="3" t="s">
        <v>2523</v>
      </c>
      <c r="S321" s="3" t="s">
        <v>2540</v>
      </c>
      <c r="T321" s="3" t="s">
        <v>2582</v>
      </c>
      <c r="U321" s="3" t="s">
        <v>1690</v>
      </c>
      <c r="V321" s="3" t="s">
        <v>2641</v>
      </c>
      <c r="W321" s="3" t="s">
        <v>2505</v>
      </c>
      <c r="X321" s="3" t="s">
        <v>2799</v>
      </c>
      <c r="Y321" s="3" t="n">
        <v>2</v>
      </c>
      <c r="Z321" s="3" t="n">
        <v>1</v>
      </c>
      <c r="AA321" s="3" t="n">
        <v>3</v>
      </c>
      <c r="AB321" s="3" t="n">
        <v>2</v>
      </c>
      <c r="AC321" s="3" t="n">
        <v>1</v>
      </c>
      <c r="AD321" s="3" t="n">
        <v>3</v>
      </c>
      <c r="AE321" s="3" t="s">
        <v>2499</v>
      </c>
      <c r="AF321" s="3" t="s">
        <v>847</v>
      </c>
      <c r="AG321" s="3"/>
      <c r="AH321" s="3"/>
      <c r="AI321" s="3" t="s">
        <v>2508</v>
      </c>
      <c r="AJ321" s="3" t="s">
        <v>59</v>
      </c>
      <c r="AK321" s="3"/>
      <c r="AL321" s="3"/>
      <c r="AM321" s="3" t="n">
        <v>4</v>
      </c>
      <c r="AN321" s="3"/>
      <c r="AO321" s="3"/>
      <c r="AP321" s="3" t="n">
        <v>5</v>
      </c>
      <c r="AQ321" s="3"/>
      <c r="AR321" s="3"/>
    </row>
    <row r="322" customFormat="false" ht="15" hidden="false" customHeight="true" outlineLevel="0" collapsed="false">
      <c r="A322" s="3" t="s">
        <v>2800</v>
      </c>
      <c r="B322" s="3" t="n">
        <v>4</v>
      </c>
      <c r="C322" s="3" t="n">
        <v>96</v>
      </c>
      <c r="D322" s="3"/>
      <c r="E322" s="4" t="n">
        <v>46291.0430507292</v>
      </c>
      <c r="F322" s="3" t="n">
        <v>22</v>
      </c>
      <c r="G322" s="3" t="str">
        <f aca="false">IF(F322="","",IF(F322&gt;=Notes!$B$5,"Elderly ("&amp;Notes!$B$5&amp;"+)",IF(F322&lt;=Notes!$B$4,"Student age (≤"&amp;Notes!$B$4&amp;")","Middle-aged ("&amp;(Notes!$B$4+1)&amp;"–"&amp;(Notes!$B$5-1)&amp;")")))</f>
        <v>Student age (≤29)</v>
      </c>
      <c r="H322" s="3" t="s">
        <v>45</v>
      </c>
      <c r="I322" s="3"/>
      <c r="J322" s="3" t="s">
        <v>437</v>
      </c>
      <c r="K322" s="3" t="s">
        <v>437</v>
      </c>
      <c r="L322" s="3"/>
      <c r="M322" s="3" t="s">
        <v>2651</v>
      </c>
      <c r="N322" s="3" t="s">
        <v>2651</v>
      </c>
      <c r="O322" s="3" t="s">
        <v>2538</v>
      </c>
      <c r="P322" s="3"/>
      <c r="Q322" s="3" t="s">
        <v>117</v>
      </c>
      <c r="R322" s="3" t="s">
        <v>2523</v>
      </c>
      <c r="S322" s="3" t="s">
        <v>2523</v>
      </c>
      <c r="T322" s="3" t="s">
        <v>2495</v>
      </c>
      <c r="U322" s="3" t="s">
        <v>1690</v>
      </c>
      <c r="V322" s="3" t="s">
        <v>2801</v>
      </c>
      <c r="W322" s="3" t="s">
        <v>2497</v>
      </c>
      <c r="X322" s="3" t="s">
        <v>2802</v>
      </c>
      <c r="Y322" s="3" t="n">
        <v>3</v>
      </c>
      <c r="Z322" s="3" t="n">
        <v>1</v>
      </c>
      <c r="AA322" s="3" t="n">
        <v>2</v>
      </c>
      <c r="AB322" s="3" t="n">
        <v>1</v>
      </c>
      <c r="AC322" s="3" t="n">
        <v>2</v>
      </c>
      <c r="AD322" s="3" t="n">
        <v>3</v>
      </c>
      <c r="AE322" s="3" t="s">
        <v>2803</v>
      </c>
      <c r="AF322" s="3" t="s">
        <v>860</v>
      </c>
      <c r="AG322" s="3"/>
      <c r="AH322" s="3"/>
      <c r="AI322" s="3" t="s">
        <v>2508</v>
      </c>
      <c r="AJ322" s="3" t="s">
        <v>59</v>
      </c>
      <c r="AK322" s="3"/>
      <c r="AL322" s="3"/>
      <c r="AM322" s="3" t="n">
        <v>4</v>
      </c>
      <c r="AN322" s="3"/>
      <c r="AO322" s="3"/>
      <c r="AP322" s="3" t="n">
        <v>5</v>
      </c>
      <c r="AQ322" s="3"/>
      <c r="AR322" s="3"/>
    </row>
    <row r="323" customFormat="false" ht="15" hidden="false" customHeight="true" outlineLevel="0" collapsed="false">
      <c r="A323" s="3" t="s">
        <v>2804</v>
      </c>
      <c r="B323" s="3" t="n">
        <v>4</v>
      </c>
      <c r="C323" s="3" t="n">
        <v>97</v>
      </c>
      <c r="D323" s="3"/>
      <c r="E323" s="4" t="n">
        <v>46291.4678962847</v>
      </c>
      <c r="F323" s="3" t="n">
        <v>31</v>
      </c>
      <c r="G323" s="3" t="str">
        <f aca="false">IF(F323="","",IF(F323&gt;=Notes!$B$5,"Elderly ("&amp;Notes!$B$5&amp;"+)",IF(F323&lt;=Notes!$B$4,"Student age (≤"&amp;Notes!$B$4&amp;")","Middle-aged ("&amp;(Notes!$B$4+1)&amp;"–"&amp;(Notes!$B$5-1)&amp;")")))</f>
        <v>Middle-aged (30–64)</v>
      </c>
      <c r="H323" s="3" t="s">
        <v>83</v>
      </c>
      <c r="I323" s="3"/>
      <c r="J323" s="3" t="s">
        <v>437</v>
      </c>
      <c r="K323" s="3" t="s">
        <v>437</v>
      </c>
      <c r="L323" s="3"/>
      <c r="M323" s="3" t="s">
        <v>437</v>
      </c>
      <c r="N323" s="3" t="s">
        <v>437</v>
      </c>
      <c r="O323" s="3" t="s">
        <v>2614</v>
      </c>
      <c r="P323" s="3"/>
      <c r="Q323" s="3" t="s">
        <v>52</v>
      </c>
      <c r="R323" s="3" t="s">
        <v>2493</v>
      </c>
      <c r="S323" s="3" t="s">
        <v>2539</v>
      </c>
      <c r="T323" s="3" t="s">
        <v>2495</v>
      </c>
      <c r="U323" s="3" t="s">
        <v>1690</v>
      </c>
      <c r="V323" s="3" t="s">
        <v>2529</v>
      </c>
      <c r="W323" s="3" t="s">
        <v>2497</v>
      </c>
      <c r="X323" s="3" t="s">
        <v>2805</v>
      </c>
      <c r="Y323" s="3" t="n">
        <v>3</v>
      </c>
      <c r="Z323" s="3" t="n">
        <v>1</v>
      </c>
      <c r="AA323" s="3" t="n">
        <v>2</v>
      </c>
      <c r="AB323" s="3" t="n">
        <v>2</v>
      </c>
      <c r="AC323" s="3" t="n">
        <v>1</v>
      </c>
      <c r="AD323" s="3" t="n">
        <v>3</v>
      </c>
      <c r="AE323" s="3" t="s">
        <v>2806</v>
      </c>
      <c r="AF323" s="3" t="s">
        <v>847</v>
      </c>
      <c r="AG323" s="3"/>
      <c r="AH323" s="3"/>
      <c r="AI323" s="3" t="s">
        <v>2508</v>
      </c>
      <c r="AJ323" s="3" t="s">
        <v>1625</v>
      </c>
      <c r="AK323" s="3"/>
      <c r="AL323" s="3"/>
      <c r="AM323" s="3" t="n">
        <v>5</v>
      </c>
      <c r="AN323" s="3"/>
      <c r="AO323" s="3"/>
      <c r="AP323" s="3" t="n">
        <v>5</v>
      </c>
      <c r="AQ323" s="3"/>
      <c r="AR323" s="3"/>
    </row>
    <row r="324" customFormat="false" ht="15" hidden="false" customHeight="true" outlineLevel="0" collapsed="false">
      <c r="A324" s="3" t="s">
        <v>2807</v>
      </c>
      <c r="B324" s="3" t="n">
        <v>4</v>
      </c>
      <c r="C324" s="3" t="n">
        <v>98</v>
      </c>
      <c r="D324" s="3"/>
      <c r="E324" s="4" t="n">
        <v>46291.4762972801</v>
      </c>
      <c r="F324" s="3" t="n">
        <v>26</v>
      </c>
      <c r="G324" s="3" t="str">
        <f aca="false">IF(F324="","",IF(F324&gt;=Notes!$B$5,"Elderly ("&amp;Notes!$B$5&amp;"+)",IF(F324&lt;=Notes!$B$4,"Student age (≤"&amp;Notes!$B$4&amp;")","Middle-aged ("&amp;(Notes!$B$4+1)&amp;"–"&amp;(Notes!$B$5-1)&amp;")")))</f>
        <v>Student age (≤29)</v>
      </c>
      <c r="H324" s="3" t="s">
        <v>83</v>
      </c>
      <c r="I324" s="3"/>
      <c r="J324" s="3" t="s">
        <v>437</v>
      </c>
      <c r="K324" s="3" t="s">
        <v>437</v>
      </c>
      <c r="L324" s="3"/>
      <c r="M324" s="3" t="s">
        <v>437</v>
      </c>
      <c r="N324" s="3" t="s">
        <v>437</v>
      </c>
      <c r="O324" s="3" t="s">
        <v>2538</v>
      </c>
      <c r="P324" s="3"/>
      <c r="Q324" s="3" t="s">
        <v>117</v>
      </c>
      <c r="R324" s="3" t="s">
        <v>2493</v>
      </c>
      <c r="S324" s="3" t="s">
        <v>2493</v>
      </c>
      <c r="T324" s="3" t="s">
        <v>2555</v>
      </c>
      <c r="U324" s="3" t="s">
        <v>1690</v>
      </c>
      <c r="V324" s="3" t="s">
        <v>2602</v>
      </c>
      <c r="W324" s="3" t="s">
        <v>2546</v>
      </c>
      <c r="X324" s="3"/>
      <c r="Y324" s="3"/>
      <c r="Z324" s="3" t="n">
        <v>2</v>
      </c>
      <c r="AA324" s="3"/>
      <c r="AB324" s="3"/>
      <c r="AC324" s="3" t="n">
        <v>2</v>
      </c>
      <c r="AD324" s="3"/>
      <c r="AE324" s="3" t="s">
        <v>2808</v>
      </c>
      <c r="AF324" s="3" t="s">
        <v>846</v>
      </c>
      <c r="AG324" s="3"/>
      <c r="AH324" s="3"/>
      <c r="AI324" s="3" t="s">
        <v>2508</v>
      </c>
      <c r="AJ324" s="3" t="s">
        <v>59</v>
      </c>
      <c r="AK324" s="3"/>
      <c r="AL324" s="3"/>
      <c r="AM324" s="3" t="n">
        <v>4</v>
      </c>
      <c r="AN324" s="3"/>
      <c r="AO324" s="3"/>
      <c r="AP324" s="3" t="n">
        <v>5</v>
      </c>
      <c r="AQ324" s="3"/>
      <c r="AR324" s="3" t="s">
        <v>2565</v>
      </c>
    </row>
    <row r="325" customFormat="false" ht="15" hidden="false" customHeight="true" outlineLevel="0" collapsed="false">
      <c r="A325" s="3" t="s">
        <v>2809</v>
      </c>
      <c r="B325" s="3" t="n">
        <v>4</v>
      </c>
      <c r="C325" s="3" t="n">
        <v>99</v>
      </c>
      <c r="D325" s="3"/>
      <c r="E325" s="4" t="n">
        <v>46291.4813833912</v>
      </c>
      <c r="F325" s="3" t="n">
        <v>22</v>
      </c>
      <c r="G325" s="3" t="str">
        <f aca="false">IF(F325="","",IF(F325&gt;=Notes!$B$5,"Elderly ("&amp;Notes!$B$5&amp;"+)",IF(F325&lt;=Notes!$B$4,"Student age (≤"&amp;Notes!$B$4&amp;")","Middle-aged ("&amp;(Notes!$B$4+1)&amp;"–"&amp;(Notes!$B$5-1)&amp;")")))</f>
        <v>Student age (≤29)</v>
      </c>
      <c r="H325" s="3" t="s">
        <v>45</v>
      </c>
      <c r="I325" s="3"/>
      <c r="J325" s="3" t="s">
        <v>437</v>
      </c>
      <c r="K325" s="3" t="s">
        <v>437</v>
      </c>
      <c r="L325" s="3" t="s">
        <v>2810</v>
      </c>
      <c r="M325" s="3" t="s">
        <v>2651</v>
      </c>
      <c r="N325" s="3" t="s">
        <v>2811</v>
      </c>
      <c r="O325" s="3" t="s">
        <v>2538</v>
      </c>
      <c r="P325" s="3"/>
      <c r="Q325" s="3" t="s">
        <v>95</v>
      </c>
      <c r="R325" s="3" t="s">
        <v>2523</v>
      </c>
      <c r="S325" s="3" t="s">
        <v>2524</v>
      </c>
      <c r="T325" s="3" t="s">
        <v>2582</v>
      </c>
      <c r="U325" s="3" t="s">
        <v>1690</v>
      </c>
      <c r="V325" s="3" t="s">
        <v>2511</v>
      </c>
      <c r="W325" s="3" t="s">
        <v>2505</v>
      </c>
      <c r="X325" s="3" t="s">
        <v>2812</v>
      </c>
      <c r="Y325" s="3" t="n">
        <v>2</v>
      </c>
      <c r="Z325" s="3" t="n">
        <v>1</v>
      </c>
      <c r="AA325" s="3" t="n">
        <v>3</v>
      </c>
      <c r="AB325" s="3" t="n">
        <v>2</v>
      </c>
      <c r="AC325" s="3" t="n">
        <v>1</v>
      </c>
      <c r="AD325" s="3" t="n">
        <v>3</v>
      </c>
      <c r="AE325" s="3" t="s">
        <v>2813</v>
      </c>
      <c r="AF325" s="3" t="s">
        <v>846</v>
      </c>
      <c r="AG325" s="3"/>
      <c r="AH325" s="3"/>
      <c r="AI325" s="3" t="s">
        <v>2549</v>
      </c>
      <c r="AJ325" s="3" t="s">
        <v>59</v>
      </c>
      <c r="AK325" s="3"/>
      <c r="AL325" s="3"/>
      <c r="AM325" s="3" t="n">
        <v>3</v>
      </c>
      <c r="AN325" s="3"/>
      <c r="AO325" s="3"/>
      <c r="AP325" s="3" t="n">
        <v>1</v>
      </c>
      <c r="AQ325" s="3"/>
      <c r="AR325" s="3"/>
    </row>
    <row r="326" customFormat="false" ht="15" hidden="false" customHeight="true" outlineLevel="0" collapsed="false">
      <c r="A326" s="3" t="s">
        <v>2814</v>
      </c>
      <c r="B326" s="3" t="n">
        <v>4</v>
      </c>
      <c r="C326" s="3" t="n">
        <v>100</v>
      </c>
      <c r="D326" s="3"/>
      <c r="E326" s="4" t="n">
        <v>46291.5500200694</v>
      </c>
      <c r="F326" s="3" t="n">
        <v>22</v>
      </c>
      <c r="G326" s="3" t="str">
        <f aca="false">IF(F326="","",IF(F326&gt;=Notes!$B$5,"Elderly ("&amp;Notes!$B$5&amp;"+)",IF(F326&lt;=Notes!$B$4,"Student age (≤"&amp;Notes!$B$4&amp;")","Middle-aged ("&amp;(Notes!$B$4+1)&amp;"–"&amp;(Notes!$B$5-1)&amp;")")))</f>
        <v>Student age (≤29)</v>
      </c>
      <c r="H326" s="3" t="s">
        <v>45</v>
      </c>
      <c r="I326" s="3"/>
      <c r="J326" s="3" t="s">
        <v>437</v>
      </c>
      <c r="K326" s="3" t="s">
        <v>437</v>
      </c>
      <c r="L326" s="3"/>
      <c r="M326" s="3" t="s">
        <v>47</v>
      </c>
      <c r="N326" s="3" t="s">
        <v>47</v>
      </c>
      <c r="O326" s="3" t="s">
        <v>2515</v>
      </c>
      <c r="P326" s="3"/>
      <c r="Q326" s="3" t="s">
        <v>117</v>
      </c>
      <c r="R326" s="3" t="s">
        <v>2493</v>
      </c>
      <c r="S326" s="3" t="s">
        <v>2503</v>
      </c>
      <c r="T326" s="3" t="s">
        <v>2495</v>
      </c>
      <c r="U326" s="3" t="s">
        <v>1690</v>
      </c>
      <c r="V326" s="3" t="s">
        <v>2504</v>
      </c>
      <c r="W326" s="3" t="s">
        <v>2242</v>
      </c>
      <c r="X326" s="3" t="s">
        <v>2815</v>
      </c>
      <c r="Y326" s="3" t="n">
        <v>2</v>
      </c>
      <c r="Z326" s="3" t="n">
        <v>1</v>
      </c>
      <c r="AA326" s="3" t="n">
        <v>3</v>
      </c>
      <c r="AB326" s="3" t="n">
        <v>3</v>
      </c>
      <c r="AC326" s="3" t="n">
        <v>1</v>
      </c>
      <c r="AD326" s="3" t="n">
        <v>2</v>
      </c>
      <c r="AE326" s="3" t="s">
        <v>2816</v>
      </c>
      <c r="AF326" s="3" t="s">
        <v>847</v>
      </c>
      <c r="AG326" s="3"/>
      <c r="AH326" s="3"/>
      <c r="AI326" s="3" t="s">
        <v>2549</v>
      </c>
      <c r="AJ326" s="3" t="s">
        <v>59</v>
      </c>
      <c r="AK326" s="3"/>
      <c r="AL326" s="3"/>
      <c r="AM326" s="3" t="n">
        <v>4</v>
      </c>
      <c r="AN326" s="3"/>
      <c r="AO326" s="3"/>
      <c r="AP326" s="3" t="n">
        <v>5</v>
      </c>
      <c r="AQ326" s="3"/>
      <c r="AR326" s="3"/>
    </row>
    <row r="327" customFormat="false" ht="15" hidden="false" customHeight="true" outlineLevel="0" collapsed="false">
      <c r="A327" s="3" t="s">
        <v>2817</v>
      </c>
      <c r="B327" s="3" t="n">
        <v>4</v>
      </c>
      <c r="C327" s="3" t="n">
        <v>101</v>
      </c>
      <c r="D327" s="3"/>
      <c r="E327" s="4" t="n">
        <v>46291.6537164005</v>
      </c>
      <c r="F327" s="3" t="n">
        <v>22</v>
      </c>
      <c r="G327" s="3" t="str">
        <f aca="false">IF(F327="","",IF(F327&gt;=Notes!$B$5,"Elderly ("&amp;Notes!$B$5&amp;"+)",IF(F327&lt;=Notes!$B$4,"Student age (≤"&amp;Notes!$B$4&amp;")","Middle-aged ("&amp;(Notes!$B$4+1)&amp;"–"&amp;(Notes!$B$5-1)&amp;")")))</f>
        <v>Student age (≤29)</v>
      </c>
      <c r="H327" s="3" t="s">
        <v>45</v>
      </c>
      <c r="I327" s="3"/>
      <c r="J327" s="3" t="s">
        <v>437</v>
      </c>
      <c r="K327" s="3" t="s">
        <v>437</v>
      </c>
      <c r="L327" s="3" t="s">
        <v>71</v>
      </c>
      <c r="M327" s="3" t="s">
        <v>47</v>
      </c>
      <c r="N327" s="3" t="s">
        <v>72</v>
      </c>
      <c r="O327" s="3" t="s">
        <v>806</v>
      </c>
      <c r="P327" s="3"/>
      <c r="Q327" s="3" t="s">
        <v>74</v>
      </c>
      <c r="R327" s="3" t="s">
        <v>2540</v>
      </c>
      <c r="S327" s="3" t="s">
        <v>2540</v>
      </c>
      <c r="T327" s="3" t="s">
        <v>2495</v>
      </c>
      <c r="U327" s="3" t="s">
        <v>59</v>
      </c>
      <c r="V327" s="3" t="s">
        <v>2610</v>
      </c>
      <c r="W327" s="3" t="s">
        <v>2551</v>
      </c>
      <c r="X327" s="3"/>
      <c r="Y327" s="3" t="n">
        <v>2</v>
      </c>
      <c r="Z327" s="3" t="n">
        <v>1</v>
      </c>
      <c r="AA327" s="3" t="n">
        <v>3</v>
      </c>
      <c r="AB327" s="3" t="n">
        <v>3</v>
      </c>
      <c r="AC327" s="3" t="n">
        <v>1</v>
      </c>
      <c r="AD327" s="3" t="n">
        <v>2</v>
      </c>
      <c r="AE327" s="3" t="s">
        <v>2818</v>
      </c>
      <c r="AF327" s="3" t="s">
        <v>847</v>
      </c>
      <c r="AG327" s="3"/>
      <c r="AH327" s="3"/>
      <c r="AI327" s="3" t="s">
        <v>2500</v>
      </c>
      <c r="AJ327" s="3" t="s">
        <v>98</v>
      </c>
      <c r="AK327" s="3"/>
      <c r="AL327" s="3"/>
      <c r="AM327" s="3" t="n">
        <v>5</v>
      </c>
      <c r="AN327" s="3"/>
      <c r="AO327" s="3"/>
      <c r="AP327" s="3" t="n">
        <v>5</v>
      </c>
      <c r="AQ327" s="3"/>
      <c r="AR327" s="3"/>
    </row>
    <row r="328" customFormat="false" ht="15" hidden="false" customHeight="true" outlineLevel="0" collapsed="false">
      <c r="A328" s="3" t="s">
        <v>2819</v>
      </c>
      <c r="B328" s="3" t="n">
        <v>4</v>
      </c>
      <c r="C328" s="3" t="n">
        <v>102</v>
      </c>
      <c r="D328" s="3"/>
      <c r="E328" s="4" t="n">
        <v>46291.7850717824</v>
      </c>
      <c r="F328" s="3" t="n">
        <v>22</v>
      </c>
      <c r="G328" s="3" t="str">
        <f aca="false">IF(F328="","",IF(F328&gt;=Notes!$B$5,"Elderly ("&amp;Notes!$B$5&amp;"+)",IF(F328&lt;=Notes!$B$4,"Student age (≤"&amp;Notes!$B$4&amp;")","Middle-aged ("&amp;(Notes!$B$4+1)&amp;"–"&amp;(Notes!$B$5-1)&amp;")")))</f>
        <v>Student age (≤29)</v>
      </c>
      <c r="H328" s="3" t="s">
        <v>83</v>
      </c>
      <c r="I328" s="3"/>
      <c r="J328" s="3" t="s">
        <v>437</v>
      </c>
      <c r="K328" s="3" t="s">
        <v>437</v>
      </c>
      <c r="L328" s="3" t="s">
        <v>71</v>
      </c>
      <c r="M328" s="3" t="s">
        <v>47</v>
      </c>
      <c r="N328" s="3" t="s">
        <v>72</v>
      </c>
      <c r="O328" s="3" t="s">
        <v>2515</v>
      </c>
      <c r="P328" s="3"/>
      <c r="Q328" s="3" t="s">
        <v>95</v>
      </c>
      <c r="R328" s="3" t="s">
        <v>2523</v>
      </c>
      <c r="S328" s="3" t="s">
        <v>2523</v>
      </c>
      <c r="T328" s="3" t="s">
        <v>2495</v>
      </c>
      <c r="U328" s="3" t="s">
        <v>2242</v>
      </c>
      <c r="V328" s="3" t="s">
        <v>2496</v>
      </c>
      <c r="W328" s="3" t="s">
        <v>2497</v>
      </c>
      <c r="X328" s="3"/>
      <c r="Y328" s="3" t="n">
        <v>3</v>
      </c>
      <c r="Z328" s="3" t="n">
        <v>2</v>
      </c>
      <c r="AA328" s="3" t="n">
        <v>1</v>
      </c>
      <c r="AB328" s="3" t="n">
        <v>1</v>
      </c>
      <c r="AC328" s="3" t="n">
        <v>2</v>
      </c>
      <c r="AD328" s="3" t="n">
        <v>3</v>
      </c>
      <c r="AE328" s="3" t="s">
        <v>2820</v>
      </c>
      <c r="AF328" s="3" t="s">
        <v>846</v>
      </c>
      <c r="AG328" s="3"/>
      <c r="AH328" s="3"/>
      <c r="AI328" s="3" t="s">
        <v>2508</v>
      </c>
      <c r="AJ328" s="3" t="s">
        <v>59</v>
      </c>
      <c r="AK328" s="3"/>
      <c r="AL328" s="3"/>
      <c r="AM328" s="3" t="n">
        <v>3</v>
      </c>
      <c r="AN328" s="3"/>
      <c r="AO328" s="3"/>
      <c r="AP328" s="3" t="n">
        <v>3</v>
      </c>
      <c r="AQ328" s="3"/>
      <c r="AR328" s="3"/>
    </row>
    <row r="329" customFormat="false" ht="15" hidden="false" customHeight="true" outlineLevel="0" collapsed="false">
      <c r="A329" s="3" t="s">
        <v>2821</v>
      </c>
      <c r="B329" s="3" t="n">
        <v>4</v>
      </c>
      <c r="C329" s="3" t="n">
        <v>103</v>
      </c>
      <c r="D329" s="3"/>
      <c r="E329" s="4" t="n">
        <v>46291.9280682523</v>
      </c>
      <c r="F329" s="3" t="n">
        <v>52</v>
      </c>
      <c r="G329" s="3" t="str">
        <f aca="false">IF(F329="","",IF(F329&gt;=Notes!$B$5,"Elderly ("&amp;Notes!$B$5&amp;"+)",IF(F329&lt;=Notes!$B$4,"Student age (≤"&amp;Notes!$B$4&amp;")","Middle-aged ("&amp;(Notes!$B$4+1)&amp;"–"&amp;(Notes!$B$5-1)&amp;")")))</f>
        <v>Middle-aged (30–64)</v>
      </c>
      <c r="H329" s="3" t="s">
        <v>45</v>
      </c>
      <c r="I329" s="3" t="s">
        <v>436</v>
      </c>
      <c r="J329" s="3" t="s">
        <v>437</v>
      </c>
      <c r="K329" s="3" t="s">
        <v>438</v>
      </c>
      <c r="L329" s="3"/>
      <c r="M329" s="3" t="s">
        <v>437</v>
      </c>
      <c r="N329" s="3" t="s">
        <v>437</v>
      </c>
      <c r="O329" s="3" t="s">
        <v>2614</v>
      </c>
      <c r="P329" s="3"/>
      <c r="Q329" s="3" t="s">
        <v>95</v>
      </c>
      <c r="R329" s="3" t="s">
        <v>2523</v>
      </c>
      <c r="S329" s="3" t="s">
        <v>2523</v>
      </c>
      <c r="T329" s="3" t="s">
        <v>2533</v>
      </c>
      <c r="U329" s="3" t="s">
        <v>2242</v>
      </c>
      <c r="V329" s="3" t="s">
        <v>2525</v>
      </c>
      <c r="W329" s="3" t="s">
        <v>2546</v>
      </c>
      <c r="X329" s="3" t="s">
        <v>2822</v>
      </c>
      <c r="Y329" s="3" t="n">
        <v>1</v>
      </c>
      <c r="Z329" s="3" t="n">
        <v>3</v>
      </c>
      <c r="AA329" s="3" t="n">
        <v>2</v>
      </c>
      <c r="AB329" s="3" t="n">
        <v>2</v>
      </c>
      <c r="AC329" s="3" t="n">
        <v>1</v>
      </c>
      <c r="AD329" s="3" t="n">
        <v>3</v>
      </c>
      <c r="AE329" s="3" t="s">
        <v>2542</v>
      </c>
      <c r="AF329" s="3" t="s">
        <v>847</v>
      </c>
      <c r="AG329" s="3"/>
      <c r="AH329" s="3"/>
      <c r="AI329" s="3" t="s">
        <v>2508</v>
      </c>
      <c r="AJ329" s="3" t="s">
        <v>59</v>
      </c>
      <c r="AK329" s="3"/>
      <c r="AL329" s="3"/>
      <c r="AM329" s="3" t="n">
        <v>5</v>
      </c>
      <c r="AN329" s="3"/>
      <c r="AO329" s="3"/>
      <c r="AP329" s="3" t="n">
        <v>5</v>
      </c>
      <c r="AQ329" s="3"/>
      <c r="AR329" s="3"/>
    </row>
    <row r="330" customFormat="false" ht="15" hidden="false" customHeight="true" outlineLevel="0" collapsed="false">
      <c r="A330" s="3" t="s">
        <v>2823</v>
      </c>
      <c r="B330" s="3" t="n">
        <v>4</v>
      </c>
      <c r="C330" s="3" t="n">
        <v>104</v>
      </c>
      <c r="D330" s="3"/>
      <c r="E330" s="4" t="n">
        <v>46292.0794932407</v>
      </c>
      <c r="F330" s="3" t="n">
        <v>25</v>
      </c>
      <c r="G330" s="3" t="str">
        <f aca="false">IF(F330="","",IF(F330&gt;=Notes!$B$5,"Elderly ("&amp;Notes!$B$5&amp;"+)",IF(F330&lt;=Notes!$B$4,"Student age (≤"&amp;Notes!$B$4&amp;")","Middle-aged ("&amp;(Notes!$B$4+1)&amp;"–"&amp;(Notes!$B$5-1)&amp;")")))</f>
        <v>Student age (≤29)</v>
      </c>
      <c r="H330" s="3" t="s">
        <v>83</v>
      </c>
      <c r="I330" s="3" t="s">
        <v>71</v>
      </c>
      <c r="J330" s="3" t="s">
        <v>47</v>
      </c>
      <c r="K330" s="3" t="s">
        <v>72</v>
      </c>
      <c r="L330" s="3" t="s">
        <v>71</v>
      </c>
      <c r="M330" s="3" t="s">
        <v>47</v>
      </c>
      <c r="N330" s="3" t="s">
        <v>72</v>
      </c>
      <c r="O330" s="3" t="s">
        <v>2515</v>
      </c>
      <c r="P330" s="3"/>
      <c r="Q330" s="3" t="s">
        <v>95</v>
      </c>
      <c r="R330" s="3" t="s">
        <v>2523</v>
      </c>
      <c r="S330" s="3" t="s">
        <v>2503</v>
      </c>
      <c r="T330" s="3" t="s">
        <v>2533</v>
      </c>
      <c r="U330" s="3" t="s">
        <v>2242</v>
      </c>
      <c r="V330" s="3" t="s">
        <v>2516</v>
      </c>
      <c r="W330" s="3" t="s">
        <v>2546</v>
      </c>
      <c r="X330" s="3" t="s">
        <v>2824</v>
      </c>
      <c r="Y330" s="3" t="n">
        <v>3</v>
      </c>
      <c r="Z330" s="3" t="n">
        <v>2</v>
      </c>
      <c r="AA330" s="3" t="n">
        <v>1</v>
      </c>
      <c r="AB330" s="3" t="n">
        <v>3</v>
      </c>
      <c r="AC330" s="3" t="n">
        <v>2</v>
      </c>
      <c r="AD330" s="3" t="n">
        <v>1</v>
      </c>
      <c r="AE330" s="3" t="s">
        <v>2825</v>
      </c>
      <c r="AF330" s="3" t="s">
        <v>846</v>
      </c>
      <c r="AG330" s="3"/>
      <c r="AH330" s="3"/>
      <c r="AI330" s="3" t="s">
        <v>2628</v>
      </c>
      <c r="AJ330" s="3" t="s">
        <v>59</v>
      </c>
      <c r="AK330" s="3"/>
      <c r="AL330" s="3"/>
      <c r="AM330" s="3" t="n">
        <v>4</v>
      </c>
      <c r="AN330" s="3"/>
      <c r="AO330" s="3"/>
      <c r="AP330" s="3" t="n">
        <v>4</v>
      </c>
      <c r="AQ330" s="3"/>
      <c r="AR330" s="3"/>
    </row>
    <row r="331" customFormat="false" ht="15" hidden="false" customHeight="true" outlineLevel="0" collapsed="false">
      <c r="A331" s="3" t="s">
        <v>2826</v>
      </c>
      <c r="B331" s="3" t="n">
        <v>4</v>
      </c>
      <c r="C331" s="3" t="n">
        <v>105</v>
      </c>
      <c r="D331" s="3"/>
      <c r="E331" s="4" t="n">
        <v>46292.1231856713</v>
      </c>
      <c r="F331" s="3" t="n">
        <v>43</v>
      </c>
      <c r="G331" s="3" t="str">
        <f aca="false">IF(F331="","",IF(F331&gt;=Notes!$B$5,"Elderly ("&amp;Notes!$B$5&amp;"+)",IF(F331&lt;=Notes!$B$4,"Student age (≤"&amp;Notes!$B$4&amp;")","Middle-aged ("&amp;(Notes!$B$4+1)&amp;"–"&amp;(Notes!$B$5-1)&amp;")")))</f>
        <v>Middle-aged (30–64)</v>
      </c>
      <c r="H331" s="3" t="s">
        <v>45</v>
      </c>
      <c r="I331" s="3"/>
      <c r="J331" s="3" t="s">
        <v>437</v>
      </c>
      <c r="K331" s="3" t="s">
        <v>437</v>
      </c>
      <c r="L331" s="3"/>
      <c r="M331" s="3" t="s">
        <v>47</v>
      </c>
      <c r="N331" s="3" t="s">
        <v>47</v>
      </c>
      <c r="O331" s="3" t="s">
        <v>2515</v>
      </c>
      <c r="P331" s="3"/>
      <c r="Q331" s="3" t="s">
        <v>117</v>
      </c>
      <c r="R331" s="3" t="s">
        <v>2494</v>
      </c>
      <c r="S331" s="3" t="s">
        <v>2494</v>
      </c>
      <c r="T331" s="3" t="s">
        <v>2495</v>
      </c>
      <c r="U331" s="3" t="s">
        <v>59</v>
      </c>
      <c r="V331" s="3" t="s">
        <v>2617</v>
      </c>
      <c r="W331" s="3" t="s">
        <v>2497</v>
      </c>
      <c r="X331" s="3"/>
      <c r="Y331" s="3" t="n">
        <v>3</v>
      </c>
      <c r="Z331" s="3" t="n">
        <v>1</v>
      </c>
      <c r="AA331" s="3" t="n">
        <v>2</v>
      </c>
      <c r="AB331" s="3" t="n">
        <v>3</v>
      </c>
      <c r="AC331" s="3" t="n">
        <v>1</v>
      </c>
      <c r="AD331" s="3" t="n">
        <v>2</v>
      </c>
      <c r="AE331" s="3" t="s">
        <v>2542</v>
      </c>
      <c r="AF331" s="3" t="s">
        <v>847</v>
      </c>
      <c r="AG331" s="3"/>
      <c r="AH331" s="3"/>
      <c r="AI331" s="3" t="s">
        <v>2628</v>
      </c>
      <c r="AJ331" s="3" t="s">
        <v>59</v>
      </c>
      <c r="AK331" s="3"/>
      <c r="AL331" s="3"/>
      <c r="AM331" s="3" t="n">
        <v>2</v>
      </c>
      <c r="AN331" s="3"/>
      <c r="AO331" s="3"/>
      <c r="AP331" s="3" t="n">
        <v>1</v>
      </c>
      <c r="AQ331" s="3"/>
      <c r="AR331" s="3"/>
    </row>
    <row r="332" customFormat="false" ht="15" hidden="false" customHeight="true" outlineLevel="0" collapsed="false">
      <c r="A332" s="3" t="s">
        <v>2827</v>
      </c>
      <c r="B332" s="3" t="n">
        <v>4</v>
      </c>
      <c r="C332" s="3" t="n">
        <v>106</v>
      </c>
      <c r="D332" s="3"/>
      <c r="E332" s="4" t="n">
        <v>46292.5070564236</v>
      </c>
      <c r="F332" s="3" t="n">
        <v>28</v>
      </c>
      <c r="G332" s="3" t="str">
        <f aca="false">IF(F332="","",IF(F332&gt;=Notes!$B$5,"Elderly ("&amp;Notes!$B$5&amp;"+)",IF(F332&lt;=Notes!$B$4,"Student age (≤"&amp;Notes!$B$4&amp;")","Middle-aged ("&amp;(Notes!$B$4+1)&amp;"–"&amp;(Notes!$B$5-1)&amp;")")))</f>
        <v>Student age (≤29)</v>
      </c>
      <c r="H332" s="3" t="s">
        <v>83</v>
      </c>
      <c r="I332" s="3" t="s">
        <v>49</v>
      </c>
      <c r="J332" s="3" t="s">
        <v>47</v>
      </c>
      <c r="K332" s="3" t="s">
        <v>50</v>
      </c>
      <c r="L332" s="3" t="s">
        <v>49</v>
      </c>
      <c r="M332" s="3" t="s">
        <v>47</v>
      </c>
      <c r="N332" s="3" t="s">
        <v>50</v>
      </c>
      <c r="O332" s="3" t="s">
        <v>2515</v>
      </c>
      <c r="P332" s="3"/>
      <c r="Q332" s="3" t="s">
        <v>52</v>
      </c>
      <c r="R332" s="3" t="s">
        <v>2494</v>
      </c>
      <c r="S332" s="3" t="s">
        <v>2539</v>
      </c>
      <c r="T332" s="3" t="s">
        <v>2495</v>
      </c>
      <c r="U332" s="3" t="s">
        <v>1690</v>
      </c>
      <c r="V332" s="3" t="s">
        <v>2496</v>
      </c>
      <c r="W332" s="3" t="s">
        <v>2497</v>
      </c>
      <c r="X332" s="3" t="s">
        <v>2828</v>
      </c>
      <c r="Y332" s="3" t="n">
        <v>3</v>
      </c>
      <c r="Z332" s="3" t="n">
        <v>1</v>
      </c>
      <c r="AA332" s="3" t="n">
        <v>2</v>
      </c>
      <c r="AB332" s="3" t="n">
        <v>2</v>
      </c>
      <c r="AC332" s="3" t="n">
        <v>1</v>
      </c>
      <c r="AD332" s="3" t="n">
        <v>3</v>
      </c>
      <c r="AE332" s="3" t="s">
        <v>2829</v>
      </c>
      <c r="AF332" s="3" t="s">
        <v>846</v>
      </c>
      <c r="AG332" s="3"/>
      <c r="AH332" s="3"/>
      <c r="AI332" s="3" t="s">
        <v>2608</v>
      </c>
      <c r="AJ332" s="3" t="s">
        <v>59</v>
      </c>
      <c r="AK332" s="3"/>
      <c r="AL332" s="3"/>
      <c r="AM332" s="3" t="n">
        <v>4</v>
      </c>
      <c r="AN332" s="3"/>
      <c r="AO332" s="3"/>
      <c r="AP332" s="3" t="n">
        <v>5</v>
      </c>
      <c r="AQ332" s="3"/>
      <c r="AR332" s="3"/>
    </row>
    <row r="333" customFormat="false" ht="15" hidden="false" customHeight="true" outlineLevel="0" collapsed="false">
      <c r="A333" s="3" t="s">
        <v>2830</v>
      </c>
      <c r="B333" s="3" t="n">
        <v>4</v>
      </c>
      <c r="C333" s="3" t="n">
        <v>107</v>
      </c>
      <c r="D333" s="3"/>
      <c r="E333" s="4" t="n">
        <v>46293.7361253588</v>
      </c>
      <c r="F333" s="3" t="n">
        <v>24</v>
      </c>
      <c r="G333" s="3" t="str">
        <f aca="false">IF(F333="","",IF(F333&gt;=Notes!$B$5,"Elderly ("&amp;Notes!$B$5&amp;"+)",IF(F333&lt;=Notes!$B$4,"Student age (≤"&amp;Notes!$B$4&amp;")","Middle-aged ("&amp;(Notes!$B$4+1)&amp;"–"&amp;(Notes!$B$5-1)&amp;")")))</f>
        <v>Student age (≤29)</v>
      </c>
      <c r="H333" s="3" t="s">
        <v>83</v>
      </c>
      <c r="I333" s="3"/>
      <c r="J333" s="3" t="s">
        <v>437</v>
      </c>
      <c r="K333" s="3" t="s">
        <v>437</v>
      </c>
      <c r="L333" s="3"/>
      <c r="M333" s="3" t="s">
        <v>47</v>
      </c>
      <c r="N333" s="3" t="s">
        <v>47</v>
      </c>
      <c r="O333" s="3" t="s">
        <v>2538</v>
      </c>
      <c r="P333" s="3"/>
      <c r="Q333" s="3" t="s">
        <v>95</v>
      </c>
      <c r="R333" s="3" t="s">
        <v>2493</v>
      </c>
      <c r="S333" s="3" t="s">
        <v>2524</v>
      </c>
      <c r="T333" s="3" t="s">
        <v>2495</v>
      </c>
      <c r="U333" s="3" t="s">
        <v>1690</v>
      </c>
      <c r="V333" s="3" t="s">
        <v>2516</v>
      </c>
      <c r="W333" s="3" t="s">
        <v>2546</v>
      </c>
      <c r="X333" s="3" t="s">
        <v>2831</v>
      </c>
      <c r="Y333" s="3" t="n">
        <v>3</v>
      </c>
      <c r="Z333" s="3" t="n">
        <v>2</v>
      </c>
      <c r="AA333" s="3" t="n">
        <v>1</v>
      </c>
      <c r="AB333" s="3" t="n">
        <v>3</v>
      </c>
      <c r="AC333" s="3" t="n">
        <v>1</v>
      </c>
      <c r="AD333" s="3" t="n">
        <v>2</v>
      </c>
      <c r="AE333" s="3" t="s">
        <v>2829</v>
      </c>
      <c r="AF333" s="3" t="s">
        <v>846</v>
      </c>
      <c r="AG333" s="3"/>
      <c r="AH333" s="3"/>
      <c r="AI333" s="3" t="s">
        <v>2519</v>
      </c>
      <c r="AJ333" s="3" t="s">
        <v>59</v>
      </c>
      <c r="AK333" s="3"/>
      <c r="AL333" s="3"/>
      <c r="AM333" s="3" t="n">
        <v>5</v>
      </c>
      <c r="AN333" s="3"/>
      <c r="AO333" s="3"/>
      <c r="AP333" s="3" t="n">
        <v>5</v>
      </c>
      <c r="AQ333" s="3"/>
      <c r="AR333" s="3"/>
    </row>
    <row r="334" customFormat="false" ht="15" hidden="false" customHeight="true" outlineLevel="0" collapsed="false">
      <c r="A334" s="3" t="s">
        <v>2832</v>
      </c>
      <c r="B334" s="3" t="n">
        <v>5</v>
      </c>
      <c r="C334" s="3" t="n">
        <v>2</v>
      </c>
      <c r="D334" s="3"/>
      <c r="E334" s="4"/>
      <c r="F334" s="3" t="n">
        <v>24</v>
      </c>
      <c r="G334" s="3" t="str">
        <f aca="false">IF(F334="","",IF(F334&gt;=Notes!$B$5,"Elderly ("&amp;Notes!$B$5&amp;"+)",IF(F334&lt;=Notes!$B$4,"Student age (≤"&amp;Notes!$B$4&amp;")","Middle-aged ("&amp;(Notes!$B$4+1)&amp;"–"&amp;(Notes!$B$5-1)&amp;")")))</f>
        <v>Student age (≤29)</v>
      </c>
      <c r="H334" s="3" t="s">
        <v>45</v>
      </c>
      <c r="I334" s="3" t="s">
        <v>71</v>
      </c>
      <c r="J334" s="3" t="s">
        <v>47</v>
      </c>
      <c r="K334" s="3" t="s">
        <v>72</v>
      </c>
      <c r="L334" s="3" t="s">
        <v>49</v>
      </c>
      <c r="M334" s="3" t="s">
        <v>47</v>
      </c>
      <c r="N334" s="3" t="s">
        <v>50</v>
      </c>
      <c r="O334" s="3" t="s">
        <v>2833</v>
      </c>
      <c r="P334" s="3" t="n">
        <v>75</v>
      </c>
      <c r="Q334" s="3" t="s">
        <v>52</v>
      </c>
      <c r="R334" s="3" t="s">
        <v>2834</v>
      </c>
      <c r="S334" s="3" t="s">
        <v>2835</v>
      </c>
      <c r="T334" s="3"/>
      <c r="U334" s="3" t="s">
        <v>98</v>
      </c>
      <c r="V334" s="3" t="s">
        <v>2836</v>
      </c>
      <c r="W334" s="3" t="s">
        <v>2837</v>
      </c>
      <c r="X334" s="3" t="s">
        <v>2838</v>
      </c>
      <c r="Y334" s="3" t="n">
        <v>1</v>
      </c>
      <c r="Z334" s="3" t="n">
        <v>2</v>
      </c>
      <c r="AA334" s="3" t="n">
        <v>3</v>
      </c>
      <c r="AB334" s="3" t="n">
        <v>1</v>
      </c>
      <c r="AC334" s="3" t="n">
        <v>3</v>
      </c>
      <c r="AD334" s="3" t="n">
        <v>2</v>
      </c>
      <c r="AE334" s="3" t="s">
        <v>2839</v>
      </c>
      <c r="AF334" s="3"/>
      <c r="AG334" s="3" t="s">
        <v>2840</v>
      </c>
      <c r="AH334" s="3"/>
      <c r="AI334" s="3" t="s">
        <v>2841</v>
      </c>
      <c r="AJ334" s="3" t="s">
        <v>59</v>
      </c>
      <c r="AK334" s="3"/>
      <c r="AL334" s="3" t="s">
        <v>59</v>
      </c>
      <c r="AM334" s="3"/>
      <c r="AN334" s="3"/>
      <c r="AO334" s="3" t="s">
        <v>59</v>
      </c>
      <c r="AP334" s="3"/>
      <c r="AQ334" s="3"/>
      <c r="AR334" s="3"/>
    </row>
    <row r="335" customFormat="false" ht="15" hidden="false" customHeight="true" outlineLevel="0" collapsed="false">
      <c r="A335" s="3" t="s">
        <v>2842</v>
      </c>
      <c r="B335" s="3" t="n">
        <v>5</v>
      </c>
      <c r="C335" s="3" t="n">
        <v>3</v>
      </c>
      <c r="D335" s="3"/>
      <c r="E335" s="4"/>
      <c r="F335" s="3" t="n">
        <v>56</v>
      </c>
      <c r="G335" s="3" t="str">
        <f aca="false">IF(F335="","",IF(F335&gt;=Notes!$B$5,"Elderly ("&amp;Notes!$B$5&amp;"+)",IF(F335&lt;=Notes!$B$4,"Student age (≤"&amp;Notes!$B$4&amp;")","Middle-aged ("&amp;(Notes!$B$4+1)&amp;"–"&amp;(Notes!$B$5-1)&amp;")")))</f>
        <v>Middle-aged (30–64)</v>
      </c>
      <c r="H335" s="3" t="s">
        <v>83</v>
      </c>
      <c r="I335" s="3" t="s">
        <v>159</v>
      </c>
      <c r="J335" s="3" t="s">
        <v>47</v>
      </c>
      <c r="K335" s="3" t="s">
        <v>160</v>
      </c>
      <c r="L335" s="3" t="s">
        <v>71</v>
      </c>
      <c r="M335" s="3" t="s">
        <v>47</v>
      </c>
      <c r="N335" s="3" t="s">
        <v>72</v>
      </c>
      <c r="O335" s="3" t="s">
        <v>2843</v>
      </c>
      <c r="P335" s="3" t="n">
        <v>40</v>
      </c>
      <c r="Q335" s="3" t="s">
        <v>52</v>
      </c>
      <c r="R335" s="3" t="s">
        <v>2844</v>
      </c>
      <c r="S335" s="3" t="s">
        <v>2845</v>
      </c>
      <c r="T335" s="3"/>
      <c r="U335" s="3" t="s">
        <v>2846</v>
      </c>
      <c r="V335" s="3" t="s">
        <v>2847</v>
      </c>
      <c r="W335" s="3" t="s">
        <v>2848</v>
      </c>
      <c r="X335" s="3" t="s">
        <v>2849</v>
      </c>
      <c r="Y335" s="3" t="n">
        <v>2</v>
      </c>
      <c r="Z335" s="3" t="n">
        <v>1</v>
      </c>
      <c r="AA335" s="3" t="n">
        <v>3</v>
      </c>
      <c r="AB335" s="3" t="n">
        <v>2</v>
      </c>
      <c r="AC335" s="3" t="n">
        <v>1</v>
      </c>
      <c r="AD335" s="3" t="n">
        <v>3</v>
      </c>
      <c r="AE335" s="3" t="s">
        <v>2850</v>
      </c>
      <c r="AF335" s="3"/>
      <c r="AG335" s="3" t="s">
        <v>2851</v>
      </c>
      <c r="AH335" s="3"/>
      <c r="AI335" s="3" t="s">
        <v>2852</v>
      </c>
      <c r="AJ335" s="3"/>
      <c r="AK335" s="3" t="s">
        <v>2853</v>
      </c>
      <c r="AL335" s="3"/>
      <c r="AM335" s="3"/>
      <c r="AN335" s="3" t="s">
        <v>2854</v>
      </c>
      <c r="AO335" s="3" t="s">
        <v>59</v>
      </c>
      <c r="AP335" s="3"/>
      <c r="AQ335" s="3"/>
      <c r="AR335" s="3"/>
    </row>
    <row r="336" customFormat="false" ht="15" hidden="false" customHeight="true" outlineLevel="0" collapsed="false">
      <c r="A336" s="3" t="s">
        <v>2855</v>
      </c>
      <c r="B336" s="3" t="n">
        <v>5</v>
      </c>
      <c r="C336" s="3" t="n">
        <v>4</v>
      </c>
      <c r="D336" s="3"/>
      <c r="E336" s="4"/>
      <c r="F336" s="3" t="n">
        <v>23</v>
      </c>
      <c r="G336" s="3" t="str">
        <f aca="false">IF(F336="","",IF(F336&gt;=Notes!$B$5,"Elderly ("&amp;Notes!$B$5&amp;"+)",IF(F336&lt;=Notes!$B$4,"Student age (≤"&amp;Notes!$B$4&amp;")","Middle-aged ("&amp;(Notes!$B$4+1)&amp;"–"&amp;(Notes!$B$5-1)&amp;")")))</f>
        <v>Student age (≤29)</v>
      </c>
      <c r="H336" s="3" t="s">
        <v>83</v>
      </c>
      <c r="I336" s="3"/>
      <c r="J336" s="3" t="s">
        <v>47</v>
      </c>
      <c r="K336" s="3" t="s">
        <v>47</v>
      </c>
      <c r="L336" s="3"/>
      <c r="M336" s="3" t="s">
        <v>47</v>
      </c>
      <c r="N336" s="3" t="s">
        <v>47</v>
      </c>
      <c r="O336" s="3" t="s">
        <v>2856</v>
      </c>
      <c r="P336" s="3" t="n">
        <v>65</v>
      </c>
      <c r="Q336" s="3" t="s">
        <v>52</v>
      </c>
      <c r="R336" s="3" t="s">
        <v>2857</v>
      </c>
      <c r="S336" s="3" t="s">
        <v>2858</v>
      </c>
      <c r="T336" s="3"/>
      <c r="U336" s="3" t="s">
        <v>2859</v>
      </c>
      <c r="V336" s="3" t="s">
        <v>2860</v>
      </c>
      <c r="W336" s="3" t="s">
        <v>2861</v>
      </c>
      <c r="X336" s="3" t="s">
        <v>2862</v>
      </c>
      <c r="Y336" s="3" t="n">
        <v>2</v>
      </c>
      <c r="Z336" s="3" t="n">
        <v>1</v>
      </c>
      <c r="AA336" s="3" t="n">
        <v>3</v>
      </c>
      <c r="AB336" s="3" t="n">
        <v>2</v>
      </c>
      <c r="AC336" s="3" t="n">
        <v>3</v>
      </c>
      <c r="AD336" s="3" t="n">
        <v>1</v>
      </c>
      <c r="AE336" s="3" t="s">
        <v>2863</v>
      </c>
      <c r="AF336" s="3"/>
      <c r="AG336" s="3" t="s">
        <v>2864</v>
      </c>
      <c r="AH336" s="3"/>
      <c r="AI336" s="3" t="s">
        <v>2865</v>
      </c>
      <c r="AJ336" s="3" t="s">
        <v>59</v>
      </c>
      <c r="AK336" s="3" t="s">
        <v>2866</v>
      </c>
      <c r="AL336" s="3" t="s">
        <v>59</v>
      </c>
      <c r="AM336" s="3"/>
      <c r="AN336" s="3" t="s">
        <v>2867</v>
      </c>
      <c r="AO336" s="3" t="s">
        <v>59</v>
      </c>
      <c r="AP336" s="3"/>
      <c r="AQ336" s="3" t="s">
        <v>2868</v>
      </c>
      <c r="AR336" s="3"/>
    </row>
    <row r="337" customFormat="false" ht="15" hidden="false" customHeight="true" outlineLevel="0" collapsed="false">
      <c r="A337" s="3" t="s">
        <v>2869</v>
      </c>
      <c r="B337" s="3" t="n">
        <v>5</v>
      </c>
      <c r="C337" s="3" t="n">
        <v>5</v>
      </c>
      <c r="D337" s="3"/>
      <c r="E337" s="4"/>
      <c r="F337" s="3" t="n">
        <v>50</v>
      </c>
      <c r="G337" s="3" t="str">
        <f aca="false">IF(F337="","",IF(F337&gt;=Notes!$B$5,"Elderly ("&amp;Notes!$B$5&amp;"+)",IF(F337&lt;=Notes!$B$4,"Student age (≤"&amp;Notes!$B$4&amp;")","Middle-aged ("&amp;(Notes!$B$4+1)&amp;"–"&amp;(Notes!$B$5-1)&amp;")")))</f>
        <v>Middle-aged (30–64)</v>
      </c>
      <c r="H337" s="3" t="s">
        <v>45</v>
      </c>
      <c r="I337" s="3" t="s">
        <v>71</v>
      </c>
      <c r="J337" s="3" t="s">
        <v>47</v>
      </c>
      <c r="K337" s="3" t="s">
        <v>72</v>
      </c>
      <c r="L337" s="3" t="s">
        <v>71</v>
      </c>
      <c r="M337" s="3" t="s">
        <v>47</v>
      </c>
      <c r="N337" s="3" t="s">
        <v>72</v>
      </c>
      <c r="O337" s="3" t="s">
        <v>2870</v>
      </c>
      <c r="P337" s="3" t="n">
        <v>40</v>
      </c>
      <c r="Q337" s="3" t="s">
        <v>52</v>
      </c>
      <c r="R337" s="3" t="s">
        <v>2871</v>
      </c>
      <c r="S337" s="3" t="s">
        <v>2872</v>
      </c>
      <c r="T337" s="3"/>
      <c r="U337" s="3" t="s">
        <v>2873</v>
      </c>
      <c r="V337" s="3" t="s">
        <v>2874</v>
      </c>
      <c r="W337" s="3" t="s">
        <v>2875</v>
      </c>
      <c r="X337" s="3" t="s">
        <v>2876</v>
      </c>
      <c r="Y337" s="3" t="n">
        <v>3</v>
      </c>
      <c r="Z337" s="3" t="n">
        <v>1</v>
      </c>
      <c r="AA337" s="3" t="n">
        <v>2</v>
      </c>
      <c r="AB337" s="3" t="n">
        <v>3</v>
      </c>
      <c r="AC337" s="3" t="n">
        <v>2</v>
      </c>
      <c r="AD337" s="3" t="n">
        <v>1</v>
      </c>
      <c r="AE337" s="3" t="s">
        <v>2877</v>
      </c>
      <c r="AF337" s="3"/>
      <c r="AG337" s="3" t="s">
        <v>2878</v>
      </c>
      <c r="AH337" s="3"/>
      <c r="AI337" s="3" t="s">
        <v>2879</v>
      </c>
      <c r="AJ337" s="3" t="s">
        <v>59</v>
      </c>
      <c r="AK337" s="3" t="s">
        <v>2880</v>
      </c>
      <c r="AL337" s="3"/>
      <c r="AM337" s="3"/>
      <c r="AN337" s="3" t="s">
        <v>2881</v>
      </c>
      <c r="AO337" s="3" t="s">
        <v>59</v>
      </c>
      <c r="AP337" s="3"/>
      <c r="AQ337" s="3" t="s">
        <v>2882</v>
      </c>
      <c r="AR337" s="3"/>
    </row>
    <row r="338" customFormat="false" ht="15" hidden="false" customHeight="true" outlineLevel="0" collapsed="false">
      <c r="A338" s="3" t="s">
        <v>2883</v>
      </c>
      <c r="B338" s="3" t="n">
        <v>5</v>
      </c>
      <c r="C338" s="3" t="n">
        <v>6</v>
      </c>
      <c r="D338" s="3"/>
      <c r="E338" s="4"/>
      <c r="F338" s="3" t="n">
        <v>57</v>
      </c>
      <c r="G338" s="3" t="str">
        <f aca="false">IF(F338="","",IF(F338&gt;=Notes!$B$5,"Elderly ("&amp;Notes!$B$5&amp;"+)",IF(F338&lt;=Notes!$B$4,"Student age (≤"&amp;Notes!$B$4&amp;")","Middle-aged ("&amp;(Notes!$B$4+1)&amp;"–"&amp;(Notes!$B$5-1)&amp;")")))</f>
        <v>Middle-aged (30–64)</v>
      </c>
      <c r="H338" s="3" t="s">
        <v>45</v>
      </c>
      <c r="I338" s="3"/>
      <c r="J338" s="3" t="s">
        <v>2884</v>
      </c>
      <c r="K338" s="3" t="s">
        <v>2884</v>
      </c>
      <c r="L338" s="3"/>
      <c r="M338" s="3" t="s">
        <v>47</v>
      </c>
      <c r="N338" s="3" t="s">
        <v>47</v>
      </c>
      <c r="O338" s="3" t="s">
        <v>2885</v>
      </c>
      <c r="P338" s="3" t="n">
        <v>30</v>
      </c>
      <c r="Q338" s="3" t="s">
        <v>117</v>
      </c>
      <c r="R338" s="3" t="s">
        <v>130</v>
      </c>
      <c r="S338" s="3" t="s">
        <v>2886</v>
      </c>
      <c r="T338" s="3"/>
      <c r="U338" s="3" t="s">
        <v>2887</v>
      </c>
      <c r="V338" s="3" t="s">
        <v>2886</v>
      </c>
      <c r="W338" s="3" t="s">
        <v>2888</v>
      </c>
      <c r="X338" s="3" t="s">
        <v>2889</v>
      </c>
      <c r="Y338" s="3"/>
      <c r="Z338" s="3"/>
      <c r="AA338" s="3"/>
      <c r="AB338" s="3" t="n">
        <v>3</v>
      </c>
      <c r="AC338" s="3" t="n">
        <v>1</v>
      </c>
      <c r="AD338" s="3" t="n">
        <v>2</v>
      </c>
      <c r="AE338" s="3" t="s">
        <v>2890</v>
      </c>
      <c r="AF338" s="3"/>
      <c r="AG338" s="3" t="s">
        <v>2891</v>
      </c>
      <c r="AH338" s="3"/>
      <c r="AI338" s="3" t="s">
        <v>2892</v>
      </c>
      <c r="AJ338" s="3" t="s">
        <v>59</v>
      </c>
      <c r="AK338" s="3" t="s">
        <v>2893</v>
      </c>
      <c r="AL338" s="3" t="s">
        <v>59</v>
      </c>
      <c r="AM338" s="3"/>
      <c r="AN338" s="3" t="s">
        <v>2894</v>
      </c>
      <c r="AO338" s="3" t="s">
        <v>59</v>
      </c>
      <c r="AP338" s="3"/>
      <c r="AQ338" s="3" t="s">
        <v>2895</v>
      </c>
      <c r="AR338" s="3" t="s">
        <v>2896</v>
      </c>
    </row>
    <row r="339" customFormat="false" ht="15" hidden="false" customHeight="true" outlineLevel="0" collapsed="false">
      <c r="A339" s="3" t="s">
        <v>2897</v>
      </c>
      <c r="B339" s="3" t="n">
        <v>5</v>
      </c>
      <c r="C339" s="3" t="n">
        <v>7</v>
      </c>
      <c r="D339" s="3"/>
      <c r="E339" s="4"/>
      <c r="F339" s="3" t="n">
        <v>17</v>
      </c>
      <c r="G339" s="3" t="str">
        <f aca="false">IF(F339="","",IF(F339&gt;=Notes!$B$5,"Elderly ("&amp;Notes!$B$5&amp;"+)",IF(F339&lt;=Notes!$B$4,"Student age (≤"&amp;Notes!$B$4&amp;")","Middle-aged ("&amp;(Notes!$B$4+1)&amp;"–"&amp;(Notes!$B$5-1)&amp;")")))</f>
        <v>Student age (≤29)</v>
      </c>
      <c r="H339" s="3" t="s">
        <v>45</v>
      </c>
      <c r="I339" s="3" t="s">
        <v>71</v>
      </c>
      <c r="J339" s="3" t="s">
        <v>47</v>
      </c>
      <c r="K339" s="3" t="s">
        <v>72</v>
      </c>
      <c r="L339" s="3" t="s">
        <v>71</v>
      </c>
      <c r="M339" s="3" t="s">
        <v>47</v>
      </c>
      <c r="N339" s="3" t="s">
        <v>72</v>
      </c>
      <c r="O339" s="3" t="s">
        <v>2898</v>
      </c>
      <c r="P339" s="3" t="n">
        <v>30</v>
      </c>
      <c r="Q339" s="3" t="s">
        <v>117</v>
      </c>
      <c r="R339" s="3" t="s">
        <v>2899</v>
      </c>
      <c r="S339" s="3" t="s">
        <v>2900</v>
      </c>
      <c r="T339" s="3"/>
      <c r="U339" s="3" t="s">
        <v>2901</v>
      </c>
      <c r="V339" s="3" t="s">
        <v>2902</v>
      </c>
      <c r="W339" s="3" t="s">
        <v>2903</v>
      </c>
      <c r="X339" s="3" t="s">
        <v>2904</v>
      </c>
      <c r="Y339" s="3" t="n">
        <v>3</v>
      </c>
      <c r="Z339" s="3" t="n">
        <v>1</v>
      </c>
      <c r="AA339" s="3" t="n">
        <v>2</v>
      </c>
      <c r="AB339" s="3" t="n">
        <v>2</v>
      </c>
      <c r="AC339" s="3" t="n">
        <v>3</v>
      </c>
      <c r="AD339" s="3" t="n">
        <v>1</v>
      </c>
      <c r="AE339" s="3" t="s">
        <v>2905</v>
      </c>
      <c r="AF339" s="3"/>
      <c r="AG339" s="3" t="s">
        <v>2906</v>
      </c>
      <c r="AH339" s="3"/>
      <c r="AI339" s="3" t="s">
        <v>2907</v>
      </c>
      <c r="AJ339" s="3" t="s">
        <v>59</v>
      </c>
      <c r="AK339" s="3" t="s">
        <v>2908</v>
      </c>
      <c r="AL339" s="3" t="s">
        <v>59</v>
      </c>
      <c r="AM339" s="3"/>
      <c r="AN339" s="3" t="s">
        <v>2909</v>
      </c>
      <c r="AO339" s="3" t="s">
        <v>59</v>
      </c>
      <c r="AP339" s="3"/>
      <c r="AQ339" s="3"/>
      <c r="AR339" s="3"/>
    </row>
    <row r="340" customFormat="false" ht="15" hidden="false" customHeight="true" outlineLevel="0" collapsed="false">
      <c r="A340" s="3" t="s">
        <v>2910</v>
      </c>
      <c r="B340" s="3" t="n">
        <v>5</v>
      </c>
      <c r="C340" s="3" t="n">
        <v>8</v>
      </c>
      <c r="D340" s="3"/>
      <c r="E340" s="4"/>
      <c r="F340" s="3" t="n">
        <v>48</v>
      </c>
      <c r="G340" s="3" t="str">
        <f aca="false">IF(F340="","",IF(F340&gt;=Notes!$B$5,"Elderly ("&amp;Notes!$B$5&amp;"+)",IF(F340&lt;=Notes!$B$4,"Student age (≤"&amp;Notes!$B$4&amp;")","Middle-aged ("&amp;(Notes!$B$4+1)&amp;"–"&amp;(Notes!$B$5-1)&amp;")")))</f>
        <v>Middle-aged (30–64)</v>
      </c>
      <c r="H340" s="3" t="s">
        <v>45</v>
      </c>
      <c r="I340" s="3"/>
      <c r="J340" s="3" t="s">
        <v>2911</v>
      </c>
      <c r="K340" s="3" t="s">
        <v>2911</v>
      </c>
      <c r="L340" s="3" t="s">
        <v>71</v>
      </c>
      <c r="M340" s="3" t="s">
        <v>47</v>
      </c>
      <c r="N340" s="3" t="s">
        <v>72</v>
      </c>
      <c r="O340" s="3" t="s">
        <v>2912</v>
      </c>
      <c r="P340" s="3" t="n">
        <v>30</v>
      </c>
      <c r="Q340" s="3" t="s">
        <v>117</v>
      </c>
      <c r="R340" s="3" t="s">
        <v>2913</v>
      </c>
      <c r="S340" s="3" t="s">
        <v>2914</v>
      </c>
      <c r="T340" s="3"/>
      <c r="U340" s="3" t="s">
        <v>1768</v>
      </c>
      <c r="V340" s="3" t="s">
        <v>2915</v>
      </c>
      <c r="W340" s="3" t="s">
        <v>2916</v>
      </c>
      <c r="X340" s="3" t="s">
        <v>2917</v>
      </c>
      <c r="Y340" s="3" t="n">
        <v>2</v>
      </c>
      <c r="Z340" s="3" t="n">
        <v>1</v>
      </c>
      <c r="AA340" s="3" t="n">
        <v>3</v>
      </c>
      <c r="AB340" s="3" t="n">
        <v>2</v>
      </c>
      <c r="AC340" s="3" t="n">
        <v>3</v>
      </c>
      <c r="AD340" s="3" t="n">
        <v>1</v>
      </c>
      <c r="AE340" s="3" t="s">
        <v>2918</v>
      </c>
      <c r="AF340" s="3"/>
      <c r="AG340" s="3" t="s">
        <v>2919</v>
      </c>
      <c r="AH340" s="3"/>
      <c r="AI340" s="3" t="s">
        <v>2920</v>
      </c>
      <c r="AJ340" s="3"/>
      <c r="AK340" s="3" t="s">
        <v>2921</v>
      </c>
      <c r="AL340" s="3" t="s">
        <v>59</v>
      </c>
      <c r="AM340" s="3"/>
      <c r="AN340" s="3" t="s">
        <v>2922</v>
      </c>
      <c r="AO340" s="3" t="s">
        <v>59</v>
      </c>
      <c r="AP340" s="3"/>
      <c r="AQ340" s="3" t="s">
        <v>2923</v>
      </c>
      <c r="AR340" s="3"/>
    </row>
    <row r="341" customFormat="false" ht="15" hidden="false" customHeight="true" outlineLevel="0" collapsed="false">
      <c r="A341" s="3" t="s">
        <v>2924</v>
      </c>
      <c r="B341" s="3" t="n">
        <v>5</v>
      </c>
      <c r="C341" s="3" t="n">
        <v>9</v>
      </c>
      <c r="D341" s="3"/>
      <c r="E341" s="4"/>
      <c r="F341" s="3" t="n">
        <v>15</v>
      </c>
      <c r="G341" s="3" t="str">
        <f aca="false">IF(F341="","",IF(F341&gt;=Notes!$B$5,"Elderly ("&amp;Notes!$B$5&amp;"+)",IF(F341&lt;=Notes!$B$4,"Student age (≤"&amp;Notes!$B$4&amp;")","Middle-aged ("&amp;(Notes!$B$4+1)&amp;"–"&amp;(Notes!$B$5-1)&amp;")")))</f>
        <v>Student age (≤29)</v>
      </c>
      <c r="H341" s="3" t="s">
        <v>83</v>
      </c>
      <c r="I341" s="3" t="s">
        <v>71</v>
      </c>
      <c r="J341" s="3" t="s">
        <v>47</v>
      </c>
      <c r="K341" s="3" t="s">
        <v>72</v>
      </c>
      <c r="L341" s="3" t="s">
        <v>71</v>
      </c>
      <c r="M341" s="3" t="s">
        <v>47</v>
      </c>
      <c r="N341" s="3" t="s">
        <v>72</v>
      </c>
      <c r="O341" s="3" t="s">
        <v>2925</v>
      </c>
      <c r="P341" s="3" t="n">
        <v>75</v>
      </c>
      <c r="Q341" s="3" t="s">
        <v>52</v>
      </c>
      <c r="R341" s="3" t="s">
        <v>2926</v>
      </c>
      <c r="S341" s="3" t="s">
        <v>2927</v>
      </c>
      <c r="T341" s="3"/>
      <c r="U341" s="3" t="s">
        <v>2928</v>
      </c>
      <c r="V341" s="3" t="s">
        <v>2929</v>
      </c>
      <c r="W341" s="3" t="s">
        <v>2930</v>
      </c>
      <c r="X341" s="3" t="s">
        <v>2931</v>
      </c>
      <c r="Y341" s="3" t="n">
        <v>3</v>
      </c>
      <c r="Z341" s="3" t="n">
        <v>1</v>
      </c>
      <c r="AA341" s="3" t="n">
        <v>2</v>
      </c>
      <c r="AB341" s="3" t="n">
        <v>3</v>
      </c>
      <c r="AC341" s="3" t="n">
        <v>1</v>
      </c>
      <c r="AD341" s="3" t="n">
        <v>2</v>
      </c>
      <c r="AE341" s="3" t="s">
        <v>2932</v>
      </c>
      <c r="AF341" s="3"/>
      <c r="AG341" s="3" t="s">
        <v>2933</v>
      </c>
      <c r="AH341" s="3"/>
      <c r="AI341" s="3" t="s">
        <v>2934</v>
      </c>
      <c r="AJ341" s="3"/>
      <c r="AK341" s="3" t="s">
        <v>2935</v>
      </c>
      <c r="AL341" s="3" t="s">
        <v>59</v>
      </c>
      <c r="AM341" s="3"/>
      <c r="AN341" s="3"/>
      <c r="AO341" s="3" t="s">
        <v>59</v>
      </c>
      <c r="AP341" s="3"/>
      <c r="AQ341" s="3"/>
      <c r="AR341" s="3"/>
    </row>
    <row r="342" customFormat="false" ht="15" hidden="false" customHeight="true" outlineLevel="0" collapsed="false">
      <c r="A342" s="3" t="s">
        <v>2936</v>
      </c>
      <c r="B342" s="3" t="n">
        <v>5</v>
      </c>
      <c r="C342" s="3" t="n">
        <v>10</v>
      </c>
      <c r="D342" s="3"/>
      <c r="E342" s="4"/>
      <c r="F342" s="3" t="n">
        <v>51</v>
      </c>
      <c r="G342" s="3" t="str">
        <f aca="false">IF(F342="","",IF(F342&gt;=Notes!$B$5,"Elderly ("&amp;Notes!$B$5&amp;"+)",IF(F342&lt;=Notes!$B$4,"Student age (≤"&amp;Notes!$B$4&amp;")","Middle-aged ("&amp;(Notes!$B$4+1)&amp;"–"&amp;(Notes!$B$5-1)&amp;")")))</f>
        <v>Middle-aged (30–64)</v>
      </c>
      <c r="H342" s="3" t="s">
        <v>83</v>
      </c>
      <c r="I342" s="3" t="s">
        <v>71</v>
      </c>
      <c r="J342" s="3" t="s">
        <v>47</v>
      </c>
      <c r="K342" s="3" t="s">
        <v>72</v>
      </c>
      <c r="L342" s="3" t="s">
        <v>71</v>
      </c>
      <c r="M342" s="3" t="s">
        <v>47</v>
      </c>
      <c r="N342" s="3" t="s">
        <v>72</v>
      </c>
      <c r="O342" s="3" t="s">
        <v>2937</v>
      </c>
      <c r="P342" s="3" t="n">
        <v>20</v>
      </c>
      <c r="Q342" s="3" t="s">
        <v>95</v>
      </c>
      <c r="R342" s="3" t="s">
        <v>2938</v>
      </c>
      <c r="S342" s="3" t="s">
        <v>2939</v>
      </c>
      <c r="T342" s="3"/>
      <c r="U342" s="3" t="s">
        <v>2940</v>
      </c>
      <c r="V342" s="3" t="s">
        <v>2941</v>
      </c>
      <c r="W342" s="3" t="s">
        <v>2942</v>
      </c>
      <c r="X342" s="3" t="s">
        <v>2943</v>
      </c>
      <c r="Y342" s="3" t="n">
        <v>3</v>
      </c>
      <c r="Z342" s="3" t="n">
        <v>1</v>
      </c>
      <c r="AA342" s="3" t="n">
        <v>2</v>
      </c>
      <c r="AB342" s="3" t="n">
        <v>1</v>
      </c>
      <c r="AC342" s="3" t="n">
        <v>3</v>
      </c>
      <c r="AD342" s="3" t="n">
        <v>2</v>
      </c>
      <c r="AE342" s="3" t="s">
        <v>2944</v>
      </c>
      <c r="AF342" s="3"/>
      <c r="AG342" s="3" t="s">
        <v>2945</v>
      </c>
      <c r="AH342" s="3"/>
      <c r="AI342" s="3" t="s">
        <v>2946</v>
      </c>
      <c r="AJ342" s="3"/>
      <c r="AK342" s="3" t="s">
        <v>2947</v>
      </c>
      <c r="AL342" s="3" t="s">
        <v>59</v>
      </c>
      <c r="AM342" s="3"/>
      <c r="AN342" s="3"/>
      <c r="AO342" s="3" t="s">
        <v>59</v>
      </c>
      <c r="AP342" s="3"/>
      <c r="AQ342" s="3"/>
      <c r="AR342" s="3"/>
    </row>
    <row r="343" customFormat="false" ht="15" hidden="false" customHeight="true" outlineLevel="0" collapsed="false">
      <c r="A343" s="3" t="s">
        <v>2948</v>
      </c>
      <c r="B343" s="3" t="n">
        <v>5</v>
      </c>
      <c r="C343" s="3" t="n">
        <v>11</v>
      </c>
      <c r="D343" s="3"/>
      <c r="E343" s="4"/>
      <c r="F343" s="3" t="n">
        <v>28</v>
      </c>
      <c r="G343" s="3" t="str">
        <f aca="false">IF(F343="","",IF(F343&gt;=Notes!$B$5,"Elderly ("&amp;Notes!$B$5&amp;"+)",IF(F343&lt;=Notes!$B$4,"Student age (≤"&amp;Notes!$B$4&amp;")","Middle-aged ("&amp;(Notes!$B$4+1)&amp;"–"&amp;(Notes!$B$5-1)&amp;")")))</f>
        <v>Student age (≤29)</v>
      </c>
      <c r="H343" s="3" t="s">
        <v>45</v>
      </c>
      <c r="I343" s="3"/>
      <c r="J343" s="3" t="s">
        <v>47</v>
      </c>
      <c r="K343" s="3" t="s">
        <v>47</v>
      </c>
      <c r="L343" s="3" t="s">
        <v>71</v>
      </c>
      <c r="M343" s="3" t="s">
        <v>47</v>
      </c>
      <c r="N343" s="3" t="s">
        <v>72</v>
      </c>
      <c r="O343" s="3" t="s">
        <v>2037</v>
      </c>
      <c r="P343" s="3" t="n">
        <v>30</v>
      </c>
      <c r="Q343" s="3" t="s">
        <v>117</v>
      </c>
      <c r="R343" s="3" t="s">
        <v>2949</v>
      </c>
      <c r="S343" s="3" t="s">
        <v>1402</v>
      </c>
      <c r="T343" s="3"/>
      <c r="U343" s="3" t="s">
        <v>2950</v>
      </c>
      <c r="V343" s="3" t="s">
        <v>2951</v>
      </c>
      <c r="W343" s="3" t="s">
        <v>2952</v>
      </c>
      <c r="X343" s="3" t="s">
        <v>2953</v>
      </c>
      <c r="Y343" s="3" t="n">
        <v>2</v>
      </c>
      <c r="Z343" s="3" t="n">
        <v>3</v>
      </c>
      <c r="AA343" s="3" t="n">
        <v>1</v>
      </c>
      <c r="AB343" s="3" t="n">
        <v>1</v>
      </c>
      <c r="AC343" s="3" t="n">
        <v>3</v>
      </c>
      <c r="AD343" s="3" t="n">
        <v>2</v>
      </c>
      <c r="AE343" s="3" t="s">
        <v>2954</v>
      </c>
      <c r="AF343" s="3"/>
      <c r="AG343" s="3" t="s">
        <v>1768</v>
      </c>
      <c r="AH343" s="3"/>
      <c r="AI343" s="3" t="s">
        <v>1768</v>
      </c>
      <c r="AJ343" s="3"/>
      <c r="AK343" s="3" t="s">
        <v>2955</v>
      </c>
      <c r="AL343" s="3" t="s">
        <v>98</v>
      </c>
      <c r="AM343" s="3"/>
      <c r="AN343" s="3"/>
      <c r="AO343" s="3" t="s">
        <v>1625</v>
      </c>
      <c r="AP343" s="3"/>
      <c r="AQ343" s="3" t="s">
        <v>2956</v>
      </c>
      <c r="AR343" s="3"/>
    </row>
    <row r="344" customFormat="false" ht="15" hidden="false" customHeight="true" outlineLevel="0" collapsed="false">
      <c r="A344" s="3" t="s">
        <v>2957</v>
      </c>
      <c r="B344" s="3" t="n">
        <v>5</v>
      </c>
      <c r="C344" s="3" t="n">
        <v>12</v>
      </c>
      <c r="D344" s="3"/>
      <c r="E344" s="4"/>
      <c r="F344" s="3" t="n">
        <v>28</v>
      </c>
      <c r="G344" s="3" t="str">
        <f aca="false">IF(F344="","",IF(F344&gt;=Notes!$B$5,"Elderly ("&amp;Notes!$B$5&amp;"+)",IF(F344&lt;=Notes!$B$4,"Student age (≤"&amp;Notes!$B$4&amp;")","Middle-aged ("&amp;(Notes!$B$4+1)&amp;"–"&amp;(Notes!$B$5-1)&amp;")")))</f>
        <v>Student age (≤29)</v>
      </c>
      <c r="H344" s="3" t="s">
        <v>45</v>
      </c>
      <c r="I344" s="3" t="s">
        <v>71</v>
      </c>
      <c r="J344" s="3" t="s">
        <v>47</v>
      </c>
      <c r="K344" s="3" t="s">
        <v>72</v>
      </c>
      <c r="L344" s="3" t="s">
        <v>71</v>
      </c>
      <c r="M344" s="3" t="s">
        <v>47</v>
      </c>
      <c r="N344" s="3" t="s">
        <v>72</v>
      </c>
      <c r="O344" s="3" t="s">
        <v>2958</v>
      </c>
      <c r="P344" s="3" t="n">
        <v>35</v>
      </c>
      <c r="Q344" s="3" t="s">
        <v>52</v>
      </c>
      <c r="R344" s="3" t="s">
        <v>2959</v>
      </c>
      <c r="S344" s="3" t="s">
        <v>2960</v>
      </c>
      <c r="T344" s="3"/>
      <c r="U344" s="3" t="s">
        <v>2961</v>
      </c>
      <c r="V344" s="3" t="s">
        <v>2962</v>
      </c>
      <c r="W344" s="3" t="s">
        <v>2963</v>
      </c>
      <c r="X344" s="3" t="s">
        <v>2964</v>
      </c>
      <c r="Y344" s="3" t="n">
        <v>2</v>
      </c>
      <c r="Z344" s="3" t="n">
        <v>1</v>
      </c>
      <c r="AA344" s="3" t="n">
        <v>3</v>
      </c>
      <c r="AB344" s="3" t="n">
        <v>3</v>
      </c>
      <c r="AC344" s="3" t="n">
        <v>2</v>
      </c>
      <c r="AD344" s="3" t="n">
        <v>1</v>
      </c>
      <c r="AE344" s="3" t="s">
        <v>2965</v>
      </c>
      <c r="AF344" s="3"/>
      <c r="AG344" s="3" t="s">
        <v>1731</v>
      </c>
      <c r="AH344" s="3"/>
      <c r="AI344" s="3" t="s">
        <v>2966</v>
      </c>
      <c r="AJ344" s="3"/>
      <c r="AK344" s="3" t="s">
        <v>2967</v>
      </c>
      <c r="AL344" s="3" t="s">
        <v>59</v>
      </c>
      <c r="AM344" s="3"/>
      <c r="AN344" s="3"/>
      <c r="AO344" s="3" t="s">
        <v>59</v>
      </c>
      <c r="AP344" s="3"/>
      <c r="AQ344" s="3"/>
      <c r="AR344" s="3"/>
    </row>
    <row r="345" customFormat="false" ht="15" hidden="false" customHeight="true" outlineLevel="0" collapsed="false">
      <c r="A345" s="3" t="s">
        <v>2968</v>
      </c>
      <c r="B345" s="3" t="n">
        <v>5</v>
      </c>
      <c r="C345" s="3" t="n">
        <v>13</v>
      </c>
      <c r="D345" s="3"/>
      <c r="E345" s="4"/>
      <c r="F345" s="3" t="n">
        <v>45</v>
      </c>
      <c r="G345" s="3" t="str">
        <f aca="false">IF(F345="","",IF(F345&gt;=Notes!$B$5,"Elderly ("&amp;Notes!$B$5&amp;"+)",IF(F345&lt;=Notes!$B$4,"Student age (≤"&amp;Notes!$B$4&amp;")","Middle-aged ("&amp;(Notes!$B$4+1)&amp;"–"&amp;(Notes!$B$5-1)&amp;")")))</f>
        <v>Middle-aged (30–64)</v>
      </c>
      <c r="H345" s="3" t="s">
        <v>83</v>
      </c>
      <c r="I345" s="3" t="s">
        <v>71</v>
      </c>
      <c r="J345" s="3" t="s">
        <v>47</v>
      </c>
      <c r="K345" s="3" t="s">
        <v>72</v>
      </c>
      <c r="L345" s="3" t="s">
        <v>71</v>
      </c>
      <c r="M345" s="3" t="s">
        <v>47</v>
      </c>
      <c r="N345" s="3" t="s">
        <v>72</v>
      </c>
      <c r="O345" s="3" t="s">
        <v>2969</v>
      </c>
      <c r="P345" s="3" t="n">
        <v>30</v>
      </c>
      <c r="Q345" s="3" t="s">
        <v>117</v>
      </c>
      <c r="R345" s="3" t="s">
        <v>2970</v>
      </c>
      <c r="S345" s="3" t="s">
        <v>2971</v>
      </c>
      <c r="T345" s="3"/>
      <c r="U345" s="3" t="s">
        <v>2972</v>
      </c>
      <c r="V345" s="3" t="s">
        <v>2973</v>
      </c>
      <c r="W345" s="3" t="s">
        <v>2974</v>
      </c>
      <c r="X345" s="3" t="s">
        <v>1038</v>
      </c>
      <c r="Y345" s="3" t="n">
        <v>3</v>
      </c>
      <c r="Z345" s="3" t="n">
        <v>1</v>
      </c>
      <c r="AA345" s="3" t="n">
        <v>2</v>
      </c>
      <c r="AB345" s="3" t="n">
        <v>3</v>
      </c>
      <c r="AC345" s="3" t="n">
        <v>1</v>
      </c>
      <c r="AD345" s="3" t="n">
        <v>2</v>
      </c>
      <c r="AE345" s="3" t="s">
        <v>2975</v>
      </c>
      <c r="AF345" s="3"/>
      <c r="AG345" s="3" t="s">
        <v>1600</v>
      </c>
      <c r="AH345" s="3"/>
      <c r="AI345" s="3" t="s">
        <v>2976</v>
      </c>
      <c r="AJ345" s="3" t="s">
        <v>59</v>
      </c>
      <c r="AK345" s="3"/>
      <c r="AL345" s="3" t="s">
        <v>1625</v>
      </c>
      <c r="AM345" s="3"/>
      <c r="AN345" s="3" t="s">
        <v>1690</v>
      </c>
      <c r="AO345" s="3" t="s">
        <v>59</v>
      </c>
      <c r="AP345" s="3"/>
      <c r="AQ345" s="3"/>
      <c r="AR345" s="3"/>
    </row>
    <row r="346" customFormat="false" ht="15" hidden="false" customHeight="true" outlineLevel="0" collapsed="false">
      <c r="A346" s="3" t="s">
        <v>2977</v>
      </c>
      <c r="B346" s="3" t="n">
        <v>5</v>
      </c>
      <c r="C346" s="3" t="n">
        <v>14</v>
      </c>
      <c r="D346" s="3"/>
      <c r="E346" s="4"/>
      <c r="F346" s="3" t="n">
        <v>38</v>
      </c>
      <c r="G346" s="3" t="str">
        <f aca="false">IF(F346="","",IF(F346&gt;=Notes!$B$5,"Elderly ("&amp;Notes!$B$5&amp;"+)",IF(F346&lt;=Notes!$B$4,"Student age (≤"&amp;Notes!$B$4&amp;")","Middle-aged ("&amp;(Notes!$B$4+1)&amp;"–"&amp;(Notes!$B$5-1)&amp;")")))</f>
        <v>Middle-aged (30–64)</v>
      </c>
      <c r="H346" s="3" t="s">
        <v>45</v>
      </c>
      <c r="I346" s="3"/>
      <c r="J346" s="3" t="s">
        <v>2978</v>
      </c>
      <c r="K346" s="3" t="s">
        <v>2978</v>
      </c>
      <c r="L346" s="3" t="s">
        <v>71</v>
      </c>
      <c r="M346" s="3" t="s">
        <v>47</v>
      </c>
      <c r="N346" s="3" t="s">
        <v>72</v>
      </c>
      <c r="O346" s="3" t="s">
        <v>2979</v>
      </c>
      <c r="P346" s="3" t="n">
        <v>30</v>
      </c>
      <c r="Q346" s="3" t="s">
        <v>117</v>
      </c>
      <c r="R346" s="3" t="s">
        <v>2980</v>
      </c>
      <c r="S346" s="3" t="s">
        <v>2981</v>
      </c>
      <c r="T346" s="3"/>
      <c r="U346" s="3" t="s">
        <v>2982</v>
      </c>
      <c r="V346" s="3" t="s">
        <v>2983</v>
      </c>
      <c r="W346" s="3" t="s">
        <v>2984</v>
      </c>
      <c r="X346" s="3" t="s">
        <v>2985</v>
      </c>
      <c r="Y346" s="3" t="n">
        <v>2</v>
      </c>
      <c r="Z346" s="3" t="n">
        <v>1</v>
      </c>
      <c r="AA346" s="3" t="n">
        <v>3</v>
      </c>
      <c r="AB346" s="3" t="n">
        <v>2</v>
      </c>
      <c r="AC346" s="3" t="n">
        <v>3</v>
      </c>
      <c r="AD346" s="3" t="n">
        <v>1</v>
      </c>
      <c r="AE346" s="3" t="s">
        <v>2986</v>
      </c>
      <c r="AF346" s="3"/>
      <c r="AG346" s="3" t="s">
        <v>2987</v>
      </c>
      <c r="AH346" s="3"/>
      <c r="AI346" s="3" t="s">
        <v>2988</v>
      </c>
      <c r="AJ346" s="3" t="s">
        <v>59</v>
      </c>
      <c r="AK346" s="3"/>
      <c r="AL346" s="3" t="s">
        <v>59</v>
      </c>
      <c r="AM346" s="3"/>
      <c r="AN346" s="3"/>
      <c r="AO346" s="3" t="s">
        <v>59</v>
      </c>
      <c r="AP346" s="3"/>
      <c r="AQ346" s="3"/>
      <c r="AR346" s="3"/>
    </row>
    <row r="347" customFormat="false" ht="15" hidden="false" customHeight="true" outlineLevel="0" collapsed="false">
      <c r="A347" s="3" t="s">
        <v>2989</v>
      </c>
      <c r="B347" s="3" t="n">
        <v>5</v>
      </c>
      <c r="C347" s="3" t="n">
        <v>15</v>
      </c>
      <c r="D347" s="3"/>
      <c r="E347" s="4"/>
      <c r="F347" s="3" t="n">
        <v>43</v>
      </c>
      <c r="G347" s="3" t="str">
        <f aca="false">IF(F347="","",IF(F347&gt;=Notes!$B$5,"Elderly ("&amp;Notes!$B$5&amp;"+)",IF(F347&lt;=Notes!$B$4,"Student age (≤"&amp;Notes!$B$4&amp;")","Middle-aged ("&amp;(Notes!$B$4+1)&amp;"–"&amp;(Notes!$B$5-1)&amp;")")))</f>
        <v>Middle-aged (30–64)</v>
      </c>
      <c r="H347" s="3" t="s">
        <v>83</v>
      </c>
      <c r="I347" s="3" t="s">
        <v>71</v>
      </c>
      <c r="J347" s="3" t="s">
        <v>47</v>
      </c>
      <c r="K347" s="3" t="s">
        <v>72</v>
      </c>
      <c r="L347" s="3" t="s">
        <v>71</v>
      </c>
      <c r="M347" s="3" t="s">
        <v>47</v>
      </c>
      <c r="N347" s="3" t="s">
        <v>72</v>
      </c>
      <c r="O347" s="3" t="s">
        <v>2990</v>
      </c>
      <c r="P347" s="3" t="n">
        <v>25</v>
      </c>
      <c r="Q347" s="3" t="s">
        <v>117</v>
      </c>
      <c r="R347" s="3" t="s">
        <v>2991</v>
      </c>
      <c r="S347" s="3" t="s">
        <v>2992</v>
      </c>
      <c r="T347" s="3"/>
      <c r="U347" s="3" t="s">
        <v>2993</v>
      </c>
      <c r="V347" s="3" t="s">
        <v>2994</v>
      </c>
      <c r="W347" s="3" t="s">
        <v>2995</v>
      </c>
      <c r="X347" s="3" t="s">
        <v>2996</v>
      </c>
      <c r="Y347" s="3" t="n">
        <v>3</v>
      </c>
      <c r="Z347" s="3" t="n">
        <v>1</v>
      </c>
      <c r="AA347" s="3" t="n">
        <v>2</v>
      </c>
      <c r="AB347" s="3" t="n">
        <v>3</v>
      </c>
      <c r="AC347" s="3" t="n">
        <v>1</v>
      </c>
      <c r="AD347" s="3" t="n">
        <v>2</v>
      </c>
      <c r="AE347" s="3" t="s">
        <v>2997</v>
      </c>
      <c r="AF347" s="3"/>
      <c r="AG347" s="3" t="s">
        <v>2998</v>
      </c>
      <c r="AH347" s="3"/>
      <c r="AI347" s="3" t="s">
        <v>2999</v>
      </c>
      <c r="AJ347" s="3" t="s">
        <v>59</v>
      </c>
      <c r="AK347" s="3" t="s">
        <v>3000</v>
      </c>
      <c r="AL347" s="3" t="s">
        <v>59</v>
      </c>
      <c r="AM347" s="3"/>
      <c r="AN347" s="3"/>
      <c r="AO347" s="3" t="s">
        <v>1625</v>
      </c>
      <c r="AP347" s="3"/>
      <c r="AQ347" s="3" t="s">
        <v>3001</v>
      </c>
      <c r="AR347" s="3"/>
    </row>
    <row r="348" customFormat="false" ht="15" hidden="false" customHeight="true" outlineLevel="0" collapsed="false">
      <c r="A348" s="3" t="s">
        <v>3002</v>
      </c>
      <c r="B348" s="3" t="n">
        <v>5</v>
      </c>
      <c r="C348" s="3" t="n">
        <v>16</v>
      </c>
      <c r="D348" s="3"/>
      <c r="E348" s="4"/>
      <c r="F348" s="3" t="n">
        <v>52</v>
      </c>
      <c r="G348" s="3" t="str">
        <f aca="false">IF(F348="","",IF(F348&gt;=Notes!$B$5,"Elderly ("&amp;Notes!$B$5&amp;"+)",IF(F348&lt;=Notes!$B$4,"Student age (≤"&amp;Notes!$B$4&amp;")","Middle-aged ("&amp;(Notes!$B$4+1)&amp;"–"&amp;(Notes!$B$5-1)&amp;")")))</f>
        <v>Middle-aged (30–64)</v>
      </c>
      <c r="H348" s="3" t="s">
        <v>83</v>
      </c>
      <c r="I348" s="3" t="s">
        <v>71</v>
      </c>
      <c r="J348" s="3" t="s">
        <v>47</v>
      </c>
      <c r="K348" s="3" t="s">
        <v>72</v>
      </c>
      <c r="L348" s="3" t="s">
        <v>71</v>
      </c>
      <c r="M348" s="3" t="s">
        <v>47</v>
      </c>
      <c r="N348" s="3" t="s">
        <v>72</v>
      </c>
      <c r="O348" s="3" t="s">
        <v>806</v>
      </c>
      <c r="P348" s="3" t="n">
        <v>20</v>
      </c>
      <c r="Q348" s="3" t="s">
        <v>95</v>
      </c>
      <c r="R348" s="3" t="s">
        <v>3003</v>
      </c>
      <c r="S348" s="3" t="s">
        <v>3004</v>
      </c>
      <c r="T348" s="3"/>
      <c r="U348" s="3" t="s">
        <v>98</v>
      </c>
      <c r="V348" s="3" t="s">
        <v>3005</v>
      </c>
      <c r="W348" s="3" t="s">
        <v>3006</v>
      </c>
      <c r="X348" s="3" t="s">
        <v>3007</v>
      </c>
      <c r="Y348" s="3" t="n">
        <v>2</v>
      </c>
      <c r="Z348" s="3" t="n">
        <v>1</v>
      </c>
      <c r="AA348" s="3" t="n">
        <v>3</v>
      </c>
      <c r="AB348" s="3" t="n">
        <v>2</v>
      </c>
      <c r="AC348" s="3" t="n">
        <v>1</v>
      </c>
      <c r="AD348" s="3" t="n">
        <v>3</v>
      </c>
      <c r="AE348" s="3" t="s">
        <v>3008</v>
      </c>
      <c r="AF348" s="3"/>
      <c r="AG348" s="3" t="s">
        <v>3009</v>
      </c>
      <c r="AH348" s="3"/>
      <c r="AI348" s="3" t="s">
        <v>3010</v>
      </c>
      <c r="AJ348" s="3" t="s">
        <v>59</v>
      </c>
      <c r="AK348" s="3"/>
      <c r="AL348" s="3" t="s">
        <v>1625</v>
      </c>
      <c r="AM348" s="3"/>
      <c r="AN348" s="3" t="s">
        <v>3011</v>
      </c>
      <c r="AO348" s="3" t="s">
        <v>59</v>
      </c>
      <c r="AP348" s="3"/>
      <c r="AQ348" s="3" t="s">
        <v>3012</v>
      </c>
      <c r="AR348" s="3"/>
    </row>
    <row r="349" customFormat="false" ht="15" hidden="false" customHeight="true" outlineLevel="0" collapsed="false">
      <c r="A349" s="3" t="s">
        <v>3013</v>
      </c>
      <c r="B349" s="3" t="n">
        <v>5</v>
      </c>
      <c r="C349" s="3" t="n">
        <v>17</v>
      </c>
      <c r="D349" s="3"/>
      <c r="E349" s="4"/>
      <c r="F349" s="3" t="n">
        <v>67</v>
      </c>
      <c r="G349" s="3" t="str">
        <f aca="false">IF(F349="","",IF(F349&gt;=Notes!$B$5,"Elderly ("&amp;Notes!$B$5&amp;"+)",IF(F349&lt;=Notes!$B$4,"Student age (≤"&amp;Notes!$B$4&amp;")","Middle-aged ("&amp;(Notes!$B$4+1)&amp;"–"&amp;(Notes!$B$5-1)&amp;")")))</f>
        <v>Elderly (65+)</v>
      </c>
      <c r="H349" s="3" t="s">
        <v>83</v>
      </c>
      <c r="I349" s="3" t="s">
        <v>71</v>
      </c>
      <c r="J349" s="3" t="s">
        <v>47</v>
      </c>
      <c r="K349" s="3" t="s">
        <v>72</v>
      </c>
      <c r="L349" s="3" t="s">
        <v>71</v>
      </c>
      <c r="M349" s="3" t="s">
        <v>47</v>
      </c>
      <c r="N349" s="3" t="s">
        <v>72</v>
      </c>
      <c r="O349" s="3" t="s">
        <v>3014</v>
      </c>
      <c r="P349" s="3" t="n">
        <v>27</v>
      </c>
      <c r="Q349" s="3" t="s">
        <v>117</v>
      </c>
      <c r="R349" s="3" t="s">
        <v>3015</v>
      </c>
      <c r="S349" s="3" t="s">
        <v>3016</v>
      </c>
      <c r="T349" s="3"/>
      <c r="U349" s="3" t="s">
        <v>3017</v>
      </c>
      <c r="V349" s="3" t="s">
        <v>3018</v>
      </c>
      <c r="W349" s="5" t="s">
        <v>3019</v>
      </c>
      <c r="X349" s="3" t="s">
        <v>3020</v>
      </c>
      <c r="Y349" s="3" t="n">
        <v>3</v>
      </c>
      <c r="Z349" s="3" t="n">
        <v>2</v>
      </c>
      <c r="AA349" s="3" t="n">
        <v>1</v>
      </c>
      <c r="AB349" s="3" t="n">
        <v>3</v>
      </c>
      <c r="AC349" s="3" t="n">
        <v>2</v>
      </c>
      <c r="AD349" s="3" t="n">
        <v>1</v>
      </c>
      <c r="AE349" s="5" t="s">
        <v>3021</v>
      </c>
      <c r="AF349" s="3"/>
      <c r="AG349" s="3" t="s">
        <v>3022</v>
      </c>
      <c r="AH349" s="3"/>
      <c r="AI349" s="3" t="s">
        <v>3023</v>
      </c>
      <c r="AJ349" s="3"/>
      <c r="AK349" s="3" t="s">
        <v>3024</v>
      </c>
      <c r="AL349" s="3"/>
      <c r="AM349" s="3"/>
      <c r="AN349" s="3" t="s">
        <v>3025</v>
      </c>
      <c r="AO349" s="3"/>
      <c r="AP349" s="3"/>
      <c r="AQ349" s="3" t="s">
        <v>3026</v>
      </c>
      <c r="AR349" s="3" t="s">
        <v>3027</v>
      </c>
    </row>
    <row r="350" customFormat="false" ht="15" hidden="false" customHeight="true" outlineLevel="0" collapsed="false">
      <c r="A350" s="3" t="s">
        <v>3028</v>
      </c>
      <c r="B350" s="3" t="n">
        <v>5</v>
      </c>
      <c r="C350" s="3" t="n">
        <v>18</v>
      </c>
      <c r="D350" s="3"/>
      <c r="E350" s="4"/>
      <c r="F350" s="3" t="n">
        <v>55</v>
      </c>
      <c r="G350" s="3" t="str">
        <f aca="false">IF(F350="","",IF(F350&gt;=Notes!$B$5,"Elderly ("&amp;Notes!$B$5&amp;"+)",IF(F350&lt;=Notes!$B$4,"Student age (≤"&amp;Notes!$B$4&amp;")","Middle-aged ("&amp;(Notes!$B$4+1)&amp;"–"&amp;(Notes!$B$5-1)&amp;")")))</f>
        <v>Middle-aged (30–64)</v>
      </c>
      <c r="H350" s="3" t="s">
        <v>83</v>
      </c>
      <c r="I350" s="3" t="s">
        <v>71</v>
      </c>
      <c r="J350" s="3" t="s">
        <v>47</v>
      </c>
      <c r="K350" s="3" t="s">
        <v>72</v>
      </c>
      <c r="L350" s="3" t="s">
        <v>71</v>
      </c>
      <c r="M350" s="3" t="s">
        <v>47</v>
      </c>
      <c r="N350" s="3" t="s">
        <v>72</v>
      </c>
      <c r="O350" s="3" t="s">
        <v>3029</v>
      </c>
      <c r="P350" s="3" t="n">
        <v>35</v>
      </c>
      <c r="Q350" s="3" t="s">
        <v>52</v>
      </c>
      <c r="R350" s="3" t="s">
        <v>3030</v>
      </c>
      <c r="S350" s="3" t="s">
        <v>3031</v>
      </c>
      <c r="T350" s="3"/>
      <c r="U350" s="3" t="s">
        <v>3032</v>
      </c>
      <c r="V350" s="3" t="s">
        <v>3033</v>
      </c>
      <c r="W350" s="3" t="s">
        <v>3034</v>
      </c>
      <c r="X350" s="3" t="s">
        <v>3035</v>
      </c>
      <c r="Y350" s="3" t="n">
        <v>2</v>
      </c>
      <c r="Z350" s="3" t="n">
        <v>1</v>
      </c>
      <c r="AA350" s="3" t="n">
        <v>3</v>
      </c>
      <c r="AB350" s="3" t="n">
        <v>2</v>
      </c>
      <c r="AC350" s="3" t="n">
        <v>3</v>
      </c>
      <c r="AD350" s="3" t="n">
        <v>1</v>
      </c>
      <c r="AE350" s="3" t="s">
        <v>3036</v>
      </c>
      <c r="AF350" s="3"/>
      <c r="AG350" s="3" t="s">
        <v>2225</v>
      </c>
      <c r="AH350" s="3"/>
      <c r="AI350" s="3" t="s">
        <v>2225</v>
      </c>
      <c r="AJ350" s="3"/>
      <c r="AK350" s="3" t="s">
        <v>3037</v>
      </c>
      <c r="AL350" s="3" t="s">
        <v>59</v>
      </c>
      <c r="AM350" s="3"/>
      <c r="AN350" s="3" t="s">
        <v>3038</v>
      </c>
      <c r="AO350" s="3" t="s">
        <v>59</v>
      </c>
      <c r="AP350" s="3"/>
      <c r="AQ350" s="3" t="s">
        <v>3039</v>
      </c>
      <c r="AR350" s="3"/>
    </row>
    <row r="351" customFormat="false" ht="15" hidden="false" customHeight="true" outlineLevel="0" collapsed="false">
      <c r="A351" s="3" t="s">
        <v>3040</v>
      </c>
      <c r="B351" s="3" t="n">
        <v>5</v>
      </c>
      <c r="C351" s="3" t="n">
        <v>19</v>
      </c>
      <c r="D351" s="3"/>
      <c r="E351" s="4"/>
      <c r="F351" s="3" t="n">
        <v>70</v>
      </c>
      <c r="G351" s="3" t="str">
        <f aca="false">IF(F351="","",IF(F351&gt;=Notes!$B$5,"Elderly ("&amp;Notes!$B$5&amp;"+)",IF(F351&lt;=Notes!$B$4,"Student age (≤"&amp;Notes!$B$4&amp;")","Middle-aged ("&amp;(Notes!$B$4+1)&amp;"–"&amp;(Notes!$B$5-1)&amp;")")))</f>
        <v>Elderly (65+)</v>
      </c>
      <c r="H351" s="3" t="s">
        <v>83</v>
      </c>
      <c r="I351" s="3" t="s">
        <v>3041</v>
      </c>
      <c r="J351" s="3" t="s">
        <v>47</v>
      </c>
      <c r="K351" s="3" t="s">
        <v>3042</v>
      </c>
      <c r="L351" s="3" t="s">
        <v>71</v>
      </c>
      <c r="M351" s="3" t="s">
        <v>47</v>
      </c>
      <c r="N351" s="3" t="s">
        <v>72</v>
      </c>
      <c r="O351" s="3" t="s">
        <v>3043</v>
      </c>
      <c r="P351" s="3" t="n">
        <v>15</v>
      </c>
      <c r="Q351" s="3" t="s">
        <v>74</v>
      </c>
      <c r="R351" s="3" t="s">
        <v>3044</v>
      </c>
      <c r="S351" s="3" t="s">
        <v>3045</v>
      </c>
      <c r="T351" s="3"/>
      <c r="U351" s="3" t="s">
        <v>3046</v>
      </c>
      <c r="V351" s="3" t="s">
        <v>3047</v>
      </c>
      <c r="W351" s="3" t="s">
        <v>3048</v>
      </c>
      <c r="X351" s="3" t="s">
        <v>3049</v>
      </c>
      <c r="Y351" s="3" t="n">
        <v>3</v>
      </c>
      <c r="Z351" s="3" t="n">
        <v>1</v>
      </c>
      <c r="AA351" s="3" t="n">
        <v>2</v>
      </c>
      <c r="AB351" s="3" t="n">
        <v>3</v>
      </c>
      <c r="AC351" s="3" t="n">
        <v>1</v>
      </c>
      <c r="AD351" s="3" t="n">
        <v>2</v>
      </c>
      <c r="AE351" s="3" t="s">
        <v>3050</v>
      </c>
      <c r="AF351" s="3"/>
      <c r="AG351" s="3" t="s">
        <v>3051</v>
      </c>
      <c r="AH351" s="3"/>
      <c r="AI351" s="3" t="s">
        <v>3052</v>
      </c>
      <c r="AJ351" s="3"/>
      <c r="AK351" s="3" t="s">
        <v>3053</v>
      </c>
      <c r="AL351" s="3" t="s">
        <v>1625</v>
      </c>
      <c r="AM351" s="3"/>
      <c r="AN351" s="3" t="s">
        <v>3054</v>
      </c>
      <c r="AO351" s="3"/>
      <c r="AP351" s="3"/>
      <c r="AQ351" s="3" t="s">
        <v>3055</v>
      </c>
      <c r="AR351" s="3" t="s">
        <v>3027</v>
      </c>
    </row>
    <row r="352" customFormat="false" ht="15" hidden="false" customHeight="true" outlineLevel="0" collapsed="false">
      <c r="A352" s="3" t="s">
        <v>3056</v>
      </c>
      <c r="B352" s="3" t="n">
        <v>5</v>
      </c>
      <c r="C352" s="3" t="n">
        <v>20</v>
      </c>
      <c r="D352" s="3"/>
      <c r="E352" s="4"/>
      <c r="F352" s="3" t="n">
        <v>47</v>
      </c>
      <c r="G352" s="3" t="str">
        <f aca="false">IF(F352="","",IF(F352&gt;=Notes!$B$5,"Elderly ("&amp;Notes!$B$5&amp;"+)",IF(F352&lt;=Notes!$B$4,"Student age (≤"&amp;Notes!$B$4&amp;")","Middle-aged ("&amp;(Notes!$B$4+1)&amp;"–"&amp;(Notes!$B$5-1)&amp;")")))</f>
        <v>Middle-aged (30–64)</v>
      </c>
      <c r="H352" s="3" t="s">
        <v>45</v>
      </c>
      <c r="I352" s="3" t="s">
        <v>71</v>
      </c>
      <c r="J352" s="3" t="s">
        <v>47</v>
      </c>
      <c r="K352" s="3" t="s">
        <v>72</v>
      </c>
      <c r="L352" s="3" t="s">
        <v>71</v>
      </c>
      <c r="M352" s="3" t="s">
        <v>47</v>
      </c>
      <c r="N352" s="3" t="s">
        <v>72</v>
      </c>
      <c r="O352" s="3" t="s">
        <v>3057</v>
      </c>
      <c r="P352" s="3" t="n">
        <v>20</v>
      </c>
      <c r="Q352" s="3" t="s">
        <v>95</v>
      </c>
      <c r="R352" s="3" t="s">
        <v>3058</v>
      </c>
      <c r="S352" s="3" t="s">
        <v>3059</v>
      </c>
      <c r="T352" s="3"/>
      <c r="U352" s="3" t="s">
        <v>3060</v>
      </c>
      <c r="V352" s="3" t="s">
        <v>3061</v>
      </c>
      <c r="W352" s="3" t="s">
        <v>3062</v>
      </c>
      <c r="X352" s="3" t="s">
        <v>3063</v>
      </c>
      <c r="Y352" s="3" t="n">
        <v>2</v>
      </c>
      <c r="Z352" s="3" t="n">
        <v>1</v>
      </c>
      <c r="AA352" s="3" t="n">
        <v>3</v>
      </c>
      <c r="AB352" s="3" t="n">
        <v>2</v>
      </c>
      <c r="AC352" s="3" t="n">
        <v>1</v>
      </c>
      <c r="AD352" s="3" t="n">
        <v>3</v>
      </c>
      <c r="AE352" s="3" t="s">
        <v>3064</v>
      </c>
      <c r="AF352" s="3"/>
      <c r="AG352" s="3" t="s">
        <v>3065</v>
      </c>
      <c r="AH352" s="3"/>
      <c r="AI352" s="3" t="s">
        <v>3066</v>
      </c>
      <c r="AJ352" s="3" t="s">
        <v>59</v>
      </c>
      <c r="AK352" s="3" t="s">
        <v>3067</v>
      </c>
      <c r="AL352" s="3" t="s">
        <v>59</v>
      </c>
      <c r="AM352" s="3"/>
      <c r="AN352" s="3"/>
      <c r="AO352" s="3" t="s">
        <v>59</v>
      </c>
      <c r="AP352" s="3"/>
      <c r="AQ352" s="3" t="s">
        <v>3068</v>
      </c>
      <c r="AR352" s="3" t="s">
        <v>3027</v>
      </c>
    </row>
    <row r="353" customFormat="false" ht="15" hidden="false" customHeight="true" outlineLevel="0" collapsed="false">
      <c r="A353" s="3" t="s">
        <v>3069</v>
      </c>
      <c r="B353" s="3" t="n">
        <v>5</v>
      </c>
      <c r="C353" s="3" t="n">
        <v>21</v>
      </c>
      <c r="D353" s="3"/>
      <c r="E353" s="4"/>
      <c r="F353" s="3" t="n">
        <v>67</v>
      </c>
      <c r="G353" s="3" t="str">
        <f aca="false">IF(F353="","",IF(F353&gt;=Notes!$B$5,"Elderly ("&amp;Notes!$B$5&amp;"+)",IF(F353&lt;=Notes!$B$4,"Student age (≤"&amp;Notes!$B$4&amp;")","Middle-aged ("&amp;(Notes!$B$4+1)&amp;"–"&amp;(Notes!$B$5-1)&amp;")")))</f>
        <v>Elderly (65+)</v>
      </c>
      <c r="H353" s="3" t="s">
        <v>45</v>
      </c>
      <c r="I353" s="3" t="s">
        <v>71</v>
      </c>
      <c r="J353" s="3" t="s">
        <v>47</v>
      </c>
      <c r="K353" s="3" t="s">
        <v>72</v>
      </c>
      <c r="L353" s="3" t="s">
        <v>71</v>
      </c>
      <c r="M353" s="3" t="s">
        <v>47</v>
      </c>
      <c r="N353" s="3" t="s">
        <v>72</v>
      </c>
      <c r="O353" s="3" t="s">
        <v>3070</v>
      </c>
      <c r="P353" s="3" t="n">
        <v>25</v>
      </c>
      <c r="Q353" s="3" t="s">
        <v>117</v>
      </c>
      <c r="R353" s="3" t="s">
        <v>3071</v>
      </c>
      <c r="S353" s="3" t="s">
        <v>3072</v>
      </c>
      <c r="T353" s="3"/>
      <c r="U353" s="3" t="s">
        <v>3073</v>
      </c>
      <c r="V353" s="3" t="s">
        <v>3074</v>
      </c>
      <c r="W353" s="3" t="s">
        <v>3075</v>
      </c>
      <c r="X353" s="3" t="s">
        <v>3076</v>
      </c>
      <c r="Y353" s="3" t="n">
        <v>3</v>
      </c>
      <c r="Z353" s="3" t="n">
        <v>1</v>
      </c>
      <c r="AA353" s="3" t="n">
        <v>2</v>
      </c>
      <c r="AB353" s="3" t="n">
        <v>2</v>
      </c>
      <c r="AC353" s="3" t="n">
        <v>1</v>
      </c>
      <c r="AD353" s="3" t="n">
        <v>3</v>
      </c>
      <c r="AE353" s="3" t="s">
        <v>3077</v>
      </c>
      <c r="AF353" s="3"/>
      <c r="AG353" s="3" t="s">
        <v>3078</v>
      </c>
      <c r="AH353" s="3"/>
      <c r="AI353" s="3" t="s">
        <v>3079</v>
      </c>
      <c r="AJ353" s="3" t="s">
        <v>59</v>
      </c>
      <c r="AK353" s="3" t="s">
        <v>3080</v>
      </c>
      <c r="AL353" s="3" t="s">
        <v>59</v>
      </c>
      <c r="AM353" s="3"/>
      <c r="AN353" s="3" t="s">
        <v>3081</v>
      </c>
      <c r="AO353" s="3" t="s">
        <v>59</v>
      </c>
      <c r="AP353" s="3"/>
      <c r="AQ353" s="3" t="s">
        <v>3082</v>
      </c>
      <c r="AR353" s="3"/>
    </row>
    <row r="354" customFormat="false" ht="15" hidden="false" customHeight="true" outlineLevel="0" collapsed="false">
      <c r="A354" s="3" t="s">
        <v>3083</v>
      </c>
      <c r="B354" s="3" t="n">
        <v>5</v>
      </c>
      <c r="C354" s="3" t="n">
        <v>22</v>
      </c>
      <c r="D354" s="3"/>
      <c r="E354" s="4"/>
      <c r="F354" s="3" t="n">
        <v>22</v>
      </c>
      <c r="G354" s="3" t="str">
        <f aca="false">IF(F354="","",IF(F354&gt;=Notes!$B$5,"Elderly ("&amp;Notes!$B$5&amp;"+)",IF(F354&lt;=Notes!$B$4,"Student age (≤"&amp;Notes!$B$4&amp;")","Middle-aged ("&amp;(Notes!$B$4+1)&amp;"–"&amp;(Notes!$B$5-1)&amp;")")))</f>
        <v>Student age (≤29)</v>
      </c>
      <c r="H354" s="3" t="s">
        <v>83</v>
      </c>
      <c r="I354" s="3"/>
      <c r="J354" s="3" t="s">
        <v>437</v>
      </c>
      <c r="K354" s="3" t="s">
        <v>437</v>
      </c>
      <c r="L354" s="3" t="s">
        <v>49</v>
      </c>
      <c r="M354" s="3" t="s">
        <v>47</v>
      </c>
      <c r="N354" s="3" t="s">
        <v>50</v>
      </c>
      <c r="O354" s="3" t="s">
        <v>3084</v>
      </c>
      <c r="P354" s="3" t="n">
        <v>20</v>
      </c>
      <c r="Q354" s="3" t="s">
        <v>95</v>
      </c>
      <c r="R354" s="3" t="s">
        <v>130</v>
      </c>
      <c r="S354" s="3" t="s">
        <v>3085</v>
      </c>
      <c r="T354" s="3"/>
      <c r="U354" s="3" t="s">
        <v>3086</v>
      </c>
      <c r="V354" s="3" t="s">
        <v>3087</v>
      </c>
      <c r="W354" s="3" t="s">
        <v>3088</v>
      </c>
      <c r="X354" s="3" t="s">
        <v>3089</v>
      </c>
      <c r="Y354" s="3" t="n">
        <v>2</v>
      </c>
      <c r="Z354" s="3" t="n">
        <v>1</v>
      </c>
      <c r="AA354" s="3" t="n">
        <v>3</v>
      </c>
      <c r="AB354" s="3" t="n">
        <v>2</v>
      </c>
      <c r="AC354" s="3" t="n">
        <v>1</v>
      </c>
      <c r="AD354" s="3" t="n">
        <v>3</v>
      </c>
      <c r="AE354" s="3" t="s">
        <v>3090</v>
      </c>
      <c r="AF354" s="3"/>
      <c r="AG354" s="3" t="s">
        <v>3091</v>
      </c>
      <c r="AH354" s="3"/>
      <c r="AI354" s="3" t="s">
        <v>3092</v>
      </c>
      <c r="AJ354" s="3"/>
      <c r="AK354" s="3" t="s">
        <v>3093</v>
      </c>
      <c r="AL354" s="3" t="s">
        <v>59</v>
      </c>
      <c r="AM354" s="3"/>
      <c r="AN354" s="3"/>
      <c r="AO354" s="3" t="s">
        <v>59</v>
      </c>
      <c r="AP354" s="3"/>
      <c r="AQ354" s="3"/>
      <c r="AR354" s="3"/>
    </row>
    <row r="355" customFormat="false" ht="15" hidden="false" customHeight="true" outlineLevel="0" collapsed="false">
      <c r="A355" s="3" t="s">
        <v>3094</v>
      </c>
      <c r="B355" s="3" t="n">
        <v>5</v>
      </c>
      <c r="C355" s="3" t="n">
        <v>23</v>
      </c>
      <c r="D355" s="3"/>
      <c r="E355" s="4"/>
      <c r="F355" s="3" t="n">
        <v>25</v>
      </c>
      <c r="G355" s="3" t="str">
        <f aca="false">IF(F355="","",IF(F355&gt;=Notes!$B$5,"Elderly ("&amp;Notes!$B$5&amp;"+)",IF(F355&lt;=Notes!$B$4,"Student age (≤"&amp;Notes!$B$4&amp;")","Middle-aged ("&amp;(Notes!$B$4+1)&amp;"–"&amp;(Notes!$B$5-1)&amp;")")))</f>
        <v>Student age (≤29)</v>
      </c>
      <c r="H355" s="3" t="s">
        <v>45</v>
      </c>
      <c r="I355" s="3"/>
      <c r="J355" s="3" t="s">
        <v>437</v>
      </c>
      <c r="K355" s="3" t="s">
        <v>437</v>
      </c>
      <c r="L355" s="3" t="s">
        <v>49</v>
      </c>
      <c r="M355" s="3" t="s">
        <v>47</v>
      </c>
      <c r="N355" s="3" t="s">
        <v>50</v>
      </c>
      <c r="O355" s="3" t="s">
        <v>3095</v>
      </c>
      <c r="P355" s="3" t="n">
        <v>30</v>
      </c>
      <c r="Q355" s="3" t="s">
        <v>117</v>
      </c>
      <c r="R355" s="3" t="s">
        <v>3096</v>
      </c>
      <c r="S355" s="3" t="s">
        <v>3097</v>
      </c>
      <c r="T355" s="3"/>
      <c r="U355" s="3" t="s">
        <v>98</v>
      </c>
      <c r="V355" s="3" t="s">
        <v>3098</v>
      </c>
      <c r="W355" s="3" t="s">
        <v>3099</v>
      </c>
      <c r="X355" s="3" t="s">
        <v>3100</v>
      </c>
      <c r="Y355" s="3" t="n">
        <v>3</v>
      </c>
      <c r="Z355" s="3" t="n">
        <v>2</v>
      </c>
      <c r="AA355" s="3" t="n">
        <v>1</v>
      </c>
      <c r="AB355" s="3" t="n">
        <v>1</v>
      </c>
      <c r="AC355" s="3" t="n">
        <v>2</v>
      </c>
      <c r="AD355" s="3" t="n">
        <v>3</v>
      </c>
      <c r="AE355" s="3" t="s">
        <v>3101</v>
      </c>
      <c r="AF355" s="3"/>
      <c r="AG355" s="3" t="s">
        <v>1600</v>
      </c>
      <c r="AH355" s="3"/>
      <c r="AI355" s="3" t="s">
        <v>3102</v>
      </c>
      <c r="AJ355" s="3"/>
      <c r="AK355" s="3" t="s">
        <v>3103</v>
      </c>
      <c r="AL355" s="3" t="s">
        <v>59</v>
      </c>
      <c r="AM355" s="3"/>
      <c r="AN355" s="3"/>
      <c r="AO355" s="3" t="s">
        <v>59</v>
      </c>
      <c r="AP355" s="3"/>
      <c r="AQ355" s="3"/>
      <c r="AR355" s="3"/>
    </row>
    <row r="356" customFormat="false" ht="15" hidden="false" customHeight="true" outlineLevel="0" collapsed="false">
      <c r="A356" s="3" t="s">
        <v>3104</v>
      </c>
      <c r="B356" s="3" t="n">
        <v>5</v>
      </c>
      <c r="C356" s="3" t="n">
        <v>24</v>
      </c>
      <c r="D356" s="3"/>
      <c r="E356" s="4"/>
      <c r="F356" s="3" t="n">
        <v>26</v>
      </c>
      <c r="G356" s="3" t="str">
        <f aca="false">IF(F356="","",IF(F356&gt;=Notes!$B$5,"Elderly ("&amp;Notes!$B$5&amp;"+)",IF(F356&lt;=Notes!$B$4,"Student age (≤"&amp;Notes!$B$4&amp;")","Middle-aged ("&amp;(Notes!$B$4+1)&amp;"–"&amp;(Notes!$B$5-1)&amp;")")))</f>
        <v>Student age (≤29)</v>
      </c>
      <c r="H356" s="3" t="s">
        <v>45</v>
      </c>
      <c r="I356" s="3"/>
      <c r="J356" s="3" t="s">
        <v>437</v>
      </c>
      <c r="K356" s="3" t="s">
        <v>437</v>
      </c>
      <c r="L356" s="3"/>
      <c r="M356" s="3" t="s">
        <v>47</v>
      </c>
      <c r="N356" s="3" t="s">
        <v>47</v>
      </c>
      <c r="O356" s="3" t="s">
        <v>3105</v>
      </c>
      <c r="P356" s="3" t="n">
        <v>20</v>
      </c>
      <c r="Q356" s="3" t="s">
        <v>95</v>
      </c>
      <c r="R356" s="3" t="s">
        <v>3106</v>
      </c>
      <c r="S356" s="3" t="s">
        <v>3107</v>
      </c>
      <c r="T356" s="3"/>
      <c r="U356" s="3" t="s">
        <v>3108</v>
      </c>
      <c r="V356" s="3" t="s">
        <v>3109</v>
      </c>
      <c r="W356" s="3" t="s">
        <v>3110</v>
      </c>
      <c r="X356" s="3" t="s">
        <v>3111</v>
      </c>
      <c r="Y356" s="3" t="n">
        <v>1</v>
      </c>
      <c r="Z356" s="3" t="n">
        <v>2</v>
      </c>
      <c r="AA356" s="3" t="n">
        <v>3</v>
      </c>
      <c r="AB356" s="3" t="n">
        <v>1</v>
      </c>
      <c r="AC356" s="3" t="n">
        <v>2</v>
      </c>
      <c r="AD356" s="3" t="n">
        <v>3</v>
      </c>
      <c r="AE356" s="3" t="s">
        <v>3112</v>
      </c>
      <c r="AF356" s="3"/>
      <c r="AG356" s="3" t="s">
        <v>3102</v>
      </c>
      <c r="AH356" s="3"/>
      <c r="AI356" s="3" t="s">
        <v>1600</v>
      </c>
      <c r="AJ356" s="3"/>
      <c r="AK356" s="3" t="s">
        <v>3113</v>
      </c>
      <c r="AL356" s="3" t="s">
        <v>59</v>
      </c>
      <c r="AM356" s="3"/>
      <c r="AN356" s="3"/>
      <c r="AO356" s="3" t="s">
        <v>59</v>
      </c>
      <c r="AP356" s="3"/>
      <c r="AQ356" s="3"/>
      <c r="AR356" s="3"/>
    </row>
    <row r="357" customFormat="false" ht="15" hidden="false" customHeight="true" outlineLevel="0" collapsed="false">
      <c r="A357" s="3" t="s">
        <v>3114</v>
      </c>
      <c r="B357" s="3" t="n">
        <v>5</v>
      </c>
      <c r="C357" s="3" t="n">
        <v>25</v>
      </c>
      <c r="D357" s="3"/>
      <c r="E357" s="4"/>
      <c r="F357" s="3" t="n">
        <v>23</v>
      </c>
      <c r="G357" s="3" t="str">
        <f aca="false">IF(F357="","",IF(F357&gt;=Notes!$B$5,"Elderly ("&amp;Notes!$B$5&amp;"+)",IF(F357&lt;=Notes!$B$4,"Student age (≤"&amp;Notes!$B$4&amp;")","Middle-aged ("&amp;(Notes!$B$4+1)&amp;"–"&amp;(Notes!$B$5-1)&amp;")")))</f>
        <v>Student age (≤29)</v>
      </c>
      <c r="H357" s="3" t="s">
        <v>83</v>
      </c>
      <c r="I357" s="3"/>
      <c r="J357" s="3" t="s">
        <v>437</v>
      </c>
      <c r="K357" s="3" t="s">
        <v>437</v>
      </c>
      <c r="L357" s="3" t="s">
        <v>3115</v>
      </c>
      <c r="M357" s="3" t="s">
        <v>453</v>
      </c>
      <c r="N357" s="3" t="s">
        <v>3116</v>
      </c>
      <c r="O357" s="3" t="s">
        <v>3117</v>
      </c>
      <c r="P357" s="3" t="n">
        <v>25</v>
      </c>
      <c r="Q357" s="3" t="s">
        <v>117</v>
      </c>
      <c r="R357" s="3" t="s">
        <v>3118</v>
      </c>
      <c r="S357" s="3" t="s">
        <v>3119</v>
      </c>
      <c r="T357" s="3"/>
      <c r="U357" s="3" t="s">
        <v>3120</v>
      </c>
      <c r="V357" s="3" t="s">
        <v>3121</v>
      </c>
      <c r="W357" s="3" t="s">
        <v>3122</v>
      </c>
      <c r="X357" s="3" t="s">
        <v>3123</v>
      </c>
      <c r="Y357" s="3" t="n">
        <v>3</v>
      </c>
      <c r="Z357" s="3" t="n">
        <v>1</v>
      </c>
      <c r="AA357" s="3" t="n">
        <v>2</v>
      </c>
      <c r="AB357" s="3" t="n">
        <v>3</v>
      </c>
      <c r="AC357" s="3" t="n">
        <v>1</v>
      </c>
      <c r="AD357" s="3" t="n">
        <v>2</v>
      </c>
      <c r="AE357" s="3" t="s">
        <v>3124</v>
      </c>
      <c r="AF357" s="3"/>
      <c r="AG357" s="3" t="s">
        <v>3125</v>
      </c>
      <c r="AH357" s="3"/>
      <c r="AI357" s="3" t="s">
        <v>3126</v>
      </c>
      <c r="AJ357" s="3" t="s">
        <v>59</v>
      </c>
      <c r="AK357" s="3" t="s">
        <v>3127</v>
      </c>
      <c r="AL357" s="3"/>
      <c r="AM357" s="3"/>
      <c r="AN357" s="3" t="s">
        <v>3128</v>
      </c>
      <c r="AO357" s="3" t="s">
        <v>59</v>
      </c>
      <c r="AP357" s="3"/>
      <c r="AQ357" s="3" t="s">
        <v>3129</v>
      </c>
      <c r="AR357" s="3"/>
    </row>
    <row r="358" customFormat="false" ht="15" hidden="false" customHeight="true" outlineLevel="0" collapsed="false">
      <c r="A358" s="3" t="s">
        <v>3130</v>
      </c>
      <c r="B358" s="3" t="n">
        <v>5</v>
      </c>
      <c r="C358" s="3" t="n">
        <v>26</v>
      </c>
      <c r="D358" s="3"/>
      <c r="E358" s="4"/>
      <c r="F358" s="3" t="n">
        <v>23</v>
      </c>
      <c r="G358" s="3" t="str">
        <f aca="false">IF(F358="","",IF(F358&gt;=Notes!$B$5,"Elderly ("&amp;Notes!$B$5&amp;"+)",IF(F358&lt;=Notes!$B$4,"Student age (≤"&amp;Notes!$B$4&amp;")","Middle-aged ("&amp;(Notes!$B$4+1)&amp;"–"&amp;(Notes!$B$5-1)&amp;")")))</f>
        <v>Student age (≤29)</v>
      </c>
      <c r="H358" s="3" t="s">
        <v>83</v>
      </c>
      <c r="I358" s="3"/>
      <c r="J358" s="3" t="s">
        <v>437</v>
      </c>
      <c r="K358" s="3" t="s">
        <v>437</v>
      </c>
      <c r="L358" s="3" t="s">
        <v>49</v>
      </c>
      <c r="M358" s="3" t="s">
        <v>47</v>
      </c>
      <c r="N358" s="3" t="s">
        <v>50</v>
      </c>
      <c r="O358" s="3" t="s">
        <v>3131</v>
      </c>
      <c r="P358" s="3" t="n">
        <v>25</v>
      </c>
      <c r="Q358" s="3" t="s">
        <v>117</v>
      </c>
      <c r="R358" s="3" t="s">
        <v>3132</v>
      </c>
      <c r="S358" s="3" t="s">
        <v>3133</v>
      </c>
      <c r="T358" s="3"/>
      <c r="U358" s="3" t="s">
        <v>3134</v>
      </c>
      <c r="V358" s="5" t="s">
        <v>3135</v>
      </c>
      <c r="W358" s="3" t="s">
        <v>3136</v>
      </c>
      <c r="X358" s="3" t="s">
        <v>3137</v>
      </c>
      <c r="Y358" s="3" t="n">
        <v>3</v>
      </c>
      <c r="Z358" s="3" t="n">
        <v>1</v>
      </c>
      <c r="AA358" s="3" t="n">
        <v>2</v>
      </c>
      <c r="AB358" s="3" t="n">
        <v>1</v>
      </c>
      <c r="AC358" s="3" t="n">
        <v>2</v>
      </c>
      <c r="AD358" s="3" t="n">
        <v>3</v>
      </c>
      <c r="AE358" s="3" t="s">
        <v>3138</v>
      </c>
      <c r="AF358" s="3"/>
      <c r="AG358" s="3" t="s">
        <v>3139</v>
      </c>
      <c r="AH358" s="3"/>
      <c r="AI358" s="3" t="s">
        <v>3140</v>
      </c>
      <c r="AJ358" s="3" t="s">
        <v>59</v>
      </c>
      <c r="AK358" s="3" t="s">
        <v>3141</v>
      </c>
      <c r="AL358" s="3"/>
      <c r="AM358" s="3"/>
      <c r="AN358" s="3" t="s">
        <v>3142</v>
      </c>
      <c r="AO358" s="3" t="s">
        <v>59</v>
      </c>
      <c r="AP358" s="3"/>
      <c r="AQ358" s="3"/>
      <c r="AR358" s="3"/>
    </row>
    <row r="359" customFormat="false" ht="15" hidden="false" customHeight="true" outlineLevel="0" collapsed="false">
      <c r="A359" s="3" t="s">
        <v>3143</v>
      </c>
      <c r="B359" s="3" t="n">
        <v>5</v>
      </c>
      <c r="C359" s="3" t="n">
        <v>27</v>
      </c>
      <c r="D359" s="3"/>
      <c r="E359" s="4"/>
      <c r="F359" s="3" t="n">
        <v>22</v>
      </c>
      <c r="G359" s="3" t="str">
        <f aca="false">IF(F359="","",IF(F359&gt;=Notes!$B$5,"Elderly ("&amp;Notes!$B$5&amp;"+)",IF(F359&lt;=Notes!$B$4,"Student age (≤"&amp;Notes!$B$4&amp;")","Middle-aged ("&amp;(Notes!$B$4+1)&amp;"–"&amp;(Notes!$B$5-1)&amp;")")))</f>
        <v>Student age (≤29)</v>
      </c>
      <c r="H359" s="3" t="s">
        <v>45</v>
      </c>
      <c r="I359" s="3"/>
      <c r="J359" s="3" t="s">
        <v>453</v>
      </c>
      <c r="K359" s="3" t="s">
        <v>453</v>
      </c>
      <c r="L359" s="3" t="s">
        <v>49</v>
      </c>
      <c r="M359" s="3" t="s">
        <v>47</v>
      </c>
      <c r="N359" s="3" t="s">
        <v>50</v>
      </c>
      <c r="O359" s="3" t="s">
        <v>3144</v>
      </c>
      <c r="P359" s="3" t="n">
        <v>60</v>
      </c>
      <c r="Q359" s="3" t="s">
        <v>52</v>
      </c>
      <c r="R359" s="3" t="s">
        <v>3145</v>
      </c>
      <c r="S359" s="3" t="s">
        <v>3146</v>
      </c>
      <c r="T359" s="3"/>
      <c r="U359" s="3" t="s">
        <v>3147</v>
      </c>
      <c r="V359" s="3" t="s">
        <v>3148</v>
      </c>
      <c r="W359" s="3" t="s">
        <v>3149</v>
      </c>
      <c r="X359" s="3" t="s">
        <v>3150</v>
      </c>
      <c r="Y359" s="3" t="n">
        <v>2</v>
      </c>
      <c r="Z359" s="3" t="n">
        <v>1</v>
      </c>
      <c r="AA359" s="3" t="n">
        <v>3</v>
      </c>
      <c r="AB359" s="3" t="n">
        <v>3</v>
      </c>
      <c r="AC359" s="3" t="n">
        <v>2</v>
      </c>
      <c r="AD359" s="3" t="n">
        <v>1</v>
      </c>
      <c r="AE359" s="3" t="s">
        <v>3151</v>
      </c>
      <c r="AF359" s="3"/>
      <c r="AG359" s="3" t="s">
        <v>3152</v>
      </c>
      <c r="AH359" s="3"/>
      <c r="AI359" s="3" t="s">
        <v>3153</v>
      </c>
      <c r="AJ359" s="3"/>
      <c r="AK359" s="3" t="s">
        <v>3154</v>
      </c>
      <c r="AL359" s="3" t="s">
        <v>59</v>
      </c>
      <c r="AM359" s="3"/>
      <c r="AN359" s="3"/>
      <c r="AO359" s="3" t="s">
        <v>59</v>
      </c>
      <c r="AP359" s="3"/>
      <c r="AQ359" s="3"/>
      <c r="AR359" s="3"/>
    </row>
    <row r="360" customFormat="false" ht="15" hidden="false" customHeight="true" outlineLevel="0" collapsed="false">
      <c r="A360" s="3" t="s">
        <v>3155</v>
      </c>
      <c r="B360" s="3" t="n">
        <v>5</v>
      </c>
      <c r="C360" s="3" t="n">
        <v>28</v>
      </c>
      <c r="D360" s="3"/>
      <c r="E360" s="4"/>
      <c r="F360" s="3" t="n">
        <v>25</v>
      </c>
      <c r="G360" s="3" t="str">
        <f aca="false">IF(F360="","",IF(F360&gt;=Notes!$B$5,"Elderly ("&amp;Notes!$B$5&amp;"+)",IF(F360&lt;=Notes!$B$4,"Student age (≤"&amp;Notes!$B$4&amp;")","Middle-aged ("&amp;(Notes!$B$4+1)&amp;"–"&amp;(Notes!$B$5-1)&amp;")")))</f>
        <v>Student age (≤29)</v>
      </c>
      <c r="H360" s="3" t="s">
        <v>45</v>
      </c>
      <c r="I360" s="3"/>
      <c r="J360" s="3" t="s">
        <v>2465</v>
      </c>
      <c r="K360" s="3" t="s">
        <v>2465</v>
      </c>
      <c r="L360" s="3" t="s">
        <v>49</v>
      </c>
      <c r="M360" s="3" t="s">
        <v>47</v>
      </c>
      <c r="N360" s="3" t="s">
        <v>50</v>
      </c>
      <c r="O360" s="3" t="s">
        <v>3156</v>
      </c>
      <c r="P360" s="3" t="n">
        <v>60</v>
      </c>
      <c r="Q360" s="3" t="s">
        <v>52</v>
      </c>
      <c r="R360" s="3" t="s">
        <v>525</v>
      </c>
      <c r="S360" s="3" t="s">
        <v>3157</v>
      </c>
      <c r="T360" s="3"/>
      <c r="U360" s="3" t="s">
        <v>98</v>
      </c>
      <c r="V360" s="3" t="s">
        <v>3158</v>
      </c>
      <c r="W360" s="3" t="s">
        <v>3159</v>
      </c>
      <c r="X360" s="3" t="s">
        <v>3160</v>
      </c>
      <c r="Y360" s="3" t="n">
        <v>1</v>
      </c>
      <c r="Z360" s="3" t="n">
        <v>3</v>
      </c>
      <c r="AA360" s="3" t="n">
        <v>2</v>
      </c>
      <c r="AB360" s="3" t="n">
        <v>1</v>
      </c>
      <c r="AC360" s="3" t="n">
        <v>2</v>
      </c>
      <c r="AD360" s="3" t="n">
        <v>3</v>
      </c>
      <c r="AE360" s="3" t="s">
        <v>3161</v>
      </c>
      <c r="AF360" s="3"/>
      <c r="AG360" s="3" t="s">
        <v>3162</v>
      </c>
      <c r="AH360" s="3"/>
      <c r="AI360" s="3" t="s">
        <v>3163</v>
      </c>
      <c r="AJ360" s="3"/>
      <c r="AK360" s="3" t="s">
        <v>3164</v>
      </c>
      <c r="AL360" s="3" t="s">
        <v>59</v>
      </c>
      <c r="AM360" s="3"/>
      <c r="AN360" s="3"/>
      <c r="AO360" s="3" t="s">
        <v>59</v>
      </c>
      <c r="AP360" s="3"/>
      <c r="AQ360" s="3"/>
      <c r="AR360" s="3"/>
    </row>
    <row r="361" customFormat="false" ht="15" hidden="false" customHeight="true" outlineLevel="0" collapsed="false">
      <c r="A361" s="3" t="s">
        <v>3165</v>
      </c>
      <c r="B361" s="3" t="n">
        <v>5</v>
      </c>
      <c r="C361" s="3" t="n">
        <v>29</v>
      </c>
      <c r="D361" s="3"/>
      <c r="E361" s="4"/>
      <c r="F361" s="3" t="n">
        <v>23</v>
      </c>
      <c r="G361" s="3" t="str">
        <f aca="false">IF(F361="","",IF(F361&gt;=Notes!$B$5,"Elderly ("&amp;Notes!$B$5&amp;"+)",IF(F361&lt;=Notes!$B$4,"Student age (≤"&amp;Notes!$B$4&amp;")","Middle-aged ("&amp;(Notes!$B$4+1)&amp;"–"&amp;(Notes!$B$5-1)&amp;")")))</f>
        <v>Student age (≤29)</v>
      </c>
      <c r="H361" s="3" t="s">
        <v>45</v>
      </c>
      <c r="I361" s="3"/>
      <c r="J361" s="3" t="s">
        <v>437</v>
      </c>
      <c r="K361" s="3" t="s">
        <v>437</v>
      </c>
      <c r="L361" s="3"/>
      <c r="M361" s="3" t="s">
        <v>47</v>
      </c>
      <c r="N361" s="3" t="s">
        <v>47</v>
      </c>
      <c r="O361" s="3" t="s">
        <v>3166</v>
      </c>
      <c r="P361" s="3" t="n">
        <v>30</v>
      </c>
      <c r="Q361" s="3" t="s">
        <v>117</v>
      </c>
      <c r="R361" s="3" t="s">
        <v>3167</v>
      </c>
      <c r="S361" s="3" t="s">
        <v>3168</v>
      </c>
      <c r="T361" s="3"/>
      <c r="U361" s="3" t="s">
        <v>3169</v>
      </c>
      <c r="V361" s="3" t="s">
        <v>3170</v>
      </c>
      <c r="W361" s="3" t="s">
        <v>3171</v>
      </c>
      <c r="X361" s="3" t="s">
        <v>3172</v>
      </c>
      <c r="Y361" s="3" t="n">
        <v>3</v>
      </c>
      <c r="Z361" s="3" t="n">
        <v>2</v>
      </c>
      <c r="AA361" s="3" t="n">
        <v>1</v>
      </c>
      <c r="AB361" s="3" t="n">
        <v>2</v>
      </c>
      <c r="AC361" s="3" t="n">
        <v>3</v>
      </c>
      <c r="AD361" s="3" t="n">
        <v>1</v>
      </c>
      <c r="AE361" s="3" t="s">
        <v>3173</v>
      </c>
      <c r="AF361" s="3"/>
      <c r="AG361" s="3" t="s">
        <v>3174</v>
      </c>
      <c r="AH361" s="3"/>
      <c r="AI361" s="3" t="s">
        <v>3175</v>
      </c>
      <c r="AJ361" s="3" t="s">
        <v>59</v>
      </c>
      <c r="AK361" s="3" t="s">
        <v>3176</v>
      </c>
      <c r="AL361" s="3" t="s">
        <v>59</v>
      </c>
      <c r="AM361" s="3"/>
      <c r="AN361" s="3"/>
      <c r="AO361" s="3" t="s">
        <v>59</v>
      </c>
      <c r="AP361" s="3"/>
      <c r="AQ361" s="3"/>
      <c r="AR361" s="3"/>
    </row>
    <row r="362" customFormat="false" ht="15" hidden="false" customHeight="true" outlineLevel="0" collapsed="false">
      <c r="A362" s="3" t="s">
        <v>3177</v>
      </c>
      <c r="B362" s="3" t="n">
        <v>5</v>
      </c>
      <c r="C362" s="3" t="n">
        <v>30</v>
      </c>
      <c r="D362" s="3"/>
      <c r="E362" s="4"/>
      <c r="F362" s="3" t="n">
        <v>23</v>
      </c>
      <c r="G362" s="3" t="str">
        <f aca="false">IF(F362="","",IF(F362&gt;=Notes!$B$5,"Elderly ("&amp;Notes!$B$5&amp;"+)",IF(F362&lt;=Notes!$B$4,"Student age (≤"&amp;Notes!$B$4&amp;")","Middle-aged ("&amp;(Notes!$B$4+1)&amp;"–"&amp;(Notes!$B$5-1)&amp;")")))</f>
        <v>Student age (≤29)</v>
      </c>
      <c r="H362" s="3" t="s">
        <v>83</v>
      </c>
      <c r="I362" s="3"/>
      <c r="J362" s="3" t="s">
        <v>437</v>
      </c>
      <c r="K362" s="3" t="s">
        <v>437</v>
      </c>
      <c r="L362" s="3" t="s">
        <v>49</v>
      </c>
      <c r="M362" s="3" t="s">
        <v>47</v>
      </c>
      <c r="N362" s="3" t="s">
        <v>50</v>
      </c>
      <c r="O362" s="3" t="s">
        <v>3178</v>
      </c>
      <c r="P362" s="3" t="n">
        <v>50</v>
      </c>
      <c r="Q362" s="3" t="s">
        <v>52</v>
      </c>
      <c r="R362" s="3" t="s">
        <v>3179</v>
      </c>
      <c r="S362" s="3" t="s">
        <v>3179</v>
      </c>
      <c r="T362" s="3"/>
      <c r="U362" s="3" t="s">
        <v>3180</v>
      </c>
      <c r="V362" s="3" t="s">
        <v>3181</v>
      </c>
      <c r="W362" s="3" t="s">
        <v>3180</v>
      </c>
      <c r="X362" s="3" t="s">
        <v>3182</v>
      </c>
      <c r="Y362" s="3" t="n">
        <v>1</v>
      </c>
      <c r="Z362" s="3" t="n">
        <v>2</v>
      </c>
      <c r="AA362" s="3" t="n">
        <v>3</v>
      </c>
      <c r="AB362" s="3" t="n">
        <v>1</v>
      </c>
      <c r="AC362" s="3" t="n">
        <v>2</v>
      </c>
      <c r="AD362" s="3" t="n">
        <v>3</v>
      </c>
      <c r="AE362" s="3" t="s">
        <v>3183</v>
      </c>
      <c r="AF362" s="3"/>
      <c r="AG362" s="3" t="s">
        <v>3184</v>
      </c>
      <c r="AH362" s="3"/>
      <c r="AI362" s="3" t="s">
        <v>3185</v>
      </c>
      <c r="AJ362" s="3"/>
      <c r="AK362" s="3" t="s">
        <v>3186</v>
      </c>
      <c r="AL362" s="3" t="s">
        <v>59</v>
      </c>
      <c r="AM362" s="3"/>
      <c r="AN362" s="3"/>
      <c r="AO362" s="3" t="s">
        <v>59</v>
      </c>
      <c r="AP362" s="3"/>
      <c r="AQ362" s="3"/>
      <c r="AR362" s="3"/>
    </row>
    <row r="363" customFormat="false" ht="15" hidden="false" customHeight="true" outlineLevel="0" collapsed="false">
      <c r="A363" s="3" t="s">
        <v>3187</v>
      </c>
      <c r="B363" s="3" t="n">
        <v>5</v>
      </c>
      <c r="C363" s="3" t="n">
        <v>31</v>
      </c>
      <c r="D363" s="3"/>
      <c r="E363" s="4"/>
      <c r="F363" s="3" t="n">
        <v>34</v>
      </c>
      <c r="G363" s="3" t="str">
        <f aca="false">IF(F363="","",IF(F363&gt;=Notes!$B$5,"Elderly ("&amp;Notes!$B$5&amp;"+)",IF(F363&lt;=Notes!$B$4,"Student age (≤"&amp;Notes!$B$4&amp;")","Middle-aged ("&amp;(Notes!$B$4+1)&amp;"–"&amp;(Notes!$B$5-1)&amp;")")))</f>
        <v>Middle-aged (30–64)</v>
      </c>
      <c r="H363" s="3" t="s">
        <v>83</v>
      </c>
      <c r="I363" s="3"/>
      <c r="J363" s="3" t="s">
        <v>437</v>
      </c>
      <c r="K363" s="3" t="s">
        <v>437</v>
      </c>
      <c r="L363" s="3" t="s">
        <v>49</v>
      </c>
      <c r="M363" s="3" t="s">
        <v>47</v>
      </c>
      <c r="N363" s="3" t="s">
        <v>50</v>
      </c>
      <c r="O363" s="3" t="s">
        <v>3188</v>
      </c>
      <c r="P363" s="3" t="n">
        <v>25</v>
      </c>
      <c r="Q363" s="3" t="s">
        <v>117</v>
      </c>
      <c r="R363" s="3" t="s">
        <v>893</v>
      </c>
      <c r="S363" s="3" t="s">
        <v>3189</v>
      </c>
      <c r="T363" s="3"/>
      <c r="U363" s="3" t="s">
        <v>3190</v>
      </c>
      <c r="V363" s="3" t="s">
        <v>3191</v>
      </c>
      <c r="W363" s="3" t="s">
        <v>3192</v>
      </c>
      <c r="X363" s="3" t="s">
        <v>3193</v>
      </c>
      <c r="Y363" s="3" t="n">
        <v>2</v>
      </c>
      <c r="Z363" s="3" t="n">
        <v>3</v>
      </c>
      <c r="AA363" s="3" t="n">
        <v>1</v>
      </c>
      <c r="AB363" s="3" t="n">
        <v>1</v>
      </c>
      <c r="AC363" s="3" t="n">
        <v>2</v>
      </c>
      <c r="AD363" s="3" t="n">
        <v>3</v>
      </c>
      <c r="AE363" s="3" t="s">
        <v>3194</v>
      </c>
      <c r="AF363" s="3"/>
      <c r="AG363" s="3" t="s">
        <v>3195</v>
      </c>
      <c r="AH363" s="3"/>
      <c r="AI363" s="3" t="s">
        <v>3196</v>
      </c>
      <c r="AJ363" s="3"/>
      <c r="AK363" s="3" t="s">
        <v>3197</v>
      </c>
      <c r="AL363" s="3" t="s">
        <v>59</v>
      </c>
      <c r="AM363" s="3"/>
      <c r="AN363" s="3"/>
      <c r="AO363" s="3" t="s">
        <v>59</v>
      </c>
      <c r="AP363" s="3"/>
      <c r="AQ363" s="3"/>
      <c r="AR363" s="3"/>
    </row>
    <row r="364" customFormat="false" ht="15" hidden="false" customHeight="true" outlineLevel="0" collapsed="false">
      <c r="A364" s="3" t="s">
        <v>3198</v>
      </c>
      <c r="B364" s="3" t="n">
        <v>5</v>
      </c>
      <c r="C364" s="3" t="n">
        <v>32</v>
      </c>
      <c r="D364" s="3"/>
      <c r="E364" s="4"/>
      <c r="F364" s="3" t="n">
        <v>21</v>
      </c>
      <c r="G364" s="3" t="str">
        <f aca="false">IF(F364="","",IF(F364&gt;=Notes!$B$5,"Elderly ("&amp;Notes!$B$5&amp;"+)",IF(F364&lt;=Notes!$B$4,"Student age (≤"&amp;Notes!$B$4&amp;")","Middle-aged ("&amp;(Notes!$B$4+1)&amp;"–"&amp;(Notes!$B$5-1)&amp;")")))</f>
        <v>Student age (≤29)</v>
      </c>
      <c r="H364" s="3" t="s">
        <v>45</v>
      </c>
      <c r="I364" s="3"/>
      <c r="J364" s="3" t="s">
        <v>437</v>
      </c>
      <c r="K364" s="3" t="s">
        <v>437</v>
      </c>
      <c r="L364" s="3"/>
      <c r="M364" s="3" t="s">
        <v>47</v>
      </c>
      <c r="N364" s="3" t="s">
        <v>47</v>
      </c>
      <c r="O364" s="3" t="s">
        <v>2037</v>
      </c>
      <c r="P364" s="3" t="n">
        <v>20</v>
      </c>
      <c r="Q364" s="3" t="s">
        <v>95</v>
      </c>
      <c r="R364" s="3" t="s">
        <v>3199</v>
      </c>
      <c r="S364" s="3" t="s">
        <v>3200</v>
      </c>
      <c r="T364" s="3"/>
      <c r="U364" s="3" t="s">
        <v>3201</v>
      </c>
      <c r="V364" s="5" t="s">
        <v>3202</v>
      </c>
      <c r="W364" s="3" t="s">
        <v>3203</v>
      </c>
      <c r="X364" s="5" t="s">
        <v>3204</v>
      </c>
      <c r="Y364" s="3" t="n">
        <v>2</v>
      </c>
      <c r="Z364" s="3" t="n">
        <v>3</v>
      </c>
      <c r="AA364" s="3" t="n">
        <v>1</v>
      </c>
      <c r="AB364" s="3" t="n">
        <v>2</v>
      </c>
      <c r="AC364" s="3" t="n">
        <v>1</v>
      </c>
      <c r="AD364" s="3" t="n">
        <v>3</v>
      </c>
      <c r="AE364" s="3" t="s">
        <v>3205</v>
      </c>
      <c r="AF364" s="3"/>
      <c r="AG364" s="3" t="s">
        <v>1600</v>
      </c>
      <c r="AH364" s="3"/>
      <c r="AI364" s="3" t="s">
        <v>1600</v>
      </c>
      <c r="AJ364" s="3"/>
      <c r="AK364" s="5" t="s">
        <v>3206</v>
      </c>
      <c r="AL364" s="3" t="s">
        <v>59</v>
      </c>
      <c r="AM364" s="3"/>
      <c r="AN364" s="3"/>
      <c r="AO364" s="3" t="s">
        <v>59</v>
      </c>
      <c r="AP364" s="3"/>
      <c r="AQ364" s="3"/>
      <c r="AR364" s="3"/>
    </row>
    <row r="365" customFormat="false" ht="15" hidden="false" customHeight="true" outlineLevel="0" collapsed="false">
      <c r="A365" s="3" t="s">
        <v>3207</v>
      </c>
      <c r="B365" s="3" t="n">
        <v>5</v>
      </c>
      <c r="C365" s="3" t="n">
        <v>33</v>
      </c>
      <c r="D365" s="3"/>
      <c r="E365" s="4"/>
      <c r="F365" s="3" t="n">
        <v>26</v>
      </c>
      <c r="G365" s="3" t="str">
        <f aca="false">IF(F365="","",IF(F365&gt;=Notes!$B$5,"Elderly ("&amp;Notes!$B$5&amp;"+)",IF(F365&lt;=Notes!$B$4,"Student age (≤"&amp;Notes!$B$4&amp;")","Middle-aged ("&amp;(Notes!$B$4+1)&amp;"–"&amp;(Notes!$B$5-1)&amp;")")))</f>
        <v>Student age (≤29)</v>
      </c>
      <c r="H365" s="3" t="s">
        <v>45</v>
      </c>
      <c r="I365" s="3"/>
      <c r="J365" s="3" t="s">
        <v>437</v>
      </c>
      <c r="K365" s="3" t="s">
        <v>437</v>
      </c>
      <c r="L365" s="3" t="s">
        <v>49</v>
      </c>
      <c r="M365" s="3" t="s">
        <v>47</v>
      </c>
      <c r="N365" s="3" t="s">
        <v>50</v>
      </c>
      <c r="O365" s="3" t="s">
        <v>3208</v>
      </c>
      <c r="P365" s="3" t="n">
        <v>30</v>
      </c>
      <c r="Q365" s="3" t="s">
        <v>117</v>
      </c>
      <c r="R365" s="3" t="s">
        <v>3209</v>
      </c>
      <c r="S365" s="3" t="s">
        <v>3210</v>
      </c>
      <c r="T365" s="3"/>
      <c r="U365" s="3" t="s">
        <v>3211</v>
      </c>
      <c r="V365" s="3" t="s">
        <v>3212</v>
      </c>
      <c r="W365" s="3" t="s">
        <v>3213</v>
      </c>
      <c r="X365" s="3" t="s">
        <v>3214</v>
      </c>
      <c r="Y365" s="3" t="n">
        <v>3</v>
      </c>
      <c r="Z365" s="3" t="n">
        <v>2</v>
      </c>
      <c r="AA365" s="3" t="n">
        <v>1</v>
      </c>
      <c r="AB365" s="3" t="n">
        <v>2</v>
      </c>
      <c r="AC365" s="3" t="n">
        <v>3</v>
      </c>
      <c r="AD365" s="3" t="n">
        <v>1</v>
      </c>
      <c r="AE365" s="3" t="s">
        <v>3215</v>
      </c>
      <c r="AF365" s="3"/>
      <c r="AG365" s="3" t="s">
        <v>3216</v>
      </c>
      <c r="AH365" s="3"/>
      <c r="AI365" s="3" t="s">
        <v>3217</v>
      </c>
      <c r="AJ365" s="3" t="s">
        <v>59</v>
      </c>
      <c r="AK365" s="3" t="s">
        <v>3218</v>
      </c>
      <c r="AL365" s="3" t="s">
        <v>59</v>
      </c>
      <c r="AM365" s="3"/>
      <c r="AN365" s="3"/>
      <c r="AO365" s="3" t="s">
        <v>59</v>
      </c>
      <c r="AP365" s="3"/>
      <c r="AQ365" s="3"/>
      <c r="AR365" s="3"/>
    </row>
    <row r="366" customFormat="false" ht="15" hidden="false" customHeight="true" outlineLevel="0" collapsed="false">
      <c r="A366" s="3" t="s">
        <v>3219</v>
      </c>
      <c r="B366" s="3" t="n">
        <v>5</v>
      </c>
      <c r="C366" s="3" t="n">
        <v>34</v>
      </c>
      <c r="D366" s="3"/>
      <c r="E366" s="4"/>
      <c r="F366" s="3" t="n">
        <v>23</v>
      </c>
      <c r="G366" s="3" t="str">
        <f aca="false">IF(F366="","",IF(F366&gt;=Notes!$B$5,"Elderly ("&amp;Notes!$B$5&amp;"+)",IF(F366&lt;=Notes!$B$4,"Student age (≤"&amp;Notes!$B$4&amp;")","Middle-aged ("&amp;(Notes!$B$4+1)&amp;"–"&amp;(Notes!$B$5-1)&amp;")")))</f>
        <v>Student age (≤29)</v>
      </c>
      <c r="H366" s="3" t="s">
        <v>45</v>
      </c>
      <c r="I366" s="3"/>
      <c r="J366" s="3" t="s">
        <v>453</v>
      </c>
      <c r="K366" s="3" t="s">
        <v>453</v>
      </c>
      <c r="L366" s="3"/>
      <c r="M366" s="3" t="s">
        <v>453</v>
      </c>
      <c r="N366" s="3" t="s">
        <v>453</v>
      </c>
      <c r="O366" s="3" t="s">
        <v>3220</v>
      </c>
      <c r="P366" s="3" t="n">
        <v>20</v>
      </c>
      <c r="Q366" s="3" t="s">
        <v>95</v>
      </c>
      <c r="R366" s="3" t="s">
        <v>3221</v>
      </c>
      <c r="S366" s="3" t="s">
        <v>3222</v>
      </c>
      <c r="T366" s="3"/>
      <c r="U366" s="3" t="s">
        <v>3223</v>
      </c>
      <c r="V366" s="5" t="s">
        <v>3224</v>
      </c>
      <c r="W366" s="3" t="s">
        <v>3225</v>
      </c>
      <c r="X366" s="3" t="s">
        <v>3226</v>
      </c>
      <c r="Y366" s="3" t="n">
        <v>1</v>
      </c>
      <c r="Z366" s="3" t="n">
        <v>2</v>
      </c>
      <c r="AA366" s="3" t="n">
        <v>3</v>
      </c>
      <c r="AB366" s="3" t="n">
        <v>1</v>
      </c>
      <c r="AC366" s="3" t="n">
        <v>2</v>
      </c>
      <c r="AD366" s="3" t="n">
        <v>3</v>
      </c>
      <c r="AE366" s="3" t="s">
        <v>3227</v>
      </c>
      <c r="AF366" s="3"/>
      <c r="AG366" s="3" t="s">
        <v>3228</v>
      </c>
      <c r="AH366" s="3"/>
      <c r="AI366" s="3" t="s">
        <v>3229</v>
      </c>
      <c r="AJ366" s="3" t="s">
        <v>59</v>
      </c>
      <c r="AK366" s="3" t="s">
        <v>3230</v>
      </c>
      <c r="AL366" s="3" t="s">
        <v>59</v>
      </c>
      <c r="AM366" s="3"/>
      <c r="AN366" s="3"/>
      <c r="AO366" s="3" t="s">
        <v>59</v>
      </c>
      <c r="AP366" s="3"/>
      <c r="AQ366" s="3"/>
      <c r="AR366" s="3"/>
    </row>
    <row r="367" customFormat="false" ht="15" hidden="false" customHeight="true" outlineLevel="0" collapsed="false">
      <c r="A367" s="3" t="s">
        <v>3231</v>
      </c>
      <c r="B367" s="3" t="n">
        <v>5</v>
      </c>
      <c r="C367" s="3" t="n">
        <v>35</v>
      </c>
      <c r="D367" s="3"/>
      <c r="E367" s="4"/>
      <c r="F367" s="3" t="n">
        <v>23</v>
      </c>
      <c r="G367" s="3" t="str">
        <f aca="false">IF(F367="","",IF(F367&gt;=Notes!$B$5,"Elderly ("&amp;Notes!$B$5&amp;"+)",IF(F367&lt;=Notes!$B$4,"Student age (≤"&amp;Notes!$B$4&amp;")","Middle-aged ("&amp;(Notes!$B$4+1)&amp;"–"&amp;(Notes!$B$5-1)&amp;")")))</f>
        <v>Student age (≤29)</v>
      </c>
      <c r="H367" s="3" t="s">
        <v>83</v>
      </c>
      <c r="I367" s="3"/>
      <c r="J367" s="3" t="s">
        <v>437</v>
      </c>
      <c r="K367" s="3" t="s">
        <v>437</v>
      </c>
      <c r="L367" s="3"/>
      <c r="M367" s="3" t="s">
        <v>437</v>
      </c>
      <c r="N367" s="3" t="s">
        <v>437</v>
      </c>
      <c r="O367" s="3" t="s">
        <v>3232</v>
      </c>
      <c r="P367" s="3" t="n">
        <v>35</v>
      </c>
      <c r="Q367" s="3" t="s">
        <v>52</v>
      </c>
      <c r="R367" s="3" t="s">
        <v>3233</v>
      </c>
      <c r="S367" s="3" t="s">
        <v>3234</v>
      </c>
      <c r="T367" s="3"/>
      <c r="U367" s="3" t="s">
        <v>3235</v>
      </c>
      <c r="V367" s="3" t="s">
        <v>3236</v>
      </c>
      <c r="W367" s="3" t="s">
        <v>3237</v>
      </c>
      <c r="X367" s="3" t="s">
        <v>3238</v>
      </c>
      <c r="Y367" s="3" t="n">
        <v>3</v>
      </c>
      <c r="Z367" s="3" t="n">
        <v>2</v>
      </c>
      <c r="AA367" s="3" t="n">
        <v>1</v>
      </c>
      <c r="AB367" s="3" t="n">
        <v>3</v>
      </c>
      <c r="AC367" s="3" t="n">
        <v>1</v>
      </c>
      <c r="AD367" s="3" t="n">
        <v>2</v>
      </c>
      <c r="AE367" s="3" t="s">
        <v>3239</v>
      </c>
      <c r="AF367" s="3"/>
      <c r="AG367" s="3" t="s">
        <v>3240</v>
      </c>
      <c r="AH367" s="3"/>
      <c r="AI367" s="3" t="s">
        <v>3241</v>
      </c>
      <c r="AJ367" s="3"/>
      <c r="AK367" s="3" t="s">
        <v>3242</v>
      </c>
      <c r="AL367" s="3" t="s">
        <v>59</v>
      </c>
      <c r="AM367" s="3"/>
      <c r="AN367" s="3"/>
      <c r="AO367" s="3" t="s">
        <v>59</v>
      </c>
      <c r="AP367" s="3"/>
      <c r="AQ367" s="3"/>
      <c r="AR367" s="3"/>
    </row>
    <row r="368" customFormat="false" ht="15" hidden="false" customHeight="true" outlineLevel="0" collapsed="false">
      <c r="A368" s="3" t="s">
        <v>3243</v>
      </c>
      <c r="B368" s="3" t="n">
        <v>5</v>
      </c>
      <c r="C368" s="3" t="n">
        <v>36</v>
      </c>
      <c r="D368" s="3"/>
      <c r="E368" s="4"/>
      <c r="F368" s="3" t="n">
        <v>27</v>
      </c>
      <c r="G368" s="3" t="str">
        <f aca="false">IF(F368="","",IF(F368&gt;=Notes!$B$5,"Elderly ("&amp;Notes!$B$5&amp;"+)",IF(F368&lt;=Notes!$B$4,"Student age (≤"&amp;Notes!$B$4&amp;")","Middle-aged ("&amp;(Notes!$B$4+1)&amp;"–"&amp;(Notes!$B$5-1)&amp;")")))</f>
        <v>Student age (≤29)</v>
      </c>
      <c r="H368" s="3" t="s">
        <v>45</v>
      </c>
      <c r="I368" s="3"/>
      <c r="J368" s="3" t="s">
        <v>437</v>
      </c>
      <c r="K368" s="3" t="s">
        <v>437</v>
      </c>
      <c r="L368" s="3"/>
      <c r="M368" s="3" t="s">
        <v>47</v>
      </c>
      <c r="N368" s="3" t="s">
        <v>47</v>
      </c>
      <c r="O368" s="3" t="s">
        <v>3244</v>
      </c>
      <c r="P368" s="3" t="n">
        <v>30</v>
      </c>
      <c r="Q368" s="3" t="s">
        <v>117</v>
      </c>
      <c r="R368" s="3" t="s">
        <v>3245</v>
      </c>
      <c r="S368" s="3" t="s">
        <v>3246</v>
      </c>
      <c r="T368" s="3"/>
      <c r="U368" s="3" t="s">
        <v>3247</v>
      </c>
      <c r="V368" s="3" t="s">
        <v>3248</v>
      </c>
      <c r="W368" s="3" t="s">
        <v>3249</v>
      </c>
      <c r="X368" s="3" t="s">
        <v>3250</v>
      </c>
      <c r="Y368" s="3" t="n">
        <v>2</v>
      </c>
      <c r="Z368" s="3" t="n">
        <v>3</v>
      </c>
      <c r="AA368" s="3" t="n">
        <v>1</v>
      </c>
      <c r="AB368" s="3" t="n">
        <v>1</v>
      </c>
      <c r="AC368" s="3" t="n">
        <v>2</v>
      </c>
      <c r="AD368" s="3" t="n">
        <v>3</v>
      </c>
      <c r="AE368" s="3" t="s">
        <v>3251</v>
      </c>
      <c r="AF368" s="3"/>
      <c r="AG368" s="3" t="s">
        <v>1834</v>
      </c>
      <c r="AH368" s="3"/>
      <c r="AI368" s="3" t="s">
        <v>1834</v>
      </c>
      <c r="AJ368" s="3"/>
      <c r="AK368" s="3" t="s">
        <v>3252</v>
      </c>
      <c r="AL368" s="3" t="s">
        <v>59</v>
      </c>
      <c r="AM368" s="3"/>
      <c r="AN368" s="3"/>
      <c r="AO368" s="3" t="s">
        <v>59</v>
      </c>
      <c r="AP368" s="3"/>
      <c r="AQ368" s="3"/>
      <c r="AR368" s="3"/>
    </row>
    <row r="369" customFormat="false" ht="15" hidden="false" customHeight="true" outlineLevel="0" collapsed="false">
      <c r="A369" s="3" t="s">
        <v>3253</v>
      </c>
      <c r="B369" s="3" t="n">
        <v>5</v>
      </c>
      <c r="C369" s="3" t="n">
        <v>37</v>
      </c>
      <c r="D369" s="3"/>
      <c r="E369" s="4"/>
      <c r="F369" s="3" t="n">
        <v>23</v>
      </c>
      <c r="G369" s="3" t="str">
        <f aca="false">IF(F369="","",IF(F369&gt;=Notes!$B$5,"Elderly ("&amp;Notes!$B$5&amp;"+)",IF(F369&lt;=Notes!$B$4,"Student age (≤"&amp;Notes!$B$4&amp;")","Middle-aged ("&amp;(Notes!$B$4+1)&amp;"–"&amp;(Notes!$B$5-1)&amp;")")))</f>
        <v>Student age (≤29)</v>
      </c>
      <c r="H369" s="3" t="s">
        <v>83</v>
      </c>
      <c r="I369" s="3"/>
      <c r="J369" s="3" t="s">
        <v>437</v>
      </c>
      <c r="K369" s="3" t="s">
        <v>437</v>
      </c>
      <c r="L369" s="3"/>
      <c r="M369" s="3" t="s">
        <v>47</v>
      </c>
      <c r="N369" s="3" t="s">
        <v>47</v>
      </c>
      <c r="O369" s="3" t="s">
        <v>3254</v>
      </c>
      <c r="P369" s="3" t="n">
        <v>20</v>
      </c>
      <c r="Q369" s="3" t="s">
        <v>95</v>
      </c>
      <c r="R369" s="3" t="s">
        <v>3255</v>
      </c>
      <c r="S369" s="3" t="s">
        <v>3256</v>
      </c>
      <c r="T369" s="3"/>
      <c r="U369" s="3" t="s">
        <v>3257</v>
      </c>
      <c r="V369" s="3" t="s">
        <v>3258</v>
      </c>
      <c r="W369" s="3" t="s">
        <v>3259</v>
      </c>
      <c r="X369" s="5" t="s">
        <v>3260</v>
      </c>
      <c r="Y369" s="3" t="n">
        <v>2</v>
      </c>
      <c r="Z369" s="3" t="n">
        <v>3</v>
      </c>
      <c r="AA369" s="3" t="n">
        <v>1</v>
      </c>
      <c r="AB369" s="3" t="n">
        <v>2</v>
      </c>
      <c r="AC369" s="3" t="n">
        <v>3</v>
      </c>
      <c r="AD369" s="3" t="n">
        <v>1</v>
      </c>
      <c r="AE369" s="3" t="s">
        <v>3261</v>
      </c>
      <c r="AF369" s="3"/>
      <c r="AG369" s="3" t="s">
        <v>3262</v>
      </c>
      <c r="AH369" s="3"/>
      <c r="AI369" s="5" t="s">
        <v>3263</v>
      </c>
      <c r="AJ369" s="3" t="s">
        <v>59</v>
      </c>
      <c r="AK369" s="3" t="s">
        <v>3264</v>
      </c>
      <c r="AL369" s="3" t="s">
        <v>59</v>
      </c>
      <c r="AM369" s="3"/>
      <c r="AN369" s="3"/>
      <c r="AO369" s="3" t="s">
        <v>59</v>
      </c>
      <c r="AP369" s="3"/>
      <c r="AQ369" s="3"/>
      <c r="AR369" s="3"/>
    </row>
    <row r="370" customFormat="false" ht="15" hidden="false" customHeight="true" outlineLevel="0" collapsed="false">
      <c r="A370" s="3" t="s">
        <v>3265</v>
      </c>
      <c r="B370" s="3" t="n">
        <v>5</v>
      </c>
      <c r="C370" s="3" t="n">
        <v>38</v>
      </c>
      <c r="D370" s="3"/>
      <c r="E370" s="4"/>
      <c r="F370" s="3" t="n">
        <v>23</v>
      </c>
      <c r="G370" s="3" t="str">
        <f aca="false">IF(F370="","",IF(F370&gt;=Notes!$B$5,"Elderly ("&amp;Notes!$B$5&amp;"+)",IF(F370&lt;=Notes!$B$4,"Student age (≤"&amp;Notes!$B$4&amp;")","Middle-aged ("&amp;(Notes!$B$4+1)&amp;"–"&amp;(Notes!$B$5-1)&amp;")")))</f>
        <v>Student age (≤29)</v>
      </c>
      <c r="H370" s="3" t="s">
        <v>45</v>
      </c>
      <c r="I370" s="3"/>
      <c r="J370" s="3" t="s">
        <v>437</v>
      </c>
      <c r="K370" s="3" t="s">
        <v>437</v>
      </c>
      <c r="L370" s="3"/>
      <c r="M370" s="3" t="s">
        <v>437</v>
      </c>
      <c r="N370" s="3" t="s">
        <v>437</v>
      </c>
      <c r="O370" s="3" t="s">
        <v>3266</v>
      </c>
      <c r="P370" s="3" t="n">
        <v>20</v>
      </c>
      <c r="Q370" s="3" t="s">
        <v>95</v>
      </c>
      <c r="R370" s="3" t="s">
        <v>3267</v>
      </c>
      <c r="S370" s="3" t="s">
        <v>3268</v>
      </c>
      <c r="T370" s="3"/>
      <c r="U370" s="3" t="s">
        <v>2952</v>
      </c>
      <c r="V370" s="3" t="s">
        <v>3269</v>
      </c>
      <c r="W370" s="3" t="s">
        <v>3270</v>
      </c>
      <c r="X370" s="3" t="s">
        <v>3271</v>
      </c>
      <c r="Y370" s="3" t="n">
        <v>1</v>
      </c>
      <c r="Z370" s="3" t="n">
        <v>2</v>
      </c>
      <c r="AA370" s="3" t="n">
        <v>3</v>
      </c>
      <c r="AB370" s="3" t="n">
        <v>2</v>
      </c>
      <c r="AC370" s="3" t="n">
        <v>1</v>
      </c>
      <c r="AD370" s="3" t="n">
        <v>3</v>
      </c>
      <c r="AE370" s="3" t="s">
        <v>3272</v>
      </c>
      <c r="AF370" s="3"/>
      <c r="AG370" s="3" t="s">
        <v>3273</v>
      </c>
      <c r="AH370" s="3"/>
      <c r="AI370" s="3" t="s">
        <v>3274</v>
      </c>
      <c r="AJ370" s="3"/>
      <c r="AK370" s="3" t="s">
        <v>3275</v>
      </c>
      <c r="AL370" s="3" t="s">
        <v>1625</v>
      </c>
      <c r="AM370" s="3"/>
      <c r="AN370" s="3"/>
      <c r="AO370" s="3" t="s">
        <v>59</v>
      </c>
      <c r="AP370" s="3"/>
      <c r="AQ370" s="3"/>
      <c r="AR370" s="3"/>
    </row>
    <row r="371" customFormat="false" ht="15" hidden="false" customHeight="true" outlineLevel="0" collapsed="false">
      <c r="A371" s="3" t="s">
        <v>3276</v>
      </c>
      <c r="B371" s="3" t="n">
        <v>5</v>
      </c>
      <c r="C371" s="3" t="n">
        <v>39</v>
      </c>
      <c r="D371" s="3"/>
      <c r="E371" s="4"/>
      <c r="F371" s="3" t="n">
        <v>27</v>
      </c>
      <c r="G371" s="3" t="str">
        <f aca="false">IF(F371="","",IF(F371&gt;=Notes!$B$5,"Elderly ("&amp;Notes!$B$5&amp;"+)",IF(F371&lt;=Notes!$B$4,"Student age (≤"&amp;Notes!$B$4&amp;")","Middle-aged ("&amp;(Notes!$B$4+1)&amp;"–"&amp;(Notes!$B$5-1)&amp;")")))</f>
        <v>Student age (≤29)</v>
      </c>
      <c r="H371" s="3" t="s">
        <v>45</v>
      </c>
      <c r="I371" s="3"/>
      <c r="J371" s="3" t="s">
        <v>437</v>
      </c>
      <c r="K371" s="3" t="s">
        <v>437</v>
      </c>
      <c r="L371" s="3"/>
      <c r="M371" s="3" t="s">
        <v>3277</v>
      </c>
      <c r="N371" s="3" t="s">
        <v>3277</v>
      </c>
      <c r="O371" s="3" t="s">
        <v>3278</v>
      </c>
      <c r="P371" s="3" t="n">
        <v>20</v>
      </c>
      <c r="Q371" s="3" t="s">
        <v>95</v>
      </c>
      <c r="R371" s="3" t="s">
        <v>3279</v>
      </c>
      <c r="S371" s="3" t="s">
        <v>3280</v>
      </c>
      <c r="T371" s="3"/>
      <c r="U371" s="3" t="s">
        <v>3281</v>
      </c>
      <c r="V371" s="3" t="s">
        <v>3282</v>
      </c>
      <c r="W371" s="3" t="s">
        <v>3283</v>
      </c>
      <c r="X371" s="3" t="s">
        <v>3284</v>
      </c>
      <c r="Y371" s="3" t="n">
        <v>3</v>
      </c>
      <c r="Z371" s="3" t="n">
        <v>1</v>
      </c>
      <c r="AA371" s="3" t="n">
        <v>2</v>
      </c>
      <c r="AB371" s="3" t="n">
        <v>3</v>
      </c>
      <c r="AC371" s="3" t="n">
        <v>2</v>
      </c>
      <c r="AD371" s="3" t="n">
        <v>1</v>
      </c>
      <c r="AE371" s="3" t="s">
        <v>3285</v>
      </c>
      <c r="AF371" s="3"/>
      <c r="AG371" s="3" t="s">
        <v>1845</v>
      </c>
      <c r="AH371" s="3"/>
      <c r="AI371" s="3" t="s">
        <v>2215</v>
      </c>
      <c r="AJ371" s="3" t="s">
        <v>59</v>
      </c>
      <c r="AK371" s="3" t="s">
        <v>3286</v>
      </c>
      <c r="AL371" s="3" t="s">
        <v>1625</v>
      </c>
      <c r="AM371" s="3"/>
      <c r="AN371" s="3"/>
      <c r="AO371" s="3" t="s">
        <v>59</v>
      </c>
      <c r="AP371" s="3"/>
      <c r="AQ371" s="3"/>
      <c r="AR371" s="3"/>
    </row>
    <row r="372" customFormat="false" ht="15" hidden="false" customHeight="true" outlineLevel="0" collapsed="false">
      <c r="A372" s="3" t="s">
        <v>3287</v>
      </c>
      <c r="B372" s="3" t="n">
        <v>5</v>
      </c>
      <c r="C372" s="3" t="n">
        <v>40</v>
      </c>
      <c r="D372" s="3"/>
      <c r="E372" s="4"/>
      <c r="F372" s="3" t="n">
        <v>55</v>
      </c>
      <c r="G372" s="3" t="str">
        <f aca="false">IF(F372="","",IF(F372&gt;=Notes!$B$5,"Elderly ("&amp;Notes!$B$5&amp;"+)",IF(F372&lt;=Notes!$B$4,"Student age (≤"&amp;Notes!$B$4&amp;")","Middle-aged ("&amp;(Notes!$B$4+1)&amp;"–"&amp;(Notes!$B$5-1)&amp;")")))</f>
        <v>Middle-aged (30–64)</v>
      </c>
      <c r="H372" s="3" t="s">
        <v>45</v>
      </c>
      <c r="I372" s="3"/>
      <c r="J372" s="3" t="s">
        <v>437</v>
      </c>
      <c r="K372" s="3" t="s">
        <v>437</v>
      </c>
      <c r="L372" s="3"/>
      <c r="M372" s="3" t="s">
        <v>453</v>
      </c>
      <c r="N372" s="3" t="s">
        <v>453</v>
      </c>
      <c r="O372" s="3" t="s">
        <v>3288</v>
      </c>
      <c r="P372" s="3" t="n">
        <v>15</v>
      </c>
      <c r="Q372" s="3" t="s">
        <v>74</v>
      </c>
      <c r="R372" s="3" t="s">
        <v>3289</v>
      </c>
      <c r="S372" s="3" t="s">
        <v>1366</v>
      </c>
      <c r="T372" s="3"/>
      <c r="U372" s="3" t="s">
        <v>3290</v>
      </c>
      <c r="V372" s="3" t="s">
        <v>3291</v>
      </c>
      <c r="W372" s="3" t="s">
        <v>3292</v>
      </c>
      <c r="X372" s="3" t="s">
        <v>3293</v>
      </c>
      <c r="Y372" s="3" t="n">
        <v>3</v>
      </c>
      <c r="Z372" s="3" t="n">
        <v>2</v>
      </c>
      <c r="AA372" s="3" t="n">
        <v>1</v>
      </c>
      <c r="AB372" s="3" t="n">
        <v>2</v>
      </c>
      <c r="AC372" s="3" t="n">
        <v>3</v>
      </c>
      <c r="AD372" s="3" t="n">
        <v>1</v>
      </c>
      <c r="AE372" s="3" t="s">
        <v>3294</v>
      </c>
      <c r="AF372" s="3"/>
      <c r="AG372" s="3" t="s">
        <v>3295</v>
      </c>
      <c r="AH372" s="3"/>
      <c r="AI372" s="3" t="s">
        <v>3296</v>
      </c>
      <c r="AJ372" s="3" t="s">
        <v>59</v>
      </c>
      <c r="AK372" s="3"/>
      <c r="AL372" s="3" t="s">
        <v>59</v>
      </c>
      <c r="AM372" s="3"/>
      <c r="AN372" s="3"/>
      <c r="AO372" s="3" t="s">
        <v>59</v>
      </c>
      <c r="AP372" s="3"/>
      <c r="AQ372" s="3"/>
      <c r="AR372" s="3"/>
    </row>
    <row r="373" customFormat="false" ht="15" hidden="false" customHeight="true" outlineLevel="0" collapsed="false">
      <c r="A373" s="3" t="s">
        <v>3297</v>
      </c>
      <c r="B373" s="3" t="n">
        <v>5</v>
      </c>
      <c r="C373" s="3" t="n">
        <v>41</v>
      </c>
      <c r="D373" s="3"/>
      <c r="E373" s="4"/>
      <c r="F373" s="3" t="n">
        <v>52</v>
      </c>
      <c r="G373" s="3" t="str">
        <f aca="false">IF(F373="","",IF(F373&gt;=Notes!$B$5,"Elderly ("&amp;Notes!$B$5&amp;"+)",IF(F373&lt;=Notes!$B$4,"Student age (≤"&amp;Notes!$B$4&amp;")","Middle-aged ("&amp;(Notes!$B$4+1)&amp;"–"&amp;(Notes!$B$5-1)&amp;")")))</f>
        <v>Middle-aged (30–64)</v>
      </c>
      <c r="H373" s="3" t="s">
        <v>45</v>
      </c>
      <c r="I373" s="3"/>
      <c r="J373" s="3" t="s">
        <v>437</v>
      </c>
      <c r="K373" s="3" t="s">
        <v>437</v>
      </c>
      <c r="L373" s="3"/>
      <c r="M373" s="3" t="s">
        <v>453</v>
      </c>
      <c r="N373" s="3" t="s">
        <v>453</v>
      </c>
      <c r="O373" s="3" t="s">
        <v>3298</v>
      </c>
      <c r="P373" s="3" t="n">
        <v>20</v>
      </c>
      <c r="Q373" s="3" t="s">
        <v>95</v>
      </c>
      <c r="R373" s="3" t="s">
        <v>3299</v>
      </c>
      <c r="S373" s="3" t="s">
        <v>1860</v>
      </c>
      <c r="T373" s="3"/>
      <c r="U373" s="3" t="s">
        <v>3300</v>
      </c>
      <c r="V373" s="3" t="s">
        <v>3301</v>
      </c>
      <c r="W373" s="3" t="s">
        <v>59</v>
      </c>
      <c r="X373" s="3" t="s">
        <v>3302</v>
      </c>
      <c r="Y373" s="3" t="n">
        <v>1</v>
      </c>
      <c r="Z373" s="3" t="n">
        <v>3</v>
      </c>
      <c r="AA373" s="3" t="n">
        <v>2</v>
      </c>
      <c r="AB373" s="3" t="n">
        <v>2</v>
      </c>
      <c r="AC373" s="3" t="n">
        <v>3</v>
      </c>
      <c r="AD373" s="3" t="n">
        <v>1</v>
      </c>
      <c r="AE373" s="3" t="s">
        <v>3303</v>
      </c>
      <c r="AF373" s="3"/>
      <c r="AG373" s="3" t="s">
        <v>1845</v>
      </c>
      <c r="AH373" s="3"/>
      <c r="AI373" s="3" t="s">
        <v>2215</v>
      </c>
      <c r="AJ373" s="3" t="s">
        <v>59</v>
      </c>
      <c r="AK373" s="3"/>
      <c r="AL373" s="3" t="s">
        <v>1625</v>
      </c>
      <c r="AM373" s="3"/>
      <c r="AN373" s="3"/>
      <c r="AO373" s="3" t="s">
        <v>1625</v>
      </c>
      <c r="AP373" s="3"/>
      <c r="AQ373" s="3"/>
      <c r="AR373" s="3"/>
    </row>
    <row r="374" customFormat="false" ht="15" hidden="false" customHeight="true" outlineLevel="0" collapsed="false">
      <c r="A374" s="3" t="s">
        <v>3304</v>
      </c>
      <c r="B374" s="3" t="n">
        <v>5</v>
      </c>
      <c r="C374" s="3" t="n">
        <v>42</v>
      </c>
      <c r="D374" s="3"/>
      <c r="E374" s="4"/>
      <c r="F374" s="3" t="n">
        <v>23</v>
      </c>
      <c r="G374" s="3" t="str">
        <f aca="false">IF(F374="","",IF(F374&gt;=Notes!$B$5,"Elderly ("&amp;Notes!$B$5&amp;"+)",IF(F374&lt;=Notes!$B$4,"Student age (≤"&amp;Notes!$B$4&amp;")","Middle-aged ("&amp;(Notes!$B$4+1)&amp;"–"&amp;(Notes!$B$5-1)&amp;")")))</f>
        <v>Student age (≤29)</v>
      </c>
      <c r="H374" s="3" t="s">
        <v>83</v>
      </c>
      <c r="I374" s="3"/>
      <c r="J374" s="3" t="s">
        <v>437</v>
      </c>
      <c r="K374" s="3" t="s">
        <v>437</v>
      </c>
      <c r="L374" s="3"/>
      <c r="M374" s="3" t="s">
        <v>437</v>
      </c>
      <c r="N374" s="3" t="s">
        <v>437</v>
      </c>
      <c r="O374" s="3" t="s">
        <v>3305</v>
      </c>
      <c r="P374" s="3" t="n">
        <v>20</v>
      </c>
      <c r="Q374" s="3" t="s">
        <v>95</v>
      </c>
      <c r="R374" s="3" t="s">
        <v>3306</v>
      </c>
      <c r="S374" s="3" t="s">
        <v>3307</v>
      </c>
      <c r="T374" s="3"/>
      <c r="U374" s="3" t="s">
        <v>3308</v>
      </c>
      <c r="V374" s="3" t="s">
        <v>3309</v>
      </c>
      <c r="W374" s="3" t="s">
        <v>59</v>
      </c>
      <c r="X374" s="3" t="s">
        <v>3310</v>
      </c>
      <c r="Y374" s="3" t="n">
        <v>1</v>
      </c>
      <c r="Z374" s="3" t="n">
        <v>3</v>
      </c>
      <c r="AA374" s="3" t="n">
        <v>2</v>
      </c>
      <c r="AB374" s="3" t="n">
        <v>2</v>
      </c>
      <c r="AC374" s="3" t="n">
        <v>3</v>
      </c>
      <c r="AD374" s="3" t="n">
        <v>1</v>
      </c>
      <c r="AE374" s="3" t="s">
        <v>3311</v>
      </c>
      <c r="AF374" s="3"/>
      <c r="AG374" s="3" t="s">
        <v>1845</v>
      </c>
      <c r="AH374" s="3"/>
      <c r="AI374" s="3" t="s">
        <v>3312</v>
      </c>
      <c r="AJ374" s="3" t="s">
        <v>59</v>
      </c>
      <c r="AK374" s="3"/>
      <c r="AL374" s="3" t="s">
        <v>59</v>
      </c>
      <c r="AM374" s="3"/>
      <c r="AN374" s="3"/>
      <c r="AO374" s="3" t="s">
        <v>59</v>
      </c>
      <c r="AP374" s="3"/>
      <c r="AQ374" s="3"/>
      <c r="AR374" s="3"/>
    </row>
    <row r="375" customFormat="false" ht="15" hidden="false" customHeight="true" outlineLevel="0" collapsed="false">
      <c r="A375" s="3" t="s">
        <v>3313</v>
      </c>
      <c r="B375" s="3" t="n">
        <v>5</v>
      </c>
      <c r="C375" s="3" t="n">
        <v>43</v>
      </c>
      <c r="D375" s="3"/>
      <c r="E375" s="4"/>
      <c r="F375" s="3" t="n">
        <v>22</v>
      </c>
      <c r="G375" s="3" t="str">
        <f aca="false">IF(F375="","",IF(F375&gt;=Notes!$B$5,"Elderly ("&amp;Notes!$B$5&amp;"+)",IF(F375&lt;=Notes!$B$4,"Student age (≤"&amp;Notes!$B$4&amp;")","Middle-aged ("&amp;(Notes!$B$4+1)&amp;"–"&amp;(Notes!$B$5-1)&amp;")")))</f>
        <v>Student age (≤29)</v>
      </c>
      <c r="H375" s="3" t="s">
        <v>45</v>
      </c>
      <c r="I375" s="3"/>
      <c r="J375" s="3" t="s">
        <v>437</v>
      </c>
      <c r="K375" s="3" t="s">
        <v>437</v>
      </c>
      <c r="L375" s="3"/>
      <c r="M375" s="3" t="s">
        <v>437</v>
      </c>
      <c r="N375" s="3" t="s">
        <v>437</v>
      </c>
      <c r="O375" s="3" t="s">
        <v>3314</v>
      </c>
      <c r="P375" s="3" t="n">
        <v>30</v>
      </c>
      <c r="Q375" s="3" t="s">
        <v>117</v>
      </c>
      <c r="R375" s="3" t="s">
        <v>3315</v>
      </c>
      <c r="S375" s="3" t="s">
        <v>3316</v>
      </c>
      <c r="T375" s="3"/>
      <c r="U375" s="3" t="s">
        <v>3317</v>
      </c>
      <c r="V375" s="3" t="s">
        <v>3318</v>
      </c>
      <c r="W375" s="3" t="s">
        <v>59</v>
      </c>
      <c r="X375" s="3" t="s">
        <v>3319</v>
      </c>
      <c r="Y375" s="3" t="n">
        <v>1</v>
      </c>
      <c r="Z375" s="3" t="n">
        <v>2</v>
      </c>
      <c r="AA375" s="3" t="n">
        <v>3</v>
      </c>
      <c r="AB375" s="3" t="n">
        <v>1</v>
      </c>
      <c r="AC375" s="3" t="n">
        <v>2</v>
      </c>
      <c r="AD375" s="3" t="n">
        <v>3</v>
      </c>
      <c r="AE375" s="3" t="s">
        <v>3320</v>
      </c>
      <c r="AF375" s="3"/>
      <c r="AG375" s="3" t="s">
        <v>1844</v>
      </c>
      <c r="AH375" s="3"/>
      <c r="AI375" s="3" t="s">
        <v>3321</v>
      </c>
      <c r="AJ375" s="3" t="s">
        <v>59</v>
      </c>
      <c r="AK375" s="3"/>
      <c r="AL375" s="3" t="s">
        <v>59</v>
      </c>
      <c r="AM375" s="3"/>
      <c r="AN375" s="3"/>
      <c r="AO375" s="3" t="s">
        <v>59</v>
      </c>
      <c r="AP375" s="3"/>
      <c r="AQ375" s="3"/>
      <c r="AR375" s="3"/>
    </row>
    <row r="376" customFormat="false" ht="15" hidden="false" customHeight="true" outlineLevel="0" collapsed="false">
      <c r="A376" s="3" t="s">
        <v>3322</v>
      </c>
      <c r="B376" s="3" t="n">
        <v>5</v>
      </c>
      <c r="C376" s="3" t="n">
        <v>44</v>
      </c>
      <c r="D376" s="3"/>
      <c r="E376" s="4"/>
      <c r="F376" s="3" t="n">
        <v>25</v>
      </c>
      <c r="G376" s="3" t="str">
        <f aca="false">IF(F376="","",IF(F376&gt;=Notes!$B$5,"Elderly ("&amp;Notes!$B$5&amp;"+)",IF(F376&lt;=Notes!$B$4,"Student age (≤"&amp;Notes!$B$4&amp;")","Middle-aged ("&amp;(Notes!$B$4+1)&amp;"–"&amp;(Notes!$B$5-1)&amp;")")))</f>
        <v>Student age (≤29)</v>
      </c>
      <c r="H376" s="3" t="s">
        <v>45</v>
      </c>
      <c r="I376" s="3"/>
      <c r="J376" s="3" t="s">
        <v>437</v>
      </c>
      <c r="K376" s="3" t="s">
        <v>437</v>
      </c>
      <c r="L376" s="3"/>
      <c r="M376" s="3" t="s">
        <v>437</v>
      </c>
      <c r="N376" s="3" t="s">
        <v>437</v>
      </c>
      <c r="O376" s="3" t="s">
        <v>3323</v>
      </c>
      <c r="P376" s="3" t="n">
        <v>60</v>
      </c>
      <c r="Q376" s="3" t="s">
        <v>52</v>
      </c>
      <c r="R376" s="3" t="s">
        <v>3324</v>
      </c>
      <c r="S376" s="3" t="s">
        <v>3325</v>
      </c>
      <c r="T376" s="3"/>
      <c r="U376" s="3" t="s">
        <v>3326</v>
      </c>
      <c r="V376" s="3" t="s">
        <v>3327</v>
      </c>
      <c r="W376" s="3" t="s">
        <v>59</v>
      </c>
      <c r="X376" s="3" t="s">
        <v>3328</v>
      </c>
      <c r="Y376" s="3" t="n">
        <v>2</v>
      </c>
      <c r="Z376" s="3" t="n">
        <v>3</v>
      </c>
      <c r="AA376" s="3" t="n">
        <v>1</v>
      </c>
      <c r="AB376" s="3" t="n">
        <v>2</v>
      </c>
      <c r="AC376" s="3" t="n">
        <v>3</v>
      </c>
      <c r="AD376" s="3" t="n">
        <v>1</v>
      </c>
      <c r="AE376" s="3" t="s">
        <v>3329</v>
      </c>
      <c r="AF376" s="3"/>
      <c r="AG376" s="3" t="s">
        <v>2215</v>
      </c>
      <c r="AH376" s="3"/>
      <c r="AI376" s="3" t="s">
        <v>3330</v>
      </c>
      <c r="AJ376" s="3" t="s">
        <v>59</v>
      </c>
      <c r="AK376" s="3"/>
      <c r="AL376" s="3" t="s">
        <v>98</v>
      </c>
      <c r="AM376" s="3"/>
      <c r="AN376" s="3"/>
      <c r="AO376" s="3" t="s">
        <v>59</v>
      </c>
      <c r="AP376" s="3"/>
      <c r="AQ376" s="3"/>
      <c r="AR376" s="3"/>
    </row>
    <row r="377" customFormat="false" ht="15" hidden="false" customHeight="true" outlineLevel="0" collapsed="false">
      <c r="A377" s="3" t="s">
        <v>3331</v>
      </c>
      <c r="B377" s="3" t="n">
        <v>5</v>
      </c>
      <c r="C377" s="3" t="n">
        <v>45</v>
      </c>
      <c r="D377" s="3"/>
      <c r="E377" s="4"/>
      <c r="F377" s="3" t="n">
        <v>24</v>
      </c>
      <c r="G377" s="3" t="str">
        <f aca="false">IF(F377="","",IF(F377&gt;=Notes!$B$5,"Elderly ("&amp;Notes!$B$5&amp;"+)",IF(F377&lt;=Notes!$B$4,"Student age (≤"&amp;Notes!$B$4&amp;")","Middle-aged ("&amp;(Notes!$B$4+1)&amp;"–"&amp;(Notes!$B$5-1)&amp;")")))</f>
        <v>Student age (≤29)</v>
      </c>
      <c r="H377" s="3" t="s">
        <v>83</v>
      </c>
      <c r="I377" s="3"/>
      <c r="J377" s="3" t="s">
        <v>437</v>
      </c>
      <c r="K377" s="3" t="s">
        <v>437</v>
      </c>
      <c r="L377" s="3"/>
      <c r="M377" s="3" t="s">
        <v>437</v>
      </c>
      <c r="N377" s="3" t="s">
        <v>437</v>
      </c>
      <c r="O377" s="3" t="s">
        <v>3332</v>
      </c>
      <c r="P377" s="3" t="n">
        <v>35</v>
      </c>
      <c r="Q377" s="3" t="s">
        <v>52</v>
      </c>
      <c r="R377" s="3" t="s">
        <v>3333</v>
      </c>
      <c r="S377" s="3" t="s">
        <v>3334</v>
      </c>
      <c r="T377" s="3"/>
      <c r="U377" s="3" t="s">
        <v>3335</v>
      </c>
      <c r="V377" s="3" t="s">
        <v>3336</v>
      </c>
      <c r="W377" s="3" t="s">
        <v>59</v>
      </c>
      <c r="X377" s="3" t="s">
        <v>3337</v>
      </c>
      <c r="Y377" s="3"/>
      <c r="Z377" s="3"/>
      <c r="AA377" s="3"/>
      <c r="AB377" s="3"/>
      <c r="AC377" s="3"/>
      <c r="AD377" s="3"/>
      <c r="AE377" s="3" t="s">
        <v>3338</v>
      </c>
      <c r="AF377" s="3"/>
      <c r="AG377" s="3" t="s">
        <v>1845</v>
      </c>
      <c r="AH377" s="3"/>
      <c r="AI377" s="3" t="s">
        <v>3339</v>
      </c>
      <c r="AJ377" s="3" t="s">
        <v>59</v>
      </c>
      <c r="AK377" s="3"/>
      <c r="AL377" s="3" t="s">
        <v>59</v>
      </c>
      <c r="AM377" s="3"/>
      <c r="AN377" s="3"/>
      <c r="AO377" s="3" t="s">
        <v>59</v>
      </c>
      <c r="AP377" s="3"/>
      <c r="AQ377" s="3"/>
      <c r="AR377" s="3" t="s">
        <v>3340</v>
      </c>
    </row>
    <row r="378" customFormat="false" ht="15" hidden="false" customHeight="true" outlineLevel="0" collapsed="false">
      <c r="A378" s="3" t="s">
        <v>3341</v>
      </c>
      <c r="B378" s="3" t="n">
        <v>5</v>
      </c>
      <c r="C378" s="3" t="n">
        <v>46</v>
      </c>
      <c r="D378" s="3"/>
      <c r="E378" s="4"/>
      <c r="F378" s="3" t="n">
        <v>25</v>
      </c>
      <c r="G378" s="3" t="str">
        <f aca="false">IF(F378="","",IF(F378&gt;=Notes!$B$5,"Elderly ("&amp;Notes!$B$5&amp;"+)",IF(F378&lt;=Notes!$B$4,"Student age (≤"&amp;Notes!$B$4&amp;")","Middle-aged ("&amp;(Notes!$B$4+1)&amp;"–"&amp;(Notes!$B$5-1)&amp;")")))</f>
        <v>Student age (≤29)</v>
      </c>
      <c r="H378" s="3" t="s">
        <v>45</v>
      </c>
      <c r="I378" s="3"/>
      <c r="J378" s="3" t="s">
        <v>437</v>
      </c>
      <c r="K378" s="3" t="s">
        <v>437</v>
      </c>
      <c r="L378" s="3"/>
      <c r="M378" s="3" t="s">
        <v>437</v>
      </c>
      <c r="N378" s="3" t="s">
        <v>437</v>
      </c>
      <c r="O378" s="3" t="s">
        <v>3342</v>
      </c>
      <c r="P378" s="3" t="n">
        <v>15</v>
      </c>
      <c r="Q378" s="3" t="s">
        <v>74</v>
      </c>
      <c r="R378" s="3" t="s">
        <v>3343</v>
      </c>
      <c r="S378" s="3" t="s">
        <v>3344</v>
      </c>
      <c r="T378" s="3"/>
      <c r="U378" s="3" t="s">
        <v>3345</v>
      </c>
      <c r="V378" s="3" t="s">
        <v>3346</v>
      </c>
      <c r="W378" s="3" t="s">
        <v>59</v>
      </c>
      <c r="X378" s="3" t="s">
        <v>3319</v>
      </c>
      <c r="Y378" s="3" t="n">
        <v>3</v>
      </c>
      <c r="Z378" s="3" t="n">
        <v>2</v>
      </c>
      <c r="AA378" s="3" t="n">
        <v>1</v>
      </c>
      <c r="AB378" s="3" t="n">
        <v>3</v>
      </c>
      <c r="AC378" s="3" t="n">
        <v>2</v>
      </c>
      <c r="AD378" s="3" t="n">
        <v>1</v>
      </c>
      <c r="AE378" s="3" t="s">
        <v>3347</v>
      </c>
      <c r="AF378" s="3"/>
      <c r="AG378" s="3" t="s">
        <v>1845</v>
      </c>
      <c r="AH378" s="3"/>
      <c r="AI378" s="3" t="s">
        <v>3348</v>
      </c>
      <c r="AJ378" s="3" t="s">
        <v>59</v>
      </c>
      <c r="AK378" s="3"/>
      <c r="AL378" s="3" t="s">
        <v>59</v>
      </c>
      <c r="AM378" s="3"/>
      <c r="AN378" s="3"/>
      <c r="AO378" s="3" t="s">
        <v>59</v>
      </c>
      <c r="AP378" s="3"/>
      <c r="AQ378" s="3"/>
      <c r="AR378" s="3"/>
    </row>
    <row r="379" customFormat="false" ht="15" hidden="false" customHeight="true" outlineLevel="0" collapsed="false">
      <c r="A379" s="3" t="s">
        <v>3349</v>
      </c>
      <c r="B379" s="3" t="n">
        <v>5</v>
      </c>
      <c r="C379" s="3" t="n">
        <v>47</v>
      </c>
      <c r="D379" s="3"/>
      <c r="E379" s="4"/>
      <c r="F379" s="3" t="n">
        <v>24</v>
      </c>
      <c r="G379" s="3" t="str">
        <f aca="false">IF(F379="","",IF(F379&gt;=Notes!$B$5,"Elderly ("&amp;Notes!$B$5&amp;"+)",IF(F379&lt;=Notes!$B$4,"Student age (≤"&amp;Notes!$B$4&amp;")","Middle-aged ("&amp;(Notes!$B$4+1)&amp;"–"&amp;(Notes!$B$5-1)&amp;")")))</f>
        <v>Student age (≤29)</v>
      </c>
      <c r="H379" s="3" t="s">
        <v>45</v>
      </c>
      <c r="I379" s="3"/>
      <c r="J379" s="3" t="s">
        <v>437</v>
      </c>
      <c r="K379" s="3" t="s">
        <v>437</v>
      </c>
      <c r="L379" s="3"/>
      <c r="M379" s="3" t="s">
        <v>437</v>
      </c>
      <c r="N379" s="3" t="s">
        <v>437</v>
      </c>
      <c r="O379" s="3" t="s">
        <v>3350</v>
      </c>
      <c r="P379" s="3" t="n">
        <v>43</v>
      </c>
      <c r="Q379" s="3" t="s">
        <v>52</v>
      </c>
      <c r="R379" s="3" t="s">
        <v>3351</v>
      </c>
      <c r="S379" s="3" t="s">
        <v>3352</v>
      </c>
      <c r="T379" s="3"/>
      <c r="U379" s="3" t="s">
        <v>3353</v>
      </c>
      <c r="V379" s="3" t="s">
        <v>3354</v>
      </c>
      <c r="W379" s="3" t="s">
        <v>59</v>
      </c>
      <c r="X379" s="3" t="s">
        <v>3355</v>
      </c>
      <c r="Y379" s="3" t="n">
        <v>2</v>
      </c>
      <c r="Z379" s="3" t="n">
        <v>3</v>
      </c>
      <c r="AA379" s="3" t="n">
        <v>1</v>
      </c>
      <c r="AB379" s="3" t="n">
        <v>2</v>
      </c>
      <c r="AC379" s="3" t="n">
        <v>3</v>
      </c>
      <c r="AD379" s="3" t="n">
        <v>1</v>
      </c>
      <c r="AE379" s="3" t="s">
        <v>3356</v>
      </c>
      <c r="AF379" s="3"/>
      <c r="AG379" s="3" t="s">
        <v>2215</v>
      </c>
      <c r="AH379" s="3"/>
      <c r="AI379" s="3" t="s">
        <v>3357</v>
      </c>
      <c r="AJ379" s="3" t="s">
        <v>59</v>
      </c>
      <c r="AK379" s="3"/>
      <c r="AL379" s="3" t="s">
        <v>1625</v>
      </c>
      <c r="AM379" s="3"/>
      <c r="AN379" s="3" t="s">
        <v>1625</v>
      </c>
      <c r="AO379" s="3" t="s">
        <v>59</v>
      </c>
      <c r="AP379" s="3"/>
      <c r="AQ379" s="3"/>
      <c r="AR379" s="3"/>
    </row>
    <row r="380" customFormat="false" ht="15" hidden="false" customHeight="true" outlineLevel="0" collapsed="false">
      <c r="A380" s="3" t="s">
        <v>3358</v>
      </c>
      <c r="B380" s="3" t="n">
        <v>5</v>
      </c>
      <c r="C380" s="3" t="n">
        <v>48</v>
      </c>
      <c r="D380" s="3"/>
      <c r="E380" s="4"/>
      <c r="F380" s="3" t="n">
        <v>22</v>
      </c>
      <c r="G380" s="3" t="str">
        <f aca="false">IF(F380="","",IF(F380&gt;=Notes!$B$5,"Elderly ("&amp;Notes!$B$5&amp;"+)",IF(F380&lt;=Notes!$B$4,"Student age (≤"&amp;Notes!$B$4&amp;")","Middle-aged ("&amp;(Notes!$B$4+1)&amp;"–"&amp;(Notes!$B$5-1)&amp;")")))</f>
        <v>Student age (≤29)</v>
      </c>
      <c r="H380" s="3" t="s">
        <v>45</v>
      </c>
      <c r="I380" s="3"/>
      <c r="J380" s="3" t="s">
        <v>437</v>
      </c>
      <c r="K380" s="3" t="s">
        <v>437</v>
      </c>
      <c r="L380" s="3"/>
      <c r="M380" s="3" t="s">
        <v>437</v>
      </c>
      <c r="N380" s="3" t="s">
        <v>437</v>
      </c>
      <c r="O380" s="3" t="s">
        <v>3359</v>
      </c>
      <c r="P380" s="3" t="n">
        <v>45</v>
      </c>
      <c r="Q380" s="3" t="s">
        <v>52</v>
      </c>
      <c r="R380" s="3" t="s">
        <v>3360</v>
      </c>
      <c r="S380" s="3" t="s">
        <v>3361</v>
      </c>
      <c r="T380" s="3"/>
      <c r="U380" s="3" t="s">
        <v>3308</v>
      </c>
      <c r="V380" s="3" t="s">
        <v>3362</v>
      </c>
      <c r="W380" s="3" t="s">
        <v>59</v>
      </c>
      <c r="X380" s="3" t="s">
        <v>3363</v>
      </c>
      <c r="Y380" s="3" t="n">
        <v>2</v>
      </c>
      <c r="Z380" s="3" t="n">
        <v>1</v>
      </c>
      <c r="AA380" s="3" t="n">
        <v>3</v>
      </c>
      <c r="AB380" s="3"/>
      <c r="AC380" s="3"/>
      <c r="AD380" s="3"/>
      <c r="AE380" s="3" t="s">
        <v>3364</v>
      </c>
      <c r="AF380" s="3"/>
      <c r="AG380" s="3" t="s">
        <v>1845</v>
      </c>
      <c r="AH380" s="3"/>
      <c r="AI380" s="3" t="s">
        <v>3365</v>
      </c>
      <c r="AJ380" s="3" t="s">
        <v>59</v>
      </c>
      <c r="AK380" s="3"/>
      <c r="AL380" s="3" t="s">
        <v>59</v>
      </c>
      <c r="AM380" s="3"/>
      <c r="AN380" s="3"/>
      <c r="AO380" s="3" t="s">
        <v>59</v>
      </c>
      <c r="AP380" s="3"/>
      <c r="AQ380" s="3"/>
      <c r="AR380" s="3" t="s">
        <v>3366</v>
      </c>
    </row>
    <row r="381" customFormat="false" ht="15" hidden="false" customHeight="true" outlineLevel="0" collapsed="false">
      <c r="A381" s="3" t="s">
        <v>3367</v>
      </c>
      <c r="B381" s="3" t="n">
        <v>5</v>
      </c>
      <c r="C381" s="3" t="n">
        <v>49</v>
      </c>
      <c r="D381" s="3"/>
      <c r="E381" s="4"/>
      <c r="F381" s="3" t="n">
        <v>25</v>
      </c>
      <c r="G381" s="3" t="str">
        <f aca="false">IF(F381="","",IF(F381&gt;=Notes!$B$5,"Elderly ("&amp;Notes!$B$5&amp;"+)",IF(F381&lt;=Notes!$B$4,"Student age (≤"&amp;Notes!$B$4&amp;")","Middle-aged ("&amp;(Notes!$B$4+1)&amp;"–"&amp;(Notes!$B$5-1)&amp;")")))</f>
        <v>Student age (≤29)</v>
      </c>
      <c r="H381" s="3" t="s">
        <v>83</v>
      </c>
      <c r="I381" s="3"/>
      <c r="J381" s="3" t="s">
        <v>437</v>
      </c>
      <c r="K381" s="3" t="s">
        <v>437</v>
      </c>
      <c r="L381" s="3"/>
      <c r="M381" s="3" t="s">
        <v>437</v>
      </c>
      <c r="N381" s="3" t="s">
        <v>437</v>
      </c>
      <c r="O381" s="3" t="s">
        <v>3368</v>
      </c>
      <c r="P381" s="3" t="n">
        <v>30</v>
      </c>
      <c r="Q381" s="3" t="s">
        <v>117</v>
      </c>
      <c r="R381" s="3" t="s">
        <v>3369</v>
      </c>
      <c r="S381" s="3" t="s">
        <v>3370</v>
      </c>
      <c r="T381" s="3"/>
      <c r="U381" s="3" t="s">
        <v>3371</v>
      </c>
      <c r="V381" s="3" t="s">
        <v>3372</v>
      </c>
      <c r="W381" s="3" t="s">
        <v>59</v>
      </c>
      <c r="X381" s="3" t="s">
        <v>3373</v>
      </c>
      <c r="Y381" s="3"/>
      <c r="Z381" s="3"/>
      <c r="AA381" s="3"/>
      <c r="AB381" s="3"/>
      <c r="AC381" s="3"/>
      <c r="AD381" s="3"/>
      <c r="AE381" s="3" t="s">
        <v>3374</v>
      </c>
      <c r="AF381" s="3"/>
      <c r="AG381" s="3" t="s">
        <v>1845</v>
      </c>
      <c r="AH381" s="3"/>
      <c r="AI381" s="3" t="s">
        <v>3375</v>
      </c>
      <c r="AJ381" s="3" t="s">
        <v>98</v>
      </c>
      <c r="AK381" s="3"/>
      <c r="AL381" s="3" t="s">
        <v>98</v>
      </c>
      <c r="AM381" s="3"/>
      <c r="AN381" s="3"/>
      <c r="AO381" s="3" t="s">
        <v>59</v>
      </c>
      <c r="AP381" s="3"/>
      <c r="AQ381" s="3"/>
      <c r="AR381" s="3" t="s">
        <v>3376</v>
      </c>
    </row>
    <row r="382" customFormat="false" ht="15" hidden="false" customHeight="true" outlineLevel="0" collapsed="false">
      <c r="A382" s="3" t="s">
        <v>3377</v>
      </c>
      <c r="B382" s="3" t="n">
        <v>5</v>
      </c>
      <c r="C382" s="3" t="n">
        <v>50</v>
      </c>
      <c r="D382" s="3"/>
      <c r="E382" s="4"/>
      <c r="F382" s="3" t="n">
        <v>23</v>
      </c>
      <c r="G382" s="3" t="str">
        <f aca="false">IF(F382="","",IF(F382&gt;=Notes!$B$5,"Elderly ("&amp;Notes!$B$5&amp;"+)",IF(F382&lt;=Notes!$B$4,"Student age (≤"&amp;Notes!$B$4&amp;")","Middle-aged ("&amp;(Notes!$B$4+1)&amp;"–"&amp;(Notes!$B$5-1)&amp;")")))</f>
        <v>Student age (≤29)</v>
      </c>
      <c r="H382" s="3" t="s">
        <v>83</v>
      </c>
      <c r="I382" s="3"/>
      <c r="J382" s="3" t="s">
        <v>437</v>
      </c>
      <c r="K382" s="3" t="s">
        <v>437</v>
      </c>
      <c r="L382" s="3"/>
      <c r="M382" s="3" t="s">
        <v>437</v>
      </c>
      <c r="N382" s="3" t="s">
        <v>437</v>
      </c>
      <c r="O382" s="3" t="s">
        <v>3378</v>
      </c>
      <c r="P382" s="3" t="n">
        <v>25</v>
      </c>
      <c r="Q382" s="3" t="s">
        <v>117</v>
      </c>
      <c r="R382" s="3" t="s">
        <v>3379</v>
      </c>
      <c r="S382" s="3" t="s">
        <v>3380</v>
      </c>
      <c r="T382" s="3"/>
      <c r="U382" s="3" t="s">
        <v>3381</v>
      </c>
      <c r="V382" s="3" t="s">
        <v>3382</v>
      </c>
      <c r="W382" s="3" t="s">
        <v>59</v>
      </c>
      <c r="X382" s="3" t="s">
        <v>3310</v>
      </c>
      <c r="Y382" s="3" t="n">
        <v>2</v>
      </c>
      <c r="Z382" s="3" t="n">
        <v>1</v>
      </c>
      <c r="AA382" s="3" t="n">
        <v>3</v>
      </c>
      <c r="AB382" s="3" t="n">
        <v>1</v>
      </c>
      <c r="AC382" s="3" t="n">
        <v>2</v>
      </c>
      <c r="AD382" s="3" t="n">
        <v>3</v>
      </c>
      <c r="AE382" s="3" t="s">
        <v>3383</v>
      </c>
      <c r="AF382" s="3"/>
      <c r="AG382" s="3" t="s">
        <v>1845</v>
      </c>
      <c r="AH382" s="3"/>
      <c r="AI382" s="3" t="s">
        <v>3384</v>
      </c>
      <c r="AJ382" s="3" t="s">
        <v>59</v>
      </c>
      <c r="AK382" s="3"/>
      <c r="AL382" s="3" t="s">
        <v>59</v>
      </c>
      <c r="AM382" s="3"/>
      <c r="AN382" s="3"/>
      <c r="AO382" s="3" t="s">
        <v>59</v>
      </c>
      <c r="AP382" s="3"/>
      <c r="AQ382" s="3"/>
      <c r="AR382" s="3"/>
    </row>
    <row r="383" customFormat="false" ht="15" hidden="false" customHeight="true" outlineLevel="0" collapsed="false">
      <c r="A383" s="3" t="s">
        <v>3385</v>
      </c>
      <c r="B383" s="3" t="n">
        <v>5</v>
      </c>
      <c r="C383" s="3" t="n">
        <v>51</v>
      </c>
      <c r="D383" s="3"/>
      <c r="E383" s="4"/>
      <c r="F383" s="3" t="n">
        <v>24</v>
      </c>
      <c r="G383" s="3" t="str">
        <f aca="false">IF(F383="","",IF(F383&gt;=Notes!$B$5,"Elderly ("&amp;Notes!$B$5&amp;"+)",IF(F383&lt;=Notes!$B$4,"Student age (≤"&amp;Notes!$B$4&amp;")","Middle-aged ("&amp;(Notes!$B$4+1)&amp;"–"&amp;(Notes!$B$5-1)&amp;")")))</f>
        <v>Student age (≤29)</v>
      </c>
      <c r="H383" s="3" t="s">
        <v>45</v>
      </c>
      <c r="I383" s="3"/>
      <c r="J383" s="3" t="s">
        <v>437</v>
      </c>
      <c r="K383" s="3" t="s">
        <v>437</v>
      </c>
      <c r="L383" s="3"/>
      <c r="M383" s="3" t="s">
        <v>437</v>
      </c>
      <c r="N383" s="3" t="s">
        <v>437</v>
      </c>
      <c r="O383" s="3" t="s">
        <v>2241</v>
      </c>
      <c r="P383" s="3" t="n">
        <v>50</v>
      </c>
      <c r="Q383" s="3" t="s">
        <v>52</v>
      </c>
      <c r="R383" s="3" t="s">
        <v>3386</v>
      </c>
      <c r="S383" s="3" t="s">
        <v>3387</v>
      </c>
      <c r="T383" s="3"/>
      <c r="U383" s="3" t="s">
        <v>3388</v>
      </c>
      <c r="V383" s="3" t="s">
        <v>3389</v>
      </c>
      <c r="W383" s="3" t="s">
        <v>59</v>
      </c>
      <c r="X383" s="3" t="s">
        <v>3390</v>
      </c>
      <c r="Y383" s="3" t="n">
        <v>2</v>
      </c>
      <c r="Z383" s="3" t="n">
        <v>3</v>
      </c>
      <c r="AA383" s="3" t="n">
        <v>1</v>
      </c>
      <c r="AB383" s="3" t="n">
        <v>1</v>
      </c>
      <c r="AC383" s="3" t="n">
        <v>2</v>
      </c>
      <c r="AD383" s="3" t="n">
        <v>3</v>
      </c>
      <c r="AE383" s="3" t="s">
        <v>3391</v>
      </c>
      <c r="AF383" s="3"/>
      <c r="AG383" s="3" t="s">
        <v>1845</v>
      </c>
      <c r="AH383" s="3"/>
      <c r="AI383" s="3" t="s">
        <v>3392</v>
      </c>
      <c r="AJ383" s="3" t="s">
        <v>59</v>
      </c>
      <c r="AK383" s="3"/>
      <c r="AL383" s="3" t="s">
        <v>59</v>
      </c>
      <c r="AM383" s="3"/>
      <c r="AN383" s="3"/>
      <c r="AO383" s="3" t="s">
        <v>59</v>
      </c>
      <c r="AP383" s="3"/>
      <c r="AQ383" s="3"/>
      <c r="AR383" s="3"/>
    </row>
    <row r="384" customFormat="false" ht="15" hidden="false" customHeight="true" outlineLevel="0" collapsed="false">
      <c r="A384" s="3" t="s">
        <v>3393</v>
      </c>
      <c r="B384" s="3" t="n">
        <v>5</v>
      </c>
      <c r="C384" s="3" t="n">
        <v>52</v>
      </c>
      <c r="D384" s="3"/>
      <c r="E384" s="4"/>
      <c r="F384" s="3" t="n">
        <v>24</v>
      </c>
      <c r="G384" s="3" t="str">
        <f aca="false">IF(F384="","",IF(F384&gt;=Notes!$B$5,"Elderly ("&amp;Notes!$B$5&amp;"+)",IF(F384&lt;=Notes!$B$4,"Student age (≤"&amp;Notes!$B$4&amp;")","Middle-aged ("&amp;(Notes!$B$4+1)&amp;"–"&amp;(Notes!$B$5-1)&amp;")")))</f>
        <v>Student age (≤29)</v>
      </c>
      <c r="H384" s="3" t="s">
        <v>83</v>
      </c>
      <c r="I384" s="3"/>
      <c r="J384" s="3" t="s">
        <v>437</v>
      </c>
      <c r="K384" s="3" t="s">
        <v>437</v>
      </c>
      <c r="L384" s="3"/>
      <c r="M384" s="3" t="s">
        <v>437</v>
      </c>
      <c r="N384" s="3" t="s">
        <v>437</v>
      </c>
      <c r="O384" s="3" t="s">
        <v>3394</v>
      </c>
      <c r="P384" s="3" t="n">
        <v>40</v>
      </c>
      <c r="Q384" s="3" t="s">
        <v>52</v>
      </c>
      <c r="R384" s="3" t="s">
        <v>3395</v>
      </c>
      <c r="S384" s="3" t="s">
        <v>3396</v>
      </c>
      <c r="T384" s="3"/>
      <c r="U384" s="3" t="s">
        <v>1390</v>
      </c>
      <c r="V384" s="3" t="s">
        <v>3397</v>
      </c>
      <c r="W384" s="3" t="s">
        <v>59</v>
      </c>
      <c r="X384" s="3" t="s">
        <v>3398</v>
      </c>
      <c r="Y384" s="3" t="n">
        <v>3</v>
      </c>
      <c r="Z384" s="3" t="n">
        <v>1</v>
      </c>
      <c r="AA384" s="3" t="n">
        <v>2</v>
      </c>
      <c r="AB384" s="3" t="n">
        <v>2</v>
      </c>
      <c r="AC384" s="3" t="n">
        <v>1</v>
      </c>
      <c r="AD384" s="3" t="n">
        <v>3</v>
      </c>
      <c r="AE384" s="3" t="s">
        <v>3399</v>
      </c>
      <c r="AF384" s="3"/>
      <c r="AG384" s="3" t="s">
        <v>1845</v>
      </c>
      <c r="AH384" s="3"/>
      <c r="AI384" s="3" t="s">
        <v>3400</v>
      </c>
      <c r="AJ384" s="3" t="s">
        <v>59</v>
      </c>
      <c r="AK384" s="3"/>
      <c r="AL384" s="3" t="s">
        <v>59</v>
      </c>
      <c r="AM384" s="3"/>
      <c r="AN384" s="3"/>
      <c r="AO384" s="3" t="s">
        <v>59</v>
      </c>
      <c r="AP384" s="3"/>
      <c r="AQ384" s="3"/>
      <c r="AR384" s="3"/>
    </row>
    <row r="385" customFormat="false" ht="15" hidden="false" customHeight="true" outlineLevel="0" collapsed="false">
      <c r="A385" s="3" t="s">
        <v>3401</v>
      </c>
      <c r="B385" s="3" t="n">
        <v>5</v>
      </c>
      <c r="C385" s="3" t="n">
        <v>53</v>
      </c>
      <c r="D385" s="3"/>
      <c r="E385" s="4"/>
      <c r="F385" s="3" t="n">
        <v>24</v>
      </c>
      <c r="G385" s="3" t="str">
        <f aca="false">IF(F385="","",IF(F385&gt;=Notes!$B$5,"Elderly ("&amp;Notes!$B$5&amp;"+)",IF(F385&lt;=Notes!$B$4,"Student age (≤"&amp;Notes!$B$4&amp;")","Middle-aged ("&amp;(Notes!$B$4+1)&amp;"–"&amp;(Notes!$B$5-1)&amp;")")))</f>
        <v>Student age (≤29)</v>
      </c>
      <c r="H385" s="3" t="s">
        <v>45</v>
      </c>
      <c r="I385" s="3"/>
      <c r="J385" s="3" t="s">
        <v>437</v>
      </c>
      <c r="K385" s="3" t="s">
        <v>437</v>
      </c>
      <c r="L385" s="3"/>
      <c r="M385" s="3" t="s">
        <v>437</v>
      </c>
      <c r="N385" s="3" t="s">
        <v>437</v>
      </c>
      <c r="O385" s="3" t="s">
        <v>3402</v>
      </c>
      <c r="P385" s="3" t="n">
        <v>30</v>
      </c>
      <c r="Q385" s="3" t="s">
        <v>117</v>
      </c>
      <c r="R385" s="3" t="s">
        <v>3403</v>
      </c>
      <c r="S385" s="3" t="s">
        <v>3404</v>
      </c>
      <c r="T385" s="3"/>
      <c r="U385" s="3" t="s">
        <v>3405</v>
      </c>
      <c r="V385" s="3" t="s">
        <v>3406</v>
      </c>
      <c r="W385" s="3" t="s">
        <v>59</v>
      </c>
      <c r="X385" s="3" t="s">
        <v>3407</v>
      </c>
      <c r="Y385" s="3" t="n">
        <v>3</v>
      </c>
      <c r="Z385" s="3" t="n">
        <v>1</v>
      </c>
      <c r="AA385" s="3" t="n">
        <v>2</v>
      </c>
      <c r="AB385" s="3" t="n">
        <v>3</v>
      </c>
      <c r="AC385" s="3" t="n">
        <v>2</v>
      </c>
      <c r="AD385" s="3" t="n">
        <v>1</v>
      </c>
      <c r="AE385" s="3" t="s">
        <v>3408</v>
      </c>
      <c r="AF385" s="3"/>
      <c r="AG385" s="3" t="s">
        <v>1844</v>
      </c>
      <c r="AH385" s="3"/>
      <c r="AI385" s="3" t="s">
        <v>3409</v>
      </c>
      <c r="AJ385" s="3" t="s">
        <v>59</v>
      </c>
      <c r="AK385" s="3"/>
      <c r="AL385" s="3" t="s">
        <v>59</v>
      </c>
      <c r="AM385" s="3"/>
      <c r="AN385" s="3"/>
      <c r="AO385" s="3" t="s">
        <v>59</v>
      </c>
      <c r="AP385" s="3"/>
      <c r="AQ385" s="3"/>
      <c r="AR385" s="3"/>
    </row>
    <row r="386" customFormat="false" ht="15" hidden="false" customHeight="true" outlineLevel="0" collapsed="false">
      <c r="A386" s="3" t="s">
        <v>3410</v>
      </c>
      <c r="B386" s="3" t="n">
        <v>5</v>
      </c>
      <c r="C386" s="3" t="n">
        <v>54</v>
      </c>
      <c r="D386" s="3"/>
      <c r="E386" s="4"/>
      <c r="F386" s="3" t="n">
        <v>24</v>
      </c>
      <c r="G386" s="3" t="str">
        <f aca="false">IF(F386="","",IF(F386&gt;=Notes!$B$5,"Elderly ("&amp;Notes!$B$5&amp;"+)",IF(F386&lt;=Notes!$B$4,"Student age (≤"&amp;Notes!$B$4&amp;")","Middle-aged ("&amp;(Notes!$B$4+1)&amp;"–"&amp;(Notes!$B$5-1)&amp;")")))</f>
        <v>Student age (≤29)</v>
      </c>
      <c r="H386" s="3" t="s">
        <v>83</v>
      </c>
      <c r="I386" s="3"/>
      <c r="J386" s="3" t="s">
        <v>437</v>
      </c>
      <c r="K386" s="3" t="s">
        <v>437</v>
      </c>
      <c r="L386" s="3"/>
      <c r="M386" s="3" t="s">
        <v>437</v>
      </c>
      <c r="N386" s="3" t="s">
        <v>437</v>
      </c>
      <c r="O386" s="3" t="s">
        <v>3411</v>
      </c>
      <c r="P386" s="3" t="n">
        <v>25</v>
      </c>
      <c r="Q386" s="3" t="s">
        <v>117</v>
      </c>
      <c r="R386" s="3" t="s">
        <v>3412</v>
      </c>
      <c r="S386" s="3" t="s">
        <v>3413</v>
      </c>
      <c r="T386" s="3"/>
      <c r="U386" s="3" t="s">
        <v>3414</v>
      </c>
      <c r="V386" s="3" t="s">
        <v>3415</v>
      </c>
      <c r="W386" s="3" t="s">
        <v>59</v>
      </c>
      <c r="X386" s="3" t="s">
        <v>3416</v>
      </c>
      <c r="Y386" s="3" t="n">
        <v>1</v>
      </c>
      <c r="Z386" s="3" t="n">
        <v>2</v>
      </c>
      <c r="AA386" s="3" t="n">
        <v>3</v>
      </c>
      <c r="AB386" s="3" t="n">
        <v>1</v>
      </c>
      <c r="AC386" s="3" t="n">
        <v>2</v>
      </c>
      <c r="AD386" s="3" t="n">
        <v>3</v>
      </c>
      <c r="AE386" s="3" t="s">
        <v>3311</v>
      </c>
      <c r="AF386" s="3"/>
      <c r="AG386" s="3" t="s">
        <v>1844</v>
      </c>
      <c r="AH386" s="3"/>
      <c r="AI386" s="3" t="s">
        <v>3417</v>
      </c>
      <c r="AJ386" s="3" t="s">
        <v>59</v>
      </c>
      <c r="AK386" s="3"/>
      <c r="AL386" s="3" t="s">
        <v>59</v>
      </c>
      <c r="AM386" s="3"/>
      <c r="AN386" s="3"/>
      <c r="AO386" s="3" t="s">
        <v>59</v>
      </c>
      <c r="AP386" s="3"/>
      <c r="AQ386" s="3"/>
      <c r="AR386" s="3"/>
    </row>
    <row r="387" customFormat="false" ht="15" hidden="false" customHeight="true" outlineLevel="0" collapsed="false">
      <c r="A387" s="3" t="s">
        <v>3418</v>
      </c>
      <c r="B387" s="3" t="n">
        <v>5</v>
      </c>
      <c r="C387" s="3" t="n">
        <v>55</v>
      </c>
      <c r="D387" s="3"/>
      <c r="E387" s="4"/>
      <c r="F387" s="3" t="n">
        <v>22</v>
      </c>
      <c r="G387" s="3" t="str">
        <f aca="false">IF(F387="","",IF(F387&gt;=Notes!$B$5,"Elderly ("&amp;Notes!$B$5&amp;"+)",IF(F387&lt;=Notes!$B$4,"Student age (≤"&amp;Notes!$B$4&amp;")","Middle-aged ("&amp;(Notes!$B$4+1)&amp;"–"&amp;(Notes!$B$5-1)&amp;")")))</f>
        <v>Student age (≤29)</v>
      </c>
      <c r="H387" s="3" t="s">
        <v>45</v>
      </c>
      <c r="I387" s="3"/>
      <c r="J387" s="3" t="s">
        <v>437</v>
      </c>
      <c r="K387" s="3" t="s">
        <v>437</v>
      </c>
      <c r="L387" s="3"/>
      <c r="M387" s="3" t="s">
        <v>437</v>
      </c>
      <c r="N387" s="3" t="s">
        <v>437</v>
      </c>
      <c r="O387" s="3" t="s">
        <v>3419</v>
      </c>
      <c r="P387" s="3" t="n">
        <v>55</v>
      </c>
      <c r="Q387" s="3" t="s">
        <v>52</v>
      </c>
      <c r="R387" s="3" t="s">
        <v>3420</v>
      </c>
      <c r="S387" s="3" t="s">
        <v>3420</v>
      </c>
      <c r="T387" s="3"/>
      <c r="U387" s="3" t="s">
        <v>3421</v>
      </c>
      <c r="V387" s="3" t="s">
        <v>3422</v>
      </c>
      <c r="W387" s="3" t="s">
        <v>59</v>
      </c>
      <c r="X387" s="3" t="s">
        <v>3310</v>
      </c>
      <c r="Y387" s="3" t="n">
        <v>1</v>
      </c>
      <c r="Z387" s="3" t="n">
        <v>2</v>
      </c>
      <c r="AA387" s="3" t="n">
        <v>3</v>
      </c>
      <c r="AB387" s="3" t="n">
        <v>1</v>
      </c>
      <c r="AC387" s="3" t="n">
        <v>2</v>
      </c>
      <c r="AD387" s="3" t="n">
        <v>3</v>
      </c>
      <c r="AE387" s="3" t="s">
        <v>3423</v>
      </c>
      <c r="AF387" s="3"/>
      <c r="AG387" s="3" t="s">
        <v>2215</v>
      </c>
      <c r="AH387" s="3"/>
      <c r="AI387" s="3" t="s">
        <v>3424</v>
      </c>
      <c r="AJ387" s="3" t="s">
        <v>59</v>
      </c>
      <c r="AK387" s="3"/>
      <c r="AL387" s="3" t="s">
        <v>59</v>
      </c>
      <c r="AM387" s="3"/>
      <c r="AN387" s="3"/>
      <c r="AO387" s="3" t="s">
        <v>59</v>
      </c>
      <c r="AP387" s="3"/>
      <c r="AQ387" s="3"/>
      <c r="AR387" s="3"/>
    </row>
    <row r="388" customFormat="false" ht="15" hidden="false" customHeight="true" outlineLevel="0" collapsed="false">
      <c r="A388" s="3" t="s">
        <v>3425</v>
      </c>
      <c r="B388" s="3" t="n">
        <v>5</v>
      </c>
      <c r="C388" s="3" t="n">
        <v>56</v>
      </c>
      <c r="D388" s="3"/>
      <c r="E388" s="4"/>
      <c r="F388" s="3" t="n">
        <v>24</v>
      </c>
      <c r="G388" s="3" t="str">
        <f aca="false">IF(F388="","",IF(F388&gt;=Notes!$B$5,"Elderly ("&amp;Notes!$B$5&amp;"+)",IF(F388&lt;=Notes!$B$4,"Student age (≤"&amp;Notes!$B$4&amp;")","Middle-aged ("&amp;(Notes!$B$4+1)&amp;"–"&amp;(Notes!$B$5-1)&amp;")")))</f>
        <v>Student age (≤29)</v>
      </c>
      <c r="H388" s="3" t="s">
        <v>83</v>
      </c>
      <c r="I388" s="3"/>
      <c r="J388" s="3" t="s">
        <v>437</v>
      </c>
      <c r="K388" s="3" t="s">
        <v>437</v>
      </c>
      <c r="L388" s="3"/>
      <c r="M388" s="3" t="s">
        <v>437</v>
      </c>
      <c r="N388" s="3" t="s">
        <v>437</v>
      </c>
      <c r="O388" s="3" t="s">
        <v>3426</v>
      </c>
      <c r="P388" s="3" t="n">
        <v>40</v>
      </c>
      <c r="Q388" s="3" t="s">
        <v>52</v>
      </c>
      <c r="R388" s="3" t="s">
        <v>3427</v>
      </c>
      <c r="S388" s="3" t="s">
        <v>3428</v>
      </c>
      <c r="T388" s="3"/>
      <c r="U388" s="3" t="s">
        <v>1390</v>
      </c>
      <c r="V388" s="3" t="s">
        <v>3429</v>
      </c>
      <c r="W388" s="3" t="s">
        <v>59</v>
      </c>
      <c r="X388" s="3" t="s">
        <v>3430</v>
      </c>
      <c r="Y388" s="3" t="n">
        <v>1</v>
      </c>
      <c r="Z388" s="3" t="n">
        <v>2</v>
      </c>
      <c r="AA388" s="3" t="n">
        <v>3</v>
      </c>
      <c r="AB388" s="3" t="n">
        <v>2</v>
      </c>
      <c r="AC388" s="3" t="n">
        <v>1</v>
      </c>
      <c r="AD388" s="3" t="n">
        <v>3</v>
      </c>
      <c r="AE388" s="3" t="s">
        <v>3431</v>
      </c>
      <c r="AF388" s="3"/>
      <c r="AG388" s="3" t="s">
        <v>1844</v>
      </c>
      <c r="AH388" s="3"/>
      <c r="AI388" s="3" t="s">
        <v>3432</v>
      </c>
      <c r="AJ388" s="3" t="s">
        <v>59</v>
      </c>
      <c r="AK388" s="3"/>
      <c r="AL388" s="3" t="s">
        <v>59</v>
      </c>
      <c r="AM388" s="3"/>
      <c r="AN388" s="3"/>
      <c r="AO388" s="3" t="s">
        <v>59</v>
      </c>
      <c r="AP388" s="3"/>
      <c r="AQ388" s="3"/>
      <c r="AR388" s="3"/>
    </row>
    <row r="389" customFormat="false" ht="15" hidden="false" customHeight="true" outlineLevel="0" collapsed="false">
      <c r="A389" s="3" t="s">
        <v>3433</v>
      </c>
      <c r="B389" s="3" t="n">
        <v>5</v>
      </c>
      <c r="C389" s="3" t="n">
        <v>57</v>
      </c>
      <c r="D389" s="3"/>
      <c r="E389" s="4"/>
      <c r="F389" s="3" t="n">
        <v>25</v>
      </c>
      <c r="G389" s="3" t="str">
        <f aca="false">IF(F389="","",IF(F389&gt;=Notes!$B$5,"Elderly ("&amp;Notes!$B$5&amp;"+)",IF(F389&lt;=Notes!$B$4,"Student age (≤"&amp;Notes!$B$4&amp;")","Middle-aged ("&amp;(Notes!$B$4+1)&amp;"–"&amp;(Notes!$B$5-1)&amp;")")))</f>
        <v>Student age (≤29)</v>
      </c>
      <c r="H389" s="3" t="s">
        <v>83</v>
      </c>
      <c r="I389" s="3"/>
      <c r="J389" s="3" t="s">
        <v>437</v>
      </c>
      <c r="K389" s="3" t="s">
        <v>437</v>
      </c>
      <c r="L389" s="3"/>
      <c r="M389" s="3" t="s">
        <v>437</v>
      </c>
      <c r="N389" s="3" t="s">
        <v>437</v>
      </c>
      <c r="O389" s="3" t="s">
        <v>3434</v>
      </c>
      <c r="P389" s="3" t="n">
        <v>40</v>
      </c>
      <c r="Q389" s="3" t="s">
        <v>52</v>
      </c>
      <c r="R389" s="3" t="s">
        <v>3435</v>
      </c>
      <c r="S389" s="3" t="s">
        <v>3436</v>
      </c>
      <c r="T389" s="3"/>
      <c r="U389" s="3" t="s">
        <v>3437</v>
      </c>
      <c r="V389" s="3" t="s">
        <v>3438</v>
      </c>
      <c r="W389" s="3" t="s">
        <v>59</v>
      </c>
      <c r="X389" s="3" t="s">
        <v>3439</v>
      </c>
      <c r="Y389" s="3" t="n">
        <v>3</v>
      </c>
      <c r="Z389" s="3" t="n">
        <v>2</v>
      </c>
      <c r="AA389" s="3" t="n">
        <v>1</v>
      </c>
      <c r="AB389" s="3" t="n">
        <v>2</v>
      </c>
      <c r="AC389" s="3" t="n">
        <v>1</v>
      </c>
      <c r="AD389" s="3" t="n">
        <v>3</v>
      </c>
      <c r="AE389" s="3" t="s">
        <v>3440</v>
      </c>
      <c r="AF389" s="3"/>
      <c r="AG389" s="3" t="s">
        <v>1845</v>
      </c>
      <c r="AH389" s="3"/>
      <c r="AI389" s="3" t="s">
        <v>3441</v>
      </c>
      <c r="AJ389" s="3" t="s">
        <v>59</v>
      </c>
      <c r="AK389" s="3"/>
      <c r="AL389" s="3" t="s">
        <v>59</v>
      </c>
      <c r="AM389" s="3"/>
      <c r="AN389" s="3"/>
      <c r="AO389" s="3" t="s">
        <v>59</v>
      </c>
      <c r="AP389" s="3"/>
      <c r="AQ389" s="3"/>
      <c r="AR389" s="3"/>
    </row>
    <row r="390" customFormat="false" ht="15" hidden="false" customHeight="true" outlineLevel="0" collapsed="false">
      <c r="A390" s="3" t="s">
        <v>3442</v>
      </c>
      <c r="B390" s="3" t="n">
        <v>5</v>
      </c>
      <c r="C390" s="3" t="n">
        <v>58</v>
      </c>
      <c r="D390" s="3"/>
      <c r="E390" s="4"/>
      <c r="F390" s="3" t="n">
        <v>24</v>
      </c>
      <c r="G390" s="3" t="str">
        <f aca="false">IF(F390="","",IF(F390&gt;=Notes!$B$5,"Elderly ("&amp;Notes!$B$5&amp;"+)",IF(F390&lt;=Notes!$B$4,"Student age (≤"&amp;Notes!$B$4&amp;")","Middle-aged ("&amp;(Notes!$B$4+1)&amp;"–"&amp;(Notes!$B$5-1)&amp;")")))</f>
        <v>Student age (≤29)</v>
      </c>
      <c r="H390" s="3" t="s">
        <v>45</v>
      </c>
      <c r="I390" s="3"/>
      <c r="J390" s="3" t="s">
        <v>437</v>
      </c>
      <c r="K390" s="3" t="s">
        <v>437</v>
      </c>
      <c r="L390" s="3"/>
      <c r="M390" s="3" t="s">
        <v>437</v>
      </c>
      <c r="N390" s="3" t="s">
        <v>437</v>
      </c>
      <c r="O390" s="3" t="s">
        <v>3443</v>
      </c>
      <c r="P390" s="3" t="n">
        <v>52</v>
      </c>
      <c r="Q390" s="3" t="s">
        <v>52</v>
      </c>
      <c r="R390" s="3" t="s">
        <v>3444</v>
      </c>
      <c r="S390" s="3" t="s">
        <v>3445</v>
      </c>
      <c r="T390" s="3"/>
      <c r="U390" s="3" t="s">
        <v>3446</v>
      </c>
      <c r="V390" s="3" t="s">
        <v>3447</v>
      </c>
      <c r="W390" s="3" t="s">
        <v>59</v>
      </c>
      <c r="X390" s="3" t="s">
        <v>3448</v>
      </c>
      <c r="Y390" s="3" t="n">
        <v>1</v>
      </c>
      <c r="Z390" s="3" t="n">
        <v>3</v>
      </c>
      <c r="AA390" s="3" t="n">
        <v>2</v>
      </c>
      <c r="AB390" s="3" t="n">
        <v>2</v>
      </c>
      <c r="AC390" s="3" t="n">
        <v>1</v>
      </c>
      <c r="AD390" s="3" t="n">
        <v>3</v>
      </c>
      <c r="AE390" s="3" t="s">
        <v>3449</v>
      </c>
      <c r="AF390" s="3"/>
      <c r="AG390" s="3" t="s">
        <v>1844</v>
      </c>
      <c r="AH390" s="3"/>
      <c r="AI390" s="3" t="s">
        <v>3450</v>
      </c>
      <c r="AJ390" s="3" t="s">
        <v>59</v>
      </c>
      <c r="AK390" s="3"/>
      <c r="AL390" s="3" t="s">
        <v>59</v>
      </c>
      <c r="AM390" s="3"/>
      <c r="AN390" s="3"/>
      <c r="AO390" s="3" t="s">
        <v>59</v>
      </c>
      <c r="AP390" s="3"/>
      <c r="AQ390" s="3"/>
      <c r="AR390" s="3"/>
    </row>
    <row r="391" customFormat="false" ht="15" hidden="false" customHeight="true" outlineLevel="0" collapsed="false">
      <c r="A391" s="3" t="s">
        <v>3451</v>
      </c>
      <c r="B391" s="3" t="n">
        <v>5</v>
      </c>
      <c r="C391" s="3" t="n">
        <v>59</v>
      </c>
      <c r="D391" s="3"/>
      <c r="E391" s="4"/>
      <c r="F391" s="3" t="n">
        <v>24</v>
      </c>
      <c r="G391" s="3" t="str">
        <f aca="false">IF(F391="","",IF(F391&gt;=Notes!$B$5,"Elderly ("&amp;Notes!$B$5&amp;"+)",IF(F391&lt;=Notes!$B$4,"Student age (≤"&amp;Notes!$B$4&amp;")","Middle-aged ("&amp;(Notes!$B$4+1)&amp;"–"&amp;(Notes!$B$5-1)&amp;")")))</f>
        <v>Student age (≤29)</v>
      </c>
      <c r="H391" s="3" t="s">
        <v>83</v>
      </c>
      <c r="I391" s="3"/>
      <c r="J391" s="3" t="s">
        <v>1687</v>
      </c>
      <c r="K391" s="3" t="s">
        <v>1687</v>
      </c>
      <c r="L391" s="3"/>
      <c r="M391" s="3" t="s">
        <v>437</v>
      </c>
      <c r="N391" s="3" t="s">
        <v>437</v>
      </c>
      <c r="O391" s="3" t="s">
        <v>3452</v>
      </c>
      <c r="P391" s="3" t="n">
        <v>30</v>
      </c>
      <c r="Q391" s="3" t="s">
        <v>117</v>
      </c>
      <c r="R391" s="3" t="s">
        <v>3453</v>
      </c>
      <c r="S391" s="3" t="s">
        <v>3454</v>
      </c>
      <c r="T391" s="3"/>
      <c r="U391" s="3" t="s">
        <v>3455</v>
      </c>
      <c r="V391" s="3" t="s">
        <v>3456</v>
      </c>
      <c r="W391" s="3" t="s">
        <v>59</v>
      </c>
      <c r="X391" s="3" t="s">
        <v>3457</v>
      </c>
      <c r="Y391" s="3" t="n">
        <v>1</v>
      </c>
      <c r="Z391" s="3" t="n">
        <v>2</v>
      </c>
      <c r="AA391" s="3" t="n">
        <v>3</v>
      </c>
      <c r="AB391" s="3" t="n">
        <v>2</v>
      </c>
      <c r="AC391" s="3" t="n">
        <v>3</v>
      </c>
      <c r="AD391" s="3" t="n">
        <v>1</v>
      </c>
      <c r="AE391" s="3" t="s">
        <v>3458</v>
      </c>
      <c r="AF391" s="3"/>
      <c r="AG391" s="3" t="s">
        <v>2215</v>
      </c>
      <c r="AH391" s="3"/>
      <c r="AI391" s="3" t="s">
        <v>3459</v>
      </c>
      <c r="AJ391" s="3" t="s">
        <v>59</v>
      </c>
      <c r="AK391" s="3"/>
      <c r="AL391" s="3" t="s">
        <v>59</v>
      </c>
      <c r="AM391" s="3"/>
      <c r="AN391" s="3"/>
      <c r="AO391" s="3" t="s">
        <v>59</v>
      </c>
      <c r="AP391" s="3"/>
      <c r="AQ391" s="3"/>
      <c r="AR391" s="3"/>
    </row>
    <row r="392" customFormat="false" ht="15" hidden="false" customHeight="true" outlineLevel="0" collapsed="false">
      <c r="A392" s="3" t="s">
        <v>3460</v>
      </c>
      <c r="B392" s="3" t="n">
        <v>5</v>
      </c>
      <c r="C392" s="3" t="n">
        <v>60</v>
      </c>
      <c r="D392" s="3"/>
      <c r="E392" s="4"/>
      <c r="F392" s="3" t="n">
        <v>24</v>
      </c>
      <c r="G392" s="3" t="str">
        <f aca="false">IF(F392="","",IF(F392&gt;=Notes!$B$5,"Elderly ("&amp;Notes!$B$5&amp;"+)",IF(F392&lt;=Notes!$B$4,"Student age (≤"&amp;Notes!$B$4&amp;")","Middle-aged ("&amp;(Notes!$B$4+1)&amp;"–"&amp;(Notes!$B$5-1)&amp;")")))</f>
        <v>Student age (≤29)</v>
      </c>
      <c r="H392" s="3" t="s">
        <v>83</v>
      </c>
      <c r="I392" s="3"/>
      <c r="J392" s="3" t="s">
        <v>437</v>
      </c>
      <c r="K392" s="3" t="s">
        <v>437</v>
      </c>
      <c r="L392" s="3"/>
      <c r="M392" s="3" t="s">
        <v>437</v>
      </c>
      <c r="N392" s="3" t="s">
        <v>437</v>
      </c>
      <c r="O392" s="3" t="s">
        <v>3461</v>
      </c>
      <c r="P392" s="3" t="n">
        <v>15</v>
      </c>
      <c r="Q392" s="3" t="s">
        <v>74</v>
      </c>
      <c r="R392" s="3" t="s">
        <v>3462</v>
      </c>
      <c r="S392" s="3" t="s">
        <v>3463</v>
      </c>
      <c r="T392" s="3"/>
      <c r="U392" s="3" t="s">
        <v>3464</v>
      </c>
      <c r="V392" s="3" t="s">
        <v>3465</v>
      </c>
      <c r="W392" s="3" t="s">
        <v>59</v>
      </c>
      <c r="X392" s="3" t="s">
        <v>3466</v>
      </c>
      <c r="Y392" s="3" t="n">
        <v>2</v>
      </c>
      <c r="Z392" s="3" t="n">
        <v>1</v>
      </c>
      <c r="AA392" s="3" t="n">
        <v>3</v>
      </c>
      <c r="AB392" s="3" t="n">
        <v>2</v>
      </c>
      <c r="AC392" s="3" t="n">
        <v>1</v>
      </c>
      <c r="AD392" s="3" t="n">
        <v>3</v>
      </c>
      <c r="AE392" s="3" t="s">
        <v>3467</v>
      </c>
      <c r="AF392" s="3"/>
      <c r="AG392" s="3" t="s">
        <v>2215</v>
      </c>
      <c r="AH392" s="3"/>
      <c r="AI392" s="3" t="s">
        <v>3468</v>
      </c>
      <c r="AJ392" s="3" t="s">
        <v>59</v>
      </c>
      <c r="AK392" s="3"/>
      <c r="AL392" s="3" t="s">
        <v>59</v>
      </c>
      <c r="AM392" s="3"/>
      <c r="AN392" s="3"/>
      <c r="AO392" s="3" t="s">
        <v>59</v>
      </c>
      <c r="AP392" s="3"/>
      <c r="AQ392" s="3"/>
      <c r="AR392" s="3"/>
    </row>
    <row r="393" customFormat="false" ht="15" hidden="false" customHeight="true" outlineLevel="0" collapsed="false">
      <c r="A393" s="3" t="s">
        <v>3469</v>
      </c>
      <c r="B393" s="3" t="n">
        <v>5</v>
      </c>
      <c r="C393" s="3" t="n">
        <v>61</v>
      </c>
      <c r="D393" s="3"/>
      <c r="E393" s="4"/>
      <c r="F393" s="3" t="n">
        <v>25</v>
      </c>
      <c r="G393" s="3" t="str">
        <f aca="false">IF(F393="","",IF(F393&gt;=Notes!$B$5,"Elderly ("&amp;Notes!$B$5&amp;"+)",IF(F393&lt;=Notes!$B$4,"Student age (≤"&amp;Notes!$B$4&amp;")","Middle-aged ("&amp;(Notes!$B$4+1)&amp;"–"&amp;(Notes!$B$5-1)&amp;")")))</f>
        <v>Student age (≤29)</v>
      </c>
      <c r="H393" s="3" t="s">
        <v>83</v>
      </c>
      <c r="I393" s="3"/>
      <c r="J393" s="3" t="s">
        <v>437</v>
      </c>
      <c r="K393" s="3" t="s">
        <v>437</v>
      </c>
      <c r="L393" s="3"/>
      <c r="M393" s="3" t="s">
        <v>437</v>
      </c>
      <c r="N393" s="3" t="s">
        <v>437</v>
      </c>
      <c r="O393" s="3" t="s">
        <v>3470</v>
      </c>
      <c r="P393" s="3" t="n">
        <v>25</v>
      </c>
      <c r="Q393" s="3" t="s">
        <v>117</v>
      </c>
      <c r="R393" s="3" t="s">
        <v>3471</v>
      </c>
      <c r="S393" s="3" t="s">
        <v>3472</v>
      </c>
      <c r="T393" s="3"/>
      <c r="U393" s="3" t="s">
        <v>3473</v>
      </c>
      <c r="V393" s="3" t="s">
        <v>3474</v>
      </c>
      <c r="W393" s="3" t="s">
        <v>3475</v>
      </c>
      <c r="X393" s="3" t="s">
        <v>3476</v>
      </c>
      <c r="Y393" s="3" t="n">
        <v>2</v>
      </c>
      <c r="Z393" s="3" t="n">
        <v>3</v>
      </c>
      <c r="AA393" s="3" t="n">
        <v>1</v>
      </c>
      <c r="AB393" s="3" t="n">
        <v>1</v>
      </c>
      <c r="AC393" s="3" t="n">
        <v>2</v>
      </c>
      <c r="AD393" s="3" t="n">
        <v>3</v>
      </c>
      <c r="AE393" s="3" t="s">
        <v>3311</v>
      </c>
      <c r="AF393" s="3"/>
      <c r="AG393" s="3" t="s">
        <v>2215</v>
      </c>
      <c r="AH393" s="3"/>
      <c r="AI393" s="3" t="s">
        <v>3477</v>
      </c>
      <c r="AJ393" s="3" t="s">
        <v>59</v>
      </c>
      <c r="AK393" s="3"/>
      <c r="AL393" s="3" t="s">
        <v>59</v>
      </c>
      <c r="AM393" s="3"/>
      <c r="AN393" s="3"/>
      <c r="AO393" s="3" t="s">
        <v>59</v>
      </c>
      <c r="AP393" s="3"/>
      <c r="AQ393" s="3"/>
      <c r="AR393" s="3"/>
    </row>
    <row r="394" customFormat="false" ht="15" hidden="false" customHeight="true" outlineLevel="0" collapsed="false">
      <c r="A394" s="3" t="s">
        <v>3478</v>
      </c>
      <c r="B394" s="3" t="n">
        <v>5</v>
      </c>
      <c r="C394" s="3" t="n">
        <v>62</v>
      </c>
      <c r="D394" s="3"/>
      <c r="E394" s="4"/>
      <c r="F394" s="3" t="n">
        <v>22</v>
      </c>
      <c r="G394" s="3" t="str">
        <f aca="false">IF(F394="","",IF(F394&gt;=Notes!$B$5,"Elderly ("&amp;Notes!$B$5&amp;"+)",IF(F394&lt;=Notes!$B$4,"Student age (≤"&amp;Notes!$B$4&amp;")","Middle-aged ("&amp;(Notes!$B$4+1)&amp;"–"&amp;(Notes!$B$5-1)&amp;")")))</f>
        <v>Student age (≤29)</v>
      </c>
      <c r="H394" s="3" t="s">
        <v>83</v>
      </c>
      <c r="I394" s="3" t="s">
        <v>3479</v>
      </c>
      <c r="J394" s="3" t="s">
        <v>437</v>
      </c>
      <c r="K394" s="3" t="s">
        <v>3480</v>
      </c>
      <c r="L394" s="3" t="s">
        <v>49</v>
      </c>
      <c r="M394" s="3" t="s">
        <v>47</v>
      </c>
      <c r="N394" s="3" t="s">
        <v>50</v>
      </c>
      <c r="O394" s="3" t="s">
        <v>3481</v>
      </c>
      <c r="P394" s="3" t="n">
        <v>15</v>
      </c>
      <c r="Q394" s="3" t="s">
        <v>74</v>
      </c>
      <c r="R394" s="3" t="s">
        <v>3482</v>
      </c>
      <c r="S394" s="3" t="s">
        <v>3483</v>
      </c>
      <c r="T394" s="3"/>
      <c r="U394" s="3" t="s">
        <v>3484</v>
      </c>
      <c r="V394" s="3" t="s">
        <v>3485</v>
      </c>
      <c r="W394" s="3" t="s">
        <v>3475</v>
      </c>
      <c r="X394" s="3" t="s">
        <v>3486</v>
      </c>
      <c r="Y394" s="3" t="n">
        <v>2</v>
      </c>
      <c r="Z394" s="3" t="n">
        <v>1</v>
      </c>
      <c r="AA394" s="3" t="n">
        <v>3</v>
      </c>
      <c r="AB394" s="3" t="n">
        <v>2</v>
      </c>
      <c r="AC394" s="3" t="n">
        <v>3</v>
      </c>
      <c r="AD394" s="3" t="n">
        <v>1</v>
      </c>
      <c r="AE394" s="3" t="s">
        <v>3487</v>
      </c>
      <c r="AF394" s="3"/>
      <c r="AG394" s="3" t="s">
        <v>3488</v>
      </c>
      <c r="AH394" s="3"/>
      <c r="AI394" s="3" t="s">
        <v>3489</v>
      </c>
      <c r="AJ394" s="3"/>
      <c r="AK394" s="3" t="s">
        <v>3490</v>
      </c>
      <c r="AL394" s="3" t="s">
        <v>59</v>
      </c>
      <c r="AM394" s="3"/>
      <c r="AN394" s="3" t="s">
        <v>3491</v>
      </c>
      <c r="AO394" s="3" t="s">
        <v>59</v>
      </c>
      <c r="AP394" s="3"/>
      <c r="AQ394" s="3" t="s">
        <v>3492</v>
      </c>
      <c r="AR394" s="3"/>
    </row>
    <row r="395" customFormat="false" ht="15" hidden="false" customHeight="true" outlineLevel="0" collapsed="false">
      <c r="A395" s="3" t="s">
        <v>3493</v>
      </c>
      <c r="B395" s="3" t="n">
        <v>5</v>
      </c>
      <c r="C395" s="3" t="n">
        <v>63</v>
      </c>
      <c r="D395" s="3"/>
      <c r="E395" s="4"/>
      <c r="F395" s="3" t="n">
        <v>22</v>
      </c>
      <c r="G395" s="3" t="str">
        <f aca="false">IF(F395="","",IF(F395&gt;=Notes!$B$5,"Elderly ("&amp;Notes!$B$5&amp;"+)",IF(F395&lt;=Notes!$B$4,"Student age (≤"&amp;Notes!$B$4&amp;")","Middle-aged ("&amp;(Notes!$B$4+1)&amp;"–"&amp;(Notes!$B$5-1)&amp;")")))</f>
        <v>Student age (≤29)</v>
      </c>
      <c r="H395" s="3" t="s">
        <v>83</v>
      </c>
      <c r="I395" s="3" t="s">
        <v>3494</v>
      </c>
      <c r="J395" s="3" t="s">
        <v>437</v>
      </c>
      <c r="K395" s="3" t="s">
        <v>3495</v>
      </c>
      <c r="L395" s="3" t="s">
        <v>114</v>
      </c>
      <c r="M395" s="3" t="s">
        <v>47</v>
      </c>
      <c r="N395" s="3" t="s">
        <v>115</v>
      </c>
      <c r="O395" s="3" t="s">
        <v>3496</v>
      </c>
      <c r="P395" s="3" t="n">
        <v>20</v>
      </c>
      <c r="Q395" s="3" t="s">
        <v>95</v>
      </c>
      <c r="R395" s="3" t="s">
        <v>3497</v>
      </c>
      <c r="S395" s="3" t="s">
        <v>3498</v>
      </c>
      <c r="T395" s="3"/>
      <c r="U395" s="3" t="s">
        <v>3499</v>
      </c>
      <c r="V395" s="3" t="s">
        <v>3500</v>
      </c>
      <c r="W395" s="3" t="s">
        <v>3501</v>
      </c>
      <c r="X395" s="3" t="s">
        <v>3502</v>
      </c>
      <c r="Y395" s="3" t="n">
        <v>3</v>
      </c>
      <c r="Z395" s="3" t="n">
        <v>1</v>
      </c>
      <c r="AA395" s="3" t="n">
        <v>2</v>
      </c>
      <c r="AB395" s="3" t="n">
        <v>3</v>
      </c>
      <c r="AC395" s="3" t="n">
        <v>2</v>
      </c>
      <c r="AD395" s="3" t="n">
        <v>1</v>
      </c>
      <c r="AE395" s="3" t="s">
        <v>3503</v>
      </c>
      <c r="AF395" s="3"/>
      <c r="AG395" s="3" t="s">
        <v>3504</v>
      </c>
      <c r="AH395" s="3"/>
      <c r="AI395" s="3" t="s">
        <v>3505</v>
      </c>
      <c r="AJ395" s="3"/>
      <c r="AK395" s="3" t="s">
        <v>3506</v>
      </c>
      <c r="AL395" s="3" t="s">
        <v>98</v>
      </c>
      <c r="AM395" s="3"/>
      <c r="AN395" s="3" t="s">
        <v>3507</v>
      </c>
      <c r="AO395" s="3"/>
      <c r="AP395" s="3"/>
      <c r="AQ395" s="3" t="s">
        <v>3508</v>
      </c>
      <c r="AR395" s="3"/>
    </row>
    <row r="396" customFormat="false" ht="15" hidden="false" customHeight="true" outlineLevel="0" collapsed="false">
      <c r="A396" s="3" t="s">
        <v>3509</v>
      </c>
      <c r="B396" s="3" t="n">
        <v>5</v>
      </c>
      <c r="C396" s="3" t="n">
        <v>64</v>
      </c>
      <c r="D396" s="3"/>
      <c r="E396" s="4"/>
      <c r="F396" s="3" t="n">
        <v>23</v>
      </c>
      <c r="G396" s="3" t="str">
        <f aca="false">IF(F396="","",IF(F396&gt;=Notes!$B$5,"Elderly ("&amp;Notes!$B$5&amp;"+)",IF(F396&lt;=Notes!$B$4,"Student age (≤"&amp;Notes!$B$4&amp;")","Middle-aged ("&amp;(Notes!$B$4+1)&amp;"–"&amp;(Notes!$B$5-1)&amp;")")))</f>
        <v>Student age (≤29)</v>
      </c>
      <c r="H396" s="3" t="s">
        <v>45</v>
      </c>
      <c r="I396" s="3" t="s">
        <v>436</v>
      </c>
      <c r="J396" s="3" t="s">
        <v>437</v>
      </c>
      <c r="K396" s="3" t="s">
        <v>438</v>
      </c>
      <c r="L396" s="3" t="s">
        <v>3510</v>
      </c>
      <c r="M396" s="3" t="s">
        <v>2651</v>
      </c>
      <c r="N396" s="3" t="s">
        <v>3511</v>
      </c>
      <c r="O396" s="3" t="s">
        <v>3512</v>
      </c>
      <c r="P396" s="3" t="n">
        <v>30</v>
      </c>
      <c r="Q396" s="3" t="s">
        <v>117</v>
      </c>
      <c r="R396" s="3" t="s">
        <v>3513</v>
      </c>
      <c r="S396" s="3" t="s">
        <v>3514</v>
      </c>
      <c r="T396" s="3"/>
      <c r="U396" s="3" t="s">
        <v>3515</v>
      </c>
      <c r="V396" s="3" t="s">
        <v>3516</v>
      </c>
      <c r="W396" s="3" t="s">
        <v>3517</v>
      </c>
      <c r="X396" s="3" t="s">
        <v>3518</v>
      </c>
      <c r="Y396" s="3" t="n">
        <v>2</v>
      </c>
      <c r="Z396" s="3" t="n">
        <v>1</v>
      </c>
      <c r="AA396" s="3" t="n">
        <v>3</v>
      </c>
      <c r="AB396" s="3" t="n">
        <v>2</v>
      </c>
      <c r="AC396" s="3" t="n">
        <v>1</v>
      </c>
      <c r="AD396" s="3" t="n">
        <v>3</v>
      </c>
      <c r="AE396" s="3" t="s">
        <v>3519</v>
      </c>
      <c r="AF396" s="3"/>
      <c r="AG396" s="3" t="s">
        <v>3520</v>
      </c>
      <c r="AH396" s="3"/>
      <c r="AI396" s="3" t="s">
        <v>3521</v>
      </c>
      <c r="AJ396" s="3"/>
      <c r="AK396" s="3" t="s">
        <v>3522</v>
      </c>
      <c r="AL396" s="3" t="s">
        <v>59</v>
      </c>
      <c r="AM396" s="3"/>
      <c r="AN396" s="3" t="s">
        <v>3523</v>
      </c>
      <c r="AO396" s="3"/>
      <c r="AP396" s="3"/>
      <c r="AQ396" s="3" t="s">
        <v>3524</v>
      </c>
      <c r="AR396" s="3"/>
    </row>
    <row r="397" customFormat="false" ht="15" hidden="false" customHeight="true" outlineLevel="0" collapsed="false">
      <c r="A397" s="3" t="s">
        <v>3525</v>
      </c>
      <c r="B397" s="3" t="n">
        <v>5</v>
      </c>
      <c r="C397" s="3" t="n">
        <v>65</v>
      </c>
      <c r="D397" s="3"/>
      <c r="E397" s="4"/>
      <c r="F397" s="3" t="n">
        <v>82</v>
      </c>
      <c r="G397" s="3" t="str">
        <f aca="false">IF(F397="","",IF(F397&gt;=Notes!$B$5,"Elderly ("&amp;Notes!$B$5&amp;"+)",IF(F397&lt;=Notes!$B$4,"Student age (≤"&amp;Notes!$B$4&amp;")","Middle-aged ("&amp;(Notes!$B$4+1)&amp;"–"&amp;(Notes!$B$5-1)&amp;")")))</f>
        <v>Elderly (65+)</v>
      </c>
      <c r="H397" s="3" t="s">
        <v>45</v>
      </c>
      <c r="I397" s="3" t="s">
        <v>3479</v>
      </c>
      <c r="J397" s="3" t="s">
        <v>437</v>
      </c>
      <c r="K397" s="3" t="s">
        <v>3480</v>
      </c>
      <c r="L397" s="3" t="s">
        <v>3479</v>
      </c>
      <c r="M397" s="3" t="s">
        <v>437</v>
      </c>
      <c r="N397" s="3" t="s">
        <v>3480</v>
      </c>
      <c r="O397" s="3" t="s">
        <v>3526</v>
      </c>
      <c r="P397" s="3" t="n">
        <v>20</v>
      </c>
      <c r="Q397" s="3" t="s">
        <v>95</v>
      </c>
      <c r="R397" s="3" t="s">
        <v>3527</v>
      </c>
      <c r="S397" s="3" t="s">
        <v>3528</v>
      </c>
      <c r="T397" s="3"/>
      <c r="U397" s="3" t="s">
        <v>3529</v>
      </c>
      <c r="V397" s="3" t="s">
        <v>3530</v>
      </c>
      <c r="W397" s="3" t="s">
        <v>3531</v>
      </c>
      <c r="X397" s="3" t="s">
        <v>3532</v>
      </c>
      <c r="Y397" s="3" t="n">
        <v>2</v>
      </c>
      <c r="Z397" s="3" t="n">
        <v>1</v>
      </c>
      <c r="AA397" s="3" t="n">
        <v>3</v>
      </c>
      <c r="AB397" s="3" t="n">
        <v>2</v>
      </c>
      <c r="AC397" s="3" t="n">
        <v>3</v>
      </c>
      <c r="AD397" s="3" t="n">
        <v>1</v>
      </c>
      <c r="AE397" s="3" t="s">
        <v>3533</v>
      </c>
      <c r="AF397" s="3"/>
      <c r="AG397" s="3" t="s">
        <v>3534</v>
      </c>
      <c r="AH397" s="3"/>
      <c r="AI397" s="3" t="s">
        <v>3535</v>
      </c>
      <c r="AJ397" s="3"/>
      <c r="AK397" s="3" t="s">
        <v>3536</v>
      </c>
      <c r="AL397" s="3" t="s">
        <v>59</v>
      </c>
      <c r="AM397" s="3"/>
      <c r="AN397" s="3" t="s">
        <v>3537</v>
      </c>
      <c r="AO397" s="3" t="s">
        <v>59</v>
      </c>
      <c r="AP397" s="3"/>
      <c r="AQ397" s="3" t="s">
        <v>3538</v>
      </c>
      <c r="AR397" s="3"/>
    </row>
    <row r="398" customFormat="false" ht="15" hidden="false" customHeight="true" outlineLevel="0" collapsed="false">
      <c r="A398" s="3" t="s">
        <v>3539</v>
      </c>
      <c r="B398" s="3" t="n">
        <v>5</v>
      </c>
      <c r="C398" s="3" t="n">
        <v>66</v>
      </c>
      <c r="D398" s="3"/>
      <c r="E398" s="4"/>
      <c r="F398" s="3" t="n">
        <v>93</v>
      </c>
      <c r="G398" s="3" t="str">
        <f aca="false">IF(F398="","",IF(F398&gt;=Notes!$B$5,"Elderly ("&amp;Notes!$B$5&amp;"+)",IF(F398&lt;=Notes!$B$4,"Student age (≤"&amp;Notes!$B$4&amp;")","Middle-aged ("&amp;(Notes!$B$4+1)&amp;"–"&amp;(Notes!$B$5-1)&amp;")")))</f>
        <v>Elderly (65+)</v>
      </c>
      <c r="H398" s="3" t="s">
        <v>83</v>
      </c>
      <c r="I398" s="3" t="s">
        <v>3479</v>
      </c>
      <c r="J398" s="3" t="s">
        <v>437</v>
      </c>
      <c r="K398" s="3" t="s">
        <v>3480</v>
      </c>
      <c r="L398" s="3" t="s">
        <v>3479</v>
      </c>
      <c r="M398" s="3" t="s">
        <v>437</v>
      </c>
      <c r="N398" s="3" t="s">
        <v>3480</v>
      </c>
      <c r="O398" s="3" t="s">
        <v>3540</v>
      </c>
      <c r="P398" s="3"/>
      <c r="Q398" s="3"/>
      <c r="R398" s="3" t="s">
        <v>3541</v>
      </c>
      <c r="S398" s="3" t="s">
        <v>3542</v>
      </c>
      <c r="T398" s="3"/>
      <c r="U398" s="3" t="s">
        <v>3543</v>
      </c>
      <c r="V398" s="3" t="s">
        <v>3544</v>
      </c>
      <c r="W398" s="3" t="s">
        <v>3545</v>
      </c>
      <c r="X398" s="3" t="s">
        <v>3546</v>
      </c>
      <c r="Y398" s="3" t="n">
        <v>2</v>
      </c>
      <c r="Z398" s="3" t="n">
        <v>1</v>
      </c>
      <c r="AA398" s="3" t="n">
        <v>3</v>
      </c>
      <c r="AB398" s="3" t="n">
        <v>2</v>
      </c>
      <c r="AC398" s="3" t="n">
        <v>3</v>
      </c>
      <c r="AD398" s="3" t="n">
        <v>1</v>
      </c>
      <c r="AE398" s="3" t="s">
        <v>3547</v>
      </c>
      <c r="AF398" s="3"/>
      <c r="AG398" s="3" t="s">
        <v>98</v>
      </c>
      <c r="AH398" s="3"/>
      <c r="AI398" s="3" t="s">
        <v>3548</v>
      </c>
      <c r="AJ398" s="3"/>
      <c r="AK398" s="3" t="s">
        <v>3549</v>
      </c>
      <c r="AL398" s="3" t="s">
        <v>59</v>
      </c>
      <c r="AM398" s="3"/>
      <c r="AN398" s="3"/>
      <c r="AO398" s="3"/>
      <c r="AP398" s="3"/>
      <c r="AQ398" s="3" t="s">
        <v>3550</v>
      </c>
      <c r="AR398" s="3" t="s">
        <v>3551</v>
      </c>
    </row>
    <row r="399" customFormat="false" ht="15" hidden="false" customHeight="true" outlineLevel="0" collapsed="false">
      <c r="A399" s="3" t="s">
        <v>3552</v>
      </c>
      <c r="B399" s="3" t="n">
        <v>5</v>
      </c>
      <c r="C399" s="3" t="n">
        <v>67</v>
      </c>
      <c r="D399" s="3"/>
      <c r="E399" s="4"/>
      <c r="F399" s="3" t="n">
        <v>67</v>
      </c>
      <c r="G399" s="3" t="str">
        <f aca="false">IF(F399="","",IF(F399&gt;=Notes!$B$5,"Elderly ("&amp;Notes!$B$5&amp;"+)",IF(F399&lt;=Notes!$B$4,"Student age (≤"&amp;Notes!$B$4&amp;")","Middle-aged ("&amp;(Notes!$B$4+1)&amp;"–"&amp;(Notes!$B$5-1)&amp;")")))</f>
        <v>Elderly (65+)</v>
      </c>
      <c r="H399" s="3" t="s">
        <v>83</v>
      </c>
      <c r="I399" s="3" t="s">
        <v>3553</v>
      </c>
      <c r="J399" s="3" t="s">
        <v>437</v>
      </c>
      <c r="K399" s="3" t="s">
        <v>3554</v>
      </c>
      <c r="L399" s="3" t="s">
        <v>3553</v>
      </c>
      <c r="M399" s="3" t="s">
        <v>437</v>
      </c>
      <c r="N399" s="3" t="s">
        <v>3554</v>
      </c>
      <c r="O399" s="3" t="s">
        <v>3555</v>
      </c>
      <c r="P399" s="3" t="n">
        <v>22</v>
      </c>
      <c r="Q399" s="3" t="s">
        <v>117</v>
      </c>
      <c r="R399" s="3" t="s">
        <v>3556</v>
      </c>
      <c r="S399" s="3" t="s">
        <v>3557</v>
      </c>
      <c r="T399" s="3"/>
      <c r="U399" s="3" t="s">
        <v>3558</v>
      </c>
      <c r="V399" s="3" t="s">
        <v>3559</v>
      </c>
      <c r="W399" s="3" t="s">
        <v>3560</v>
      </c>
      <c r="X399" s="3" t="s">
        <v>3561</v>
      </c>
      <c r="Y399" s="3" t="n">
        <v>3</v>
      </c>
      <c r="Z399" s="3" t="n">
        <v>2</v>
      </c>
      <c r="AA399" s="3" t="n">
        <v>1</v>
      </c>
      <c r="AB399" s="3" t="n">
        <v>3</v>
      </c>
      <c r="AC399" s="3" t="n">
        <v>2</v>
      </c>
      <c r="AD399" s="3" t="n">
        <v>1</v>
      </c>
      <c r="AE399" s="3" t="s">
        <v>3562</v>
      </c>
      <c r="AF399" s="3"/>
      <c r="AG399" s="3" t="s">
        <v>3563</v>
      </c>
      <c r="AH399" s="3"/>
      <c r="AI399" s="3" t="s">
        <v>3564</v>
      </c>
      <c r="AJ399" s="3"/>
      <c r="AK399" s="3" t="s">
        <v>3565</v>
      </c>
      <c r="AL399" s="3" t="s">
        <v>59</v>
      </c>
      <c r="AM399" s="3"/>
      <c r="AN399" s="3" t="s">
        <v>3566</v>
      </c>
      <c r="AO399" s="3"/>
      <c r="AP399" s="3"/>
      <c r="AQ399" s="3" t="s">
        <v>3567</v>
      </c>
      <c r="AR399" s="3"/>
    </row>
    <row r="400" customFormat="false" ht="15" hidden="false" customHeight="true" outlineLevel="0" collapsed="false">
      <c r="A400" s="3" t="s">
        <v>3568</v>
      </c>
      <c r="B400" s="3" t="n">
        <v>5</v>
      </c>
      <c r="C400" s="3" t="n">
        <v>68</v>
      </c>
      <c r="D400" s="3"/>
      <c r="E400" s="4"/>
      <c r="F400" s="3" t="n">
        <v>22</v>
      </c>
      <c r="G400" s="3" t="str">
        <f aca="false">IF(F400="","",IF(F400&gt;=Notes!$B$5,"Elderly ("&amp;Notes!$B$5&amp;"+)",IF(F400&lt;=Notes!$B$4,"Student age (≤"&amp;Notes!$B$4&amp;")","Middle-aged ("&amp;(Notes!$B$4+1)&amp;"–"&amp;(Notes!$B$5-1)&amp;")")))</f>
        <v>Student age (≤29)</v>
      </c>
      <c r="H400" s="3" t="s">
        <v>45</v>
      </c>
      <c r="I400" s="3" t="s">
        <v>3479</v>
      </c>
      <c r="J400" s="3" t="s">
        <v>437</v>
      </c>
      <c r="K400" s="3" t="s">
        <v>3480</v>
      </c>
      <c r="L400" s="3" t="s">
        <v>3510</v>
      </c>
      <c r="M400" s="3" t="s">
        <v>2651</v>
      </c>
      <c r="N400" s="3" t="s">
        <v>3511</v>
      </c>
      <c r="O400" s="3" t="s">
        <v>3569</v>
      </c>
      <c r="P400" s="3" t="n">
        <v>45</v>
      </c>
      <c r="Q400" s="3" t="s">
        <v>52</v>
      </c>
      <c r="R400" s="3" t="s">
        <v>3570</v>
      </c>
      <c r="S400" s="3" t="s">
        <v>3571</v>
      </c>
      <c r="T400" s="3"/>
      <c r="U400" s="3" t="s">
        <v>3572</v>
      </c>
      <c r="V400" s="3" t="s">
        <v>3573</v>
      </c>
      <c r="W400" s="3" t="s">
        <v>3574</v>
      </c>
      <c r="X400" s="3" t="s">
        <v>3575</v>
      </c>
      <c r="Y400" s="3" t="n">
        <v>3</v>
      </c>
      <c r="Z400" s="3" t="n">
        <v>1</v>
      </c>
      <c r="AA400" s="3" t="n">
        <v>2</v>
      </c>
      <c r="AB400" s="3" t="n">
        <v>2</v>
      </c>
      <c r="AC400" s="3" t="n">
        <v>1</v>
      </c>
      <c r="AD400" s="3" t="n">
        <v>3</v>
      </c>
      <c r="AE400" s="3" t="s">
        <v>3576</v>
      </c>
      <c r="AF400" s="3"/>
      <c r="AG400" s="3" t="s">
        <v>3577</v>
      </c>
      <c r="AH400" s="3"/>
      <c r="AI400" s="3" t="s">
        <v>3578</v>
      </c>
      <c r="AJ400" s="3"/>
      <c r="AK400" s="3" t="s">
        <v>3579</v>
      </c>
      <c r="AL400" s="3" t="s">
        <v>59</v>
      </c>
      <c r="AM400" s="3"/>
      <c r="AN400" s="3" t="s">
        <v>3580</v>
      </c>
      <c r="AO400" s="3"/>
      <c r="AP400" s="3"/>
      <c r="AQ400" s="3" t="s">
        <v>3581</v>
      </c>
      <c r="AR400" s="3"/>
    </row>
    <row r="401" customFormat="false" ht="15" hidden="false" customHeight="true" outlineLevel="0" collapsed="false">
      <c r="A401" s="3" t="s">
        <v>3582</v>
      </c>
      <c r="B401" s="3" t="n">
        <v>5</v>
      </c>
      <c r="C401" s="3" t="n">
        <v>69</v>
      </c>
      <c r="D401" s="3"/>
      <c r="E401" s="4"/>
      <c r="F401" s="3" t="n">
        <v>22</v>
      </c>
      <c r="G401" s="3" t="str">
        <f aca="false">IF(F401="","",IF(F401&gt;=Notes!$B$5,"Elderly ("&amp;Notes!$B$5&amp;"+)",IF(F401&lt;=Notes!$B$4,"Student age (≤"&amp;Notes!$B$4&amp;")","Middle-aged ("&amp;(Notes!$B$4+1)&amp;"–"&amp;(Notes!$B$5-1)&amp;")")))</f>
        <v>Student age (≤29)</v>
      </c>
      <c r="H401" s="3" t="s">
        <v>45</v>
      </c>
      <c r="I401" s="3" t="s">
        <v>3494</v>
      </c>
      <c r="J401" s="3" t="s">
        <v>437</v>
      </c>
      <c r="K401" s="3" t="s">
        <v>3495</v>
      </c>
      <c r="L401" s="3" t="s">
        <v>3494</v>
      </c>
      <c r="M401" s="3" t="s">
        <v>437</v>
      </c>
      <c r="N401" s="3" t="s">
        <v>3495</v>
      </c>
      <c r="O401" s="3" t="s">
        <v>3583</v>
      </c>
      <c r="P401" s="3" t="n">
        <v>25</v>
      </c>
      <c r="Q401" s="3" t="s">
        <v>117</v>
      </c>
      <c r="R401" s="3" t="s">
        <v>3584</v>
      </c>
      <c r="S401" s="3" t="s">
        <v>3585</v>
      </c>
      <c r="T401" s="3"/>
      <c r="U401" s="3" t="s">
        <v>3586</v>
      </c>
      <c r="V401" s="3" t="s">
        <v>3587</v>
      </c>
      <c r="W401" s="3" t="s">
        <v>3588</v>
      </c>
      <c r="X401" s="3" t="s">
        <v>3589</v>
      </c>
      <c r="Y401" s="3" t="n">
        <v>3</v>
      </c>
      <c r="Z401" s="3" t="n">
        <v>1</v>
      </c>
      <c r="AA401" s="3" t="n">
        <v>2</v>
      </c>
      <c r="AB401" s="3" t="n">
        <v>3</v>
      </c>
      <c r="AC401" s="3" t="n">
        <v>1</v>
      </c>
      <c r="AD401" s="3" t="n">
        <v>2</v>
      </c>
      <c r="AE401" s="3" t="s">
        <v>3590</v>
      </c>
      <c r="AF401" s="3"/>
      <c r="AG401" s="3" t="s">
        <v>3591</v>
      </c>
      <c r="AH401" s="3"/>
      <c r="AI401" s="3" t="s">
        <v>3592</v>
      </c>
      <c r="AJ401" s="3"/>
      <c r="AK401" s="3" t="s">
        <v>3593</v>
      </c>
      <c r="AL401" s="3" t="s">
        <v>59</v>
      </c>
      <c r="AM401" s="3"/>
      <c r="AN401" s="3" t="s">
        <v>3594</v>
      </c>
      <c r="AO401" s="3"/>
      <c r="AP401" s="3"/>
      <c r="AQ401" s="3" t="s">
        <v>3595</v>
      </c>
      <c r="AR401" s="3"/>
    </row>
    <row r="402" customFormat="false" ht="15" hidden="false" customHeight="true" outlineLevel="0" collapsed="false">
      <c r="A402" s="3" t="s">
        <v>3596</v>
      </c>
      <c r="B402" s="3" t="n">
        <v>5</v>
      </c>
      <c r="C402" s="3" t="n">
        <v>70</v>
      </c>
      <c r="D402" s="3"/>
      <c r="E402" s="4"/>
      <c r="F402" s="3" t="n">
        <v>22</v>
      </c>
      <c r="G402" s="3" t="str">
        <f aca="false">IF(F402="","",IF(F402&gt;=Notes!$B$5,"Elderly ("&amp;Notes!$B$5&amp;"+)",IF(F402&lt;=Notes!$B$4,"Student age (≤"&amp;Notes!$B$4&amp;")","Middle-aged ("&amp;(Notes!$B$4+1)&amp;"–"&amp;(Notes!$B$5-1)&amp;")")))</f>
        <v>Student age (≤29)</v>
      </c>
      <c r="H402" s="3" t="s">
        <v>45</v>
      </c>
      <c r="I402" s="3" t="s">
        <v>3597</v>
      </c>
      <c r="J402" s="3" t="s">
        <v>437</v>
      </c>
      <c r="K402" s="3" t="s">
        <v>3598</v>
      </c>
      <c r="L402" s="3" t="s">
        <v>49</v>
      </c>
      <c r="M402" s="3" t="s">
        <v>47</v>
      </c>
      <c r="N402" s="3" t="s">
        <v>50</v>
      </c>
      <c r="O402" s="3" t="s">
        <v>3599</v>
      </c>
      <c r="P402" s="3" t="n">
        <v>18</v>
      </c>
      <c r="Q402" s="3" t="s">
        <v>95</v>
      </c>
      <c r="R402" s="3" t="s">
        <v>3600</v>
      </c>
      <c r="S402" s="3" t="s">
        <v>3601</v>
      </c>
      <c r="T402" s="3"/>
      <c r="U402" s="3" t="s">
        <v>3602</v>
      </c>
      <c r="V402" s="3" t="s">
        <v>3603</v>
      </c>
      <c r="W402" s="3" t="s">
        <v>3604</v>
      </c>
      <c r="X402" s="3" t="s">
        <v>3605</v>
      </c>
      <c r="Y402" s="3" t="n">
        <v>1</v>
      </c>
      <c r="Z402" s="3" t="n">
        <v>2</v>
      </c>
      <c r="AA402" s="3" t="n">
        <v>3</v>
      </c>
      <c r="AB402" s="3" t="n">
        <v>1</v>
      </c>
      <c r="AC402" s="3" t="n">
        <v>2</v>
      </c>
      <c r="AD402" s="3" t="n">
        <v>3</v>
      </c>
      <c r="AE402" s="3" t="s">
        <v>3606</v>
      </c>
      <c r="AF402" s="3"/>
      <c r="AG402" s="3" t="s">
        <v>3607</v>
      </c>
      <c r="AH402" s="3"/>
      <c r="AI402" s="3" t="s">
        <v>3608</v>
      </c>
      <c r="AJ402" s="3"/>
      <c r="AK402" s="3" t="s">
        <v>3609</v>
      </c>
      <c r="AL402" s="3" t="s">
        <v>59</v>
      </c>
      <c r="AM402" s="3"/>
      <c r="AN402" s="3" t="s">
        <v>3610</v>
      </c>
      <c r="AO402" s="3"/>
      <c r="AP402" s="3"/>
      <c r="AQ402" s="3" t="s">
        <v>3611</v>
      </c>
      <c r="AR402" s="3"/>
    </row>
    <row r="403" customFormat="false" ht="15" hidden="false" customHeight="true" outlineLevel="0" collapsed="false">
      <c r="A403" s="3" t="s">
        <v>3612</v>
      </c>
      <c r="B403" s="3" t="n">
        <v>5</v>
      </c>
      <c r="C403" s="3" t="n">
        <v>71</v>
      </c>
      <c r="D403" s="3"/>
      <c r="E403" s="4"/>
      <c r="F403" s="3" t="n">
        <v>23</v>
      </c>
      <c r="G403" s="3" t="str">
        <f aca="false">IF(F403="","",IF(F403&gt;=Notes!$B$5,"Elderly ("&amp;Notes!$B$5&amp;"+)",IF(F403&lt;=Notes!$B$4,"Student age (≤"&amp;Notes!$B$4&amp;")","Middle-aged ("&amp;(Notes!$B$4+1)&amp;"–"&amp;(Notes!$B$5-1)&amp;")")))</f>
        <v>Student age (≤29)</v>
      </c>
      <c r="H403" s="3" t="s">
        <v>45</v>
      </c>
      <c r="I403" s="3" t="s">
        <v>3613</v>
      </c>
      <c r="J403" s="3" t="s">
        <v>437</v>
      </c>
      <c r="K403" s="3" t="s">
        <v>3614</v>
      </c>
      <c r="L403" s="3" t="s">
        <v>3613</v>
      </c>
      <c r="M403" s="3" t="s">
        <v>437</v>
      </c>
      <c r="N403" s="3" t="s">
        <v>3614</v>
      </c>
      <c r="O403" s="3" t="s">
        <v>3615</v>
      </c>
      <c r="P403" s="3" t="n">
        <v>12</v>
      </c>
      <c r="Q403" s="3" t="s">
        <v>74</v>
      </c>
      <c r="R403" s="3" t="s">
        <v>3616</v>
      </c>
      <c r="S403" s="3" t="s">
        <v>3617</v>
      </c>
      <c r="T403" s="3"/>
      <c r="U403" s="3" t="s">
        <v>3618</v>
      </c>
      <c r="V403" s="3" t="s">
        <v>3619</v>
      </c>
      <c r="W403" s="3" t="s">
        <v>3620</v>
      </c>
      <c r="X403" s="3" t="s">
        <v>3621</v>
      </c>
      <c r="Y403" s="3" t="n">
        <v>2</v>
      </c>
      <c r="Z403" s="3" t="n">
        <v>1</v>
      </c>
      <c r="AA403" s="3" t="n">
        <v>3</v>
      </c>
      <c r="AB403" s="3" t="n">
        <v>1</v>
      </c>
      <c r="AC403" s="3" t="n">
        <v>3</v>
      </c>
      <c r="AD403" s="3" t="n">
        <v>2</v>
      </c>
      <c r="AE403" s="3" t="s">
        <v>3622</v>
      </c>
      <c r="AF403" s="3"/>
      <c r="AG403" s="3" t="s">
        <v>3623</v>
      </c>
      <c r="AH403" s="3"/>
      <c r="AI403" s="3" t="s">
        <v>3624</v>
      </c>
      <c r="AJ403" s="3"/>
      <c r="AK403" s="3" t="s">
        <v>3625</v>
      </c>
      <c r="AL403" s="3" t="s">
        <v>1625</v>
      </c>
      <c r="AM403" s="3"/>
      <c r="AN403" s="3" t="s">
        <v>3626</v>
      </c>
      <c r="AO403" s="3"/>
      <c r="AP403" s="3"/>
      <c r="AQ403" s="3" t="s">
        <v>3627</v>
      </c>
      <c r="AR403" s="3"/>
    </row>
    <row r="404" customFormat="false" ht="15" hidden="false" customHeight="true" outlineLevel="0" collapsed="false">
      <c r="A404" s="3" t="s">
        <v>3628</v>
      </c>
      <c r="B404" s="3" t="n">
        <v>5</v>
      </c>
      <c r="C404" s="3" t="n">
        <v>72</v>
      </c>
      <c r="D404" s="3"/>
      <c r="E404" s="4"/>
      <c r="F404" s="3" t="n">
        <v>8</v>
      </c>
      <c r="G404" s="3" t="str">
        <f aca="false">IF(F404="","",IF(F404&gt;=Notes!$B$5,"Elderly ("&amp;Notes!$B$5&amp;"+)",IF(F404&lt;=Notes!$B$4,"Student age (≤"&amp;Notes!$B$4&amp;")","Middle-aged ("&amp;(Notes!$B$4+1)&amp;"–"&amp;(Notes!$B$5-1)&amp;")")))</f>
        <v>Student age (≤29)</v>
      </c>
      <c r="H404" s="3" t="s">
        <v>45</v>
      </c>
      <c r="I404" s="3" t="s">
        <v>3479</v>
      </c>
      <c r="J404" s="3" t="s">
        <v>437</v>
      </c>
      <c r="K404" s="3" t="s">
        <v>3480</v>
      </c>
      <c r="L404" s="3" t="s">
        <v>3479</v>
      </c>
      <c r="M404" s="3" t="s">
        <v>437</v>
      </c>
      <c r="N404" s="3" t="s">
        <v>3480</v>
      </c>
      <c r="O404" s="3" t="s">
        <v>3629</v>
      </c>
      <c r="P404" s="3" t="n">
        <v>10</v>
      </c>
      <c r="Q404" s="3" t="s">
        <v>74</v>
      </c>
      <c r="R404" s="3" t="s">
        <v>3630</v>
      </c>
      <c r="S404" s="3" t="s">
        <v>3631</v>
      </c>
      <c r="T404" s="3"/>
      <c r="U404" s="3" t="s">
        <v>3632</v>
      </c>
      <c r="V404" s="3" t="s">
        <v>3633</v>
      </c>
      <c r="W404" s="3" t="s">
        <v>3634</v>
      </c>
      <c r="X404" s="3" t="s">
        <v>3635</v>
      </c>
      <c r="Y404" s="3" t="n">
        <v>2</v>
      </c>
      <c r="Z404" s="3" t="n">
        <v>1</v>
      </c>
      <c r="AA404" s="3" t="n">
        <v>3</v>
      </c>
      <c r="AB404" s="3" t="n">
        <v>2</v>
      </c>
      <c r="AC404" s="3" t="n">
        <v>3</v>
      </c>
      <c r="AD404" s="3" t="n">
        <v>1</v>
      </c>
      <c r="AE404" s="3" t="s">
        <v>3636</v>
      </c>
      <c r="AF404" s="3"/>
      <c r="AG404" s="3" t="s">
        <v>3637</v>
      </c>
      <c r="AH404" s="3"/>
      <c r="AI404" s="3" t="s">
        <v>3638</v>
      </c>
      <c r="AJ404" s="3"/>
      <c r="AK404" s="3" t="s">
        <v>3639</v>
      </c>
      <c r="AL404" s="3" t="s">
        <v>59</v>
      </c>
      <c r="AM404" s="3"/>
      <c r="AN404" s="3" t="s">
        <v>3640</v>
      </c>
      <c r="AO404" s="3" t="s">
        <v>1625</v>
      </c>
      <c r="AP404" s="3"/>
      <c r="AQ404" s="3" t="s">
        <v>3641</v>
      </c>
      <c r="AR404" s="3"/>
    </row>
    <row r="405" customFormat="false" ht="15" hidden="false" customHeight="true" outlineLevel="0" collapsed="false">
      <c r="A405" s="3" t="s">
        <v>3642</v>
      </c>
      <c r="B405" s="3" t="n">
        <v>5</v>
      </c>
      <c r="C405" s="3" t="n">
        <v>73</v>
      </c>
      <c r="D405" s="3"/>
      <c r="E405" s="4"/>
      <c r="F405" s="3" t="n">
        <v>33</v>
      </c>
      <c r="G405" s="3" t="str">
        <f aca="false">IF(F405="","",IF(F405&gt;=Notes!$B$5,"Elderly ("&amp;Notes!$B$5&amp;"+)",IF(F405&lt;=Notes!$B$4,"Student age (≤"&amp;Notes!$B$4&amp;")","Middle-aged ("&amp;(Notes!$B$4+1)&amp;"–"&amp;(Notes!$B$5-1)&amp;")")))</f>
        <v>Middle-aged (30–64)</v>
      </c>
      <c r="H405" s="3" t="s">
        <v>45</v>
      </c>
      <c r="I405" s="3" t="s">
        <v>3643</v>
      </c>
      <c r="J405" s="3" t="s">
        <v>437</v>
      </c>
      <c r="K405" s="3" t="s">
        <v>3644</v>
      </c>
      <c r="L405" s="3" t="s">
        <v>3645</v>
      </c>
      <c r="M405" s="3" t="s">
        <v>437</v>
      </c>
      <c r="N405" s="3" t="s">
        <v>3646</v>
      </c>
      <c r="O405" s="3" t="s">
        <v>3496</v>
      </c>
      <c r="P405" s="3" t="n">
        <v>30</v>
      </c>
      <c r="Q405" s="3" t="s">
        <v>117</v>
      </c>
      <c r="R405" s="3" t="s">
        <v>3647</v>
      </c>
      <c r="S405" s="3" t="s">
        <v>3420</v>
      </c>
      <c r="T405" s="3"/>
      <c r="U405" s="3" t="s">
        <v>3499</v>
      </c>
      <c r="V405" s="3" t="s">
        <v>3648</v>
      </c>
      <c r="W405" s="3" t="s">
        <v>3649</v>
      </c>
      <c r="X405" s="3" t="s">
        <v>3650</v>
      </c>
      <c r="Y405" s="3" t="n">
        <v>1</v>
      </c>
      <c r="Z405" s="3" t="n">
        <v>2</v>
      </c>
      <c r="AA405" s="3" t="n">
        <v>3</v>
      </c>
      <c r="AB405" s="3" t="n">
        <v>1</v>
      </c>
      <c r="AC405" s="3" t="n">
        <v>2</v>
      </c>
      <c r="AD405" s="3" t="n">
        <v>3</v>
      </c>
      <c r="AE405" s="3" t="s">
        <v>1768</v>
      </c>
      <c r="AF405" s="3"/>
      <c r="AG405" s="3" t="s">
        <v>3651</v>
      </c>
      <c r="AH405" s="3"/>
      <c r="AI405" s="3" t="s">
        <v>3652</v>
      </c>
      <c r="AJ405" s="3" t="s">
        <v>98</v>
      </c>
      <c r="AK405" s="3"/>
      <c r="AL405" s="3" t="s">
        <v>59</v>
      </c>
      <c r="AM405" s="3"/>
      <c r="AN405" s="3" t="s">
        <v>3653</v>
      </c>
      <c r="AO405" s="3" t="s">
        <v>1625</v>
      </c>
      <c r="AP405" s="3"/>
      <c r="AQ405" s="3" t="s">
        <v>3641</v>
      </c>
      <c r="AR405" s="3"/>
    </row>
    <row r="406" customFormat="false" ht="15" hidden="false" customHeight="true" outlineLevel="0" collapsed="false">
      <c r="A406" s="3" t="s">
        <v>3654</v>
      </c>
      <c r="B406" s="3" t="n">
        <v>5</v>
      </c>
      <c r="C406" s="3" t="n">
        <v>74</v>
      </c>
      <c r="D406" s="3"/>
      <c r="E406" s="4"/>
      <c r="F406" s="3" t="n">
        <v>52</v>
      </c>
      <c r="G406" s="3" t="str">
        <f aca="false">IF(F406="","",IF(F406&gt;=Notes!$B$5,"Elderly ("&amp;Notes!$B$5&amp;"+)",IF(F406&lt;=Notes!$B$4,"Student age (≤"&amp;Notes!$B$4&amp;")","Middle-aged ("&amp;(Notes!$B$4+1)&amp;"–"&amp;(Notes!$B$5-1)&amp;")")))</f>
        <v>Middle-aged (30–64)</v>
      </c>
      <c r="H406" s="3" t="s">
        <v>83</v>
      </c>
      <c r="I406" s="3" t="s">
        <v>3479</v>
      </c>
      <c r="J406" s="3" t="s">
        <v>437</v>
      </c>
      <c r="K406" s="3" t="s">
        <v>3480</v>
      </c>
      <c r="L406" s="3" t="s">
        <v>3645</v>
      </c>
      <c r="M406" s="3" t="s">
        <v>437</v>
      </c>
      <c r="N406" s="3" t="s">
        <v>3646</v>
      </c>
      <c r="O406" s="3" t="s">
        <v>3496</v>
      </c>
      <c r="P406" s="3" t="n">
        <v>20</v>
      </c>
      <c r="Q406" s="3" t="s">
        <v>95</v>
      </c>
      <c r="R406" s="3" t="s">
        <v>3655</v>
      </c>
      <c r="S406" s="3" t="s">
        <v>3656</v>
      </c>
      <c r="T406" s="3"/>
      <c r="U406" s="3" t="s">
        <v>3657</v>
      </c>
      <c r="V406" s="3" t="s">
        <v>3658</v>
      </c>
      <c r="W406" s="3" t="s">
        <v>3659</v>
      </c>
      <c r="X406" s="3" t="s">
        <v>3660</v>
      </c>
      <c r="Y406" s="3" t="n">
        <v>1</v>
      </c>
      <c r="Z406" s="3" t="n">
        <v>2</v>
      </c>
      <c r="AA406" s="3" t="n">
        <v>3</v>
      </c>
      <c r="AB406" s="3" t="n">
        <v>2</v>
      </c>
      <c r="AC406" s="3" t="n">
        <v>3</v>
      </c>
      <c r="AD406" s="3" t="n">
        <v>1</v>
      </c>
      <c r="AE406" s="3" t="s">
        <v>1768</v>
      </c>
      <c r="AF406" s="3"/>
      <c r="AG406" s="3" t="s">
        <v>3661</v>
      </c>
      <c r="AH406" s="3"/>
      <c r="AI406" s="3" t="s">
        <v>3662</v>
      </c>
      <c r="AJ406" s="3"/>
      <c r="AK406" s="3" t="s">
        <v>3663</v>
      </c>
      <c r="AL406" s="3" t="s">
        <v>59</v>
      </c>
      <c r="AM406" s="3"/>
      <c r="AN406" s="3" t="s">
        <v>3664</v>
      </c>
      <c r="AO406" s="3" t="s">
        <v>59</v>
      </c>
      <c r="AP406" s="3"/>
      <c r="AQ406" s="3" t="s">
        <v>3665</v>
      </c>
      <c r="AR406" s="3"/>
    </row>
    <row r="407" customFormat="false" ht="15" hidden="false" customHeight="true" outlineLevel="0" collapsed="false">
      <c r="A407" s="3" t="s">
        <v>3666</v>
      </c>
      <c r="B407" s="3" t="n">
        <v>5</v>
      </c>
      <c r="C407" s="3" t="n">
        <v>75</v>
      </c>
      <c r="D407" s="3"/>
      <c r="E407" s="4"/>
      <c r="F407" s="3" t="n">
        <v>37</v>
      </c>
      <c r="G407" s="3" t="str">
        <f aca="false">IF(F407="","",IF(F407&gt;=Notes!$B$5,"Elderly ("&amp;Notes!$B$5&amp;"+)",IF(F407&lt;=Notes!$B$4,"Student age (≤"&amp;Notes!$B$4&amp;")","Middle-aged ("&amp;(Notes!$B$4+1)&amp;"–"&amp;(Notes!$B$5-1)&amp;")")))</f>
        <v>Middle-aged (30–64)</v>
      </c>
      <c r="H407" s="3" t="s">
        <v>83</v>
      </c>
      <c r="I407" s="3" t="s">
        <v>3645</v>
      </c>
      <c r="J407" s="3" t="s">
        <v>437</v>
      </c>
      <c r="K407" s="3" t="s">
        <v>3646</v>
      </c>
      <c r="L407" s="3" t="s">
        <v>3645</v>
      </c>
      <c r="M407" s="3" t="s">
        <v>437</v>
      </c>
      <c r="N407" s="3" t="s">
        <v>3646</v>
      </c>
      <c r="O407" s="3" t="s">
        <v>3667</v>
      </c>
      <c r="P407" s="3" t="n">
        <v>40</v>
      </c>
      <c r="Q407" s="3" t="s">
        <v>52</v>
      </c>
      <c r="R407" s="3" t="s">
        <v>3668</v>
      </c>
      <c r="S407" s="3" t="s">
        <v>3669</v>
      </c>
      <c r="T407" s="3"/>
      <c r="U407" s="3" t="s">
        <v>3670</v>
      </c>
      <c r="V407" s="3" t="s">
        <v>3671</v>
      </c>
      <c r="W407" s="3" t="s">
        <v>3672</v>
      </c>
      <c r="X407" s="3" t="s">
        <v>3673</v>
      </c>
      <c r="Y407" s="3" t="n">
        <v>1</v>
      </c>
      <c r="Z407" s="3" t="n">
        <v>2</v>
      </c>
      <c r="AA407" s="3" t="n">
        <v>3</v>
      </c>
      <c r="AB407" s="3" t="n">
        <v>3</v>
      </c>
      <c r="AC407" s="3" t="n">
        <v>2</v>
      </c>
      <c r="AD407" s="3" t="n">
        <v>1</v>
      </c>
      <c r="AE407" s="3" t="s">
        <v>3674</v>
      </c>
      <c r="AF407" s="3"/>
      <c r="AG407" s="3" t="s">
        <v>3675</v>
      </c>
      <c r="AH407" s="3"/>
      <c r="AI407" s="3" t="s">
        <v>3676</v>
      </c>
      <c r="AJ407" s="3"/>
      <c r="AK407" s="3" t="s">
        <v>3677</v>
      </c>
      <c r="AL407" s="3"/>
      <c r="AM407" s="3"/>
      <c r="AN407" s="3" t="s">
        <v>3678</v>
      </c>
      <c r="AO407" s="3"/>
      <c r="AP407" s="3"/>
      <c r="AQ407" s="3" t="s">
        <v>3679</v>
      </c>
      <c r="AR407" s="3"/>
    </row>
    <row r="408" customFormat="false" ht="15" hidden="false" customHeight="true" outlineLevel="0" collapsed="false">
      <c r="A408" s="3" t="s">
        <v>3680</v>
      </c>
      <c r="B408" s="3" t="n">
        <v>5</v>
      </c>
      <c r="C408" s="3" t="n">
        <v>76</v>
      </c>
      <c r="D408" s="3"/>
      <c r="E408" s="4"/>
      <c r="F408" s="3" t="n">
        <v>31</v>
      </c>
      <c r="G408" s="3" t="str">
        <f aca="false">IF(F408="","",IF(F408&gt;=Notes!$B$5,"Elderly ("&amp;Notes!$B$5&amp;"+)",IF(F408&lt;=Notes!$B$4,"Student age (≤"&amp;Notes!$B$4&amp;")","Middle-aged ("&amp;(Notes!$B$4+1)&amp;"–"&amp;(Notes!$B$5-1)&amp;")")))</f>
        <v>Middle-aged (30–64)</v>
      </c>
      <c r="H408" s="3" t="s">
        <v>45</v>
      </c>
      <c r="I408" s="3" t="s">
        <v>3645</v>
      </c>
      <c r="J408" s="3" t="s">
        <v>437</v>
      </c>
      <c r="K408" s="3" t="s">
        <v>3646</v>
      </c>
      <c r="L408" s="3" t="s">
        <v>3645</v>
      </c>
      <c r="M408" s="3" t="s">
        <v>437</v>
      </c>
      <c r="N408" s="3" t="s">
        <v>3646</v>
      </c>
      <c r="O408" s="3" t="s">
        <v>3681</v>
      </c>
      <c r="P408" s="3" t="n">
        <v>25</v>
      </c>
      <c r="Q408" s="3" t="s">
        <v>117</v>
      </c>
      <c r="R408" s="3" t="s">
        <v>3682</v>
      </c>
      <c r="S408" s="3" t="s">
        <v>3683</v>
      </c>
      <c r="T408" s="3"/>
      <c r="U408" s="3" t="s">
        <v>3684</v>
      </c>
      <c r="V408" s="3" t="s">
        <v>3685</v>
      </c>
      <c r="W408" s="3" t="s">
        <v>3686</v>
      </c>
      <c r="X408" s="3" t="s">
        <v>3687</v>
      </c>
      <c r="Y408" s="3" t="n">
        <v>1</v>
      </c>
      <c r="Z408" s="3" t="n">
        <v>3</v>
      </c>
      <c r="AA408" s="3" t="n">
        <v>2</v>
      </c>
      <c r="AB408" s="3" t="n">
        <v>1</v>
      </c>
      <c r="AC408" s="3" t="n">
        <v>2</v>
      </c>
      <c r="AD408" s="3" t="n">
        <v>3</v>
      </c>
      <c r="AE408" s="3" t="s">
        <v>3688</v>
      </c>
      <c r="AF408" s="3"/>
      <c r="AG408" s="3" t="s">
        <v>3689</v>
      </c>
      <c r="AH408" s="3"/>
      <c r="AI408" s="3" t="s">
        <v>3690</v>
      </c>
      <c r="AJ408" s="3"/>
      <c r="AK408" s="3" t="s">
        <v>3691</v>
      </c>
      <c r="AL408" s="3" t="s">
        <v>59</v>
      </c>
      <c r="AM408" s="3"/>
      <c r="AN408" s="3" t="s">
        <v>3692</v>
      </c>
      <c r="AO408" s="3"/>
      <c r="AP408" s="3"/>
      <c r="AQ408" s="3" t="s">
        <v>3693</v>
      </c>
      <c r="AR408" s="3"/>
    </row>
    <row r="409" customFormat="false" ht="15" hidden="false" customHeight="true" outlineLevel="0" collapsed="false">
      <c r="A409" s="3" t="s">
        <v>3694</v>
      </c>
      <c r="B409" s="3" t="n">
        <v>5</v>
      </c>
      <c r="C409" s="3" t="n">
        <v>77</v>
      </c>
      <c r="D409" s="3"/>
      <c r="E409" s="4"/>
      <c r="F409" s="3" t="n">
        <v>41</v>
      </c>
      <c r="G409" s="3" t="str">
        <f aca="false">IF(F409="","",IF(F409&gt;=Notes!$B$5,"Elderly ("&amp;Notes!$B$5&amp;"+)",IF(F409&lt;=Notes!$B$4,"Student age (≤"&amp;Notes!$B$4&amp;")","Middle-aged ("&amp;(Notes!$B$4+1)&amp;"–"&amp;(Notes!$B$5-1)&amp;")")))</f>
        <v>Middle-aged (30–64)</v>
      </c>
      <c r="H409" s="3" t="s">
        <v>83</v>
      </c>
      <c r="I409" s="3" t="s">
        <v>3645</v>
      </c>
      <c r="J409" s="3" t="s">
        <v>437</v>
      </c>
      <c r="K409" s="3" t="s">
        <v>3646</v>
      </c>
      <c r="L409" s="3" t="s">
        <v>3645</v>
      </c>
      <c r="M409" s="3" t="s">
        <v>437</v>
      </c>
      <c r="N409" s="3" t="s">
        <v>3646</v>
      </c>
      <c r="O409" s="3" t="s">
        <v>3695</v>
      </c>
      <c r="P409" s="3" t="n">
        <v>30</v>
      </c>
      <c r="Q409" s="3" t="s">
        <v>117</v>
      </c>
      <c r="R409" s="3" t="s">
        <v>3696</v>
      </c>
      <c r="S409" s="3" t="s">
        <v>3697</v>
      </c>
      <c r="T409" s="3"/>
      <c r="U409" s="3" t="s">
        <v>3698</v>
      </c>
      <c r="V409" s="3" t="s">
        <v>3699</v>
      </c>
      <c r="W409" s="3" t="s">
        <v>3700</v>
      </c>
      <c r="X409" s="3" t="s">
        <v>3701</v>
      </c>
      <c r="Y409" s="3" t="n">
        <v>1</v>
      </c>
      <c r="Z409" s="3" t="n">
        <v>3</v>
      </c>
      <c r="AA409" s="3" t="n">
        <v>2</v>
      </c>
      <c r="AB409" s="3" t="n">
        <v>2</v>
      </c>
      <c r="AC409" s="3" t="n">
        <v>1</v>
      </c>
      <c r="AD409" s="3" t="n">
        <v>3</v>
      </c>
      <c r="AE409" s="3" t="s">
        <v>3702</v>
      </c>
      <c r="AF409" s="3"/>
      <c r="AG409" s="3" t="s">
        <v>3703</v>
      </c>
      <c r="AH409" s="3"/>
      <c r="AI409" s="3" t="s">
        <v>3704</v>
      </c>
      <c r="AJ409" s="3"/>
      <c r="AK409" s="3" t="s">
        <v>3705</v>
      </c>
      <c r="AL409" s="3" t="s">
        <v>59</v>
      </c>
      <c r="AM409" s="3"/>
      <c r="AN409" s="3" t="s">
        <v>3706</v>
      </c>
      <c r="AO409" s="3"/>
      <c r="AP409" s="3"/>
      <c r="AQ409" s="3" t="s">
        <v>3707</v>
      </c>
      <c r="AR409" s="3"/>
    </row>
    <row r="410" customFormat="false" ht="15" hidden="false" customHeight="true" outlineLevel="0" collapsed="false">
      <c r="A410" s="3" t="s">
        <v>3708</v>
      </c>
      <c r="B410" s="3" t="n">
        <v>5</v>
      </c>
      <c r="C410" s="3" t="n">
        <v>78</v>
      </c>
      <c r="D410" s="3"/>
      <c r="E410" s="4"/>
      <c r="F410" s="3" t="n">
        <v>40</v>
      </c>
      <c r="G410" s="3" t="str">
        <f aca="false">IF(F410="","",IF(F410&gt;=Notes!$B$5,"Elderly ("&amp;Notes!$B$5&amp;"+)",IF(F410&lt;=Notes!$B$4,"Student age (≤"&amp;Notes!$B$4&amp;")","Middle-aged ("&amp;(Notes!$B$4+1)&amp;"–"&amp;(Notes!$B$5-1)&amp;")")))</f>
        <v>Middle-aged (30–64)</v>
      </c>
      <c r="H410" s="3" t="s">
        <v>45</v>
      </c>
      <c r="I410" s="3" t="s">
        <v>3645</v>
      </c>
      <c r="J410" s="3" t="s">
        <v>437</v>
      </c>
      <c r="K410" s="3" t="s">
        <v>3646</v>
      </c>
      <c r="L410" s="3" t="s">
        <v>3645</v>
      </c>
      <c r="M410" s="3" t="s">
        <v>437</v>
      </c>
      <c r="N410" s="3" t="s">
        <v>3646</v>
      </c>
      <c r="O410" s="3" t="s">
        <v>3709</v>
      </c>
      <c r="P410" s="3" t="n">
        <v>10</v>
      </c>
      <c r="Q410" s="3" t="s">
        <v>74</v>
      </c>
      <c r="R410" s="3" t="s">
        <v>3710</v>
      </c>
      <c r="S410" s="3" t="s">
        <v>3711</v>
      </c>
      <c r="T410" s="3"/>
      <c r="U410" s="3" t="s">
        <v>3712</v>
      </c>
      <c r="V410" s="3" t="s">
        <v>3713</v>
      </c>
      <c r="W410" s="3" t="s">
        <v>3714</v>
      </c>
      <c r="X410" s="3" t="s">
        <v>3715</v>
      </c>
      <c r="Y410" s="3" t="n">
        <v>1</v>
      </c>
      <c r="Z410" s="3" t="n">
        <v>2</v>
      </c>
      <c r="AA410" s="3" t="n">
        <v>3</v>
      </c>
      <c r="AB410" s="3" t="n">
        <v>3</v>
      </c>
      <c r="AC410" s="3" t="n">
        <v>2</v>
      </c>
      <c r="AD410" s="3" t="n">
        <v>1</v>
      </c>
      <c r="AE410" s="3" t="s">
        <v>3716</v>
      </c>
      <c r="AF410" s="3"/>
      <c r="AG410" s="3" t="s">
        <v>3717</v>
      </c>
      <c r="AH410" s="3"/>
      <c r="AI410" s="3" t="s">
        <v>3718</v>
      </c>
      <c r="AJ410" s="3"/>
      <c r="AK410" s="3" t="s">
        <v>3719</v>
      </c>
      <c r="AL410" s="3"/>
      <c r="AM410" s="3"/>
      <c r="AN410" s="3" t="s">
        <v>3720</v>
      </c>
      <c r="AO410" s="3"/>
      <c r="AP410" s="3"/>
      <c r="AQ410" s="3" t="s">
        <v>3721</v>
      </c>
      <c r="AR410" s="3"/>
    </row>
    <row r="411" customFormat="false" ht="15" hidden="false" customHeight="true" outlineLevel="0" collapsed="false">
      <c r="A411" s="3" t="s">
        <v>3722</v>
      </c>
      <c r="B411" s="3" t="n">
        <v>5</v>
      </c>
      <c r="C411" s="3" t="n">
        <v>79</v>
      </c>
      <c r="D411" s="3"/>
      <c r="E411" s="4"/>
      <c r="F411" s="3" t="n">
        <v>37</v>
      </c>
      <c r="G411" s="3" t="str">
        <f aca="false">IF(F411="","",IF(F411&gt;=Notes!$B$5,"Elderly ("&amp;Notes!$B$5&amp;"+)",IF(F411&lt;=Notes!$B$4,"Student age (≤"&amp;Notes!$B$4&amp;")","Middle-aged ("&amp;(Notes!$B$4+1)&amp;"–"&amp;(Notes!$B$5-1)&amp;")")))</f>
        <v>Middle-aged (30–64)</v>
      </c>
      <c r="H411" s="3" t="s">
        <v>45</v>
      </c>
      <c r="I411" s="3" t="s">
        <v>3645</v>
      </c>
      <c r="J411" s="3" t="s">
        <v>437</v>
      </c>
      <c r="K411" s="3" t="s">
        <v>3646</v>
      </c>
      <c r="L411" s="3" t="s">
        <v>3645</v>
      </c>
      <c r="M411" s="3" t="s">
        <v>437</v>
      </c>
      <c r="N411" s="3" t="s">
        <v>3646</v>
      </c>
      <c r="O411" s="3" t="s">
        <v>3723</v>
      </c>
      <c r="P411" s="3" t="n">
        <v>30</v>
      </c>
      <c r="Q411" s="3" t="s">
        <v>117</v>
      </c>
      <c r="R411" s="3" t="s">
        <v>3724</v>
      </c>
      <c r="S411" s="3" t="s">
        <v>3725</v>
      </c>
      <c r="T411" s="3"/>
      <c r="U411" s="3" t="s">
        <v>3726</v>
      </c>
      <c r="V411" s="3" t="s">
        <v>3727</v>
      </c>
      <c r="W411" s="3" t="s">
        <v>3728</v>
      </c>
      <c r="X411" s="3" t="s">
        <v>3729</v>
      </c>
      <c r="Y411" s="3" t="n">
        <v>3</v>
      </c>
      <c r="Z411" s="3" t="n">
        <v>1</v>
      </c>
      <c r="AA411" s="3" t="n">
        <v>2</v>
      </c>
      <c r="AB411" s="3" t="n">
        <v>3</v>
      </c>
      <c r="AC411" s="3" t="n">
        <v>1</v>
      </c>
      <c r="AD411" s="3" t="n">
        <v>2</v>
      </c>
      <c r="AE411" s="3" t="s">
        <v>3730</v>
      </c>
      <c r="AF411" s="3"/>
      <c r="AG411" s="3" t="s">
        <v>3731</v>
      </c>
      <c r="AH411" s="3"/>
      <c r="AI411" s="3" t="s">
        <v>3732</v>
      </c>
      <c r="AJ411" s="3"/>
      <c r="AK411" s="3" t="s">
        <v>3733</v>
      </c>
      <c r="AL411" s="3"/>
      <c r="AM411" s="3"/>
      <c r="AN411" s="3" t="s">
        <v>3734</v>
      </c>
      <c r="AO411" s="3"/>
      <c r="AP411" s="3"/>
      <c r="AQ411" s="3" t="s">
        <v>3735</v>
      </c>
      <c r="AR411" s="3"/>
    </row>
    <row r="412" customFormat="false" ht="15" hidden="false" customHeight="true" outlineLevel="0" collapsed="false">
      <c r="A412" s="3" t="s">
        <v>3736</v>
      </c>
      <c r="B412" s="3" t="n">
        <v>5</v>
      </c>
      <c r="C412" s="3" t="n">
        <v>80</v>
      </c>
      <c r="D412" s="3"/>
      <c r="E412" s="4"/>
      <c r="F412" s="3" t="n">
        <v>44</v>
      </c>
      <c r="G412" s="3" t="str">
        <f aca="false">IF(F412="","",IF(F412&gt;=Notes!$B$5,"Elderly ("&amp;Notes!$B$5&amp;"+)",IF(F412&lt;=Notes!$B$4,"Student age (≤"&amp;Notes!$B$4&amp;")","Middle-aged ("&amp;(Notes!$B$4+1)&amp;"–"&amp;(Notes!$B$5-1)&amp;")")))</f>
        <v>Middle-aged (30–64)</v>
      </c>
      <c r="H412" s="3" t="s">
        <v>45</v>
      </c>
      <c r="I412" s="3" t="s">
        <v>3645</v>
      </c>
      <c r="J412" s="3" t="s">
        <v>437</v>
      </c>
      <c r="K412" s="3" t="s">
        <v>3646</v>
      </c>
      <c r="L412" s="3" t="s">
        <v>3645</v>
      </c>
      <c r="M412" s="3" t="s">
        <v>437</v>
      </c>
      <c r="N412" s="3" t="s">
        <v>3646</v>
      </c>
      <c r="O412" s="3" t="s">
        <v>3737</v>
      </c>
      <c r="P412" s="3" t="n">
        <v>10</v>
      </c>
      <c r="Q412" s="3" t="s">
        <v>74</v>
      </c>
      <c r="R412" s="3" t="s">
        <v>3738</v>
      </c>
      <c r="S412" s="3" t="s">
        <v>3739</v>
      </c>
      <c r="T412" s="3"/>
      <c r="U412" s="3" t="s">
        <v>3740</v>
      </c>
      <c r="V412" s="3" t="s">
        <v>3741</v>
      </c>
      <c r="W412" s="3" t="s">
        <v>3742</v>
      </c>
      <c r="X412" s="3" t="s">
        <v>3743</v>
      </c>
      <c r="Y412" s="3" t="n">
        <v>1</v>
      </c>
      <c r="Z412" s="3" t="n">
        <v>2</v>
      </c>
      <c r="AA412" s="3" t="n">
        <v>3</v>
      </c>
      <c r="AB412" s="3" t="n">
        <v>1</v>
      </c>
      <c r="AC412" s="3" t="n">
        <v>2</v>
      </c>
      <c r="AD412" s="3" t="n">
        <v>3</v>
      </c>
      <c r="AE412" s="3" t="s">
        <v>3744</v>
      </c>
      <c r="AF412" s="3"/>
      <c r="AG412" s="3" t="s">
        <v>3745</v>
      </c>
      <c r="AH412" s="3"/>
      <c r="AI412" s="3" t="s">
        <v>3746</v>
      </c>
      <c r="AJ412" s="3"/>
      <c r="AK412" s="3" t="s">
        <v>3747</v>
      </c>
      <c r="AL412" s="3" t="s">
        <v>59</v>
      </c>
      <c r="AM412" s="3"/>
      <c r="AN412" s="3" t="s">
        <v>3748</v>
      </c>
      <c r="AO412" s="3" t="s">
        <v>59</v>
      </c>
      <c r="AP412" s="3"/>
      <c r="AQ412" s="3" t="s">
        <v>3749</v>
      </c>
      <c r="AR412" s="3"/>
    </row>
    <row r="413" customFormat="false" ht="15" hidden="false" customHeight="true" outlineLevel="0" collapsed="false">
      <c r="A413" s="3" t="s">
        <v>3750</v>
      </c>
      <c r="B413" s="3" t="n">
        <v>5</v>
      </c>
      <c r="C413" s="3" t="n">
        <v>81</v>
      </c>
      <c r="D413" s="3"/>
      <c r="E413" s="4"/>
      <c r="F413" s="3" t="n">
        <v>49</v>
      </c>
      <c r="G413" s="3" t="str">
        <f aca="false">IF(F413="","",IF(F413&gt;=Notes!$B$5,"Elderly ("&amp;Notes!$B$5&amp;"+)",IF(F413&lt;=Notes!$B$4,"Student age (≤"&amp;Notes!$B$4&amp;")","Middle-aged ("&amp;(Notes!$B$4+1)&amp;"–"&amp;(Notes!$B$5-1)&amp;")")))</f>
        <v>Middle-aged (30–64)</v>
      </c>
      <c r="H413" s="3" t="s">
        <v>45</v>
      </c>
      <c r="I413" s="3" t="s">
        <v>3645</v>
      </c>
      <c r="J413" s="3" t="s">
        <v>437</v>
      </c>
      <c r="K413" s="3" t="s">
        <v>3646</v>
      </c>
      <c r="L413" s="3" t="s">
        <v>3645</v>
      </c>
      <c r="M413" s="3" t="s">
        <v>437</v>
      </c>
      <c r="N413" s="3" t="s">
        <v>3646</v>
      </c>
      <c r="O413" s="3" t="s">
        <v>3751</v>
      </c>
      <c r="P413" s="3" t="n">
        <v>19</v>
      </c>
      <c r="Q413" s="3" t="s">
        <v>95</v>
      </c>
      <c r="R413" s="3" t="s">
        <v>3752</v>
      </c>
      <c r="S413" s="3" t="s">
        <v>3753</v>
      </c>
      <c r="T413" s="3"/>
      <c r="U413" s="3" t="s">
        <v>3499</v>
      </c>
      <c r="V413" s="3" t="s">
        <v>3754</v>
      </c>
      <c r="W413" s="3" t="s">
        <v>3755</v>
      </c>
      <c r="X413" s="3" t="s">
        <v>3756</v>
      </c>
      <c r="Y413" s="3" t="n">
        <v>2</v>
      </c>
      <c r="Z413" s="3" t="n">
        <v>1</v>
      </c>
      <c r="AA413" s="3" t="n">
        <v>3</v>
      </c>
      <c r="AB413" s="3" t="n">
        <v>2</v>
      </c>
      <c r="AC413" s="3" t="n">
        <v>1</v>
      </c>
      <c r="AD413" s="3" t="n">
        <v>3</v>
      </c>
      <c r="AE413" s="3" t="s">
        <v>3757</v>
      </c>
      <c r="AF413" s="3"/>
      <c r="AG413" s="3" t="s">
        <v>3740</v>
      </c>
      <c r="AH413" s="3"/>
      <c r="AI413" s="3" t="s">
        <v>3365</v>
      </c>
      <c r="AJ413" s="3" t="s">
        <v>59</v>
      </c>
      <c r="AK413" s="3" t="s">
        <v>3758</v>
      </c>
      <c r="AL413" s="3" t="s">
        <v>98</v>
      </c>
      <c r="AM413" s="3"/>
      <c r="AN413" s="3" t="s">
        <v>3759</v>
      </c>
      <c r="AO413" s="3"/>
      <c r="AP413" s="3"/>
      <c r="AQ413" s="3" t="s">
        <v>3760</v>
      </c>
      <c r="AR413" s="3"/>
    </row>
    <row r="414" customFormat="false" ht="15" hidden="false" customHeight="true" outlineLevel="0" collapsed="false">
      <c r="A414" s="3" t="s">
        <v>3761</v>
      </c>
      <c r="B414" s="3" t="n">
        <v>5</v>
      </c>
      <c r="C414" s="3" t="n">
        <v>82</v>
      </c>
      <c r="D414" s="3"/>
      <c r="E414" s="4"/>
      <c r="F414" s="3" t="n">
        <v>58</v>
      </c>
      <c r="G414" s="3" t="str">
        <f aca="false">IF(F414="","",IF(F414&gt;=Notes!$B$5,"Elderly ("&amp;Notes!$B$5&amp;"+)",IF(F414&lt;=Notes!$B$4,"Student age (≤"&amp;Notes!$B$4&amp;")","Middle-aged ("&amp;(Notes!$B$4+1)&amp;"–"&amp;(Notes!$B$5-1)&amp;")")))</f>
        <v>Middle-aged (30–64)</v>
      </c>
      <c r="H414" s="3" t="s">
        <v>45</v>
      </c>
      <c r="I414" s="3" t="s">
        <v>3479</v>
      </c>
      <c r="J414" s="3" t="s">
        <v>437</v>
      </c>
      <c r="K414" s="3" t="s">
        <v>3480</v>
      </c>
      <c r="L414" s="3" t="s">
        <v>3479</v>
      </c>
      <c r="M414" s="3" t="s">
        <v>437</v>
      </c>
      <c r="N414" s="3" t="s">
        <v>3480</v>
      </c>
      <c r="O414" s="3" t="s">
        <v>3762</v>
      </c>
      <c r="P414" s="3" t="n">
        <v>30</v>
      </c>
      <c r="Q414" s="3" t="s">
        <v>117</v>
      </c>
      <c r="R414" s="3" t="s">
        <v>3763</v>
      </c>
      <c r="S414" s="3" t="s">
        <v>3764</v>
      </c>
      <c r="T414" s="3"/>
      <c r="U414" s="3" t="s">
        <v>3765</v>
      </c>
      <c r="V414" s="3" t="s">
        <v>3766</v>
      </c>
      <c r="W414" s="3" t="s">
        <v>3767</v>
      </c>
      <c r="X414" s="3" t="s">
        <v>3768</v>
      </c>
      <c r="Y414" s="3" t="n">
        <v>2</v>
      </c>
      <c r="Z414" s="3" t="n">
        <v>1</v>
      </c>
      <c r="AA414" s="3" t="n">
        <v>3</v>
      </c>
      <c r="AB414" s="3" t="n">
        <v>2</v>
      </c>
      <c r="AC414" s="3" t="n">
        <v>1</v>
      </c>
      <c r="AD414" s="3" t="n">
        <v>3</v>
      </c>
      <c r="AE414" s="3" t="s">
        <v>3769</v>
      </c>
      <c r="AF414" s="3"/>
      <c r="AG414" s="3" t="s">
        <v>3770</v>
      </c>
      <c r="AH414" s="3"/>
      <c r="AI414" s="3" t="s">
        <v>3771</v>
      </c>
      <c r="AJ414" s="3"/>
      <c r="AK414" s="3" t="s">
        <v>3772</v>
      </c>
      <c r="AL414" s="3" t="s">
        <v>59</v>
      </c>
      <c r="AM414" s="3"/>
      <c r="AN414" s="3" t="s">
        <v>3773</v>
      </c>
      <c r="AO414" s="3"/>
      <c r="AP414" s="3"/>
      <c r="AQ414" s="3" t="s">
        <v>3774</v>
      </c>
      <c r="AR414" s="3"/>
    </row>
    <row r="415" customFormat="false" ht="15" hidden="false" customHeight="true" outlineLevel="0" collapsed="false">
      <c r="A415" s="3" t="s">
        <v>3775</v>
      </c>
      <c r="B415" s="3" t="n">
        <v>5</v>
      </c>
      <c r="C415" s="3" t="n">
        <v>83</v>
      </c>
      <c r="D415" s="3"/>
      <c r="E415" s="4"/>
      <c r="F415" s="3" t="n">
        <v>53</v>
      </c>
      <c r="G415" s="3" t="str">
        <f aca="false">IF(F415="","",IF(F415&gt;=Notes!$B$5,"Elderly ("&amp;Notes!$B$5&amp;"+)",IF(F415&lt;=Notes!$B$4,"Student age (≤"&amp;Notes!$B$4&amp;")","Middle-aged ("&amp;(Notes!$B$4+1)&amp;"–"&amp;(Notes!$B$5-1)&amp;")")))</f>
        <v>Middle-aged (30–64)</v>
      </c>
      <c r="H415" s="3" t="s">
        <v>83</v>
      </c>
      <c r="I415" s="3" t="s">
        <v>71</v>
      </c>
      <c r="J415" s="3" t="s">
        <v>47</v>
      </c>
      <c r="K415" s="3" t="s">
        <v>72</v>
      </c>
      <c r="L415" s="3" t="s">
        <v>71</v>
      </c>
      <c r="M415" s="3" t="s">
        <v>47</v>
      </c>
      <c r="N415" s="3" t="s">
        <v>72</v>
      </c>
      <c r="O415" s="3" t="s">
        <v>3776</v>
      </c>
      <c r="P415" s="3" t="n">
        <v>40</v>
      </c>
      <c r="Q415" s="3" t="s">
        <v>52</v>
      </c>
      <c r="R415" s="3" t="s">
        <v>3777</v>
      </c>
      <c r="S415" s="3" t="s">
        <v>3778</v>
      </c>
      <c r="T415" s="3"/>
      <c r="U415" s="3" t="s">
        <v>3779</v>
      </c>
      <c r="V415" s="3" t="s">
        <v>3780</v>
      </c>
      <c r="W415" s="3" t="s">
        <v>3781</v>
      </c>
      <c r="X415" s="3" t="s">
        <v>3782</v>
      </c>
      <c r="Y415" s="3" t="n">
        <v>3</v>
      </c>
      <c r="Z415" s="3" t="n">
        <v>2</v>
      </c>
      <c r="AA415" s="3" t="n">
        <v>1</v>
      </c>
      <c r="AB415" s="3"/>
      <c r="AC415" s="3"/>
      <c r="AD415" s="3"/>
      <c r="AE415" s="3" t="s">
        <v>3783</v>
      </c>
      <c r="AF415" s="3"/>
      <c r="AG415" s="3" t="s">
        <v>3784</v>
      </c>
      <c r="AH415" s="3"/>
      <c r="AI415" s="3" t="s">
        <v>3785</v>
      </c>
      <c r="AJ415" s="3" t="s">
        <v>59</v>
      </c>
      <c r="AK415" s="3" t="s">
        <v>3786</v>
      </c>
      <c r="AL415" s="3" t="s">
        <v>59</v>
      </c>
      <c r="AM415" s="3"/>
      <c r="AN415" s="3"/>
      <c r="AO415" s="3" t="s">
        <v>59</v>
      </c>
      <c r="AP415" s="3"/>
      <c r="AQ415" s="3" t="s">
        <v>3787</v>
      </c>
      <c r="AR415" s="3" t="s">
        <v>3788</v>
      </c>
    </row>
    <row r="416" customFormat="false" ht="15" hidden="false" customHeight="true" outlineLevel="0" collapsed="false">
      <c r="A416" s="3" t="s">
        <v>3789</v>
      </c>
      <c r="B416" s="3" t="n">
        <v>5</v>
      </c>
      <c r="C416" s="3" t="n">
        <v>84</v>
      </c>
      <c r="D416" s="3"/>
      <c r="E416" s="4"/>
      <c r="F416" s="3" t="n">
        <v>62</v>
      </c>
      <c r="G416" s="3" t="str">
        <f aca="false">IF(F416="","",IF(F416&gt;=Notes!$B$5,"Elderly ("&amp;Notes!$B$5&amp;"+)",IF(F416&lt;=Notes!$B$4,"Student age (≤"&amp;Notes!$B$4&amp;")","Middle-aged ("&amp;(Notes!$B$4+1)&amp;"–"&amp;(Notes!$B$5-1)&amp;")")))</f>
        <v>Middle-aged (30–64)</v>
      </c>
      <c r="H416" s="3" t="s">
        <v>45</v>
      </c>
      <c r="I416" s="3"/>
      <c r="J416" s="3" t="s">
        <v>3790</v>
      </c>
      <c r="K416" s="3" t="s">
        <v>3790</v>
      </c>
      <c r="L416" s="3" t="s">
        <v>71</v>
      </c>
      <c r="M416" s="3" t="s">
        <v>47</v>
      </c>
      <c r="N416" s="3" t="s">
        <v>72</v>
      </c>
      <c r="O416" s="3" t="s">
        <v>3791</v>
      </c>
      <c r="P416" s="3" t="n">
        <v>45</v>
      </c>
      <c r="Q416" s="3" t="s">
        <v>52</v>
      </c>
      <c r="R416" s="3" t="s">
        <v>2118</v>
      </c>
      <c r="S416" s="3" t="s">
        <v>3792</v>
      </c>
      <c r="T416" s="3"/>
      <c r="U416" s="3" t="s">
        <v>3793</v>
      </c>
      <c r="V416" s="3" t="s">
        <v>3794</v>
      </c>
      <c r="W416" s="3" t="s">
        <v>3795</v>
      </c>
      <c r="X416" s="3" t="s">
        <v>3796</v>
      </c>
      <c r="Y416" s="3" t="n">
        <v>2</v>
      </c>
      <c r="Z416" s="3" t="n">
        <v>1</v>
      </c>
      <c r="AA416" s="3" t="n">
        <v>3</v>
      </c>
      <c r="AB416" s="3" t="n">
        <v>1</v>
      </c>
      <c r="AC416" s="3" t="n">
        <v>2</v>
      </c>
      <c r="AD416" s="3" t="n">
        <v>3</v>
      </c>
      <c r="AE416" s="3" t="s">
        <v>3797</v>
      </c>
      <c r="AF416" s="3"/>
      <c r="AG416" s="3" t="s">
        <v>3798</v>
      </c>
      <c r="AH416" s="3"/>
      <c r="AI416" s="3" t="s">
        <v>3799</v>
      </c>
      <c r="AJ416" s="3" t="s">
        <v>59</v>
      </c>
      <c r="AK416" s="3" t="s">
        <v>3800</v>
      </c>
      <c r="AL416" s="3" t="s">
        <v>98</v>
      </c>
      <c r="AM416" s="3"/>
      <c r="AN416" s="3" t="s">
        <v>3801</v>
      </c>
      <c r="AO416" s="3" t="s">
        <v>1625</v>
      </c>
      <c r="AP416" s="3"/>
      <c r="AQ416" s="3" t="s">
        <v>3802</v>
      </c>
      <c r="AR416" s="3"/>
    </row>
    <row r="417" customFormat="false" ht="15" hidden="false" customHeight="true" outlineLevel="0" collapsed="false">
      <c r="A417" s="3" t="s">
        <v>3803</v>
      </c>
      <c r="B417" s="3" t="n">
        <v>5</v>
      </c>
      <c r="C417" s="3" t="n">
        <v>85</v>
      </c>
      <c r="D417" s="3"/>
      <c r="E417" s="4"/>
      <c r="F417" s="3" t="n">
        <v>63</v>
      </c>
      <c r="G417" s="3" t="str">
        <f aca="false">IF(F417="","",IF(F417&gt;=Notes!$B$5,"Elderly ("&amp;Notes!$B$5&amp;"+)",IF(F417&lt;=Notes!$B$4,"Student age (≤"&amp;Notes!$B$4&amp;")","Middle-aged ("&amp;(Notes!$B$4+1)&amp;"–"&amp;(Notes!$B$5-1)&amp;")")))</f>
        <v>Middle-aged (30–64)</v>
      </c>
      <c r="H417" s="3" t="s">
        <v>83</v>
      </c>
      <c r="I417" s="3" t="s">
        <v>71</v>
      </c>
      <c r="J417" s="3" t="s">
        <v>47</v>
      </c>
      <c r="K417" s="3" t="s">
        <v>72</v>
      </c>
      <c r="L417" s="3" t="s">
        <v>71</v>
      </c>
      <c r="M417" s="3" t="s">
        <v>47</v>
      </c>
      <c r="N417" s="3" t="s">
        <v>72</v>
      </c>
      <c r="O417" s="3" t="s">
        <v>3804</v>
      </c>
      <c r="P417" s="3" t="n">
        <v>35</v>
      </c>
      <c r="Q417" s="3" t="s">
        <v>52</v>
      </c>
      <c r="R417" s="3" t="s">
        <v>3805</v>
      </c>
      <c r="S417" s="3" t="s">
        <v>3806</v>
      </c>
      <c r="T417" s="3"/>
      <c r="U417" s="3" t="s">
        <v>3807</v>
      </c>
      <c r="V417" s="3" t="s">
        <v>3808</v>
      </c>
      <c r="W417" s="3" t="s">
        <v>3809</v>
      </c>
      <c r="X417" s="3" t="s">
        <v>3810</v>
      </c>
      <c r="Y417" s="3" t="n">
        <v>3</v>
      </c>
      <c r="Z417" s="3" t="n">
        <v>2</v>
      </c>
      <c r="AA417" s="3" t="n">
        <v>1</v>
      </c>
      <c r="AB417" s="3" t="n">
        <v>3</v>
      </c>
      <c r="AC417" s="3" t="n">
        <v>2</v>
      </c>
      <c r="AD417" s="3" t="n">
        <v>1</v>
      </c>
      <c r="AE417" s="3" t="s">
        <v>3811</v>
      </c>
      <c r="AF417" s="3"/>
      <c r="AG417" s="3" t="s">
        <v>3812</v>
      </c>
      <c r="AH417" s="3"/>
      <c r="AI417" s="3" t="s">
        <v>1731</v>
      </c>
      <c r="AJ417" s="3"/>
      <c r="AK417" s="3" t="s">
        <v>3813</v>
      </c>
      <c r="AL417" s="3"/>
      <c r="AM417" s="3"/>
      <c r="AN417" s="3" t="s">
        <v>3814</v>
      </c>
      <c r="AO417" s="3"/>
      <c r="AP417" s="3"/>
      <c r="AQ417" s="3" t="s">
        <v>3815</v>
      </c>
      <c r="AR417" s="3"/>
    </row>
    <row r="418" customFormat="false" ht="15" hidden="false" customHeight="true" outlineLevel="0" collapsed="false">
      <c r="A418" s="3" t="s">
        <v>3816</v>
      </c>
      <c r="B418" s="3" t="n">
        <v>5</v>
      </c>
      <c r="C418" s="3" t="n">
        <v>86</v>
      </c>
      <c r="D418" s="3"/>
      <c r="E418" s="4"/>
      <c r="F418" s="3" t="n">
        <v>62</v>
      </c>
      <c r="G418" s="3" t="str">
        <f aca="false">IF(F418="","",IF(F418&gt;=Notes!$B$5,"Elderly ("&amp;Notes!$B$5&amp;"+)",IF(F418&lt;=Notes!$B$4,"Student age (≤"&amp;Notes!$B$4&amp;")","Middle-aged ("&amp;(Notes!$B$4+1)&amp;"–"&amp;(Notes!$B$5-1)&amp;")")))</f>
        <v>Middle-aged (30–64)</v>
      </c>
      <c r="H418" s="3" t="s">
        <v>45</v>
      </c>
      <c r="I418" s="3" t="s">
        <v>114</v>
      </c>
      <c r="J418" s="3" t="s">
        <v>47</v>
      </c>
      <c r="K418" s="3" t="s">
        <v>115</v>
      </c>
      <c r="L418" s="3" t="s">
        <v>71</v>
      </c>
      <c r="M418" s="3" t="s">
        <v>47</v>
      </c>
      <c r="N418" s="3" t="s">
        <v>72</v>
      </c>
      <c r="O418" s="3" t="s">
        <v>3817</v>
      </c>
      <c r="P418" s="3" t="n">
        <v>50</v>
      </c>
      <c r="Q418" s="3" t="s">
        <v>52</v>
      </c>
      <c r="R418" s="3" t="s">
        <v>3818</v>
      </c>
      <c r="S418" s="3" t="s">
        <v>1402</v>
      </c>
      <c r="T418" s="3"/>
      <c r="U418" s="3" t="s">
        <v>3819</v>
      </c>
      <c r="V418" s="3" t="s">
        <v>3820</v>
      </c>
      <c r="W418" s="3" t="s">
        <v>3821</v>
      </c>
      <c r="X418" s="3" t="s">
        <v>3822</v>
      </c>
      <c r="Y418" s="3"/>
      <c r="Z418" s="3"/>
      <c r="AA418" s="3"/>
      <c r="AB418" s="3"/>
      <c r="AC418" s="3"/>
      <c r="AD418" s="3"/>
      <c r="AE418" s="3" t="s">
        <v>3823</v>
      </c>
      <c r="AF418" s="3"/>
      <c r="AG418" s="3" t="s">
        <v>3824</v>
      </c>
      <c r="AH418" s="3"/>
      <c r="AI418" s="3" t="s">
        <v>3825</v>
      </c>
      <c r="AJ418" s="3"/>
      <c r="AK418" s="3" t="s">
        <v>3826</v>
      </c>
      <c r="AL418" s="3" t="s">
        <v>59</v>
      </c>
      <c r="AM418" s="3"/>
      <c r="AN418" s="3"/>
      <c r="AO418" s="3"/>
      <c r="AP418" s="3"/>
      <c r="AQ418" s="3" t="s">
        <v>3827</v>
      </c>
      <c r="AR418" s="3" t="s">
        <v>3828</v>
      </c>
    </row>
    <row r="419" customFormat="false" ht="15" hidden="false" customHeight="true" outlineLevel="0" collapsed="false">
      <c r="A419" s="3" t="s">
        <v>3829</v>
      </c>
      <c r="B419" s="3" t="n">
        <v>5</v>
      </c>
      <c r="C419" s="3" t="n">
        <v>87</v>
      </c>
      <c r="D419" s="3"/>
      <c r="E419" s="4"/>
      <c r="F419" s="3" t="n">
        <v>29</v>
      </c>
      <c r="G419" s="3" t="str">
        <f aca="false">IF(F419="","",IF(F419&gt;=Notes!$B$5,"Elderly ("&amp;Notes!$B$5&amp;"+)",IF(F419&lt;=Notes!$B$4,"Student age (≤"&amp;Notes!$B$4&amp;")","Middle-aged ("&amp;(Notes!$B$4+1)&amp;"–"&amp;(Notes!$B$5-1)&amp;")")))</f>
        <v>Student age (≤29)</v>
      </c>
      <c r="H419" s="3" t="s">
        <v>83</v>
      </c>
      <c r="I419" s="3" t="s">
        <v>3830</v>
      </c>
      <c r="J419" s="3" t="s">
        <v>3831</v>
      </c>
      <c r="K419" s="3" t="s">
        <v>3832</v>
      </c>
      <c r="L419" s="3" t="s">
        <v>49</v>
      </c>
      <c r="M419" s="3" t="s">
        <v>47</v>
      </c>
      <c r="N419" s="3" t="s">
        <v>50</v>
      </c>
      <c r="O419" s="3" t="s">
        <v>3833</v>
      </c>
      <c r="P419" s="3" t="n">
        <v>40</v>
      </c>
      <c r="Q419" s="3" t="s">
        <v>52</v>
      </c>
      <c r="R419" s="3" t="s">
        <v>3834</v>
      </c>
      <c r="S419" s="3" t="s">
        <v>3835</v>
      </c>
      <c r="T419" s="3"/>
      <c r="U419" s="3" t="s">
        <v>3836</v>
      </c>
      <c r="V419" s="3" t="s">
        <v>3837</v>
      </c>
      <c r="W419" s="3" t="s">
        <v>3838</v>
      </c>
      <c r="X419" s="3" t="s">
        <v>3839</v>
      </c>
      <c r="Y419" s="3" t="n">
        <v>3</v>
      </c>
      <c r="Z419" s="3" t="n">
        <v>1</v>
      </c>
      <c r="AA419" s="3" t="n">
        <v>2</v>
      </c>
      <c r="AB419" s="3" t="n">
        <v>2</v>
      </c>
      <c r="AC419" s="3" t="n">
        <v>1</v>
      </c>
      <c r="AD419" s="3" t="n">
        <v>3</v>
      </c>
      <c r="AE419" s="3" t="s">
        <v>3840</v>
      </c>
      <c r="AF419" s="3"/>
      <c r="AG419" s="3" t="s">
        <v>3841</v>
      </c>
      <c r="AH419" s="3"/>
      <c r="AI419" s="3" t="s">
        <v>3842</v>
      </c>
      <c r="AJ419" s="3" t="s">
        <v>59</v>
      </c>
      <c r="AK419" s="3" t="s">
        <v>3843</v>
      </c>
      <c r="AL419" s="3" t="s">
        <v>59</v>
      </c>
      <c r="AM419" s="3"/>
      <c r="AN419" s="3" t="s">
        <v>3844</v>
      </c>
      <c r="AO419" s="3"/>
      <c r="AP419" s="3"/>
      <c r="AQ419" s="3" t="s">
        <v>3845</v>
      </c>
      <c r="AR419" s="3"/>
    </row>
    <row r="420" customFormat="false" ht="15" hidden="false" customHeight="true" outlineLevel="0" collapsed="false">
      <c r="A420" s="3" t="s">
        <v>3846</v>
      </c>
      <c r="B420" s="3" t="n">
        <v>5</v>
      </c>
      <c r="C420" s="3" t="n">
        <v>88</v>
      </c>
      <c r="D420" s="3"/>
      <c r="E420" s="4"/>
      <c r="F420" s="3" t="n">
        <v>29</v>
      </c>
      <c r="G420" s="3" t="str">
        <f aca="false">IF(F420="","",IF(F420&gt;=Notes!$B$5,"Elderly ("&amp;Notes!$B$5&amp;"+)",IF(F420&lt;=Notes!$B$4,"Student age (≤"&amp;Notes!$B$4&amp;")","Middle-aged ("&amp;(Notes!$B$4+1)&amp;"–"&amp;(Notes!$B$5-1)&amp;")")))</f>
        <v>Student age (≤29)</v>
      </c>
      <c r="H420" s="3" t="s">
        <v>83</v>
      </c>
      <c r="I420" s="3" t="s">
        <v>71</v>
      </c>
      <c r="J420" s="3" t="s">
        <v>47</v>
      </c>
      <c r="K420" s="3" t="s">
        <v>72</v>
      </c>
      <c r="L420" s="3" t="s">
        <v>49</v>
      </c>
      <c r="M420" s="3" t="s">
        <v>47</v>
      </c>
      <c r="N420" s="3" t="s">
        <v>50</v>
      </c>
      <c r="O420" s="3" t="s">
        <v>3847</v>
      </c>
      <c r="P420" s="3" t="n">
        <v>25</v>
      </c>
      <c r="Q420" s="3" t="s">
        <v>117</v>
      </c>
      <c r="R420" s="3" t="s">
        <v>3848</v>
      </c>
      <c r="S420" s="3" t="s">
        <v>3849</v>
      </c>
      <c r="T420" s="3"/>
      <c r="U420" s="3" t="s">
        <v>3850</v>
      </c>
      <c r="V420" s="3" t="s">
        <v>3851</v>
      </c>
      <c r="W420" s="3" t="s">
        <v>3852</v>
      </c>
      <c r="X420" s="3" t="s">
        <v>3853</v>
      </c>
      <c r="Y420" s="3" t="n">
        <v>2</v>
      </c>
      <c r="Z420" s="3" t="n">
        <v>1</v>
      </c>
      <c r="AA420" s="3" t="n">
        <v>3</v>
      </c>
      <c r="AB420" s="3" t="n">
        <v>2</v>
      </c>
      <c r="AC420" s="3" t="n">
        <v>1</v>
      </c>
      <c r="AD420" s="3" t="n">
        <v>3</v>
      </c>
      <c r="AE420" s="5" t="s">
        <v>3854</v>
      </c>
      <c r="AF420" s="3"/>
      <c r="AG420" s="3" t="s">
        <v>3855</v>
      </c>
      <c r="AH420" s="3"/>
      <c r="AI420" s="3" t="s">
        <v>3856</v>
      </c>
      <c r="AJ420" s="3"/>
      <c r="AK420" s="3" t="s">
        <v>3857</v>
      </c>
      <c r="AL420" s="3" t="s">
        <v>98</v>
      </c>
      <c r="AM420" s="3"/>
      <c r="AN420" s="3" t="s">
        <v>3858</v>
      </c>
      <c r="AO420" s="3" t="s">
        <v>59</v>
      </c>
      <c r="AP420" s="3"/>
      <c r="AQ420" s="3" t="s">
        <v>3859</v>
      </c>
      <c r="AR420" s="3"/>
    </row>
    <row r="421" customFormat="false" ht="15" hidden="false" customHeight="true" outlineLevel="0" collapsed="false">
      <c r="A421" s="3" t="s">
        <v>3860</v>
      </c>
      <c r="B421" s="3" t="n">
        <v>5</v>
      </c>
      <c r="C421" s="3" t="n">
        <v>89</v>
      </c>
      <c r="D421" s="3"/>
      <c r="E421" s="4"/>
      <c r="F421" s="3" t="n">
        <v>33</v>
      </c>
      <c r="G421" s="3" t="str">
        <f aca="false">IF(F421="","",IF(F421&gt;=Notes!$B$5,"Elderly ("&amp;Notes!$B$5&amp;"+)",IF(F421&lt;=Notes!$B$4,"Student age (≤"&amp;Notes!$B$4&amp;")","Middle-aged ("&amp;(Notes!$B$4+1)&amp;"–"&amp;(Notes!$B$5-1)&amp;")")))</f>
        <v>Middle-aged (30–64)</v>
      </c>
      <c r="H421" s="3" t="s">
        <v>83</v>
      </c>
      <c r="I421" s="3" t="s">
        <v>159</v>
      </c>
      <c r="J421" s="3" t="s">
        <v>47</v>
      </c>
      <c r="K421" s="3" t="s">
        <v>160</v>
      </c>
      <c r="L421" s="3"/>
      <c r="M421" s="3" t="s">
        <v>47</v>
      </c>
      <c r="N421" s="3" t="s">
        <v>47</v>
      </c>
      <c r="O421" s="3" t="s">
        <v>3861</v>
      </c>
      <c r="P421" s="3" t="n">
        <v>30</v>
      </c>
      <c r="Q421" s="3" t="s">
        <v>117</v>
      </c>
      <c r="R421" s="3" t="s">
        <v>3862</v>
      </c>
      <c r="S421" s="3" t="s">
        <v>3863</v>
      </c>
      <c r="T421" s="3"/>
      <c r="U421" s="3" t="s">
        <v>3864</v>
      </c>
      <c r="V421" s="3" t="s">
        <v>3865</v>
      </c>
      <c r="W421" s="3" t="s">
        <v>3866</v>
      </c>
      <c r="X421" s="3" t="s">
        <v>3867</v>
      </c>
      <c r="Y421" s="3" t="n">
        <v>2</v>
      </c>
      <c r="Z421" s="3" t="n">
        <v>1</v>
      </c>
      <c r="AA421" s="3" t="n">
        <v>3</v>
      </c>
      <c r="AB421" s="3" t="n">
        <v>2</v>
      </c>
      <c r="AC421" s="3" t="n">
        <v>1</v>
      </c>
      <c r="AD421" s="3" t="n">
        <v>3</v>
      </c>
      <c r="AE421" s="3" t="s">
        <v>3868</v>
      </c>
      <c r="AF421" s="3"/>
      <c r="AG421" s="3" t="s">
        <v>3869</v>
      </c>
      <c r="AH421" s="3"/>
      <c r="AI421" s="3" t="s">
        <v>3870</v>
      </c>
      <c r="AJ421" s="3" t="s">
        <v>59</v>
      </c>
      <c r="AK421" s="3" t="s">
        <v>3871</v>
      </c>
      <c r="AL421" s="3" t="s">
        <v>59</v>
      </c>
      <c r="AM421" s="3"/>
      <c r="AN421" s="3" t="s">
        <v>3872</v>
      </c>
      <c r="AO421" s="3" t="s">
        <v>59</v>
      </c>
      <c r="AP421" s="3"/>
      <c r="AQ421" s="3" t="s">
        <v>3873</v>
      </c>
      <c r="AR421" s="3"/>
    </row>
    <row r="422" customFormat="false" ht="15" hidden="false" customHeight="true" outlineLevel="0" collapsed="false">
      <c r="A422" s="3" t="s">
        <v>3874</v>
      </c>
      <c r="B422" s="3" t="n">
        <v>5</v>
      </c>
      <c r="C422" s="3" t="n">
        <v>90</v>
      </c>
      <c r="D422" s="3"/>
      <c r="E422" s="4"/>
      <c r="F422" s="3" t="n">
        <v>23</v>
      </c>
      <c r="G422" s="3" t="str">
        <f aca="false">IF(F422="","",IF(F422&gt;=Notes!$B$5,"Elderly ("&amp;Notes!$B$5&amp;"+)",IF(F422&lt;=Notes!$B$4,"Student age (≤"&amp;Notes!$B$4&amp;")","Middle-aged ("&amp;(Notes!$B$4+1)&amp;"–"&amp;(Notes!$B$5-1)&amp;")")))</f>
        <v>Student age (≤29)</v>
      </c>
      <c r="H422" s="3" t="s">
        <v>83</v>
      </c>
      <c r="I422" s="3" t="s">
        <v>127</v>
      </c>
      <c r="J422" s="3" t="s">
        <v>47</v>
      </c>
      <c r="K422" s="3" t="s">
        <v>128</v>
      </c>
      <c r="L422" s="3" t="s">
        <v>49</v>
      </c>
      <c r="M422" s="3" t="s">
        <v>47</v>
      </c>
      <c r="N422" s="3" t="s">
        <v>50</v>
      </c>
      <c r="O422" s="3" t="s">
        <v>3875</v>
      </c>
      <c r="P422" s="3" t="n">
        <v>30</v>
      </c>
      <c r="Q422" s="3" t="s">
        <v>117</v>
      </c>
      <c r="R422" s="3" t="s">
        <v>3876</v>
      </c>
      <c r="S422" s="3" t="s">
        <v>3877</v>
      </c>
      <c r="T422" s="3"/>
      <c r="U422" s="3" t="s">
        <v>3878</v>
      </c>
      <c r="V422" s="3" t="s">
        <v>3879</v>
      </c>
      <c r="W422" s="3" t="s">
        <v>3880</v>
      </c>
      <c r="X422" s="3" t="s">
        <v>3881</v>
      </c>
      <c r="Y422" s="3" t="n">
        <v>3</v>
      </c>
      <c r="Z422" s="3" t="n">
        <v>1</v>
      </c>
      <c r="AA422" s="3" t="n">
        <v>2</v>
      </c>
      <c r="AB422" s="3" t="n">
        <v>1</v>
      </c>
      <c r="AC422" s="3" t="n">
        <v>3</v>
      </c>
      <c r="AD422" s="3" t="n">
        <v>2</v>
      </c>
      <c r="AE422" s="3" t="s">
        <v>3882</v>
      </c>
      <c r="AF422" s="3"/>
      <c r="AG422" s="3" t="s">
        <v>3883</v>
      </c>
      <c r="AH422" s="3"/>
      <c r="AI422" s="3" t="s">
        <v>3884</v>
      </c>
      <c r="AJ422" s="3" t="s">
        <v>59</v>
      </c>
      <c r="AK422" s="3"/>
      <c r="AL422" s="3" t="s">
        <v>59</v>
      </c>
      <c r="AM422" s="3"/>
      <c r="AN422" s="3" t="s">
        <v>3885</v>
      </c>
      <c r="AO422" s="3"/>
      <c r="AP422" s="3"/>
      <c r="AQ422" s="3" t="s">
        <v>3886</v>
      </c>
      <c r="AR422" s="3"/>
    </row>
    <row r="423" customFormat="false" ht="15" hidden="false" customHeight="true" outlineLevel="0" collapsed="false">
      <c r="A423" s="3" t="s">
        <v>3887</v>
      </c>
      <c r="B423" s="3" t="n">
        <v>5</v>
      </c>
      <c r="C423" s="3" t="n">
        <v>91</v>
      </c>
      <c r="D423" s="3"/>
      <c r="E423" s="4"/>
      <c r="F423" s="3" t="n">
        <v>20</v>
      </c>
      <c r="G423" s="3" t="str">
        <f aca="false">IF(F423="","",IF(F423&gt;=Notes!$B$5,"Elderly ("&amp;Notes!$B$5&amp;"+)",IF(F423&lt;=Notes!$B$4,"Student age (≤"&amp;Notes!$B$4&amp;")","Middle-aged ("&amp;(Notes!$B$4+1)&amp;"–"&amp;(Notes!$B$5-1)&amp;")")))</f>
        <v>Student age (≤29)</v>
      </c>
      <c r="H423" s="3" t="s">
        <v>83</v>
      </c>
      <c r="I423" s="3" t="s">
        <v>71</v>
      </c>
      <c r="J423" s="3" t="s">
        <v>47</v>
      </c>
      <c r="K423" s="3" t="s">
        <v>72</v>
      </c>
      <c r="L423" s="3" t="s">
        <v>71</v>
      </c>
      <c r="M423" s="3" t="s">
        <v>47</v>
      </c>
      <c r="N423" s="3" t="s">
        <v>72</v>
      </c>
      <c r="O423" s="3" t="s">
        <v>3888</v>
      </c>
      <c r="P423" s="3" t="n">
        <v>40</v>
      </c>
      <c r="Q423" s="3" t="s">
        <v>52</v>
      </c>
      <c r="R423" s="3" t="s">
        <v>3889</v>
      </c>
      <c r="S423" s="3" t="s">
        <v>3890</v>
      </c>
      <c r="T423" s="3"/>
      <c r="U423" s="3" t="s">
        <v>885</v>
      </c>
      <c r="V423" s="3" t="s">
        <v>3891</v>
      </c>
      <c r="W423" s="3" t="s">
        <v>3892</v>
      </c>
      <c r="X423" s="3" t="s">
        <v>3893</v>
      </c>
      <c r="Y423" s="3" t="n">
        <v>2</v>
      </c>
      <c r="Z423" s="3" t="n">
        <v>1</v>
      </c>
      <c r="AA423" s="3" t="n">
        <v>3</v>
      </c>
      <c r="AB423" s="3" t="n">
        <v>2</v>
      </c>
      <c r="AC423" s="3" t="n">
        <v>1</v>
      </c>
      <c r="AD423" s="3" t="n">
        <v>3</v>
      </c>
      <c r="AE423" s="3" t="s">
        <v>3894</v>
      </c>
      <c r="AF423" s="3"/>
      <c r="AG423" s="3" t="s">
        <v>3895</v>
      </c>
      <c r="AH423" s="3"/>
      <c r="AI423" s="3" t="s">
        <v>3896</v>
      </c>
      <c r="AJ423" s="3"/>
      <c r="AK423" s="3" t="s">
        <v>3897</v>
      </c>
      <c r="AL423" s="3" t="s">
        <v>98</v>
      </c>
      <c r="AM423" s="3"/>
      <c r="AN423" s="3" t="s">
        <v>3898</v>
      </c>
      <c r="AO423" s="3" t="s">
        <v>59</v>
      </c>
      <c r="AP423" s="3"/>
      <c r="AQ423" s="3" t="s">
        <v>1889</v>
      </c>
      <c r="AR423" s="3"/>
    </row>
    <row r="424" customFormat="false" ht="15" hidden="false" customHeight="true" outlineLevel="0" collapsed="false">
      <c r="A424" s="3" t="s">
        <v>3899</v>
      </c>
      <c r="B424" s="3" t="n">
        <v>5</v>
      </c>
      <c r="C424" s="3" t="n">
        <v>92</v>
      </c>
      <c r="D424" s="3"/>
      <c r="E424" s="4"/>
      <c r="F424" s="3" t="n">
        <v>20</v>
      </c>
      <c r="G424" s="3" t="str">
        <f aca="false">IF(F424="","",IF(F424&gt;=Notes!$B$5,"Elderly ("&amp;Notes!$B$5&amp;"+)",IF(F424&lt;=Notes!$B$4,"Student age (≤"&amp;Notes!$B$4&amp;")","Middle-aged ("&amp;(Notes!$B$4+1)&amp;"–"&amp;(Notes!$B$5-1)&amp;")")))</f>
        <v>Student age (≤29)</v>
      </c>
      <c r="H424" s="3" t="s">
        <v>45</v>
      </c>
      <c r="I424" s="3"/>
      <c r="J424" s="3" t="s">
        <v>3900</v>
      </c>
      <c r="K424" s="3" t="s">
        <v>3900</v>
      </c>
      <c r="L424" s="3" t="s">
        <v>159</v>
      </c>
      <c r="M424" s="3" t="s">
        <v>47</v>
      </c>
      <c r="N424" s="3" t="s">
        <v>160</v>
      </c>
      <c r="O424" s="3" t="s">
        <v>3901</v>
      </c>
      <c r="P424" s="3" t="n">
        <v>70</v>
      </c>
      <c r="Q424" s="3" t="s">
        <v>52</v>
      </c>
      <c r="R424" s="3" t="s">
        <v>3902</v>
      </c>
      <c r="S424" s="3" t="s">
        <v>3903</v>
      </c>
      <c r="T424" s="3"/>
      <c r="U424" s="3" t="s">
        <v>885</v>
      </c>
      <c r="V424" s="3" t="s">
        <v>3904</v>
      </c>
      <c r="W424" s="3" t="s">
        <v>3905</v>
      </c>
      <c r="X424" s="3" t="s">
        <v>3906</v>
      </c>
      <c r="Y424" s="3" t="n">
        <v>2</v>
      </c>
      <c r="Z424" s="3" t="n">
        <v>1</v>
      </c>
      <c r="AA424" s="3" t="n">
        <v>3</v>
      </c>
      <c r="AB424" s="3" t="n">
        <v>1</v>
      </c>
      <c r="AC424" s="3" t="n">
        <v>2</v>
      </c>
      <c r="AD424" s="3" t="n">
        <v>3</v>
      </c>
      <c r="AE424" s="3" t="s">
        <v>3907</v>
      </c>
      <c r="AF424" s="3"/>
      <c r="AG424" s="3" t="s">
        <v>3908</v>
      </c>
      <c r="AH424" s="3"/>
      <c r="AI424" s="3" t="s">
        <v>3909</v>
      </c>
      <c r="AJ424" s="3" t="s">
        <v>59</v>
      </c>
      <c r="AK424" s="3" t="s">
        <v>3910</v>
      </c>
      <c r="AL424" s="3" t="s">
        <v>59</v>
      </c>
      <c r="AM424" s="3"/>
      <c r="AN424" s="3"/>
      <c r="AO424" s="3" t="s">
        <v>59</v>
      </c>
      <c r="AP424" s="3"/>
      <c r="AQ424" s="3"/>
      <c r="AR424" s="3"/>
    </row>
    <row r="425" customFormat="false" ht="15" hidden="false" customHeight="true" outlineLevel="0" collapsed="false">
      <c r="A425" s="3" t="s">
        <v>3911</v>
      </c>
      <c r="B425" s="3" t="n">
        <v>5</v>
      </c>
      <c r="C425" s="3" t="n">
        <v>93</v>
      </c>
      <c r="D425" s="3"/>
      <c r="E425" s="4"/>
      <c r="F425" s="3" t="n">
        <v>21</v>
      </c>
      <c r="G425" s="3" t="str">
        <f aca="false">IF(F425="","",IF(F425&gt;=Notes!$B$5,"Elderly ("&amp;Notes!$B$5&amp;"+)",IF(F425&lt;=Notes!$B$4,"Student age (≤"&amp;Notes!$B$4&amp;")","Middle-aged ("&amp;(Notes!$B$4+1)&amp;"–"&amp;(Notes!$B$5-1)&amp;")")))</f>
        <v>Student age (≤29)</v>
      </c>
      <c r="H425" s="3" t="s">
        <v>45</v>
      </c>
      <c r="I425" s="3"/>
      <c r="J425" s="3" t="s">
        <v>3912</v>
      </c>
      <c r="K425" s="3" t="s">
        <v>3912</v>
      </c>
      <c r="L425" s="3"/>
      <c r="M425" s="3" t="s">
        <v>47</v>
      </c>
      <c r="N425" s="3" t="s">
        <v>47</v>
      </c>
      <c r="O425" s="3" t="s">
        <v>3913</v>
      </c>
      <c r="P425" s="3" t="n">
        <v>30</v>
      </c>
      <c r="Q425" s="3" t="s">
        <v>117</v>
      </c>
      <c r="R425" s="3" t="s">
        <v>3914</v>
      </c>
      <c r="S425" s="3" t="s">
        <v>3915</v>
      </c>
      <c r="T425" s="3"/>
      <c r="U425" s="3" t="s">
        <v>3916</v>
      </c>
      <c r="V425" s="3" t="s">
        <v>3917</v>
      </c>
      <c r="W425" s="3" t="s">
        <v>3918</v>
      </c>
      <c r="X425" s="3" t="s">
        <v>3919</v>
      </c>
      <c r="Y425" s="3" t="n">
        <v>2</v>
      </c>
      <c r="Z425" s="3" t="n">
        <v>1</v>
      </c>
      <c r="AA425" s="3" t="n">
        <v>3</v>
      </c>
      <c r="AB425" s="3" t="n">
        <v>3</v>
      </c>
      <c r="AC425" s="3" t="n">
        <v>2</v>
      </c>
      <c r="AD425" s="3" t="n">
        <v>1</v>
      </c>
      <c r="AE425" s="3" t="s">
        <v>3920</v>
      </c>
      <c r="AF425" s="3"/>
      <c r="AG425" s="3" t="s">
        <v>3921</v>
      </c>
      <c r="AH425" s="3"/>
      <c r="AI425" s="3" t="s">
        <v>3922</v>
      </c>
      <c r="AJ425" s="3"/>
      <c r="AK425" s="3" t="s">
        <v>3923</v>
      </c>
      <c r="AL425" s="3" t="s">
        <v>59</v>
      </c>
      <c r="AM425" s="3"/>
      <c r="AN425" s="3"/>
      <c r="AO425" s="3" t="s">
        <v>59</v>
      </c>
      <c r="AP425" s="3"/>
      <c r="AQ425" s="3"/>
      <c r="AR425" s="3"/>
    </row>
    <row r="426" customFormat="false" ht="15" hidden="false" customHeight="true" outlineLevel="0" collapsed="false">
      <c r="A426" s="3" t="s">
        <v>3924</v>
      </c>
      <c r="B426" s="3" t="n">
        <v>5</v>
      </c>
      <c r="C426" s="3" t="n">
        <v>94</v>
      </c>
      <c r="D426" s="3"/>
      <c r="E426" s="4"/>
      <c r="F426" s="3" t="n">
        <v>26</v>
      </c>
      <c r="G426" s="3" t="str">
        <f aca="false">IF(F426="","",IF(F426&gt;=Notes!$B$5,"Elderly ("&amp;Notes!$B$5&amp;"+)",IF(F426&lt;=Notes!$B$4,"Student age (≤"&amp;Notes!$B$4&amp;")","Middle-aged ("&amp;(Notes!$B$4+1)&amp;"–"&amp;(Notes!$B$5-1)&amp;")")))</f>
        <v>Student age (≤29)</v>
      </c>
      <c r="H426" s="3" t="s">
        <v>45</v>
      </c>
      <c r="I426" s="3"/>
      <c r="J426" s="3" t="s">
        <v>1532</v>
      </c>
      <c r="K426" s="3" t="s">
        <v>1532</v>
      </c>
      <c r="L426" s="3" t="s">
        <v>49</v>
      </c>
      <c r="M426" s="3" t="s">
        <v>47</v>
      </c>
      <c r="N426" s="3" t="s">
        <v>50</v>
      </c>
      <c r="O426" s="3" t="s">
        <v>3925</v>
      </c>
      <c r="P426" s="3" t="n">
        <v>20</v>
      </c>
      <c r="Q426" s="3" t="s">
        <v>95</v>
      </c>
      <c r="R426" s="3" t="s">
        <v>3926</v>
      </c>
      <c r="S426" s="3" t="s">
        <v>3927</v>
      </c>
      <c r="T426" s="3"/>
      <c r="U426" s="3" t="s">
        <v>2220</v>
      </c>
      <c r="V426" s="3" t="s">
        <v>3928</v>
      </c>
      <c r="W426" s="3" t="s">
        <v>3929</v>
      </c>
      <c r="X426" s="3" t="s">
        <v>3930</v>
      </c>
      <c r="Y426" s="3" t="n">
        <v>3</v>
      </c>
      <c r="Z426" s="3" t="n">
        <v>1</v>
      </c>
      <c r="AA426" s="3" t="n">
        <v>2</v>
      </c>
      <c r="AB426" s="3" t="n">
        <v>2</v>
      </c>
      <c r="AC426" s="3" t="n">
        <v>1</v>
      </c>
      <c r="AD426" s="3" t="n">
        <v>3</v>
      </c>
      <c r="AE426" s="3" t="s">
        <v>3931</v>
      </c>
      <c r="AF426" s="3"/>
      <c r="AG426" s="3" t="s">
        <v>1659</v>
      </c>
      <c r="AH426" s="3"/>
      <c r="AI426" s="3" t="s">
        <v>3932</v>
      </c>
      <c r="AJ426" s="3" t="s">
        <v>59</v>
      </c>
      <c r="AK426" s="3"/>
      <c r="AL426" s="3" t="s">
        <v>59</v>
      </c>
      <c r="AM426" s="3"/>
      <c r="AN426" s="3" t="s">
        <v>3933</v>
      </c>
      <c r="AO426" s="3" t="s">
        <v>59</v>
      </c>
      <c r="AP426" s="3"/>
      <c r="AQ426" s="3"/>
      <c r="AR426" s="3"/>
    </row>
    <row r="427" customFormat="false" ht="15" hidden="false" customHeight="true" outlineLevel="0" collapsed="false">
      <c r="A427" s="3" t="s">
        <v>3934</v>
      </c>
      <c r="B427" s="3" t="n">
        <v>5</v>
      </c>
      <c r="C427" s="3" t="n">
        <v>95</v>
      </c>
      <c r="D427" s="3"/>
      <c r="E427" s="4"/>
      <c r="F427" s="3" t="n">
        <v>30</v>
      </c>
      <c r="G427" s="3" t="str">
        <f aca="false">IF(F427="","",IF(F427&gt;=Notes!$B$5,"Elderly ("&amp;Notes!$B$5&amp;"+)",IF(F427&lt;=Notes!$B$4,"Student age (≤"&amp;Notes!$B$4&amp;")","Middle-aged ("&amp;(Notes!$B$4+1)&amp;"–"&amp;(Notes!$B$5-1)&amp;")")))</f>
        <v>Middle-aged (30–64)</v>
      </c>
      <c r="H427" s="3" t="s">
        <v>83</v>
      </c>
      <c r="I427" s="3" t="s">
        <v>49</v>
      </c>
      <c r="J427" s="3" t="s">
        <v>47</v>
      </c>
      <c r="K427" s="3" t="s">
        <v>50</v>
      </c>
      <c r="L427" s="3" t="s">
        <v>49</v>
      </c>
      <c r="M427" s="3" t="s">
        <v>47</v>
      </c>
      <c r="N427" s="3" t="s">
        <v>50</v>
      </c>
      <c r="O427" s="3" t="s">
        <v>3935</v>
      </c>
      <c r="P427" s="3" t="n">
        <v>35</v>
      </c>
      <c r="Q427" s="3" t="s">
        <v>52</v>
      </c>
      <c r="R427" s="3" t="s">
        <v>3936</v>
      </c>
      <c r="S427" s="3" t="s">
        <v>2242</v>
      </c>
      <c r="T427" s="3"/>
      <c r="U427" s="3" t="s">
        <v>434</v>
      </c>
      <c r="V427" s="3" t="s">
        <v>3937</v>
      </c>
      <c r="W427" s="3" t="s">
        <v>3938</v>
      </c>
      <c r="X427" s="3" t="s">
        <v>3939</v>
      </c>
      <c r="Y427" s="3" t="n">
        <v>2</v>
      </c>
      <c r="Z427" s="3" t="n">
        <v>3</v>
      </c>
      <c r="AA427" s="3" t="n">
        <v>1</v>
      </c>
      <c r="AB427" s="3" t="n">
        <v>1</v>
      </c>
      <c r="AC427" s="3" t="n">
        <v>3</v>
      </c>
      <c r="AD427" s="3" t="n">
        <v>2</v>
      </c>
      <c r="AE427" s="3" t="s">
        <v>3940</v>
      </c>
      <c r="AF427" s="3"/>
      <c r="AG427" s="3" t="s">
        <v>3941</v>
      </c>
      <c r="AH427" s="3"/>
      <c r="AI427" s="3" t="s">
        <v>3942</v>
      </c>
      <c r="AJ427" s="3"/>
      <c r="AK427" s="3" t="s">
        <v>3943</v>
      </c>
      <c r="AL427" s="3"/>
      <c r="AM427" s="3"/>
      <c r="AN427" s="3" t="s">
        <v>3944</v>
      </c>
      <c r="AO427" s="3" t="s">
        <v>59</v>
      </c>
      <c r="AP427" s="3"/>
      <c r="AQ427" s="3" t="s">
        <v>3945</v>
      </c>
      <c r="AR427" s="3"/>
    </row>
    <row r="428" customFormat="false" ht="15" hidden="false" customHeight="true" outlineLevel="0" collapsed="false">
      <c r="A428" s="3" t="s">
        <v>3946</v>
      </c>
      <c r="B428" s="3" t="n">
        <v>5</v>
      </c>
      <c r="C428" s="3" t="n">
        <v>96</v>
      </c>
      <c r="D428" s="3"/>
      <c r="E428" s="4"/>
      <c r="F428" s="3" t="n">
        <v>24</v>
      </c>
      <c r="G428" s="3" t="str">
        <f aca="false">IF(F428="","",IF(F428&gt;=Notes!$B$5,"Elderly ("&amp;Notes!$B$5&amp;"+)",IF(F428&lt;=Notes!$B$4,"Student age (≤"&amp;Notes!$B$4&amp;")","Middle-aged ("&amp;(Notes!$B$4+1)&amp;"–"&amp;(Notes!$B$5-1)&amp;")")))</f>
        <v>Student age (≤29)</v>
      </c>
      <c r="H428" s="3" t="s">
        <v>83</v>
      </c>
      <c r="I428" s="3"/>
      <c r="J428" s="3" t="s">
        <v>3947</v>
      </c>
      <c r="K428" s="3" t="s">
        <v>3947</v>
      </c>
      <c r="L428" s="3" t="s">
        <v>1363</v>
      </c>
      <c r="M428" s="3" t="s">
        <v>47</v>
      </c>
      <c r="N428" s="3" t="s">
        <v>1364</v>
      </c>
      <c r="O428" s="3" t="s">
        <v>3948</v>
      </c>
      <c r="P428" s="3" t="n">
        <v>20</v>
      </c>
      <c r="Q428" s="3" t="s">
        <v>95</v>
      </c>
      <c r="R428" s="3" t="s">
        <v>1859</v>
      </c>
      <c r="S428" s="3" t="s">
        <v>3949</v>
      </c>
      <c r="T428" s="3"/>
      <c r="U428" s="3" t="s">
        <v>3950</v>
      </c>
      <c r="V428" s="3" t="s">
        <v>3951</v>
      </c>
      <c r="W428" s="3" t="s">
        <v>3952</v>
      </c>
      <c r="X428" s="3" t="s">
        <v>3953</v>
      </c>
      <c r="Y428" s="3" t="n">
        <v>1</v>
      </c>
      <c r="Z428" s="3" t="n">
        <v>2</v>
      </c>
      <c r="AA428" s="3" t="n">
        <v>3</v>
      </c>
      <c r="AB428" s="3" t="n">
        <v>1</v>
      </c>
      <c r="AC428" s="3" t="n">
        <v>2</v>
      </c>
      <c r="AD428" s="3" t="n">
        <v>3</v>
      </c>
      <c r="AE428" s="3" t="s">
        <v>3954</v>
      </c>
      <c r="AF428" s="3"/>
      <c r="AG428" s="3" t="s">
        <v>3955</v>
      </c>
      <c r="AH428" s="3"/>
      <c r="AI428" s="3" t="s">
        <v>3956</v>
      </c>
      <c r="AJ428" s="3" t="s">
        <v>59</v>
      </c>
      <c r="AK428" s="3"/>
      <c r="AL428" s="3" t="s">
        <v>98</v>
      </c>
      <c r="AM428" s="3"/>
      <c r="AN428" s="3" t="s">
        <v>885</v>
      </c>
      <c r="AO428" s="3" t="s">
        <v>59</v>
      </c>
      <c r="AP428" s="3"/>
      <c r="AQ428" s="3"/>
      <c r="AR428" s="3"/>
    </row>
    <row r="429" customFormat="false" ht="15" hidden="false" customHeight="true" outlineLevel="0" collapsed="false">
      <c r="A429" s="3" t="s">
        <v>3957</v>
      </c>
      <c r="B429" s="3" t="n">
        <v>5</v>
      </c>
      <c r="C429" s="3" t="n">
        <v>97</v>
      </c>
      <c r="D429" s="3"/>
      <c r="E429" s="4"/>
      <c r="F429" s="3" t="n">
        <v>23</v>
      </c>
      <c r="G429" s="3" t="str">
        <f aca="false">IF(F429="","",IF(F429&gt;=Notes!$B$5,"Elderly ("&amp;Notes!$B$5&amp;"+)",IF(F429&lt;=Notes!$B$4,"Student age (≤"&amp;Notes!$B$4&amp;")","Middle-aged ("&amp;(Notes!$B$4+1)&amp;"–"&amp;(Notes!$B$5-1)&amp;")")))</f>
        <v>Student age (≤29)</v>
      </c>
      <c r="H429" s="3" t="s">
        <v>45</v>
      </c>
      <c r="I429" s="3"/>
      <c r="J429" s="3" t="s">
        <v>3912</v>
      </c>
      <c r="K429" s="3" t="s">
        <v>3912</v>
      </c>
      <c r="L429" s="3" t="s">
        <v>3958</v>
      </c>
      <c r="M429" s="3" t="s">
        <v>47</v>
      </c>
      <c r="N429" s="3" t="s">
        <v>3959</v>
      </c>
      <c r="O429" s="3" t="s">
        <v>3960</v>
      </c>
      <c r="P429" s="3" t="n">
        <v>40</v>
      </c>
      <c r="Q429" s="3" t="s">
        <v>52</v>
      </c>
      <c r="R429" s="3" t="s">
        <v>130</v>
      </c>
      <c r="S429" s="3" t="s">
        <v>3961</v>
      </c>
      <c r="T429" s="3"/>
      <c r="U429" s="3" t="s">
        <v>3962</v>
      </c>
      <c r="V429" s="3" t="s">
        <v>3963</v>
      </c>
      <c r="W429" s="3" t="s">
        <v>2257</v>
      </c>
      <c r="X429" s="3" t="s">
        <v>3964</v>
      </c>
      <c r="Y429" s="3" t="n">
        <v>3</v>
      </c>
      <c r="Z429" s="3" t="n">
        <v>1</v>
      </c>
      <c r="AA429" s="3" t="n">
        <v>2</v>
      </c>
      <c r="AB429" s="3" t="n">
        <v>3</v>
      </c>
      <c r="AC429" s="3" t="n">
        <v>1</v>
      </c>
      <c r="AD429" s="3" t="n">
        <v>2</v>
      </c>
      <c r="AE429" s="3" t="s">
        <v>3965</v>
      </c>
      <c r="AF429" s="3"/>
      <c r="AG429" s="3" t="s">
        <v>3966</v>
      </c>
      <c r="AH429" s="3"/>
      <c r="AI429" s="3" t="s">
        <v>3966</v>
      </c>
      <c r="AJ429" s="3"/>
      <c r="AK429" s="3" t="s">
        <v>3967</v>
      </c>
      <c r="AL429" s="3" t="s">
        <v>59</v>
      </c>
      <c r="AM429" s="3"/>
      <c r="AN429" s="3"/>
      <c r="AO429" s="3" t="s">
        <v>59</v>
      </c>
      <c r="AP429" s="3"/>
      <c r="AQ429" s="3"/>
      <c r="AR429" s="3"/>
    </row>
    <row r="430" customFormat="false" ht="15" hidden="false" customHeight="true" outlineLevel="0" collapsed="false">
      <c r="A430" s="3" t="s">
        <v>3968</v>
      </c>
      <c r="B430" s="3" t="n">
        <v>5</v>
      </c>
      <c r="C430" s="3" t="n">
        <v>98</v>
      </c>
      <c r="D430" s="3"/>
      <c r="E430" s="4"/>
      <c r="F430" s="3" t="n">
        <v>21</v>
      </c>
      <c r="G430" s="3" t="str">
        <f aca="false">IF(F430="","",IF(F430&gt;=Notes!$B$5,"Elderly ("&amp;Notes!$B$5&amp;"+)",IF(F430&lt;=Notes!$B$4,"Student age (≤"&amp;Notes!$B$4&amp;")","Middle-aged ("&amp;(Notes!$B$4+1)&amp;"–"&amp;(Notes!$B$5-1)&amp;")")))</f>
        <v>Student age (≤29)</v>
      </c>
      <c r="H430" s="3" t="s">
        <v>83</v>
      </c>
      <c r="I430" s="3" t="s">
        <v>1271</v>
      </c>
      <c r="J430" s="3" t="s">
        <v>47</v>
      </c>
      <c r="K430" s="3" t="s">
        <v>1272</v>
      </c>
      <c r="L430" s="3" t="s">
        <v>1271</v>
      </c>
      <c r="M430" s="3" t="s">
        <v>47</v>
      </c>
      <c r="N430" s="3" t="s">
        <v>1272</v>
      </c>
      <c r="O430" s="3" t="s">
        <v>3969</v>
      </c>
      <c r="P430" s="3" t="n">
        <v>20</v>
      </c>
      <c r="Q430" s="3" t="s">
        <v>95</v>
      </c>
      <c r="R430" s="3" t="s">
        <v>3970</v>
      </c>
      <c r="S430" s="3" t="s">
        <v>3971</v>
      </c>
      <c r="T430" s="3"/>
      <c r="U430" s="3" t="s">
        <v>3972</v>
      </c>
      <c r="V430" s="3" t="s">
        <v>3973</v>
      </c>
      <c r="W430" s="3" t="s">
        <v>3974</v>
      </c>
      <c r="X430" s="3" t="s">
        <v>3975</v>
      </c>
      <c r="Y430" s="3" t="n">
        <v>2</v>
      </c>
      <c r="Z430" s="3" t="n">
        <v>1</v>
      </c>
      <c r="AA430" s="3" t="n">
        <v>3</v>
      </c>
      <c r="AB430" s="3" t="n">
        <v>2</v>
      </c>
      <c r="AC430" s="3" t="n">
        <v>1</v>
      </c>
      <c r="AD430" s="3" t="n">
        <v>3</v>
      </c>
      <c r="AE430" s="3" t="s">
        <v>3976</v>
      </c>
      <c r="AF430" s="3"/>
      <c r="AG430" s="3" t="s">
        <v>3977</v>
      </c>
      <c r="AH430" s="3"/>
      <c r="AI430" s="3" t="s">
        <v>3978</v>
      </c>
      <c r="AJ430" s="3" t="s">
        <v>59</v>
      </c>
      <c r="AK430" s="3" t="s">
        <v>3979</v>
      </c>
      <c r="AL430" s="3" t="s">
        <v>59</v>
      </c>
      <c r="AM430" s="3"/>
      <c r="AN430" s="3" t="s">
        <v>3980</v>
      </c>
      <c r="AO430" s="3" t="s">
        <v>59</v>
      </c>
      <c r="AP430" s="3"/>
      <c r="AQ430" s="3"/>
      <c r="AR430" s="3"/>
    </row>
    <row r="431" customFormat="false" ht="15" hidden="false" customHeight="true" outlineLevel="0" collapsed="false">
      <c r="A431" s="3" t="s">
        <v>3981</v>
      </c>
      <c r="B431" s="3" t="n">
        <v>5</v>
      </c>
      <c r="C431" s="3" t="n">
        <v>99</v>
      </c>
      <c r="D431" s="3"/>
      <c r="E431" s="4"/>
      <c r="F431" s="3" t="n">
        <v>24</v>
      </c>
      <c r="G431" s="3" t="str">
        <f aca="false">IF(F431="","",IF(F431&gt;=Notes!$B$5,"Elderly ("&amp;Notes!$B$5&amp;"+)",IF(F431&lt;=Notes!$B$4,"Student age (≤"&amp;Notes!$B$4&amp;")","Middle-aged ("&amp;(Notes!$B$4+1)&amp;"–"&amp;(Notes!$B$5-1)&amp;")")))</f>
        <v>Student age (≤29)</v>
      </c>
      <c r="H431" s="3" t="s">
        <v>83</v>
      </c>
      <c r="I431" s="3" t="s">
        <v>3958</v>
      </c>
      <c r="J431" s="3" t="s">
        <v>47</v>
      </c>
      <c r="K431" s="3" t="s">
        <v>3959</v>
      </c>
      <c r="L431" s="3" t="s">
        <v>3958</v>
      </c>
      <c r="M431" s="3" t="s">
        <v>47</v>
      </c>
      <c r="N431" s="3" t="s">
        <v>3959</v>
      </c>
      <c r="O431" s="3" t="s">
        <v>3982</v>
      </c>
      <c r="P431" s="3" t="n">
        <v>30</v>
      </c>
      <c r="Q431" s="3" t="s">
        <v>117</v>
      </c>
      <c r="R431" s="3" t="s">
        <v>3983</v>
      </c>
      <c r="S431" s="3" t="s">
        <v>3984</v>
      </c>
      <c r="T431" s="3"/>
      <c r="U431" s="3" t="s">
        <v>3985</v>
      </c>
      <c r="V431" s="3" t="s">
        <v>3986</v>
      </c>
      <c r="W431" s="3" t="s">
        <v>3987</v>
      </c>
      <c r="X431" s="3" t="s">
        <v>3988</v>
      </c>
      <c r="Y431" s="3" t="n">
        <v>2</v>
      </c>
      <c r="Z431" s="3" t="n">
        <v>3</v>
      </c>
      <c r="AA431" s="3" t="n">
        <v>1</v>
      </c>
      <c r="AB431" s="3" t="n">
        <v>1</v>
      </c>
      <c r="AC431" s="3" t="n">
        <v>3</v>
      </c>
      <c r="AD431" s="3" t="n">
        <v>2</v>
      </c>
      <c r="AE431" s="3" t="s">
        <v>3989</v>
      </c>
      <c r="AF431" s="3"/>
      <c r="AG431" s="3" t="s">
        <v>3990</v>
      </c>
      <c r="AH431" s="3"/>
      <c r="AI431" s="3" t="s">
        <v>3991</v>
      </c>
      <c r="AJ431" s="3" t="s">
        <v>59</v>
      </c>
      <c r="AK431" s="3" t="s">
        <v>3992</v>
      </c>
      <c r="AL431" s="3" t="s">
        <v>59</v>
      </c>
      <c r="AM431" s="3"/>
      <c r="AN431" s="3" t="s">
        <v>3993</v>
      </c>
      <c r="AO431" s="3" t="s">
        <v>59</v>
      </c>
      <c r="AP431" s="3"/>
      <c r="AQ431" s="3" t="s">
        <v>3994</v>
      </c>
      <c r="AR431" s="3"/>
    </row>
    <row r="432" customFormat="false" ht="15" hidden="false" customHeight="true" outlineLevel="0" collapsed="false">
      <c r="A432" s="3" t="s">
        <v>3995</v>
      </c>
      <c r="B432" s="3" t="n">
        <v>5</v>
      </c>
      <c r="C432" s="3" t="n">
        <v>100</v>
      </c>
      <c r="D432" s="3"/>
      <c r="E432" s="4"/>
      <c r="F432" s="3" t="n">
        <v>34</v>
      </c>
      <c r="G432" s="3" t="str">
        <f aca="false">IF(F432="","",IF(F432&gt;=Notes!$B$5,"Elderly ("&amp;Notes!$B$5&amp;"+)",IF(F432&lt;=Notes!$B$4,"Student age (≤"&amp;Notes!$B$4&amp;")","Middle-aged ("&amp;(Notes!$B$4+1)&amp;"–"&amp;(Notes!$B$5-1)&amp;")")))</f>
        <v>Middle-aged (30–64)</v>
      </c>
      <c r="H432" s="3" t="s">
        <v>45</v>
      </c>
      <c r="I432" s="3" t="s">
        <v>1399</v>
      </c>
      <c r="J432" s="3" t="s">
        <v>47</v>
      </c>
      <c r="K432" s="3" t="s">
        <v>1400</v>
      </c>
      <c r="L432" s="3" t="s">
        <v>49</v>
      </c>
      <c r="M432" s="3" t="s">
        <v>47</v>
      </c>
      <c r="N432" s="3" t="s">
        <v>50</v>
      </c>
      <c r="O432" s="3" t="s">
        <v>3996</v>
      </c>
      <c r="P432" s="3" t="n">
        <v>20</v>
      </c>
      <c r="Q432" s="3" t="s">
        <v>95</v>
      </c>
      <c r="R432" s="3" t="s">
        <v>3997</v>
      </c>
      <c r="S432" s="3" t="s">
        <v>3998</v>
      </c>
      <c r="T432" s="3"/>
      <c r="U432" s="3" t="s">
        <v>3999</v>
      </c>
      <c r="V432" s="3" t="s">
        <v>4000</v>
      </c>
      <c r="W432" s="3" t="s">
        <v>4001</v>
      </c>
      <c r="X432" s="3" t="s">
        <v>4002</v>
      </c>
      <c r="Y432" s="3" t="n">
        <v>2</v>
      </c>
      <c r="Z432" s="3" t="n">
        <v>1</v>
      </c>
      <c r="AA432" s="3" t="n">
        <v>3</v>
      </c>
      <c r="AB432" s="3" t="n">
        <v>2</v>
      </c>
      <c r="AC432" s="3" t="n">
        <v>1</v>
      </c>
      <c r="AD432" s="3" t="n">
        <v>3</v>
      </c>
      <c r="AE432" s="3" t="s">
        <v>4003</v>
      </c>
      <c r="AF432" s="3"/>
      <c r="AG432" s="3" t="s">
        <v>4004</v>
      </c>
      <c r="AH432" s="3"/>
      <c r="AI432" s="3" t="s">
        <v>4005</v>
      </c>
      <c r="AJ432" s="3"/>
      <c r="AK432" s="3" t="s">
        <v>4006</v>
      </c>
      <c r="AL432" s="3"/>
      <c r="AM432" s="3"/>
      <c r="AN432" s="3" t="s">
        <v>4007</v>
      </c>
      <c r="AO432" s="3" t="s">
        <v>59</v>
      </c>
      <c r="AP432" s="3"/>
      <c r="AQ432" s="3"/>
      <c r="AR432" s="3"/>
    </row>
    <row r="433" customFormat="false" ht="15" hidden="false" customHeight="true" outlineLevel="0" collapsed="false">
      <c r="A433" s="3" t="s">
        <v>4008</v>
      </c>
      <c r="B433" s="3" t="n">
        <v>5</v>
      </c>
      <c r="C433" s="3" t="n">
        <v>101</v>
      </c>
      <c r="D433" s="3"/>
      <c r="E433" s="4"/>
      <c r="F433" s="3" t="n">
        <v>22</v>
      </c>
      <c r="G433" s="3" t="str">
        <f aca="false">IF(F433="","",IF(F433&gt;=Notes!$B$5,"Elderly ("&amp;Notes!$B$5&amp;"+)",IF(F433&lt;=Notes!$B$4,"Student age (≤"&amp;Notes!$B$4&amp;")","Middle-aged ("&amp;(Notes!$B$4+1)&amp;"–"&amp;(Notes!$B$5-1)&amp;")")))</f>
        <v>Student age (≤29)</v>
      </c>
      <c r="H433" s="3" t="s">
        <v>45</v>
      </c>
      <c r="I433" s="3"/>
      <c r="J433" s="3" t="s">
        <v>3912</v>
      </c>
      <c r="K433" s="3" t="s">
        <v>3912</v>
      </c>
      <c r="L433" s="3"/>
      <c r="M433" s="3" t="s">
        <v>47</v>
      </c>
      <c r="N433" s="3" t="s">
        <v>47</v>
      </c>
      <c r="O433" s="3" t="s">
        <v>4009</v>
      </c>
      <c r="P433" s="3" t="n">
        <v>15</v>
      </c>
      <c r="Q433" s="3" t="s">
        <v>74</v>
      </c>
      <c r="R433" s="3" t="s">
        <v>4010</v>
      </c>
      <c r="S433" s="3" t="s">
        <v>4011</v>
      </c>
      <c r="T433" s="3"/>
      <c r="U433" s="3" t="s">
        <v>4012</v>
      </c>
      <c r="V433" s="3" t="s">
        <v>4013</v>
      </c>
      <c r="W433" s="3" t="s">
        <v>4014</v>
      </c>
      <c r="X433" s="3" t="s">
        <v>4015</v>
      </c>
      <c r="Y433" s="3" t="n">
        <v>2</v>
      </c>
      <c r="Z433" s="3" t="n">
        <v>1</v>
      </c>
      <c r="AA433" s="3" t="n">
        <v>3</v>
      </c>
      <c r="AB433" s="3" t="n">
        <v>3</v>
      </c>
      <c r="AC433" s="3" t="n">
        <v>1</v>
      </c>
      <c r="AD433" s="3" t="n">
        <v>2</v>
      </c>
      <c r="AE433" s="5" t="s">
        <v>4016</v>
      </c>
      <c r="AF433" s="3"/>
      <c r="AG433" s="3" t="s">
        <v>4017</v>
      </c>
      <c r="AH433" s="3"/>
      <c r="AI433" s="3" t="s">
        <v>4018</v>
      </c>
      <c r="AJ433" s="3" t="s">
        <v>59</v>
      </c>
      <c r="AK433" s="3" t="s">
        <v>4019</v>
      </c>
      <c r="AL433" s="3"/>
      <c r="AM433" s="3"/>
      <c r="AN433" s="3" t="s">
        <v>4020</v>
      </c>
      <c r="AO433" s="3"/>
      <c r="AP433" s="3"/>
      <c r="AQ433" s="3" t="s">
        <v>4021</v>
      </c>
      <c r="AR433" s="3"/>
    </row>
    <row r="434" customFormat="false" ht="15" hidden="false" customHeight="true" outlineLevel="0" collapsed="false">
      <c r="A434" s="3" t="s">
        <v>4022</v>
      </c>
      <c r="B434" s="3" t="n">
        <v>5</v>
      </c>
      <c r="C434" s="3" t="n">
        <v>102</v>
      </c>
      <c r="D434" s="3"/>
      <c r="E434" s="4"/>
      <c r="F434" s="3" t="n">
        <v>22</v>
      </c>
      <c r="G434" s="3" t="str">
        <f aca="false">IF(F434="","",IF(F434&gt;=Notes!$B$5,"Elderly ("&amp;Notes!$B$5&amp;"+)",IF(F434&lt;=Notes!$B$4,"Student age (≤"&amp;Notes!$B$4&amp;")","Middle-aged ("&amp;(Notes!$B$4+1)&amp;"–"&amp;(Notes!$B$5-1)&amp;")")))</f>
        <v>Student age (≤29)</v>
      </c>
      <c r="H434" s="3" t="s">
        <v>45</v>
      </c>
      <c r="I434" s="3"/>
      <c r="J434" s="3" t="s">
        <v>4023</v>
      </c>
      <c r="K434" s="3" t="s">
        <v>4023</v>
      </c>
      <c r="L434" s="3" t="s">
        <v>1271</v>
      </c>
      <c r="M434" s="3" t="s">
        <v>47</v>
      </c>
      <c r="N434" s="3" t="s">
        <v>1272</v>
      </c>
      <c r="O434" s="3" t="s">
        <v>4024</v>
      </c>
      <c r="P434" s="3" t="n">
        <v>25</v>
      </c>
      <c r="Q434" s="3" t="s">
        <v>117</v>
      </c>
      <c r="R434" s="3" t="s">
        <v>4025</v>
      </c>
      <c r="S434" s="3" t="s">
        <v>4026</v>
      </c>
      <c r="T434" s="3"/>
      <c r="U434" s="3" t="s">
        <v>4027</v>
      </c>
      <c r="V434" s="3" t="s">
        <v>4028</v>
      </c>
      <c r="W434" s="3" t="s">
        <v>4029</v>
      </c>
      <c r="X434" s="5" t="s">
        <v>4030</v>
      </c>
      <c r="Y434" s="3" t="n">
        <v>3</v>
      </c>
      <c r="Z434" s="3" t="n">
        <v>2</v>
      </c>
      <c r="AA434" s="3" t="n">
        <v>1</v>
      </c>
      <c r="AB434" s="3" t="n">
        <v>2</v>
      </c>
      <c r="AC434" s="3" t="n">
        <v>1</v>
      </c>
      <c r="AD434" s="3" t="n">
        <v>3</v>
      </c>
      <c r="AE434" s="3" t="s">
        <v>4031</v>
      </c>
      <c r="AF434" s="3"/>
      <c r="AG434" s="3" t="s">
        <v>4032</v>
      </c>
      <c r="AH434" s="3"/>
      <c r="AI434" s="3" t="s">
        <v>4033</v>
      </c>
      <c r="AJ434" s="3" t="s">
        <v>59</v>
      </c>
      <c r="AK434" s="3" t="s">
        <v>4034</v>
      </c>
      <c r="AL434" s="3"/>
      <c r="AM434" s="3"/>
      <c r="AN434" s="3" t="s">
        <v>4035</v>
      </c>
      <c r="AO434" s="3" t="s">
        <v>59</v>
      </c>
      <c r="AP434" s="3"/>
      <c r="AQ434" s="3" t="s">
        <v>4036</v>
      </c>
      <c r="AR434" s="3"/>
    </row>
    <row r="435" customFormat="false" ht="15" hidden="false" customHeight="true" outlineLevel="0" collapsed="false">
      <c r="A435" s="3" t="s">
        <v>4037</v>
      </c>
      <c r="B435" s="3" t="n">
        <v>6</v>
      </c>
      <c r="C435" s="3" t="n">
        <v>2</v>
      </c>
      <c r="D435" s="3"/>
      <c r="E435" s="4"/>
      <c r="F435" s="3" t="n">
        <v>24</v>
      </c>
      <c r="G435" s="3" t="str">
        <f aca="false">IF(F435="","",IF(F435&gt;=Notes!$B$5,"Elderly ("&amp;Notes!$B$5&amp;"+)",IF(F435&lt;=Notes!$B$4,"Student age (≤"&amp;Notes!$B$4&amp;")","Middle-aged ("&amp;(Notes!$B$4+1)&amp;"–"&amp;(Notes!$B$5-1)&amp;")")))</f>
        <v>Student age (≤29)</v>
      </c>
      <c r="H435" s="3" t="s">
        <v>45</v>
      </c>
      <c r="I435" s="3"/>
      <c r="J435" s="3" t="s">
        <v>437</v>
      </c>
      <c r="K435" s="3" t="s">
        <v>437</v>
      </c>
      <c r="L435" s="3"/>
      <c r="M435" s="3" t="s">
        <v>437</v>
      </c>
      <c r="N435" s="3" t="s">
        <v>437</v>
      </c>
      <c r="O435" s="3" t="s">
        <v>4038</v>
      </c>
      <c r="P435" s="3"/>
      <c r="Q435" s="3" t="s">
        <v>74</v>
      </c>
      <c r="R435" s="3" t="s">
        <v>4039</v>
      </c>
      <c r="S435" s="3" t="s">
        <v>4040</v>
      </c>
      <c r="T435" s="3" t="s">
        <v>4041</v>
      </c>
      <c r="U435" s="3" t="s">
        <v>4042</v>
      </c>
      <c r="V435" s="3" t="s">
        <v>4043</v>
      </c>
      <c r="W435" s="3" t="s">
        <v>4044</v>
      </c>
      <c r="X435" s="3" t="s">
        <v>4045</v>
      </c>
      <c r="Y435" s="3" t="n">
        <v>1</v>
      </c>
      <c r="Z435" s="3" t="n">
        <v>2</v>
      </c>
      <c r="AA435" s="3" t="n">
        <v>3</v>
      </c>
      <c r="AB435" s="3" t="n">
        <v>3</v>
      </c>
      <c r="AC435" s="3" t="n">
        <v>1</v>
      </c>
      <c r="AD435" s="3" t="n">
        <v>2</v>
      </c>
      <c r="AE435" s="3" t="s">
        <v>4046</v>
      </c>
      <c r="AF435" s="3" t="s">
        <v>4047</v>
      </c>
      <c r="AG435" s="3"/>
      <c r="AH435" s="3"/>
      <c r="AI435" s="3" t="s">
        <v>4048</v>
      </c>
      <c r="AJ435" s="3" t="s">
        <v>59</v>
      </c>
      <c r="AK435" s="3" t="s">
        <v>4049</v>
      </c>
      <c r="AL435" s="3"/>
      <c r="AM435" s="3" t="n">
        <v>5</v>
      </c>
      <c r="AN435" s="3"/>
      <c r="AO435" s="3"/>
      <c r="AP435" s="3" t="n">
        <v>4</v>
      </c>
      <c r="AQ435" s="3"/>
      <c r="AR435" s="3"/>
    </row>
    <row r="436" customFormat="false" ht="15" hidden="false" customHeight="true" outlineLevel="0" collapsed="false">
      <c r="A436" s="3" t="s">
        <v>4050</v>
      </c>
      <c r="B436" s="3" t="n">
        <v>6</v>
      </c>
      <c r="C436" s="3" t="n">
        <v>3</v>
      </c>
      <c r="D436" s="3"/>
      <c r="E436" s="4"/>
      <c r="F436" s="3" t="n">
        <v>26</v>
      </c>
      <c r="G436" s="3" t="str">
        <f aca="false">IF(F436="","",IF(F436&gt;=Notes!$B$5,"Elderly ("&amp;Notes!$B$5&amp;"+)",IF(F436&lt;=Notes!$B$4,"Student age (≤"&amp;Notes!$B$4&amp;")","Middle-aged ("&amp;(Notes!$B$4+1)&amp;"–"&amp;(Notes!$B$5-1)&amp;")")))</f>
        <v>Student age (≤29)</v>
      </c>
      <c r="H436" s="3" t="s">
        <v>83</v>
      </c>
      <c r="I436" s="3"/>
      <c r="J436" s="3" t="s">
        <v>437</v>
      </c>
      <c r="K436" s="3" t="s">
        <v>437</v>
      </c>
      <c r="L436" s="3"/>
      <c r="M436" s="3" t="s">
        <v>437</v>
      </c>
      <c r="N436" s="3" t="s">
        <v>437</v>
      </c>
      <c r="O436" s="3" t="s">
        <v>4038</v>
      </c>
      <c r="P436" s="3"/>
      <c r="Q436" s="3" t="s">
        <v>52</v>
      </c>
      <c r="R436" s="3" t="s">
        <v>4051</v>
      </c>
      <c r="S436" s="3" t="s">
        <v>4052</v>
      </c>
      <c r="T436" s="3" t="s">
        <v>4053</v>
      </c>
      <c r="U436" s="3" t="s">
        <v>4054</v>
      </c>
      <c r="V436" s="3" t="s">
        <v>4055</v>
      </c>
      <c r="W436" s="3" t="s">
        <v>4056</v>
      </c>
      <c r="X436" s="3" t="s">
        <v>4057</v>
      </c>
      <c r="Y436" s="3" t="n">
        <v>2</v>
      </c>
      <c r="Z436" s="3" t="n">
        <v>1</v>
      </c>
      <c r="AA436" s="3" t="n">
        <v>3</v>
      </c>
      <c r="AB436" s="3" t="n">
        <v>1</v>
      </c>
      <c r="AC436" s="3" t="n">
        <v>2</v>
      </c>
      <c r="AD436" s="3" t="n">
        <v>3</v>
      </c>
      <c r="AE436" s="3" t="s">
        <v>4058</v>
      </c>
      <c r="AF436" s="3" t="s">
        <v>860</v>
      </c>
      <c r="AG436" s="3"/>
      <c r="AH436" s="3"/>
      <c r="AI436" s="3" t="s">
        <v>4059</v>
      </c>
      <c r="AJ436" s="3" t="s">
        <v>59</v>
      </c>
      <c r="AK436" s="3" t="s">
        <v>4060</v>
      </c>
      <c r="AL436" s="3"/>
      <c r="AM436" s="3" t="n">
        <v>4</v>
      </c>
      <c r="AN436" s="3"/>
      <c r="AO436" s="3"/>
      <c r="AP436" s="3" t="n">
        <v>2</v>
      </c>
      <c r="AQ436" s="3"/>
      <c r="AR436" s="3"/>
    </row>
    <row r="437" customFormat="false" ht="15" hidden="false" customHeight="true" outlineLevel="0" collapsed="false">
      <c r="A437" s="3" t="s">
        <v>4061</v>
      </c>
      <c r="B437" s="3" t="n">
        <v>6</v>
      </c>
      <c r="C437" s="3" t="n">
        <v>4</v>
      </c>
      <c r="D437" s="3"/>
      <c r="E437" s="4"/>
      <c r="F437" s="3" t="n">
        <v>23</v>
      </c>
      <c r="G437" s="3" t="str">
        <f aca="false">IF(F437="","",IF(F437&gt;=Notes!$B$5,"Elderly ("&amp;Notes!$B$5&amp;"+)",IF(F437&lt;=Notes!$B$4,"Student age (≤"&amp;Notes!$B$4&amp;")","Middle-aged ("&amp;(Notes!$B$4+1)&amp;"–"&amp;(Notes!$B$5-1)&amp;")")))</f>
        <v>Student age (≤29)</v>
      </c>
      <c r="H437" s="3" t="s">
        <v>83</v>
      </c>
      <c r="I437" s="3"/>
      <c r="J437" s="3" t="s">
        <v>437</v>
      </c>
      <c r="K437" s="3" t="s">
        <v>437</v>
      </c>
      <c r="L437" s="3"/>
      <c r="M437" s="3" t="s">
        <v>437</v>
      </c>
      <c r="N437" s="3" t="s">
        <v>437</v>
      </c>
      <c r="O437" s="3" t="s">
        <v>4062</v>
      </c>
      <c r="P437" s="3"/>
      <c r="Q437" s="3" t="s">
        <v>117</v>
      </c>
      <c r="R437" s="3" t="s">
        <v>4063</v>
      </c>
      <c r="S437" s="3" t="s">
        <v>2062</v>
      </c>
      <c r="T437" s="3" t="s">
        <v>4064</v>
      </c>
      <c r="U437" s="3" t="s">
        <v>4042</v>
      </c>
      <c r="V437" s="3" t="s">
        <v>4065</v>
      </c>
      <c r="W437" s="3" t="s">
        <v>4066</v>
      </c>
      <c r="X437" s="3" t="s">
        <v>4067</v>
      </c>
      <c r="Y437" s="3" t="n">
        <v>3</v>
      </c>
      <c r="Z437" s="3" t="n">
        <v>1</v>
      </c>
      <c r="AA437" s="3" t="n">
        <v>2</v>
      </c>
      <c r="AB437" s="3" t="n">
        <v>2</v>
      </c>
      <c r="AC437" s="3" t="n">
        <v>1</v>
      </c>
      <c r="AD437" s="3" t="n">
        <v>3</v>
      </c>
      <c r="AE437" s="3" t="s">
        <v>4068</v>
      </c>
      <c r="AF437" s="3" t="s">
        <v>4069</v>
      </c>
      <c r="AG437" s="3"/>
      <c r="AH437" s="3"/>
      <c r="AI437" s="3" t="s">
        <v>4070</v>
      </c>
      <c r="AJ437" s="3" t="s">
        <v>1625</v>
      </c>
      <c r="AK437" s="3" t="s">
        <v>2242</v>
      </c>
      <c r="AL437" s="3"/>
      <c r="AM437" s="3" t="n">
        <v>3</v>
      </c>
      <c r="AN437" s="3"/>
      <c r="AO437" s="3"/>
      <c r="AP437" s="3" t="n">
        <v>3</v>
      </c>
      <c r="AQ437" s="3"/>
      <c r="AR437" s="3"/>
    </row>
    <row r="438" customFormat="false" ht="15" hidden="false" customHeight="true" outlineLevel="0" collapsed="false">
      <c r="A438" s="3" t="s">
        <v>4071</v>
      </c>
      <c r="B438" s="3" t="n">
        <v>6</v>
      </c>
      <c r="C438" s="3" t="n">
        <v>5</v>
      </c>
      <c r="D438" s="3"/>
      <c r="E438" s="4"/>
      <c r="F438" s="3" t="n">
        <v>23</v>
      </c>
      <c r="G438" s="3" t="str">
        <f aca="false">IF(F438="","",IF(F438&gt;=Notes!$B$5,"Elderly ("&amp;Notes!$B$5&amp;"+)",IF(F438&lt;=Notes!$B$4,"Student age (≤"&amp;Notes!$B$4&amp;")","Middle-aged ("&amp;(Notes!$B$4+1)&amp;"–"&amp;(Notes!$B$5-1)&amp;")")))</f>
        <v>Student age (≤29)</v>
      </c>
      <c r="H438" s="3" t="s">
        <v>83</v>
      </c>
      <c r="I438" s="3"/>
      <c r="J438" s="3" t="s">
        <v>437</v>
      </c>
      <c r="K438" s="3" t="s">
        <v>437</v>
      </c>
      <c r="L438" s="3"/>
      <c r="M438" s="3" t="s">
        <v>437</v>
      </c>
      <c r="N438" s="3" t="s">
        <v>437</v>
      </c>
      <c r="O438" s="3" t="s">
        <v>4062</v>
      </c>
      <c r="P438" s="3"/>
      <c r="Q438" s="3" t="s">
        <v>74</v>
      </c>
      <c r="R438" s="3" t="s">
        <v>4072</v>
      </c>
      <c r="S438" s="3" t="s">
        <v>4040</v>
      </c>
      <c r="T438" s="3" t="s">
        <v>4073</v>
      </c>
      <c r="U438" s="3" t="s">
        <v>4042</v>
      </c>
      <c r="V438" s="3" t="s">
        <v>4065</v>
      </c>
      <c r="W438" s="3" t="s">
        <v>4074</v>
      </c>
      <c r="X438" s="3" t="s">
        <v>4075</v>
      </c>
      <c r="Y438" s="3" t="n">
        <v>3</v>
      </c>
      <c r="Z438" s="3" t="n">
        <v>2</v>
      </c>
      <c r="AA438" s="3" t="n">
        <v>1</v>
      </c>
      <c r="AB438" s="3" t="n">
        <v>3</v>
      </c>
      <c r="AC438" s="3" t="n">
        <v>2</v>
      </c>
      <c r="AD438" s="3" t="n">
        <v>1</v>
      </c>
      <c r="AE438" s="3" t="s">
        <v>4076</v>
      </c>
      <c r="AF438" s="3" t="s">
        <v>846</v>
      </c>
      <c r="AG438" s="3"/>
      <c r="AH438" s="3"/>
      <c r="AI438" s="3" t="s">
        <v>4077</v>
      </c>
      <c r="AJ438" s="3" t="s">
        <v>59</v>
      </c>
      <c r="AK438" s="3" t="s">
        <v>4078</v>
      </c>
      <c r="AL438" s="3"/>
      <c r="AM438" s="3" t="n">
        <v>3</v>
      </c>
      <c r="AN438" s="3"/>
      <c r="AO438" s="3"/>
      <c r="AP438" s="3" t="n">
        <v>3</v>
      </c>
      <c r="AQ438" s="3"/>
      <c r="AR438" s="3"/>
    </row>
    <row r="439" customFormat="false" ht="15" hidden="false" customHeight="true" outlineLevel="0" collapsed="false">
      <c r="A439" s="3" t="s">
        <v>4079</v>
      </c>
      <c r="B439" s="3" t="n">
        <v>6</v>
      </c>
      <c r="C439" s="3" t="n">
        <v>6</v>
      </c>
      <c r="D439" s="3"/>
      <c r="E439" s="4"/>
      <c r="F439" s="3" t="n">
        <v>23</v>
      </c>
      <c r="G439" s="3" t="str">
        <f aca="false">IF(F439="","",IF(F439&gt;=Notes!$B$5,"Elderly ("&amp;Notes!$B$5&amp;"+)",IF(F439&lt;=Notes!$B$4,"Student age (≤"&amp;Notes!$B$4&amp;")","Middle-aged ("&amp;(Notes!$B$4+1)&amp;"–"&amp;(Notes!$B$5-1)&amp;")")))</f>
        <v>Student age (≤29)</v>
      </c>
      <c r="H439" s="3" t="s">
        <v>83</v>
      </c>
      <c r="I439" s="3"/>
      <c r="J439" s="3" t="s">
        <v>437</v>
      </c>
      <c r="K439" s="3" t="s">
        <v>437</v>
      </c>
      <c r="L439" s="3" t="s">
        <v>49</v>
      </c>
      <c r="M439" s="3" t="s">
        <v>47</v>
      </c>
      <c r="N439" s="3" t="s">
        <v>50</v>
      </c>
      <c r="O439" s="3" t="s">
        <v>4038</v>
      </c>
      <c r="P439" s="3"/>
      <c r="Q439" s="3" t="s">
        <v>117</v>
      </c>
      <c r="R439" s="3" t="s">
        <v>4080</v>
      </c>
      <c r="S439" s="3" t="s">
        <v>4040</v>
      </c>
      <c r="T439" s="3" t="s">
        <v>4081</v>
      </c>
      <c r="U439" s="3" t="s">
        <v>4042</v>
      </c>
      <c r="V439" s="3" t="s">
        <v>4065</v>
      </c>
      <c r="W439" s="3" t="s">
        <v>4082</v>
      </c>
      <c r="X439" s="3" t="s">
        <v>4083</v>
      </c>
      <c r="Y439" s="3" t="n">
        <v>1</v>
      </c>
      <c r="Z439" s="3" t="n">
        <v>2</v>
      </c>
      <c r="AA439" s="3" t="n">
        <v>3</v>
      </c>
      <c r="AB439" s="3" t="n">
        <v>3</v>
      </c>
      <c r="AC439" s="3" t="n">
        <v>1</v>
      </c>
      <c r="AD439" s="3" t="n">
        <v>2</v>
      </c>
      <c r="AE439" s="3" t="s">
        <v>4084</v>
      </c>
      <c r="AF439" s="3" t="s">
        <v>847</v>
      </c>
      <c r="AG439" s="3"/>
      <c r="AH439" s="3"/>
      <c r="AI439" s="3" t="s">
        <v>4085</v>
      </c>
      <c r="AJ439" s="3" t="s">
        <v>59</v>
      </c>
      <c r="AK439" s="3" t="s">
        <v>4086</v>
      </c>
      <c r="AL439" s="3"/>
      <c r="AM439" s="3" t="n">
        <v>4</v>
      </c>
      <c r="AN439" s="3"/>
      <c r="AO439" s="3"/>
      <c r="AP439" s="3" t="n">
        <v>4</v>
      </c>
      <c r="AQ439" s="3"/>
      <c r="AR439" s="3"/>
    </row>
    <row r="440" customFormat="false" ht="15" hidden="false" customHeight="true" outlineLevel="0" collapsed="false">
      <c r="A440" s="3" t="s">
        <v>4087</v>
      </c>
      <c r="B440" s="3" t="n">
        <v>6</v>
      </c>
      <c r="C440" s="3" t="n">
        <v>7</v>
      </c>
      <c r="D440" s="3"/>
      <c r="E440" s="4"/>
      <c r="F440" s="3" t="n">
        <v>23</v>
      </c>
      <c r="G440" s="3" t="str">
        <f aca="false">IF(F440="","",IF(F440&gt;=Notes!$B$5,"Elderly ("&amp;Notes!$B$5&amp;"+)",IF(F440&lt;=Notes!$B$4,"Student age (≤"&amp;Notes!$B$4&amp;")","Middle-aged ("&amp;(Notes!$B$4+1)&amp;"–"&amp;(Notes!$B$5-1)&amp;")")))</f>
        <v>Student age (≤29)</v>
      </c>
      <c r="H440" s="3" t="s">
        <v>83</v>
      </c>
      <c r="I440" s="3"/>
      <c r="J440" s="3" t="s">
        <v>437</v>
      </c>
      <c r="K440" s="3" t="s">
        <v>437</v>
      </c>
      <c r="L440" s="3"/>
      <c r="M440" s="3" t="s">
        <v>437</v>
      </c>
      <c r="N440" s="3" t="s">
        <v>437</v>
      </c>
      <c r="O440" s="3" t="s">
        <v>4088</v>
      </c>
      <c r="P440" s="3"/>
      <c r="Q440" s="3" t="s">
        <v>117</v>
      </c>
      <c r="R440" s="3" t="s">
        <v>4089</v>
      </c>
      <c r="S440" s="3" t="s">
        <v>4040</v>
      </c>
      <c r="T440" s="3" t="s">
        <v>4090</v>
      </c>
      <c r="U440" s="3" t="s">
        <v>4091</v>
      </c>
      <c r="V440" s="3" t="s">
        <v>4092</v>
      </c>
      <c r="W440" s="3" t="s">
        <v>4093</v>
      </c>
      <c r="X440" s="3" t="s">
        <v>4094</v>
      </c>
      <c r="Y440" s="3" t="n">
        <v>1</v>
      </c>
      <c r="Z440" s="3" t="n">
        <v>2</v>
      </c>
      <c r="AA440" s="3" t="n">
        <v>3</v>
      </c>
      <c r="AB440" s="3" t="n">
        <v>2</v>
      </c>
      <c r="AC440" s="3" t="n">
        <v>1</v>
      </c>
      <c r="AD440" s="3" t="n">
        <v>3</v>
      </c>
      <c r="AE440" s="3" t="s">
        <v>4095</v>
      </c>
      <c r="AF440" s="3" t="s">
        <v>860</v>
      </c>
      <c r="AG440" s="3"/>
      <c r="AH440" s="3"/>
      <c r="AI440" s="3" t="s">
        <v>4085</v>
      </c>
      <c r="AJ440" s="3" t="s">
        <v>59</v>
      </c>
      <c r="AK440" s="3" t="s">
        <v>4096</v>
      </c>
      <c r="AL440" s="3"/>
      <c r="AM440" s="3" t="n">
        <v>5</v>
      </c>
      <c r="AN440" s="3"/>
      <c r="AO440" s="3"/>
      <c r="AP440" s="3" t="n">
        <v>5</v>
      </c>
      <c r="AQ440" s="3"/>
      <c r="AR440" s="3"/>
    </row>
    <row r="441" customFormat="false" ht="15" hidden="false" customHeight="true" outlineLevel="0" collapsed="false">
      <c r="A441" s="3" t="s">
        <v>4097</v>
      </c>
      <c r="B441" s="3" t="n">
        <v>6</v>
      </c>
      <c r="C441" s="3" t="n">
        <v>8</v>
      </c>
      <c r="D441" s="3"/>
      <c r="E441" s="4"/>
      <c r="F441" s="3" t="n">
        <v>25</v>
      </c>
      <c r="G441" s="3" t="str">
        <f aca="false">IF(F441="","",IF(F441&gt;=Notes!$B$5,"Elderly ("&amp;Notes!$B$5&amp;"+)",IF(F441&lt;=Notes!$B$4,"Student age (≤"&amp;Notes!$B$4&amp;")","Middle-aged ("&amp;(Notes!$B$4+1)&amp;"–"&amp;(Notes!$B$5-1)&amp;")")))</f>
        <v>Student age (≤29)</v>
      </c>
      <c r="H441" s="3" t="s">
        <v>45</v>
      </c>
      <c r="I441" s="3"/>
      <c r="J441" s="3" t="s">
        <v>437</v>
      </c>
      <c r="K441" s="3" t="s">
        <v>437</v>
      </c>
      <c r="L441" s="3" t="s">
        <v>49</v>
      </c>
      <c r="M441" s="3" t="s">
        <v>47</v>
      </c>
      <c r="N441" s="3" t="s">
        <v>50</v>
      </c>
      <c r="O441" s="3" t="s">
        <v>4098</v>
      </c>
      <c r="P441" s="3"/>
      <c r="Q441" s="3" t="s">
        <v>117</v>
      </c>
      <c r="R441" s="3" t="s">
        <v>4099</v>
      </c>
      <c r="S441" s="3" t="s">
        <v>4099</v>
      </c>
      <c r="T441" s="3" t="s">
        <v>4100</v>
      </c>
      <c r="U441" s="3" t="s">
        <v>4042</v>
      </c>
      <c r="V441" s="3" t="s">
        <v>4101</v>
      </c>
      <c r="W441" s="3" t="s">
        <v>4102</v>
      </c>
      <c r="X441" s="3" t="s">
        <v>4103</v>
      </c>
      <c r="Y441" s="3" t="n">
        <v>1</v>
      </c>
      <c r="Z441" s="3" t="n">
        <v>3</v>
      </c>
      <c r="AA441" s="3" t="n">
        <v>2</v>
      </c>
      <c r="AB441" s="3" t="n">
        <v>1</v>
      </c>
      <c r="AC441" s="3" t="n">
        <v>3</v>
      </c>
      <c r="AD441" s="3" t="n">
        <v>2</v>
      </c>
      <c r="AE441" s="3" t="s">
        <v>4095</v>
      </c>
      <c r="AF441" s="3" t="s">
        <v>860</v>
      </c>
      <c r="AG441" s="3"/>
      <c r="AH441" s="3"/>
      <c r="AI441" s="3" t="s">
        <v>4104</v>
      </c>
      <c r="AJ441" s="3" t="s">
        <v>59</v>
      </c>
      <c r="AK441" s="3" t="s">
        <v>4105</v>
      </c>
      <c r="AL441" s="3"/>
      <c r="AM441" s="3" t="n">
        <v>5</v>
      </c>
      <c r="AN441" s="3"/>
      <c r="AO441" s="3"/>
      <c r="AP441" s="3" t="n">
        <v>3</v>
      </c>
      <c r="AQ441" s="3"/>
      <c r="AR441" s="3"/>
    </row>
    <row r="442" customFormat="false" ht="15" hidden="false" customHeight="true" outlineLevel="0" collapsed="false">
      <c r="A442" s="3" t="s">
        <v>4106</v>
      </c>
      <c r="B442" s="3" t="n">
        <v>6</v>
      </c>
      <c r="C442" s="3" t="n">
        <v>9</v>
      </c>
      <c r="D442" s="3"/>
      <c r="E442" s="4"/>
      <c r="F442" s="3" t="n">
        <v>23</v>
      </c>
      <c r="G442" s="3" t="str">
        <f aca="false">IF(F442="","",IF(F442&gt;=Notes!$B$5,"Elderly ("&amp;Notes!$B$5&amp;"+)",IF(F442&lt;=Notes!$B$4,"Student age (≤"&amp;Notes!$B$4&amp;")","Middle-aged ("&amp;(Notes!$B$4+1)&amp;"–"&amp;(Notes!$B$5-1)&amp;")")))</f>
        <v>Student age (≤29)</v>
      </c>
      <c r="H442" s="3" t="s">
        <v>45</v>
      </c>
      <c r="I442" s="3"/>
      <c r="J442" s="3" t="s">
        <v>437</v>
      </c>
      <c r="K442" s="3" t="s">
        <v>437</v>
      </c>
      <c r="L442" s="3"/>
      <c r="M442" s="3" t="s">
        <v>437</v>
      </c>
      <c r="N442" s="3" t="s">
        <v>437</v>
      </c>
      <c r="O442" s="3" t="s">
        <v>4038</v>
      </c>
      <c r="P442" s="3"/>
      <c r="Q442" s="3" t="s">
        <v>95</v>
      </c>
      <c r="R442" s="3" t="s">
        <v>4072</v>
      </c>
      <c r="S442" s="3" t="s">
        <v>4040</v>
      </c>
      <c r="T442" s="3" t="s">
        <v>4107</v>
      </c>
      <c r="U442" s="3" t="s">
        <v>4042</v>
      </c>
      <c r="V442" s="3" t="s">
        <v>4043</v>
      </c>
      <c r="W442" s="3" t="s">
        <v>4108</v>
      </c>
      <c r="X442" s="3" t="s">
        <v>4109</v>
      </c>
      <c r="Y442" s="3" t="n">
        <v>1</v>
      </c>
      <c r="Z442" s="3" t="n">
        <v>2</v>
      </c>
      <c r="AA442" s="3" t="n">
        <v>3</v>
      </c>
      <c r="AB442" s="3" t="n">
        <v>3</v>
      </c>
      <c r="AC442" s="3" t="n">
        <v>2</v>
      </c>
      <c r="AD442" s="3" t="n">
        <v>1</v>
      </c>
      <c r="AE442" s="3" t="s">
        <v>4110</v>
      </c>
      <c r="AF442" s="3" t="s">
        <v>4047</v>
      </c>
      <c r="AG442" s="3"/>
      <c r="AH442" s="3"/>
      <c r="AI442" s="3" t="s">
        <v>4111</v>
      </c>
      <c r="AJ442" s="3" t="s">
        <v>59</v>
      </c>
      <c r="AK442" s="3" t="s">
        <v>4112</v>
      </c>
      <c r="AL442" s="3"/>
      <c r="AM442" s="3" t="n">
        <v>4</v>
      </c>
      <c r="AN442" s="3"/>
      <c r="AO442" s="3"/>
      <c r="AP442" s="3" t="n">
        <v>4</v>
      </c>
      <c r="AQ442" s="3"/>
      <c r="AR442" s="3"/>
    </row>
    <row r="443" customFormat="false" ht="15" hidden="false" customHeight="true" outlineLevel="0" collapsed="false">
      <c r="A443" s="3" t="s">
        <v>4113</v>
      </c>
      <c r="B443" s="3" t="n">
        <v>6</v>
      </c>
      <c r="C443" s="3" t="n">
        <v>10</v>
      </c>
      <c r="D443" s="3"/>
      <c r="E443" s="4"/>
      <c r="F443" s="3" t="n">
        <v>23</v>
      </c>
      <c r="G443" s="3" t="str">
        <f aca="false">IF(F443="","",IF(F443&gt;=Notes!$B$5,"Elderly ("&amp;Notes!$B$5&amp;"+)",IF(F443&lt;=Notes!$B$4,"Student age (≤"&amp;Notes!$B$4&amp;")","Middle-aged ("&amp;(Notes!$B$4+1)&amp;"–"&amp;(Notes!$B$5-1)&amp;")")))</f>
        <v>Student age (≤29)</v>
      </c>
      <c r="H443" s="3" t="s">
        <v>45</v>
      </c>
      <c r="I443" s="3"/>
      <c r="J443" s="3" t="s">
        <v>437</v>
      </c>
      <c r="K443" s="3" t="s">
        <v>437</v>
      </c>
      <c r="L443" s="3" t="s">
        <v>49</v>
      </c>
      <c r="M443" s="3" t="s">
        <v>47</v>
      </c>
      <c r="N443" s="3" t="s">
        <v>50</v>
      </c>
      <c r="O443" s="3" t="s">
        <v>4038</v>
      </c>
      <c r="P443" s="3"/>
      <c r="Q443" s="3" t="s">
        <v>117</v>
      </c>
      <c r="R443" s="3" t="s">
        <v>4039</v>
      </c>
      <c r="S443" s="3" t="s">
        <v>4040</v>
      </c>
      <c r="T443" s="3" t="s">
        <v>4107</v>
      </c>
      <c r="U443" s="3" t="s">
        <v>4054</v>
      </c>
      <c r="V443" s="3" t="s">
        <v>4114</v>
      </c>
      <c r="W443" s="3" t="s">
        <v>4115</v>
      </c>
      <c r="X443" s="3" t="s">
        <v>4116</v>
      </c>
      <c r="Y443" s="3" t="n">
        <v>3</v>
      </c>
      <c r="Z443" s="3" t="n">
        <v>1</v>
      </c>
      <c r="AA443" s="3" t="n">
        <v>2</v>
      </c>
      <c r="AB443" s="3" t="n">
        <v>3</v>
      </c>
      <c r="AC443" s="3" t="n">
        <v>1</v>
      </c>
      <c r="AD443" s="3" t="n">
        <v>2</v>
      </c>
      <c r="AE443" s="3" t="s">
        <v>4117</v>
      </c>
      <c r="AF443" s="3" t="s">
        <v>847</v>
      </c>
      <c r="AG443" s="3"/>
      <c r="AH443" s="3"/>
      <c r="AI443" s="3" t="s">
        <v>4111</v>
      </c>
      <c r="AJ443" s="3" t="s">
        <v>59</v>
      </c>
      <c r="AK443" s="3" t="s">
        <v>4118</v>
      </c>
      <c r="AL443" s="3"/>
      <c r="AM443" s="3" t="n">
        <v>3</v>
      </c>
      <c r="AN443" s="3"/>
      <c r="AO443" s="3"/>
      <c r="AP443" s="3" t="n">
        <v>4</v>
      </c>
      <c r="AQ443" s="3"/>
      <c r="AR443" s="3"/>
    </row>
    <row r="444" customFormat="false" ht="15" hidden="false" customHeight="true" outlineLevel="0" collapsed="false">
      <c r="A444" s="3" t="s">
        <v>4119</v>
      </c>
      <c r="B444" s="3" t="n">
        <v>6</v>
      </c>
      <c r="C444" s="3" t="n">
        <v>11</v>
      </c>
      <c r="D444" s="3"/>
      <c r="E444" s="4"/>
      <c r="F444" s="3" t="n">
        <v>40</v>
      </c>
      <c r="G444" s="3" t="str">
        <f aca="false">IF(F444="","",IF(F444&gt;=Notes!$B$5,"Elderly ("&amp;Notes!$B$5&amp;"+)",IF(F444&lt;=Notes!$B$4,"Student age (≤"&amp;Notes!$B$4&amp;")","Middle-aged ("&amp;(Notes!$B$4+1)&amp;"–"&amp;(Notes!$B$5-1)&amp;")")))</f>
        <v>Middle-aged (30–64)</v>
      </c>
      <c r="H444" s="3" t="s">
        <v>45</v>
      </c>
      <c r="I444" s="3"/>
      <c r="J444" s="3" t="s">
        <v>437</v>
      </c>
      <c r="K444" s="3" t="s">
        <v>437</v>
      </c>
      <c r="L444" s="3"/>
      <c r="M444" s="3" t="s">
        <v>437</v>
      </c>
      <c r="N444" s="3" t="s">
        <v>437</v>
      </c>
      <c r="O444" s="3" t="s">
        <v>4038</v>
      </c>
      <c r="P444" s="3"/>
      <c r="Q444" s="3" t="s">
        <v>117</v>
      </c>
      <c r="R444" s="3" t="s">
        <v>4039</v>
      </c>
      <c r="S444" s="3" t="s">
        <v>4099</v>
      </c>
      <c r="T444" s="3" t="s">
        <v>4120</v>
      </c>
      <c r="U444" s="3" t="s">
        <v>4091</v>
      </c>
      <c r="V444" s="3" t="s">
        <v>4121</v>
      </c>
      <c r="W444" s="3" t="s">
        <v>4102</v>
      </c>
      <c r="X444" s="3" t="s">
        <v>4122</v>
      </c>
      <c r="Y444" s="3" t="n">
        <v>3</v>
      </c>
      <c r="Z444" s="3" t="n">
        <v>1</v>
      </c>
      <c r="AA444" s="3" t="n">
        <v>2</v>
      </c>
      <c r="AB444" s="3" t="n">
        <v>3</v>
      </c>
      <c r="AC444" s="3" t="n">
        <v>2</v>
      </c>
      <c r="AD444" s="3" t="n">
        <v>1</v>
      </c>
      <c r="AE444" s="3" t="s">
        <v>4123</v>
      </c>
      <c r="AF444" s="3" t="s">
        <v>846</v>
      </c>
      <c r="AG444" s="3"/>
      <c r="AH444" s="3"/>
      <c r="AI444" s="3" t="s">
        <v>4085</v>
      </c>
      <c r="AJ444" s="3" t="s">
        <v>59</v>
      </c>
      <c r="AK444" s="3" t="s">
        <v>4124</v>
      </c>
      <c r="AL444" s="3"/>
      <c r="AM444" s="3" t="n">
        <v>5</v>
      </c>
      <c r="AN444" s="3"/>
      <c r="AO444" s="3"/>
      <c r="AP444" s="3" t="n">
        <v>5</v>
      </c>
      <c r="AQ444" s="3"/>
      <c r="AR444" s="3"/>
    </row>
    <row r="445" customFormat="false" ht="15" hidden="false" customHeight="true" outlineLevel="0" collapsed="false">
      <c r="A445" s="3" t="s">
        <v>4125</v>
      </c>
      <c r="B445" s="3" t="n">
        <v>6</v>
      </c>
      <c r="C445" s="3" t="n">
        <v>12</v>
      </c>
      <c r="D445" s="3"/>
      <c r="E445" s="4"/>
      <c r="F445" s="3" t="n">
        <v>23</v>
      </c>
      <c r="G445" s="3" t="str">
        <f aca="false">IF(F445="","",IF(F445&gt;=Notes!$B$5,"Elderly ("&amp;Notes!$B$5&amp;"+)",IF(F445&lt;=Notes!$B$4,"Student age (≤"&amp;Notes!$B$4&amp;")","Middle-aged ("&amp;(Notes!$B$4+1)&amp;"–"&amp;(Notes!$B$5-1)&amp;")")))</f>
        <v>Student age (≤29)</v>
      </c>
      <c r="H445" s="3" t="s">
        <v>83</v>
      </c>
      <c r="I445" s="3"/>
      <c r="J445" s="3" t="s">
        <v>437</v>
      </c>
      <c r="K445" s="3" t="s">
        <v>437</v>
      </c>
      <c r="L445" s="3"/>
      <c r="M445" s="3" t="s">
        <v>437</v>
      </c>
      <c r="N445" s="3" t="s">
        <v>437</v>
      </c>
      <c r="O445" s="3" t="s">
        <v>4062</v>
      </c>
      <c r="P445" s="3"/>
      <c r="Q445" s="3" t="s">
        <v>117</v>
      </c>
      <c r="R445" s="3" t="s">
        <v>4072</v>
      </c>
      <c r="S445" s="3" t="s">
        <v>4040</v>
      </c>
      <c r="T445" s="3" t="s">
        <v>4126</v>
      </c>
      <c r="U445" s="3" t="s">
        <v>4042</v>
      </c>
      <c r="V445" s="3" t="s">
        <v>4127</v>
      </c>
      <c r="W445" s="3" t="s">
        <v>4093</v>
      </c>
      <c r="X445" s="3" t="s">
        <v>4116</v>
      </c>
      <c r="Y445" s="3" t="n">
        <v>1</v>
      </c>
      <c r="Z445" s="3" t="n">
        <v>2</v>
      </c>
      <c r="AA445" s="3" t="n">
        <v>3</v>
      </c>
      <c r="AB445" s="3" t="n">
        <v>1</v>
      </c>
      <c r="AC445" s="3" t="n">
        <v>2</v>
      </c>
      <c r="AD445" s="3" t="n">
        <v>3</v>
      </c>
      <c r="AE445" s="3" t="s">
        <v>4117</v>
      </c>
      <c r="AF445" s="3" t="s">
        <v>846</v>
      </c>
      <c r="AG445" s="3"/>
      <c r="AH445" s="3"/>
      <c r="AI445" s="3" t="s">
        <v>4128</v>
      </c>
      <c r="AJ445" s="3" t="s">
        <v>59</v>
      </c>
      <c r="AK445" s="3" t="s">
        <v>4129</v>
      </c>
      <c r="AL445" s="3"/>
      <c r="AM445" s="3" t="n">
        <v>5</v>
      </c>
      <c r="AN445" s="3"/>
      <c r="AO445" s="3"/>
      <c r="AP445" s="3" t="n">
        <v>5</v>
      </c>
      <c r="AQ445" s="3"/>
      <c r="AR445" s="3"/>
    </row>
    <row r="446" customFormat="false" ht="15" hidden="false" customHeight="true" outlineLevel="0" collapsed="false">
      <c r="A446" s="3" t="s">
        <v>4130</v>
      </c>
      <c r="B446" s="3" t="n">
        <v>6</v>
      </c>
      <c r="C446" s="3" t="n">
        <v>13</v>
      </c>
      <c r="D446" s="3"/>
      <c r="E446" s="4"/>
      <c r="F446" s="3" t="n">
        <v>24</v>
      </c>
      <c r="G446" s="3" t="str">
        <f aca="false">IF(F446="","",IF(F446&gt;=Notes!$B$5,"Elderly ("&amp;Notes!$B$5&amp;"+)",IF(F446&lt;=Notes!$B$4,"Student age (≤"&amp;Notes!$B$4&amp;")","Middle-aged ("&amp;(Notes!$B$4+1)&amp;"–"&amp;(Notes!$B$5-1)&amp;")")))</f>
        <v>Student age (≤29)</v>
      </c>
      <c r="H446" s="3" t="s">
        <v>45</v>
      </c>
      <c r="I446" s="3"/>
      <c r="J446" s="3" t="s">
        <v>437</v>
      </c>
      <c r="K446" s="3" t="s">
        <v>437</v>
      </c>
      <c r="L446" s="3"/>
      <c r="M446" s="3" t="s">
        <v>437</v>
      </c>
      <c r="N446" s="3" t="s">
        <v>437</v>
      </c>
      <c r="O446" s="3" t="s">
        <v>4098</v>
      </c>
      <c r="P446" s="3"/>
      <c r="Q446" s="3" t="s">
        <v>52</v>
      </c>
      <c r="R446" s="3" t="s">
        <v>4039</v>
      </c>
      <c r="S446" s="3" t="s">
        <v>4131</v>
      </c>
      <c r="T446" s="3" t="s">
        <v>4107</v>
      </c>
      <c r="U446" s="3" t="s">
        <v>4132</v>
      </c>
      <c r="V446" s="3" t="s">
        <v>4101</v>
      </c>
      <c r="W446" s="3" t="s">
        <v>4133</v>
      </c>
      <c r="X446" s="3" t="s">
        <v>4094</v>
      </c>
      <c r="Y446" s="3" t="n">
        <v>3</v>
      </c>
      <c r="Z446" s="3" t="n">
        <v>1</v>
      </c>
      <c r="AA446" s="3" t="n">
        <v>2</v>
      </c>
      <c r="AB446" s="3" t="n">
        <v>3</v>
      </c>
      <c r="AC446" s="3" t="n">
        <v>1</v>
      </c>
      <c r="AD446" s="3" t="n">
        <v>2</v>
      </c>
      <c r="AE446" s="3" t="s">
        <v>4134</v>
      </c>
      <c r="AF446" s="3" t="s">
        <v>847</v>
      </c>
      <c r="AG446" s="3"/>
      <c r="AH446" s="3"/>
      <c r="AI446" s="3" t="s">
        <v>4070</v>
      </c>
      <c r="AJ446" s="3" t="s">
        <v>1625</v>
      </c>
      <c r="AK446" s="3" t="s">
        <v>2242</v>
      </c>
      <c r="AL446" s="3"/>
      <c r="AM446" s="3" t="n">
        <v>3</v>
      </c>
      <c r="AN446" s="3"/>
      <c r="AO446" s="3"/>
      <c r="AP446" s="3" t="n">
        <v>3</v>
      </c>
      <c r="AQ446" s="3"/>
      <c r="AR446" s="3"/>
    </row>
    <row r="447" customFormat="false" ht="15" hidden="false" customHeight="true" outlineLevel="0" collapsed="false">
      <c r="A447" s="3" t="s">
        <v>4135</v>
      </c>
      <c r="B447" s="3" t="n">
        <v>6</v>
      </c>
      <c r="C447" s="3" t="n">
        <v>14</v>
      </c>
      <c r="D447" s="3"/>
      <c r="E447" s="4"/>
      <c r="F447" s="3" t="n">
        <v>23</v>
      </c>
      <c r="G447" s="3" t="str">
        <f aca="false">IF(F447="","",IF(F447&gt;=Notes!$B$5,"Elderly ("&amp;Notes!$B$5&amp;"+)",IF(F447&lt;=Notes!$B$4,"Student age (≤"&amp;Notes!$B$4&amp;")","Middle-aged ("&amp;(Notes!$B$4+1)&amp;"–"&amp;(Notes!$B$5-1)&amp;")")))</f>
        <v>Student age (≤29)</v>
      </c>
      <c r="H447" s="3" t="s">
        <v>83</v>
      </c>
      <c r="I447" s="3"/>
      <c r="J447" s="3" t="s">
        <v>437</v>
      </c>
      <c r="K447" s="3" t="s">
        <v>437</v>
      </c>
      <c r="L447" s="3"/>
      <c r="M447" s="3" t="s">
        <v>437</v>
      </c>
      <c r="N447" s="3" t="s">
        <v>437</v>
      </c>
      <c r="O447" s="3" t="s">
        <v>4038</v>
      </c>
      <c r="P447" s="3"/>
      <c r="Q447" s="3" t="s">
        <v>117</v>
      </c>
      <c r="R447" s="3" t="s">
        <v>4063</v>
      </c>
      <c r="S447" s="3" t="s">
        <v>4136</v>
      </c>
      <c r="T447" s="3" t="s">
        <v>4120</v>
      </c>
      <c r="U447" s="3" t="s">
        <v>4042</v>
      </c>
      <c r="V447" s="3" t="s">
        <v>4092</v>
      </c>
      <c r="W447" s="3" t="s">
        <v>4137</v>
      </c>
      <c r="X447" s="3" t="s">
        <v>4083</v>
      </c>
      <c r="Y447" s="3" t="n">
        <v>1</v>
      </c>
      <c r="Z447" s="3" t="n">
        <v>2</v>
      </c>
      <c r="AA447" s="3" t="n">
        <v>3</v>
      </c>
      <c r="AB447" s="3" t="n">
        <v>1</v>
      </c>
      <c r="AC447" s="3" t="n">
        <v>2</v>
      </c>
      <c r="AD447" s="3" t="n">
        <v>3</v>
      </c>
      <c r="AE447" s="3" t="s">
        <v>4095</v>
      </c>
      <c r="AF447" s="3" t="s">
        <v>860</v>
      </c>
      <c r="AG447" s="3"/>
      <c r="AH447" s="3"/>
      <c r="AI447" s="3" t="s">
        <v>4085</v>
      </c>
      <c r="AJ447" s="3" t="s">
        <v>1625</v>
      </c>
      <c r="AK447" s="3" t="s">
        <v>2242</v>
      </c>
      <c r="AL447" s="3"/>
      <c r="AM447" s="3" t="n">
        <v>4</v>
      </c>
      <c r="AN447" s="3"/>
      <c r="AO447" s="3"/>
      <c r="AP447" s="3" t="n">
        <v>5</v>
      </c>
      <c r="AQ447" s="3"/>
      <c r="AR447" s="3"/>
    </row>
    <row r="448" customFormat="false" ht="15" hidden="false" customHeight="true" outlineLevel="0" collapsed="false">
      <c r="A448" s="3" t="s">
        <v>4138</v>
      </c>
      <c r="B448" s="3" t="n">
        <v>6</v>
      </c>
      <c r="C448" s="3" t="n">
        <v>15</v>
      </c>
      <c r="D448" s="3"/>
      <c r="E448" s="4"/>
      <c r="F448" s="3" t="n">
        <v>21</v>
      </c>
      <c r="G448" s="3" t="str">
        <f aca="false">IF(F448="","",IF(F448&gt;=Notes!$B$5,"Elderly ("&amp;Notes!$B$5&amp;"+)",IF(F448&lt;=Notes!$B$4,"Student age (≤"&amp;Notes!$B$4&amp;")","Middle-aged ("&amp;(Notes!$B$4+1)&amp;"–"&amp;(Notes!$B$5-1)&amp;")")))</f>
        <v>Student age (≤29)</v>
      </c>
      <c r="H448" s="3" t="s">
        <v>45</v>
      </c>
      <c r="I448" s="3"/>
      <c r="J448" s="3" t="s">
        <v>437</v>
      </c>
      <c r="K448" s="3" t="s">
        <v>437</v>
      </c>
      <c r="L448" s="3"/>
      <c r="M448" s="3" t="s">
        <v>437</v>
      </c>
      <c r="N448" s="3" t="s">
        <v>437</v>
      </c>
      <c r="O448" s="3" t="s">
        <v>4038</v>
      </c>
      <c r="P448" s="3"/>
      <c r="Q448" s="3" t="s">
        <v>74</v>
      </c>
      <c r="R448" s="3" t="s">
        <v>4063</v>
      </c>
      <c r="S448" s="3" t="s">
        <v>4131</v>
      </c>
      <c r="T448" s="3" t="s">
        <v>4139</v>
      </c>
      <c r="U448" s="3" t="s">
        <v>4042</v>
      </c>
      <c r="V448" s="3" t="s">
        <v>4043</v>
      </c>
      <c r="W448" s="3" t="s">
        <v>4140</v>
      </c>
      <c r="X448" s="3" t="s">
        <v>4141</v>
      </c>
      <c r="Y448" s="3" t="n">
        <v>3</v>
      </c>
      <c r="Z448" s="3" t="n">
        <v>2</v>
      </c>
      <c r="AA448" s="3" t="n">
        <v>1</v>
      </c>
      <c r="AB448" s="3" t="n">
        <v>2</v>
      </c>
      <c r="AC448" s="3" t="n">
        <v>3</v>
      </c>
      <c r="AD448" s="3" t="n">
        <v>1</v>
      </c>
      <c r="AE448" s="3" t="s">
        <v>4110</v>
      </c>
      <c r="AF448" s="3" t="s">
        <v>846</v>
      </c>
      <c r="AG448" s="3"/>
      <c r="AH448" s="3"/>
      <c r="AI448" s="3" t="s">
        <v>4077</v>
      </c>
      <c r="AJ448" s="3" t="s">
        <v>59</v>
      </c>
      <c r="AK448" s="3" t="s">
        <v>4142</v>
      </c>
      <c r="AL448" s="3"/>
      <c r="AM448" s="3" t="n">
        <v>4</v>
      </c>
      <c r="AN448" s="3"/>
      <c r="AO448" s="3"/>
      <c r="AP448" s="3" t="n">
        <v>4</v>
      </c>
      <c r="AQ448" s="3"/>
      <c r="AR448" s="3"/>
    </row>
    <row r="449" customFormat="false" ht="15" hidden="false" customHeight="true" outlineLevel="0" collapsed="false">
      <c r="A449" s="3" t="s">
        <v>4143</v>
      </c>
      <c r="B449" s="3" t="n">
        <v>6</v>
      </c>
      <c r="C449" s="3" t="n">
        <v>16</v>
      </c>
      <c r="D449" s="3"/>
      <c r="E449" s="4"/>
      <c r="F449" s="3" t="n">
        <v>25</v>
      </c>
      <c r="G449" s="3" t="str">
        <f aca="false">IF(F449="","",IF(F449&gt;=Notes!$B$5,"Elderly ("&amp;Notes!$B$5&amp;"+)",IF(F449&lt;=Notes!$B$4,"Student age (≤"&amp;Notes!$B$4&amp;")","Middle-aged ("&amp;(Notes!$B$4+1)&amp;"–"&amp;(Notes!$B$5-1)&amp;")")))</f>
        <v>Student age (≤29)</v>
      </c>
      <c r="H449" s="3" t="s">
        <v>45</v>
      </c>
      <c r="I449" s="3"/>
      <c r="J449" s="3" t="s">
        <v>437</v>
      </c>
      <c r="K449" s="3" t="s">
        <v>437</v>
      </c>
      <c r="L449" s="3" t="s">
        <v>4144</v>
      </c>
      <c r="M449" s="3" t="s">
        <v>2574</v>
      </c>
      <c r="N449" s="3" t="s">
        <v>4145</v>
      </c>
      <c r="O449" s="3" t="s">
        <v>4088</v>
      </c>
      <c r="P449" s="3"/>
      <c r="Q449" s="3" t="s">
        <v>117</v>
      </c>
      <c r="R449" s="3" t="s">
        <v>4063</v>
      </c>
      <c r="S449" s="3" t="s">
        <v>4040</v>
      </c>
      <c r="T449" s="3" t="s">
        <v>4120</v>
      </c>
      <c r="U449" s="3" t="s">
        <v>4054</v>
      </c>
      <c r="V449" s="3" t="s">
        <v>4146</v>
      </c>
      <c r="W449" s="3" t="s">
        <v>4147</v>
      </c>
      <c r="X449" s="3" t="s">
        <v>4148</v>
      </c>
      <c r="Y449" s="3" t="n">
        <v>3</v>
      </c>
      <c r="Z449" s="3" t="n">
        <v>2</v>
      </c>
      <c r="AA449" s="3" t="n">
        <v>1</v>
      </c>
      <c r="AB449" s="3" t="n">
        <v>3</v>
      </c>
      <c r="AC449" s="3" t="n">
        <v>1</v>
      </c>
      <c r="AD449" s="3" t="n">
        <v>2</v>
      </c>
      <c r="AE449" s="3" t="s">
        <v>4084</v>
      </c>
      <c r="AF449" s="3" t="s">
        <v>846</v>
      </c>
      <c r="AG449" s="3"/>
      <c r="AH449" s="3"/>
      <c r="AI449" s="3" t="s">
        <v>4085</v>
      </c>
      <c r="AJ449" s="3" t="s">
        <v>59</v>
      </c>
      <c r="AK449" s="3" t="s">
        <v>4124</v>
      </c>
      <c r="AL449" s="3"/>
      <c r="AM449" s="3" t="n">
        <v>4</v>
      </c>
      <c r="AN449" s="3"/>
      <c r="AO449" s="3"/>
      <c r="AP449" s="3" t="n">
        <v>5</v>
      </c>
      <c r="AQ449" s="3"/>
      <c r="AR449" s="3"/>
    </row>
    <row r="450" customFormat="false" ht="15" hidden="false" customHeight="true" outlineLevel="0" collapsed="false">
      <c r="A450" s="3" t="s">
        <v>4149</v>
      </c>
      <c r="B450" s="3" t="n">
        <v>6</v>
      </c>
      <c r="C450" s="3" t="n">
        <v>17</v>
      </c>
      <c r="D450" s="3"/>
      <c r="E450" s="4"/>
      <c r="F450" s="3" t="n">
        <v>24</v>
      </c>
      <c r="G450" s="3" t="str">
        <f aca="false">IF(F450="","",IF(F450&gt;=Notes!$B$5,"Elderly ("&amp;Notes!$B$5&amp;"+)",IF(F450&lt;=Notes!$B$4,"Student age (≤"&amp;Notes!$B$4&amp;")","Middle-aged ("&amp;(Notes!$B$4+1)&amp;"–"&amp;(Notes!$B$5-1)&amp;")")))</f>
        <v>Student age (≤29)</v>
      </c>
      <c r="H450" s="3" t="s">
        <v>45</v>
      </c>
      <c r="I450" s="3"/>
      <c r="J450" s="3" t="s">
        <v>437</v>
      </c>
      <c r="K450" s="3" t="s">
        <v>437</v>
      </c>
      <c r="L450" s="3" t="s">
        <v>49</v>
      </c>
      <c r="M450" s="3" t="s">
        <v>47</v>
      </c>
      <c r="N450" s="3" t="s">
        <v>50</v>
      </c>
      <c r="O450" s="3" t="s">
        <v>4038</v>
      </c>
      <c r="P450" s="3"/>
      <c r="Q450" s="3" t="s">
        <v>95</v>
      </c>
      <c r="R450" s="3" t="s">
        <v>4039</v>
      </c>
      <c r="S450" s="3" t="s">
        <v>4150</v>
      </c>
      <c r="T450" s="3" t="s">
        <v>4151</v>
      </c>
      <c r="U450" s="3" t="s">
        <v>4042</v>
      </c>
      <c r="V450" s="3" t="s">
        <v>4065</v>
      </c>
      <c r="W450" s="3" t="s">
        <v>4152</v>
      </c>
      <c r="X450" s="3" t="s">
        <v>4148</v>
      </c>
      <c r="Y450" s="3" t="n">
        <v>1</v>
      </c>
      <c r="Z450" s="3" t="n">
        <v>2</v>
      </c>
      <c r="AA450" s="3" t="n">
        <v>3</v>
      </c>
      <c r="AB450" s="3" t="n">
        <v>1</v>
      </c>
      <c r="AC450" s="3" t="n">
        <v>2</v>
      </c>
      <c r="AD450" s="3" t="n">
        <v>3</v>
      </c>
      <c r="AE450" s="3" t="s">
        <v>4095</v>
      </c>
      <c r="AF450" s="3" t="s">
        <v>860</v>
      </c>
      <c r="AG450" s="3"/>
      <c r="AH450" s="3"/>
      <c r="AI450" s="3" t="s">
        <v>4085</v>
      </c>
      <c r="AJ450" s="3" t="s">
        <v>59</v>
      </c>
      <c r="AK450" s="3" t="s">
        <v>4153</v>
      </c>
      <c r="AL450" s="3"/>
      <c r="AM450" s="3" t="n">
        <v>5</v>
      </c>
      <c r="AN450" s="3"/>
      <c r="AO450" s="3"/>
      <c r="AP450" s="3" t="n">
        <v>5</v>
      </c>
      <c r="AQ450" s="3"/>
      <c r="AR450" s="3"/>
    </row>
    <row r="451" customFormat="false" ht="15" hidden="false" customHeight="true" outlineLevel="0" collapsed="false">
      <c r="A451" s="3" t="s">
        <v>4154</v>
      </c>
      <c r="B451" s="3" t="n">
        <v>6</v>
      </c>
      <c r="C451" s="3" t="n">
        <v>18</v>
      </c>
      <c r="D451" s="3"/>
      <c r="E451" s="4"/>
      <c r="F451" s="3" t="n">
        <v>27</v>
      </c>
      <c r="G451" s="3" t="str">
        <f aca="false">IF(F451="","",IF(F451&gt;=Notes!$B$5,"Elderly ("&amp;Notes!$B$5&amp;"+)",IF(F451&lt;=Notes!$B$4,"Student age (≤"&amp;Notes!$B$4&amp;")","Middle-aged ("&amp;(Notes!$B$4+1)&amp;"–"&amp;(Notes!$B$5-1)&amp;")")))</f>
        <v>Student age (≤29)</v>
      </c>
      <c r="H451" s="3" t="s">
        <v>45</v>
      </c>
      <c r="I451" s="3"/>
      <c r="J451" s="3" t="s">
        <v>437</v>
      </c>
      <c r="K451" s="3" t="s">
        <v>437</v>
      </c>
      <c r="L451" s="3"/>
      <c r="M451" s="3" t="s">
        <v>437</v>
      </c>
      <c r="N451" s="3" t="s">
        <v>437</v>
      </c>
      <c r="O451" s="3" t="s">
        <v>4088</v>
      </c>
      <c r="P451" s="3"/>
      <c r="Q451" s="3" t="s">
        <v>117</v>
      </c>
      <c r="R451" s="3" t="s">
        <v>4063</v>
      </c>
      <c r="S451" s="3" t="s">
        <v>4131</v>
      </c>
      <c r="T451" s="3" t="s">
        <v>4100</v>
      </c>
      <c r="U451" s="3" t="s">
        <v>4042</v>
      </c>
      <c r="V451" s="3" t="s">
        <v>4101</v>
      </c>
      <c r="W451" s="3" t="s">
        <v>4155</v>
      </c>
      <c r="X451" s="3" t="s">
        <v>4156</v>
      </c>
      <c r="Y451" s="3" t="n">
        <v>2</v>
      </c>
      <c r="Z451" s="3" t="n">
        <v>1</v>
      </c>
      <c r="AA451" s="3" t="n">
        <v>3</v>
      </c>
      <c r="AB451" s="3" t="n">
        <v>2</v>
      </c>
      <c r="AC451" s="3" t="n">
        <v>1</v>
      </c>
      <c r="AD451" s="3" t="n">
        <v>3</v>
      </c>
      <c r="AE451" s="3" t="s">
        <v>4123</v>
      </c>
      <c r="AF451" s="3" t="s">
        <v>847</v>
      </c>
      <c r="AG451" s="3"/>
      <c r="AH451" s="3"/>
      <c r="AI451" s="3" t="s">
        <v>4085</v>
      </c>
      <c r="AJ451" s="3" t="s">
        <v>59</v>
      </c>
      <c r="AK451" s="3" t="s">
        <v>4157</v>
      </c>
      <c r="AL451" s="3"/>
      <c r="AM451" s="3" t="n">
        <v>3</v>
      </c>
      <c r="AN451" s="3"/>
      <c r="AO451" s="3"/>
      <c r="AP451" s="3" t="n">
        <v>3</v>
      </c>
      <c r="AQ451" s="3"/>
      <c r="AR451" s="3"/>
    </row>
    <row r="452" customFormat="false" ht="15" hidden="false" customHeight="true" outlineLevel="0" collapsed="false">
      <c r="A452" s="3" t="s">
        <v>4158</v>
      </c>
      <c r="B452" s="3" t="n">
        <v>6</v>
      </c>
      <c r="C452" s="3" t="n">
        <v>19</v>
      </c>
      <c r="D452" s="3"/>
      <c r="E452" s="4"/>
      <c r="F452" s="3" t="n">
        <v>24</v>
      </c>
      <c r="G452" s="3" t="str">
        <f aca="false">IF(F452="","",IF(F452&gt;=Notes!$B$5,"Elderly ("&amp;Notes!$B$5&amp;"+)",IF(F452&lt;=Notes!$B$4,"Student age (≤"&amp;Notes!$B$4&amp;")","Middle-aged ("&amp;(Notes!$B$4+1)&amp;"–"&amp;(Notes!$B$5-1)&amp;")")))</f>
        <v>Student age (≤29)</v>
      </c>
      <c r="H452" s="3" t="s">
        <v>45</v>
      </c>
      <c r="I452" s="3"/>
      <c r="J452" s="3" t="s">
        <v>437</v>
      </c>
      <c r="K452" s="3" t="s">
        <v>437</v>
      </c>
      <c r="L452" s="3"/>
      <c r="M452" s="3" t="s">
        <v>47</v>
      </c>
      <c r="N452" s="3" t="s">
        <v>47</v>
      </c>
      <c r="O452" s="3" t="s">
        <v>4062</v>
      </c>
      <c r="P452" s="3"/>
      <c r="Q452" s="3" t="s">
        <v>117</v>
      </c>
      <c r="R452" s="3" t="s">
        <v>4039</v>
      </c>
      <c r="S452" s="3" t="s">
        <v>4040</v>
      </c>
      <c r="T452" s="3" t="s">
        <v>4120</v>
      </c>
      <c r="U452" s="3" t="s">
        <v>4042</v>
      </c>
      <c r="V452" s="3" t="s">
        <v>4065</v>
      </c>
      <c r="W452" s="3" t="s">
        <v>4102</v>
      </c>
      <c r="X452" s="3" t="s">
        <v>4103</v>
      </c>
      <c r="Y452" s="3" t="n">
        <v>1</v>
      </c>
      <c r="Z452" s="3" t="n">
        <v>3</v>
      </c>
      <c r="AA452" s="3" t="n">
        <v>2</v>
      </c>
      <c r="AB452" s="3" t="n">
        <v>2</v>
      </c>
      <c r="AC452" s="3" t="n">
        <v>3</v>
      </c>
      <c r="AD452" s="3" t="n">
        <v>1</v>
      </c>
      <c r="AE452" s="3" t="s">
        <v>4159</v>
      </c>
      <c r="AF452" s="3" t="s">
        <v>846</v>
      </c>
      <c r="AG452" s="3"/>
      <c r="AH452" s="3"/>
      <c r="AI452" s="3" t="s">
        <v>4059</v>
      </c>
      <c r="AJ452" s="3" t="s">
        <v>59</v>
      </c>
      <c r="AK452" s="3" t="s">
        <v>4142</v>
      </c>
      <c r="AL452" s="3"/>
      <c r="AM452" s="3" t="n">
        <v>4</v>
      </c>
      <c r="AN452" s="3"/>
      <c r="AO452" s="3"/>
      <c r="AP452" s="3" t="n">
        <v>4</v>
      </c>
      <c r="AQ452" s="3"/>
      <c r="AR452" s="3"/>
    </row>
    <row r="453" customFormat="false" ht="15" hidden="false" customHeight="true" outlineLevel="0" collapsed="false">
      <c r="A453" s="3" t="s">
        <v>4160</v>
      </c>
      <c r="B453" s="3" t="n">
        <v>6</v>
      </c>
      <c r="C453" s="3" t="n">
        <v>20</v>
      </c>
      <c r="D453" s="3"/>
      <c r="E453" s="4"/>
      <c r="F453" s="3" t="n">
        <v>23</v>
      </c>
      <c r="G453" s="3" t="str">
        <f aca="false">IF(F453="","",IF(F453&gt;=Notes!$B$5,"Elderly ("&amp;Notes!$B$5&amp;"+)",IF(F453&lt;=Notes!$B$4,"Student age (≤"&amp;Notes!$B$4&amp;")","Middle-aged ("&amp;(Notes!$B$4+1)&amp;"–"&amp;(Notes!$B$5-1)&amp;")")))</f>
        <v>Student age (≤29)</v>
      </c>
      <c r="H453" s="3" t="s">
        <v>45</v>
      </c>
      <c r="I453" s="3"/>
      <c r="J453" s="3" t="s">
        <v>437</v>
      </c>
      <c r="K453" s="3" t="s">
        <v>437</v>
      </c>
      <c r="L453" s="3"/>
      <c r="M453" s="3" t="s">
        <v>437</v>
      </c>
      <c r="N453" s="3" t="s">
        <v>437</v>
      </c>
      <c r="O453" s="3" t="s">
        <v>4038</v>
      </c>
      <c r="P453" s="3"/>
      <c r="Q453" s="3" t="s">
        <v>95</v>
      </c>
      <c r="R453" s="3" t="s">
        <v>4039</v>
      </c>
      <c r="S453" s="3" t="s">
        <v>4052</v>
      </c>
      <c r="T453" s="3" t="s">
        <v>4100</v>
      </c>
      <c r="U453" s="3" t="s">
        <v>4054</v>
      </c>
      <c r="V453" s="3" t="s">
        <v>4161</v>
      </c>
      <c r="W453" s="3" t="s">
        <v>4162</v>
      </c>
      <c r="X453" s="3" t="s">
        <v>4103</v>
      </c>
      <c r="Y453" s="3" t="n">
        <v>1</v>
      </c>
      <c r="Z453" s="3" t="n">
        <v>3</v>
      </c>
      <c r="AA453" s="3" t="n">
        <v>2</v>
      </c>
      <c r="AB453" s="3" t="n">
        <v>1</v>
      </c>
      <c r="AC453" s="3" t="n">
        <v>2</v>
      </c>
      <c r="AD453" s="3" t="n">
        <v>3</v>
      </c>
      <c r="AE453" s="3" t="s">
        <v>4163</v>
      </c>
      <c r="AF453" s="3" t="s">
        <v>846</v>
      </c>
      <c r="AG453" s="3"/>
      <c r="AH453" s="3"/>
      <c r="AI453" s="3" t="s">
        <v>4164</v>
      </c>
      <c r="AJ453" s="3" t="s">
        <v>1625</v>
      </c>
      <c r="AK453" s="3" t="s">
        <v>2242</v>
      </c>
      <c r="AL453" s="3"/>
      <c r="AM453" s="3" t="n">
        <v>3</v>
      </c>
      <c r="AN453" s="3"/>
      <c r="AO453" s="3"/>
      <c r="AP453" s="3" t="n">
        <v>4</v>
      </c>
      <c r="AQ453" s="3"/>
      <c r="AR453" s="3"/>
    </row>
    <row r="454" customFormat="false" ht="15" hidden="false" customHeight="true" outlineLevel="0" collapsed="false">
      <c r="A454" s="3" t="s">
        <v>4165</v>
      </c>
      <c r="B454" s="3" t="n">
        <v>6</v>
      </c>
      <c r="C454" s="3" t="n">
        <v>21</v>
      </c>
      <c r="D454" s="3"/>
      <c r="E454" s="4"/>
      <c r="F454" s="3" t="n">
        <v>23</v>
      </c>
      <c r="G454" s="3" t="str">
        <f aca="false">IF(F454="","",IF(F454&gt;=Notes!$B$5,"Elderly ("&amp;Notes!$B$5&amp;"+)",IF(F454&lt;=Notes!$B$4,"Student age (≤"&amp;Notes!$B$4&amp;")","Middle-aged ("&amp;(Notes!$B$4+1)&amp;"–"&amp;(Notes!$B$5-1)&amp;")")))</f>
        <v>Student age (≤29)</v>
      </c>
      <c r="H454" s="3" t="s">
        <v>83</v>
      </c>
      <c r="I454" s="3"/>
      <c r="J454" s="3" t="s">
        <v>437</v>
      </c>
      <c r="K454" s="3" t="s">
        <v>437</v>
      </c>
      <c r="L454" s="3"/>
      <c r="M454" s="3" t="s">
        <v>437</v>
      </c>
      <c r="N454" s="3" t="s">
        <v>437</v>
      </c>
      <c r="O454" s="3" t="s">
        <v>4062</v>
      </c>
      <c r="P454" s="3"/>
      <c r="Q454" s="3" t="s">
        <v>52</v>
      </c>
      <c r="R454" s="3" t="s">
        <v>4063</v>
      </c>
      <c r="S454" s="3" t="s">
        <v>2062</v>
      </c>
      <c r="T454" s="3" t="s">
        <v>4166</v>
      </c>
      <c r="U454" s="3" t="s">
        <v>4132</v>
      </c>
      <c r="V454" s="3" t="s">
        <v>4167</v>
      </c>
      <c r="W454" s="3" t="s">
        <v>4168</v>
      </c>
      <c r="X454" s="3" t="s">
        <v>4169</v>
      </c>
      <c r="Y454" s="3" t="n">
        <v>2</v>
      </c>
      <c r="Z454" s="3" t="n">
        <v>1</v>
      </c>
      <c r="AA454" s="3" t="n">
        <v>3</v>
      </c>
      <c r="AB454" s="3" t="n">
        <v>2</v>
      </c>
      <c r="AC454" s="3" t="n">
        <v>3</v>
      </c>
      <c r="AD454" s="3" t="n">
        <v>1</v>
      </c>
      <c r="AE454" s="3" t="s">
        <v>4170</v>
      </c>
      <c r="AF454" s="3" t="s">
        <v>847</v>
      </c>
      <c r="AG454" s="3"/>
      <c r="AH454" s="3"/>
      <c r="AI454" s="3" t="s">
        <v>4164</v>
      </c>
      <c r="AJ454" s="3" t="s">
        <v>59</v>
      </c>
      <c r="AK454" s="3" t="s">
        <v>4171</v>
      </c>
      <c r="AL454" s="3"/>
      <c r="AM454" s="3" t="n">
        <v>3</v>
      </c>
      <c r="AN454" s="3"/>
      <c r="AO454" s="3"/>
      <c r="AP454" s="3" t="n">
        <v>3</v>
      </c>
      <c r="AQ454" s="3"/>
      <c r="AR454" s="3"/>
    </row>
    <row r="455" customFormat="false" ht="15" hidden="false" customHeight="true" outlineLevel="0" collapsed="false">
      <c r="A455" s="3" t="s">
        <v>4172</v>
      </c>
      <c r="B455" s="3" t="n">
        <v>6</v>
      </c>
      <c r="C455" s="3" t="n">
        <v>22</v>
      </c>
      <c r="D455" s="3"/>
      <c r="E455" s="4"/>
      <c r="F455" s="3" t="n">
        <v>21</v>
      </c>
      <c r="G455" s="3" t="str">
        <f aca="false">IF(F455="","",IF(F455&gt;=Notes!$B$5,"Elderly ("&amp;Notes!$B$5&amp;"+)",IF(F455&lt;=Notes!$B$4,"Student age (≤"&amp;Notes!$B$4&amp;")","Middle-aged ("&amp;(Notes!$B$4+1)&amp;"–"&amp;(Notes!$B$5-1)&amp;")")))</f>
        <v>Student age (≤29)</v>
      </c>
      <c r="H455" s="3" t="s">
        <v>45</v>
      </c>
      <c r="I455" s="3"/>
      <c r="J455" s="3" t="s">
        <v>437</v>
      </c>
      <c r="K455" s="3" t="s">
        <v>437</v>
      </c>
      <c r="L455" s="3"/>
      <c r="M455" s="3" t="s">
        <v>437</v>
      </c>
      <c r="N455" s="3" t="s">
        <v>437</v>
      </c>
      <c r="O455" s="3" t="s">
        <v>4088</v>
      </c>
      <c r="P455" s="3"/>
      <c r="Q455" s="3" t="s">
        <v>52</v>
      </c>
      <c r="R455" s="3" t="s">
        <v>4063</v>
      </c>
      <c r="S455" s="3" t="s">
        <v>2062</v>
      </c>
      <c r="T455" s="3" t="s">
        <v>4100</v>
      </c>
      <c r="U455" s="3" t="s">
        <v>4042</v>
      </c>
      <c r="V455" s="3" t="s">
        <v>4173</v>
      </c>
      <c r="W455" s="3" t="s">
        <v>4174</v>
      </c>
      <c r="X455" s="3" t="s">
        <v>4103</v>
      </c>
      <c r="Y455" s="3" t="n">
        <v>3</v>
      </c>
      <c r="Z455" s="3" t="n">
        <v>1</v>
      </c>
      <c r="AA455" s="3" t="n">
        <v>2</v>
      </c>
      <c r="AB455" s="3" t="n">
        <v>3</v>
      </c>
      <c r="AC455" s="3" t="n">
        <v>1</v>
      </c>
      <c r="AD455" s="3" t="n">
        <v>2</v>
      </c>
      <c r="AE455" s="3" t="s">
        <v>4117</v>
      </c>
      <c r="AF455" s="3" t="s">
        <v>847</v>
      </c>
      <c r="AG455" s="3"/>
      <c r="AH455" s="3"/>
      <c r="AI455" s="3" t="s">
        <v>4048</v>
      </c>
      <c r="AJ455" s="3" t="s">
        <v>59</v>
      </c>
      <c r="AK455" s="3" t="s">
        <v>4175</v>
      </c>
      <c r="AL455" s="3"/>
      <c r="AM455" s="3" t="n">
        <v>4</v>
      </c>
      <c r="AN455" s="3"/>
      <c r="AO455" s="3"/>
      <c r="AP455" s="3" t="n">
        <v>4</v>
      </c>
      <c r="AQ455" s="3"/>
      <c r="AR455" s="3"/>
    </row>
    <row r="456" customFormat="false" ht="15" hidden="false" customHeight="true" outlineLevel="0" collapsed="false">
      <c r="A456" s="3" t="s">
        <v>4176</v>
      </c>
      <c r="B456" s="3" t="n">
        <v>6</v>
      </c>
      <c r="C456" s="3" t="n">
        <v>23</v>
      </c>
      <c r="D456" s="3"/>
      <c r="E456" s="4"/>
      <c r="F456" s="3" t="n">
        <v>20</v>
      </c>
      <c r="G456" s="3" t="str">
        <f aca="false">IF(F456="","",IF(F456&gt;=Notes!$B$5,"Elderly ("&amp;Notes!$B$5&amp;"+)",IF(F456&lt;=Notes!$B$4,"Student age (≤"&amp;Notes!$B$4&amp;")","Middle-aged ("&amp;(Notes!$B$4+1)&amp;"–"&amp;(Notes!$B$5-1)&amp;")")))</f>
        <v>Student age (≤29)</v>
      </c>
      <c r="H456" s="3" t="s">
        <v>45</v>
      </c>
      <c r="I456" s="3"/>
      <c r="J456" s="3" t="s">
        <v>437</v>
      </c>
      <c r="K456" s="3" t="s">
        <v>437</v>
      </c>
      <c r="L456" s="3"/>
      <c r="M456" s="3" t="s">
        <v>437</v>
      </c>
      <c r="N456" s="3" t="s">
        <v>437</v>
      </c>
      <c r="O456" s="3" t="s">
        <v>4088</v>
      </c>
      <c r="P456" s="3"/>
      <c r="Q456" s="3" t="s">
        <v>74</v>
      </c>
      <c r="R456" s="3" t="s">
        <v>4080</v>
      </c>
      <c r="S456" s="3" t="s">
        <v>4052</v>
      </c>
      <c r="T456" s="3" t="s">
        <v>4041</v>
      </c>
      <c r="U456" s="3" t="s">
        <v>4042</v>
      </c>
      <c r="V456" s="3" t="s">
        <v>4177</v>
      </c>
      <c r="W456" s="3" t="s">
        <v>4044</v>
      </c>
      <c r="X456" s="3" t="s">
        <v>4148</v>
      </c>
      <c r="Y456" s="3" t="n">
        <v>1</v>
      </c>
      <c r="Z456" s="3" t="n">
        <v>2</v>
      </c>
      <c r="AA456" s="3" t="n">
        <v>3</v>
      </c>
      <c r="AB456" s="3" t="n">
        <v>2</v>
      </c>
      <c r="AC456" s="3" t="n">
        <v>1</v>
      </c>
      <c r="AD456" s="3" t="n">
        <v>3</v>
      </c>
      <c r="AE456" s="3" t="s">
        <v>4095</v>
      </c>
      <c r="AF456" s="3" t="s">
        <v>4069</v>
      </c>
      <c r="AG456" s="3"/>
      <c r="AH456" s="3"/>
      <c r="AI456" s="3" t="s">
        <v>4128</v>
      </c>
      <c r="AJ456" s="3" t="s">
        <v>59</v>
      </c>
      <c r="AK456" s="3" t="s">
        <v>4178</v>
      </c>
      <c r="AL456" s="3"/>
      <c r="AM456" s="3" t="n">
        <v>4</v>
      </c>
      <c r="AN456" s="3"/>
      <c r="AO456" s="3"/>
      <c r="AP456" s="3" t="n">
        <v>3</v>
      </c>
      <c r="AQ456" s="3"/>
      <c r="AR456" s="3"/>
    </row>
    <row r="457" customFormat="false" ht="15" hidden="false" customHeight="true" outlineLevel="0" collapsed="false">
      <c r="A457" s="3" t="s">
        <v>4179</v>
      </c>
      <c r="B457" s="3" t="n">
        <v>6</v>
      </c>
      <c r="C457" s="3" t="n">
        <v>24</v>
      </c>
      <c r="D457" s="3"/>
      <c r="E457" s="4"/>
      <c r="F457" s="3" t="n">
        <v>20</v>
      </c>
      <c r="G457" s="3" t="str">
        <f aca="false">IF(F457="","",IF(F457&gt;=Notes!$B$5,"Elderly ("&amp;Notes!$B$5&amp;"+)",IF(F457&lt;=Notes!$B$4,"Student age (≤"&amp;Notes!$B$4&amp;")","Middle-aged ("&amp;(Notes!$B$4+1)&amp;"–"&amp;(Notes!$B$5-1)&amp;")")))</f>
        <v>Student age (≤29)</v>
      </c>
      <c r="H457" s="3" t="s">
        <v>45</v>
      </c>
      <c r="I457" s="3"/>
      <c r="J457" s="3" t="s">
        <v>437</v>
      </c>
      <c r="K457" s="3" t="s">
        <v>437</v>
      </c>
      <c r="L457" s="3"/>
      <c r="M457" s="3" t="s">
        <v>437</v>
      </c>
      <c r="N457" s="3" t="s">
        <v>437</v>
      </c>
      <c r="O457" s="3" t="s">
        <v>4088</v>
      </c>
      <c r="P457" s="3"/>
      <c r="Q457" s="3" t="s">
        <v>95</v>
      </c>
      <c r="R457" s="3" t="s">
        <v>4072</v>
      </c>
      <c r="S457" s="3" t="s">
        <v>2062</v>
      </c>
      <c r="T457" s="3" t="s">
        <v>4100</v>
      </c>
      <c r="U457" s="3" t="s">
        <v>4042</v>
      </c>
      <c r="V457" s="3" t="s">
        <v>4065</v>
      </c>
      <c r="W457" s="3" t="s">
        <v>4180</v>
      </c>
      <c r="X457" s="3" t="s">
        <v>4045</v>
      </c>
      <c r="Y457" s="3" t="n">
        <v>1</v>
      </c>
      <c r="Z457" s="3" t="n">
        <v>2</v>
      </c>
      <c r="AA457" s="3" t="n">
        <v>3</v>
      </c>
      <c r="AB457" s="3" t="n">
        <v>2</v>
      </c>
      <c r="AC457" s="3" t="n">
        <v>1</v>
      </c>
      <c r="AD457" s="3" t="n">
        <v>3</v>
      </c>
      <c r="AE457" s="3" t="s">
        <v>4117</v>
      </c>
      <c r="AF457" s="3" t="s">
        <v>860</v>
      </c>
      <c r="AG457" s="3"/>
      <c r="AH457" s="3"/>
      <c r="AI457" s="3" t="s">
        <v>4085</v>
      </c>
      <c r="AJ457" s="3" t="s">
        <v>59</v>
      </c>
      <c r="AK457" s="3" t="s">
        <v>4181</v>
      </c>
      <c r="AL457" s="3"/>
      <c r="AM457" s="3" t="n">
        <v>4</v>
      </c>
      <c r="AN457" s="3"/>
      <c r="AO457" s="3"/>
      <c r="AP457" s="3" t="n">
        <v>4</v>
      </c>
      <c r="AQ457" s="3"/>
      <c r="AR457" s="3"/>
    </row>
    <row r="458" customFormat="false" ht="15" hidden="false" customHeight="true" outlineLevel="0" collapsed="false">
      <c r="A458" s="3" t="s">
        <v>4182</v>
      </c>
      <c r="B458" s="3" t="n">
        <v>6</v>
      </c>
      <c r="C458" s="3" t="n">
        <v>25</v>
      </c>
      <c r="D458" s="3"/>
      <c r="E458" s="4"/>
      <c r="F458" s="3" t="n">
        <v>18</v>
      </c>
      <c r="G458" s="3" t="str">
        <f aca="false">IF(F458="","",IF(F458&gt;=Notes!$B$5,"Elderly ("&amp;Notes!$B$5&amp;"+)",IF(F458&lt;=Notes!$B$4,"Student age (≤"&amp;Notes!$B$4&amp;")","Middle-aged ("&amp;(Notes!$B$4+1)&amp;"–"&amp;(Notes!$B$5-1)&amp;")")))</f>
        <v>Student age (≤29)</v>
      </c>
      <c r="H458" s="3" t="s">
        <v>45</v>
      </c>
      <c r="I458" s="3"/>
      <c r="J458" s="3" t="s">
        <v>437</v>
      </c>
      <c r="K458" s="3" t="s">
        <v>437</v>
      </c>
      <c r="L458" s="3"/>
      <c r="M458" s="3" t="s">
        <v>437</v>
      </c>
      <c r="N458" s="3" t="s">
        <v>437</v>
      </c>
      <c r="O458" s="3" t="s">
        <v>4062</v>
      </c>
      <c r="P458" s="3"/>
      <c r="Q458" s="3" t="s">
        <v>117</v>
      </c>
      <c r="R458" s="3" t="s">
        <v>4063</v>
      </c>
      <c r="S458" s="3" t="s">
        <v>4131</v>
      </c>
      <c r="T458" s="3" t="s">
        <v>4183</v>
      </c>
      <c r="U458" s="3" t="s">
        <v>4042</v>
      </c>
      <c r="V458" s="3" t="s">
        <v>4184</v>
      </c>
      <c r="W458" s="3" t="s">
        <v>4185</v>
      </c>
      <c r="X458" s="3" t="s">
        <v>4186</v>
      </c>
      <c r="Y458" s="3" t="n">
        <v>1</v>
      </c>
      <c r="Z458" s="3" t="n">
        <v>2</v>
      </c>
      <c r="AA458" s="3" t="n">
        <v>3</v>
      </c>
      <c r="AB458" s="3" t="n">
        <v>2</v>
      </c>
      <c r="AC458" s="3" t="n">
        <v>1</v>
      </c>
      <c r="AD458" s="3" t="n">
        <v>3</v>
      </c>
      <c r="AE458" s="3" t="s">
        <v>4110</v>
      </c>
      <c r="AF458" s="3" t="s">
        <v>4069</v>
      </c>
      <c r="AG458" s="3"/>
      <c r="AH458" s="3"/>
      <c r="AI458" s="3" t="s">
        <v>4048</v>
      </c>
      <c r="AJ458" s="3" t="s">
        <v>59</v>
      </c>
      <c r="AK458" s="3" t="s">
        <v>4175</v>
      </c>
      <c r="AL458" s="3"/>
      <c r="AM458" s="3" t="n">
        <v>5</v>
      </c>
      <c r="AN458" s="3"/>
      <c r="AO458" s="3"/>
      <c r="AP458" s="3" t="n">
        <v>5</v>
      </c>
      <c r="AQ458" s="3"/>
      <c r="AR458" s="3"/>
    </row>
    <row r="459" customFormat="false" ht="15" hidden="false" customHeight="true" outlineLevel="0" collapsed="false">
      <c r="A459" s="3" t="s">
        <v>4187</v>
      </c>
      <c r="B459" s="3" t="n">
        <v>6</v>
      </c>
      <c r="C459" s="3" t="n">
        <v>26</v>
      </c>
      <c r="D459" s="3"/>
      <c r="E459" s="4"/>
      <c r="F459" s="3" t="n">
        <v>20</v>
      </c>
      <c r="G459" s="3" t="str">
        <f aca="false">IF(F459="","",IF(F459&gt;=Notes!$B$5,"Elderly ("&amp;Notes!$B$5&amp;"+)",IF(F459&lt;=Notes!$B$4,"Student age (≤"&amp;Notes!$B$4&amp;")","Middle-aged ("&amp;(Notes!$B$4+1)&amp;"–"&amp;(Notes!$B$5-1)&amp;")")))</f>
        <v>Student age (≤29)</v>
      </c>
      <c r="H459" s="3" t="s">
        <v>45</v>
      </c>
      <c r="I459" s="3"/>
      <c r="J459" s="3" t="s">
        <v>437</v>
      </c>
      <c r="K459" s="3" t="s">
        <v>437</v>
      </c>
      <c r="L459" s="3"/>
      <c r="M459" s="3" t="s">
        <v>437</v>
      </c>
      <c r="N459" s="3" t="s">
        <v>437</v>
      </c>
      <c r="O459" s="3" t="s">
        <v>4038</v>
      </c>
      <c r="P459" s="3"/>
      <c r="Q459" s="3" t="s">
        <v>117</v>
      </c>
      <c r="R459" s="3" t="s">
        <v>4080</v>
      </c>
      <c r="S459" s="3" t="s">
        <v>4136</v>
      </c>
      <c r="T459" s="3" t="s">
        <v>4188</v>
      </c>
      <c r="U459" s="3" t="s">
        <v>4091</v>
      </c>
      <c r="V459" s="3" t="s">
        <v>4065</v>
      </c>
      <c r="W459" s="3" t="s">
        <v>4093</v>
      </c>
      <c r="X459" s="3" t="s">
        <v>4189</v>
      </c>
      <c r="Y459" s="3" t="n">
        <v>1</v>
      </c>
      <c r="Z459" s="3" t="n">
        <v>2</v>
      </c>
      <c r="AA459" s="3" t="n">
        <v>3</v>
      </c>
      <c r="AB459" s="3" t="n">
        <v>1</v>
      </c>
      <c r="AC459" s="3" t="n">
        <v>2</v>
      </c>
      <c r="AD459" s="3" t="n">
        <v>3</v>
      </c>
      <c r="AE459" s="3" t="s">
        <v>4117</v>
      </c>
      <c r="AF459" s="3" t="s">
        <v>860</v>
      </c>
      <c r="AG459" s="3"/>
      <c r="AH459" s="3"/>
      <c r="AI459" s="3" t="s">
        <v>4059</v>
      </c>
      <c r="AJ459" s="3" t="s">
        <v>59</v>
      </c>
      <c r="AK459" s="3" t="s">
        <v>4112</v>
      </c>
      <c r="AL459" s="3"/>
      <c r="AM459" s="3" t="n">
        <v>1</v>
      </c>
      <c r="AN459" s="3"/>
      <c r="AO459" s="3"/>
      <c r="AP459" s="3" t="n">
        <v>5</v>
      </c>
      <c r="AQ459" s="3"/>
      <c r="AR459" s="3"/>
    </row>
    <row r="460" customFormat="false" ht="15" hidden="false" customHeight="true" outlineLevel="0" collapsed="false">
      <c r="A460" s="3" t="s">
        <v>4190</v>
      </c>
      <c r="B460" s="3" t="n">
        <v>6</v>
      </c>
      <c r="C460" s="3" t="n">
        <v>27</v>
      </c>
      <c r="D460" s="3"/>
      <c r="E460" s="4"/>
      <c r="F460" s="3" t="n">
        <v>53</v>
      </c>
      <c r="G460" s="3" t="str">
        <f aca="false">IF(F460="","",IF(F460&gt;=Notes!$B$5,"Elderly ("&amp;Notes!$B$5&amp;"+)",IF(F460&lt;=Notes!$B$4,"Student age (≤"&amp;Notes!$B$4&amp;")","Middle-aged ("&amp;(Notes!$B$4+1)&amp;"–"&amp;(Notes!$B$5-1)&amp;")")))</f>
        <v>Middle-aged (30–64)</v>
      </c>
      <c r="H460" s="3" t="s">
        <v>45</v>
      </c>
      <c r="I460" s="3"/>
      <c r="J460" s="3" t="s">
        <v>437</v>
      </c>
      <c r="K460" s="3" t="s">
        <v>437</v>
      </c>
      <c r="L460" s="3"/>
      <c r="M460" s="3" t="s">
        <v>437</v>
      </c>
      <c r="N460" s="3" t="s">
        <v>437</v>
      </c>
      <c r="O460" s="3" t="s">
        <v>4062</v>
      </c>
      <c r="P460" s="3"/>
      <c r="Q460" s="3" t="s">
        <v>117</v>
      </c>
      <c r="R460" s="3" t="s">
        <v>4072</v>
      </c>
      <c r="S460" s="3" t="s">
        <v>2062</v>
      </c>
      <c r="T460" s="3" t="s">
        <v>4081</v>
      </c>
      <c r="U460" s="3" t="s">
        <v>4042</v>
      </c>
      <c r="V460" s="3" t="s">
        <v>4191</v>
      </c>
      <c r="W460" s="3" t="s">
        <v>4192</v>
      </c>
      <c r="X460" s="3" t="s">
        <v>4103</v>
      </c>
      <c r="Y460" s="3" t="n">
        <v>2</v>
      </c>
      <c r="Z460" s="3" t="n">
        <v>1</v>
      </c>
      <c r="AA460" s="3" t="n">
        <v>3</v>
      </c>
      <c r="AB460" s="3" t="n">
        <v>2</v>
      </c>
      <c r="AC460" s="3" t="n">
        <v>1</v>
      </c>
      <c r="AD460" s="3" t="n">
        <v>3</v>
      </c>
      <c r="AE460" s="3" t="s">
        <v>4123</v>
      </c>
      <c r="AF460" s="3" t="s">
        <v>846</v>
      </c>
      <c r="AG460" s="3"/>
      <c r="AH460" s="3"/>
      <c r="AI460" s="3" t="s">
        <v>4104</v>
      </c>
      <c r="AJ460" s="3" t="s">
        <v>59</v>
      </c>
      <c r="AK460" s="3" t="s">
        <v>4112</v>
      </c>
      <c r="AL460" s="3"/>
      <c r="AM460" s="3" t="n">
        <v>3</v>
      </c>
      <c r="AN460" s="3"/>
      <c r="AO460" s="3"/>
      <c r="AP460" s="3" t="n">
        <v>4</v>
      </c>
      <c r="AQ460" s="3"/>
      <c r="AR460" s="3"/>
    </row>
    <row r="461" customFormat="false" ht="15" hidden="false" customHeight="true" outlineLevel="0" collapsed="false">
      <c r="A461" s="3" t="s">
        <v>4193</v>
      </c>
      <c r="B461" s="3" t="n">
        <v>6</v>
      </c>
      <c r="C461" s="3" t="n">
        <v>28</v>
      </c>
      <c r="D461" s="3"/>
      <c r="E461" s="4"/>
      <c r="F461" s="3" t="n">
        <v>23</v>
      </c>
      <c r="G461" s="3" t="str">
        <f aca="false">IF(F461="","",IF(F461&gt;=Notes!$B$5,"Elderly ("&amp;Notes!$B$5&amp;"+)",IF(F461&lt;=Notes!$B$4,"Student age (≤"&amp;Notes!$B$4&amp;")","Middle-aged ("&amp;(Notes!$B$4+1)&amp;"–"&amp;(Notes!$B$5-1)&amp;")")))</f>
        <v>Student age (≤29)</v>
      </c>
      <c r="H461" s="3" t="s">
        <v>4194</v>
      </c>
      <c r="I461" s="3"/>
      <c r="J461" s="3" t="s">
        <v>333</v>
      </c>
      <c r="K461" s="3" t="s">
        <v>333</v>
      </c>
      <c r="L461" s="3"/>
      <c r="M461" s="3" t="s">
        <v>333</v>
      </c>
      <c r="N461" s="3" t="s">
        <v>333</v>
      </c>
      <c r="O461" s="3" t="s">
        <v>4038</v>
      </c>
      <c r="P461" s="3"/>
      <c r="Q461" s="3" t="s">
        <v>74</v>
      </c>
      <c r="R461" s="3" t="s">
        <v>4099</v>
      </c>
      <c r="S461" s="3" t="s">
        <v>2062</v>
      </c>
      <c r="T461" s="3" t="s">
        <v>4081</v>
      </c>
      <c r="U461" s="3" t="s">
        <v>4132</v>
      </c>
      <c r="V461" s="3" t="s">
        <v>4065</v>
      </c>
      <c r="W461" s="3" t="s">
        <v>4195</v>
      </c>
      <c r="X461" s="3" t="s">
        <v>4196</v>
      </c>
      <c r="Y461" s="3" t="n">
        <v>1</v>
      </c>
      <c r="Z461" s="3" t="n">
        <v>2</v>
      </c>
      <c r="AA461" s="3" t="n">
        <v>3</v>
      </c>
      <c r="AB461" s="3" t="n">
        <v>1</v>
      </c>
      <c r="AC461" s="3" t="n">
        <v>2</v>
      </c>
      <c r="AD461" s="3" t="n">
        <v>3</v>
      </c>
      <c r="AE461" s="3" t="s">
        <v>4197</v>
      </c>
      <c r="AF461" s="3" t="s">
        <v>860</v>
      </c>
      <c r="AG461" s="3"/>
      <c r="AH461" s="3"/>
      <c r="AI461" s="3" t="s">
        <v>4085</v>
      </c>
      <c r="AJ461" s="3" t="s">
        <v>59</v>
      </c>
      <c r="AK461" s="3" t="s">
        <v>4198</v>
      </c>
      <c r="AL461" s="3"/>
      <c r="AM461" s="3" t="n">
        <v>5</v>
      </c>
      <c r="AN461" s="3"/>
      <c r="AO461" s="3"/>
      <c r="AP461" s="3" t="n">
        <v>5</v>
      </c>
      <c r="AQ461" s="3"/>
      <c r="AR461" s="3"/>
    </row>
    <row r="462" customFormat="false" ht="15" hidden="false" customHeight="true" outlineLevel="0" collapsed="false">
      <c r="A462" s="3" t="s">
        <v>4199</v>
      </c>
      <c r="B462" s="3" t="n">
        <v>6</v>
      </c>
      <c r="C462" s="3" t="n">
        <v>29</v>
      </c>
      <c r="D462" s="3"/>
      <c r="E462" s="4"/>
      <c r="F462" s="3" t="n">
        <v>19</v>
      </c>
      <c r="G462" s="3" t="str">
        <f aca="false">IF(F462="","",IF(F462&gt;=Notes!$B$5,"Elderly ("&amp;Notes!$B$5&amp;"+)",IF(F462&lt;=Notes!$B$4,"Student age (≤"&amp;Notes!$B$4&amp;")","Middle-aged ("&amp;(Notes!$B$4+1)&amp;"–"&amp;(Notes!$B$5-1)&amp;")")))</f>
        <v>Student age (≤29)</v>
      </c>
      <c r="H462" s="3" t="s">
        <v>45</v>
      </c>
      <c r="I462" s="3"/>
      <c r="J462" s="3" t="s">
        <v>437</v>
      </c>
      <c r="K462" s="3" t="s">
        <v>437</v>
      </c>
      <c r="L462" s="3"/>
      <c r="M462" s="3" t="s">
        <v>437</v>
      </c>
      <c r="N462" s="3" t="s">
        <v>437</v>
      </c>
      <c r="O462" s="3" t="s">
        <v>4062</v>
      </c>
      <c r="P462" s="3"/>
      <c r="Q462" s="3" t="s">
        <v>95</v>
      </c>
      <c r="R462" s="3" t="s">
        <v>4063</v>
      </c>
      <c r="S462" s="3" t="s">
        <v>4052</v>
      </c>
      <c r="T462" s="3" t="s">
        <v>4053</v>
      </c>
      <c r="U462" s="3" t="s">
        <v>4042</v>
      </c>
      <c r="V462" s="3" t="s">
        <v>4200</v>
      </c>
      <c r="W462" s="3" t="s">
        <v>4133</v>
      </c>
      <c r="X462" s="3" t="s">
        <v>4103</v>
      </c>
      <c r="Y462" s="3" t="n">
        <v>2</v>
      </c>
      <c r="Z462" s="3" t="n">
        <v>1</v>
      </c>
      <c r="AA462" s="3" t="n">
        <v>3</v>
      </c>
      <c r="AB462" s="3" t="n">
        <v>2</v>
      </c>
      <c r="AC462" s="3" t="n">
        <v>1</v>
      </c>
      <c r="AD462" s="3" t="n">
        <v>3</v>
      </c>
      <c r="AE462" s="3" t="s">
        <v>4123</v>
      </c>
      <c r="AF462" s="3" t="s">
        <v>847</v>
      </c>
      <c r="AG462" s="3"/>
      <c r="AH462" s="3"/>
      <c r="AI462" s="3" t="s">
        <v>4085</v>
      </c>
      <c r="AJ462" s="3" t="s">
        <v>59</v>
      </c>
      <c r="AK462" s="3" t="s">
        <v>4086</v>
      </c>
      <c r="AL462" s="3"/>
      <c r="AM462" s="3" t="n">
        <v>4</v>
      </c>
      <c r="AN462" s="3"/>
      <c r="AO462" s="3"/>
      <c r="AP462" s="3" t="n">
        <v>3</v>
      </c>
      <c r="AQ462" s="3"/>
      <c r="AR462" s="3"/>
    </row>
    <row r="463" customFormat="false" ht="15" hidden="false" customHeight="true" outlineLevel="0" collapsed="false">
      <c r="A463" s="3" t="s">
        <v>4201</v>
      </c>
      <c r="B463" s="3" t="n">
        <v>6</v>
      </c>
      <c r="C463" s="3" t="n">
        <v>30</v>
      </c>
      <c r="D463" s="3"/>
      <c r="E463" s="4"/>
      <c r="F463" s="3" t="n">
        <v>23</v>
      </c>
      <c r="G463" s="3" t="str">
        <f aca="false">IF(F463="","",IF(F463&gt;=Notes!$B$5,"Elderly ("&amp;Notes!$B$5&amp;"+)",IF(F463&lt;=Notes!$B$4,"Student age (≤"&amp;Notes!$B$4&amp;")","Middle-aged ("&amp;(Notes!$B$4+1)&amp;"–"&amp;(Notes!$B$5-1)&amp;")")))</f>
        <v>Student age (≤29)</v>
      </c>
      <c r="H463" s="3" t="s">
        <v>45</v>
      </c>
      <c r="I463" s="3"/>
      <c r="J463" s="3" t="s">
        <v>437</v>
      </c>
      <c r="K463" s="3" t="s">
        <v>437</v>
      </c>
      <c r="L463" s="3"/>
      <c r="M463" s="3" t="s">
        <v>437</v>
      </c>
      <c r="N463" s="3" t="s">
        <v>437</v>
      </c>
      <c r="O463" s="3" t="s">
        <v>4038</v>
      </c>
      <c r="P463" s="3"/>
      <c r="Q463" s="3" t="s">
        <v>52</v>
      </c>
      <c r="R463" s="3" t="s">
        <v>4099</v>
      </c>
      <c r="S463" s="3" t="s">
        <v>4099</v>
      </c>
      <c r="T463" s="3" t="s">
        <v>4120</v>
      </c>
      <c r="U463" s="3" t="s">
        <v>4091</v>
      </c>
      <c r="V463" s="3" t="s">
        <v>4202</v>
      </c>
      <c r="W463" s="3" t="s">
        <v>4203</v>
      </c>
      <c r="X463" s="3" t="s">
        <v>4204</v>
      </c>
      <c r="Y463" s="3" t="n">
        <v>1</v>
      </c>
      <c r="Z463" s="3" t="n">
        <v>2</v>
      </c>
      <c r="AA463" s="3" t="n">
        <v>3</v>
      </c>
      <c r="AB463" s="3" t="n">
        <v>2</v>
      </c>
      <c r="AC463" s="3" t="n">
        <v>1</v>
      </c>
      <c r="AD463" s="3" t="n">
        <v>3</v>
      </c>
      <c r="AE463" s="3" t="s">
        <v>4117</v>
      </c>
      <c r="AF463" s="3" t="s">
        <v>4069</v>
      </c>
      <c r="AG463" s="3"/>
      <c r="AH463" s="3"/>
      <c r="AI463" s="3" t="s">
        <v>4085</v>
      </c>
      <c r="AJ463" s="3" t="s">
        <v>59</v>
      </c>
      <c r="AK463" s="3" t="s">
        <v>4205</v>
      </c>
      <c r="AL463" s="3"/>
      <c r="AM463" s="3" t="n">
        <v>3</v>
      </c>
      <c r="AN463" s="3"/>
      <c r="AO463" s="3"/>
      <c r="AP463" s="3" t="n">
        <v>3</v>
      </c>
      <c r="AQ463" s="3"/>
      <c r="AR463" s="3"/>
    </row>
    <row r="464" customFormat="false" ht="15" hidden="false" customHeight="true" outlineLevel="0" collapsed="false">
      <c r="A464" s="3" t="s">
        <v>4206</v>
      </c>
      <c r="B464" s="3" t="n">
        <v>6</v>
      </c>
      <c r="C464" s="3" t="n">
        <v>31</v>
      </c>
      <c r="D464" s="3"/>
      <c r="E464" s="4"/>
      <c r="F464" s="3" t="n">
        <v>22</v>
      </c>
      <c r="G464" s="3" t="str">
        <f aca="false">IF(F464="","",IF(F464&gt;=Notes!$B$5,"Elderly ("&amp;Notes!$B$5&amp;"+)",IF(F464&lt;=Notes!$B$4,"Student age (≤"&amp;Notes!$B$4&amp;")","Middle-aged ("&amp;(Notes!$B$4+1)&amp;"–"&amp;(Notes!$B$5-1)&amp;")")))</f>
        <v>Student age (≤29)</v>
      </c>
      <c r="H464" s="3" t="s">
        <v>45</v>
      </c>
      <c r="I464" s="3"/>
      <c r="J464" s="3" t="s">
        <v>437</v>
      </c>
      <c r="K464" s="3" t="s">
        <v>437</v>
      </c>
      <c r="L464" s="3"/>
      <c r="M464" s="3" t="s">
        <v>437</v>
      </c>
      <c r="N464" s="3" t="s">
        <v>437</v>
      </c>
      <c r="O464" s="3" t="s">
        <v>4062</v>
      </c>
      <c r="P464" s="3"/>
      <c r="Q464" s="3" t="s">
        <v>117</v>
      </c>
      <c r="R464" s="3" t="s">
        <v>4080</v>
      </c>
      <c r="S464" s="3" t="s">
        <v>4131</v>
      </c>
      <c r="T464" s="3" t="s">
        <v>4207</v>
      </c>
      <c r="U464" s="3" t="s">
        <v>4054</v>
      </c>
      <c r="V464" s="3" t="s">
        <v>4208</v>
      </c>
      <c r="W464" s="3" t="s">
        <v>4209</v>
      </c>
      <c r="X464" s="3" t="s">
        <v>4045</v>
      </c>
      <c r="Y464" s="3" t="n">
        <v>3</v>
      </c>
      <c r="Z464" s="3" t="n">
        <v>2</v>
      </c>
      <c r="AA464" s="3" t="n">
        <v>1</v>
      </c>
      <c r="AB464" s="3" t="n">
        <v>1</v>
      </c>
      <c r="AC464" s="3" t="n">
        <v>2</v>
      </c>
      <c r="AD464" s="3" t="n">
        <v>3</v>
      </c>
      <c r="AE464" s="3" t="s">
        <v>4170</v>
      </c>
      <c r="AF464" s="3" t="s">
        <v>846</v>
      </c>
      <c r="AG464" s="3"/>
      <c r="AH464" s="3"/>
      <c r="AI464" s="3" t="s">
        <v>4059</v>
      </c>
      <c r="AJ464" s="3" t="s">
        <v>59</v>
      </c>
      <c r="AK464" s="3" t="s">
        <v>4210</v>
      </c>
      <c r="AL464" s="3"/>
      <c r="AM464" s="3" t="n">
        <v>4</v>
      </c>
      <c r="AN464" s="3"/>
      <c r="AO464" s="3"/>
      <c r="AP464" s="3" t="n">
        <v>4</v>
      </c>
      <c r="AQ464" s="3"/>
      <c r="AR464" s="3"/>
    </row>
    <row r="465" customFormat="false" ht="15" hidden="false" customHeight="true" outlineLevel="0" collapsed="false">
      <c r="A465" s="3" t="s">
        <v>4211</v>
      </c>
      <c r="B465" s="3" t="n">
        <v>6</v>
      </c>
      <c r="C465" s="3" t="n">
        <v>32</v>
      </c>
      <c r="D465" s="3"/>
      <c r="E465" s="4"/>
      <c r="F465" s="3" t="n">
        <v>19</v>
      </c>
      <c r="G465" s="3" t="str">
        <f aca="false">IF(F465="","",IF(F465&gt;=Notes!$B$5,"Elderly ("&amp;Notes!$B$5&amp;"+)",IF(F465&lt;=Notes!$B$4,"Student age (≤"&amp;Notes!$B$4&amp;")","Middle-aged ("&amp;(Notes!$B$4+1)&amp;"–"&amp;(Notes!$B$5-1)&amp;")")))</f>
        <v>Student age (≤29)</v>
      </c>
      <c r="H465" s="3" t="s">
        <v>45</v>
      </c>
      <c r="I465" s="3"/>
      <c r="J465" s="3" t="s">
        <v>437</v>
      </c>
      <c r="K465" s="3" t="s">
        <v>437</v>
      </c>
      <c r="L465" s="3"/>
      <c r="M465" s="3" t="s">
        <v>437</v>
      </c>
      <c r="N465" s="3" t="s">
        <v>437</v>
      </c>
      <c r="O465" s="3" t="s">
        <v>4062</v>
      </c>
      <c r="P465" s="3"/>
      <c r="Q465" s="3" t="s">
        <v>117</v>
      </c>
      <c r="R465" s="3" t="s">
        <v>4063</v>
      </c>
      <c r="S465" s="3" t="s">
        <v>2062</v>
      </c>
      <c r="T465" s="3" t="s">
        <v>4183</v>
      </c>
      <c r="U465" s="3" t="s">
        <v>4042</v>
      </c>
      <c r="V465" s="3" t="s">
        <v>4212</v>
      </c>
      <c r="W465" s="3" t="s">
        <v>4213</v>
      </c>
      <c r="X465" s="3" t="s">
        <v>4103</v>
      </c>
      <c r="Y465" s="3" t="n">
        <v>3</v>
      </c>
      <c r="Z465" s="3" t="n">
        <v>2</v>
      </c>
      <c r="AA465" s="3" t="n">
        <v>1</v>
      </c>
      <c r="AB465" s="3" t="n">
        <v>3</v>
      </c>
      <c r="AC465" s="3" t="n">
        <v>1</v>
      </c>
      <c r="AD465" s="3" t="n">
        <v>2</v>
      </c>
      <c r="AE465" s="3" t="s">
        <v>4095</v>
      </c>
      <c r="AF465" s="3" t="s">
        <v>4069</v>
      </c>
      <c r="AG465" s="3"/>
      <c r="AH465" s="3"/>
      <c r="AI465" s="3" t="s">
        <v>4104</v>
      </c>
      <c r="AJ465" s="3" t="s">
        <v>59</v>
      </c>
      <c r="AK465" s="3" t="s">
        <v>4112</v>
      </c>
      <c r="AL465" s="3"/>
      <c r="AM465" s="3" t="n">
        <v>4</v>
      </c>
      <c r="AN465" s="3"/>
      <c r="AO465" s="3"/>
      <c r="AP465" s="3" t="n">
        <v>4</v>
      </c>
      <c r="AQ465" s="3"/>
      <c r="AR465" s="3"/>
    </row>
    <row r="466" customFormat="false" ht="15" hidden="false" customHeight="true" outlineLevel="0" collapsed="false">
      <c r="A466" s="3" t="s">
        <v>4214</v>
      </c>
      <c r="B466" s="3" t="n">
        <v>6</v>
      </c>
      <c r="C466" s="3" t="n">
        <v>33</v>
      </c>
      <c r="D466" s="3"/>
      <c r="E466" s="4"/>
      <c r="F466" s="3" t="n">
        <v>26</v>
      </c>
      <c r="G466" s="3" t="str">
        <f aca="false">IF(F466="","",IF(F466&gt;=Notes!$B$5,"Elderly ("&amp;Notes!$B$5&amp;"+)",IF(F466&lt;=Notes!$B$4,"Student age (≤"&amp;Notes!$B$4&amp;")","Middle-aged ("&amp;(Notes!$B$4+1)&amp;"–"&amp;(Notes!$B$5-1)&amp;")")))</f>
        <v>Student age (≤29)</v>
      </c>
      <c r="H466" s="3" t="s">
        <v>45</v>
      </c>
      <c r="I466" s="3"/>
      <c r="J466" s="3" t="s">
        <v>437</v>
      </c>
      <c r="K466" s="3" t="s">
        <v>437</v>
      </c>
      <c r="L466" s="3"/>
      <c r="M466" s="3" t="s">
        <v>437</v>
      </c>
      <c r="N466" s="3" t="s">
        <v>437</v>
      </c>
      <c r="O466" s="3" t="s">
        <v>4062</v>
      </c>
      <c r="P466" s="3"/>
      <c r="Q466" s="3" t="s">
        <v>95</v>
      </c>
      <c r="R466" s="3" t="s">
        <v>4099</v>
      </c>
      <c r="S466" s="3" t="s">
        <v>4040</v>
      </c>
      <c r="T466" s="3" t="s">
        <v>4041</v>
      </c>
      <c r="U466" s="3" t="s">
        <v>4042</v>
      </c>
      <c r="V466" s="3" t="s">
        <v>4202</v>
      </c>
      <c r="W466" s="3" t="s">
        <v>4215</v>
      </c>
      <c r="X466" s="3" t="s">
        <v>4067</v>
      </c>
      <c r="Y466" s="3" t="n">
        <v>1</v>
      </c>
      <c r="Z466" s="3" t="n">
        <v>2</v>
      </c>
      <c r="AA466" s="3" t="n">
        <v>3</v>
      </c>
      <c r="AB466" s="3" t="n">
        <v>2</v>
      </c>
      <c r="AC466" s="3" t="n">
        <v>1</v>
      </c>
      <c r="AD466" s="3" t="n">
        <v>3</v>
      </c>
      <c r="AE466" s="3" t="s">
        <v>4216</v>
      </c>
      <c r="AF466" s="3" t="s">
        <v>4069</v>
      </c>
      <c r="AG466" s="3"/>
      <c r="AH466" s="3"/>
      <c r="AI466" s="3" t="s">
        <v>4085</v>
      </c>
      <c r="AJ466" s="3" t="s">
        <v>1625</v>
      </c>
      <c r="AK466" s="3" t="s">
        <v>2242</v>
      </c>
      <c r="AL466" s="3"/>
      <c r="AM466" s="3" t="n">
        <v>4</v>
      </c>
      <c r="AN466" s="3"/>
      <c r="AO466" s="3"/>
      <c r="AP466" s="3" t="n">
        <v>4</v>
      </c>
      <c r="AQ466" s="3"/>
      <c r="AR466" s="3"/>
    </row>
    <row r="467" customFormat="false" ht="15" hidden="false" customHeight="true" outlineLevel="0" collapsed="false">
      <c r="A467" s="3" t="s">
        <v>4217</v>
      </c>
      <c r="B467" s="3" t="n">
        <v>6</v>
      </c>
      <c r="C467" s="3" t="n">
        <v>34</v>
      </c>
      <c r="D467" s="3"/>
      <c r="E467" s="4"/>
      <c r="F467" s="3" t="n">
        <v>79</v>
      </c>
      <c r="G467" s="3" t="str">
        <f aca="false">IF(F467="","",IF(F467&gt;=Notes!$B$5,"Elderly ("&amp;Notes!$B$5&amp;"+)",IF(F467&lt;=Notes!$B$4,"Student age (≤"&amp;Notes!$B$4&amp;")","Middle-aged ("&amp;(Notes!$B$4+1)&amp;"–"&amp;(Notes!$B$5-1)&amp;")")))</f>
        <v>Elderly (65+)</v>
      </c>
      <c r="H467" s="3" t="s">
        <v>45</v>
      </c>
      <c r="I467" s="3"/>
      <c r="J467" s="3" t="s">
        <v>437</v>
      </c>
      <c r="K467" s="3" t="s">
        <v>437</v>
      </c>
      <c r="L467" s="3"/>
      <c r="M467" s="3" t="s">
        <v>437</v>
      </c>
      <c r="N467" s="3" t="s">
        <v>437</v>
      </c>
      <c r="O467" s="3" t="s">
        <v>4218</v>
      </c>
      <c r="P467" s="3"/>
      <c r="Q467" s="3" t="s">
        <v>74</v>
      </c>
      <c r="R467" s="3" t="s">
        <v>4099</v>
      </c>
      <c r="S467" s="3" t="s">
        <v>4099</v>
      </c>
      <c r="T467" s="3" t="s">
        <v>4219</v>
      </c>
      <c r="U467" s="3" t="s">
        <v>4091</v>
      </c>
      <c r="V467" s="3" t="s">
        <v>4220</v>
      </c>
      <c r="W467" s="3" t="s">
        <v>4221</v>
      </c>
      <c r="X467" s="3" t="s">
        <v>4222</v>
      </c>
      <c r="Y467" s="3" t="n">
        <v>3</v>
      </c>
      <c r="Z467" s="3" t="n">
        <v>2</v>
      </c>
      <c r="AA467" s="3" t="n">
        <v>1</v>
      </c>
      <c r="AB467" s="3" t="n">
        <v>3</v>
      </c>
      <c r="AC467" s="3" t="n">
        <v>2</v>
      </c>
      <c r="AD467" s="3" t="n">
        <v>1</v>
      </c>
      <c r="AE467" s="3" t="s">
        <v>4046</v>
      </c>
      <c r="AF467" s="3" t="s">
        <v>847</v>
      </c>
      <c r="AG467" s="3"/>
      <c r="AH467" s="3"/>
      <c r="AI467" s="3" t="s">
        <v>4059</v>
      </c>
      <c r="AJ467" s="3" t="s">
        <v>59</v>
      </c>
      <c r="AK467" s="3" t="s">
        <v>4223</v>
      </c>
      <c r="AL467" s="3"/>
      <c r="AM467" s="3" t="n">
        <v>1</v>
      </c>
      <c r="AN467" s="3"/>
      <c r="AO467" s="3"/>
      <c r="AP467" s="3" t="n">
        <v>5</v>
      </c>
      <c r="AQ467" s="3"/>
      <c r="AR467" s="3"/>
    </row>
    <row r="468" customFormat="false" ht="15" hidden="false" customHeight="true" outlineLevel="0" collapsed="false">
      <c r="A468" s="3" t="s">
        <v>4224</v>
      </c>
      <c r="B468" s="3" t="n">
        <v>6</v>
      </c>
      <c r="C468" s="3" t="n">
        <v>35</v>
      </c>
      <c r="D468" s="3"/>
      <c r="E468" s="4"/>
      <c r="F468" s="3" t="n">
        <v>21</v>
      </c>
      <c r="G468" s="3" t="str">
        <f aca="false">IF(F468="","",IF(F468&gt;=Notes!$B$5,"Elderly ("&amp;Notes!$B$5&amp;"+)",IF(F468&lt;=Notes!$B$4,"Student age (≤"&amp;Notes!$B$4&amp;")","Middle-aged ("&amp;(Notes!$B$4+1)&amp;"–"&amp;(Notes!$B$5-1)&amp;")")))</f>
        <v>Student age (≤29)</v>
      </c>
      <c r="H468" s="3" t="s">
        <v>45</v>
      </c>
      <c r="I468" s="3"/>
      <c r="J468" s="3" t="s">
        <v>437</v>
      </c>
      <c r="K468" s="3" t="s">
        <v>437</v>
      </c>
      <c r="L468" s="3"/>
      <c r="M468" s="3" t="s">
        <v>437</v>
      </c>
      <c r="N468" s="3" t="s">
        <v>437</v>
      </c>
      <c r="O468" s="3" t="s">
        <v>4038</v>
      </c>
      <c r="P468" s="3"/>
      <c r="Q468" s="3" t="s">
        <v>117</v>
      </c>
      <c r="R468" s="3" t="s">
        <v>4039</v>
      </c>
      <c r="S468" s="3" t="s">
        <v>4040</v>
      </c>
      <c r="T468" s="3" t="s">
        <v>4183</v>
      </c>
      <c r="U468" s="3" t="s">
        <v>4042</v>
      </c>
      <c r="V468" s="3" t="s">
        <v>4043</v>
      </c>
      <c r="W468" s="3" t="s">
        <v>4225</v>
      </c>
      <c r="X468" s="3" t="s">
        <v>4226</v>
      </c>
      <c r="Y468" s="3" t="n">
        <v>3</v>
      </c>
      <c r="Z468" s="3" t="n">
        <v>1</v>
      </c>
      <c r="AA468" s="3" t="n">
        <v>2</v>
      </c>
      <c r="AB468" s="3" t="n">
        <v>2</v>
      </c>
      <c r="AC468" s="3" t="n">
        <v>1</v>
      </c>
      <c r="AD468" s="3" t="n">
        <v>3</v>
      </c>
      <c r="AE468" s="3" t="s">
        <v>4134</v>
      </c>
      <c r="AF468" s="3" t="s">
        <v>4047</v>
      </c>
      <c r="AG468" s="3"/>
      <c r="AH468" s="3"/>
      <c r="AI468" s="3" t="s">
        <v>4111</v>
      </c>
      <c r="AJ468" s="3" t="s">
        <v>59</v>
      </c>
      <c r="AK468" s="3" t="s">
        <v>4227</v>
      </c>
      <c r="AL468" s="3"/>
      <c r="AM468" s="3" t="n">
        <v>3</v>
      </c>
      <c r="AN468" s="3"/>
      <c r="AO468" s="3"/>
      <c r="AP468" s="3" t="n">
        <v>3</v>
      </c>
      <c r="AQ468" s="3"/>
      <c r="AR468" s="3"/>
    </row>
    <row r="469" customFormat="false" ht="15" hidden="false" customHeight="true" outlineLevel="0" collapsed="false">
      <c r="A469" s="3" t="s">
        <v>4228</v>
      </c>
      <c r="B469" s="3" t="n">
        <v>6</v>
      </c>
      <c r="C469" s="3" t="n">
        <v>36</v>
      </c>
      <c r="D469" s="3"/>
      <c r="E469" s="4"/>
      <c r="F469" s="3" t="n">
        <v>26</v>
      </c>
      <c r="G469" s="3" t="str">
        <f aca="false">IF(F469="","",IF(F469&gt;=Notes!$B$5,"Elderly ("&amp;Notes!$B$5&amp;"+)",IF(F469&lt;=Notes!$B$4,"Student age (≤"&amp;Notes!$B$4&amp;")","Middle-aged ("&amp;(Notes!$B$4+1)&amp;"–"&amp;(Notes!$B$5-1)&amp;")")))</f>
        <v>Student age (≤29)</v>
      </c>
      <c r="H469" s="3" t="s">
        <v>83</v>
      </c>
      <c r="I469" s="3"/>
      <c r="J469" s="3" t="s">
        <v>437</v>
      </c>
      <c r="K469" s="3" t="s">
        <v>437</v>
      </c>
      <c r="L469" s="3"/>
      <c r="M469" s="3" t="s">
        <v>437</v>
      </c>
      <c r="N469" s="3" t="s">
        <v>437</v>
      </c>
      <c r="O469" s="3" t="s">
        <v>4038</v>
      </c>
      <c r="P469" s="3"/>
      <c r="Q469" s="3" t="s">
        <v>117</v>
      </c>
      <c r="R469" s="3" t="s">
        <v>4072</v>
      </c>
      <c r="S469" s="3" t="s">
        <v>4131</v>
      </c>
      <c r="T469" s="3" t="s">
        <v>4041</v>
      </c>
      <c r="U469" s="3" t="s">
        <v>4054</v>
      </c>
      <c r="V469" s="3" t="s">
        <v>4229</v>
      </c>
      <c r="W469" s="3" t="s">
        <v>4093</v>
      </c>
      <c r="X469" s="3" t="s">
        <v>4094</v>
      </c>
      <c r="Y469" s="3" t="n">
        <v>2</v>
      </c>
      <c r="Z469" s="3" t="n">
        <v>1</v>
      </c>
      <c r="AA469" s="3" t="n">
        <v>3</v>
      </c>
      <c r="AB469" s="3" t="n">
        <v>1</v>
      </c>
      <c r="AC469" s="3" t="n">
        <v>2</v>
      </c>
      <c r="AD469" s="3" t="n">
        <v>3</v>
      </c>
      <c r="AE469" s="3" t="s">
        <v>4230</v>
      </c>
      <c r="AF469" s="3" t="s">
        <v>860</v>
      </c>
      <c r="AG469" s="3"/>
      <c r="AH469" s="3"/>
      <c r="AI469" s="3" t="s">
        <v>4128</v>
      </c>
      <c r="AJ469" s="3" t="s">
        <v>59</v>
      </c>
      <c r="AK469" s="3" t="s">
        <v>4231</v>
      </c>
      <c r="AL469" s="3"/>
      <c r="AM469" s="3" t="n">
        <v>3</v>
      </c>
      <c r="AN469" s="3"/>
      <c r="AO469" s="3"/>
      <c r="AP469" s="3" t="n">
        <v>3</v>
      </c>
      <c r="AQ469" s="3"/>
      <c r="AR469" s="3"/>
    </row>
    <row r="470" customFormat="false" ht="15" hidden="false" customHeight="true" outlineLevel="0" collapsed="false">
      <c r="A470" s="3" t="s">
        <v>4232</v>
      </c>
      <c r="B470" s="3" t="n">
        <v>6</v>
      </c>
      <c r="C470" s="3" t="n">
        <v>37</v>
      </c>
      <c r="D470" s="3"/>
      <c r="E470" s="4"/>
      <c r="F470" s="3" t="n">
        <v>85</v>
      </c>
      <c r="G470" s="3" t="str">
        <f aca="false">IF(F470="","",IF(F470&gt;=Notes!$B$5,"Elderly ("&amp;Notes!$B$5&amp;"+)",IF(F470&lt;=Notes!$B$4,"Student age (≤"&amp;Notes!$B$4&amp;")","Middle-aged ("&amp;(Notes!$B$4+1)&amp;"–"&amp;(Notes!$B$5-1)&amp;")")))</f>
        <v>Elderly (65+)</v>
      </c>
      <c r="H470" s="3" t="s">
        <v>83</v>
      </c>
      <c r="I470" s="3"/>
      <c r="J470" s="3" t="s">
        <v>437</v>
      </c>
      <c r="K470" s="3" t="s">
        <v>437</v>
      </c>
      <c r="L470" s="3"/>
      <c r="M470" s="3" t="s">
        <v>437</v>
      </c>
      <c r="N470" s="3" t="s">
        <v>437</v>
      </c>
      <c r="O470" s="3" t="s">
        <v>4218</v>
      </c>
      <c r="P470" s="3"/>
      <c r="Q470" s="3" t="s">
        <v>52</v>
      </c>
      <c r="R470" s="3" t="s">
        <v>4099</v>
      </c>
      <c r="S470" s="3" t="s">
        <v>4099</v>
      </c>
      <c r="T470" s="3" t="s">
        <v>4151</v>
      </c>
      <c r="U470" s="3" t="s">
        <v>4132</v>
      </c>
      <c r="V470" s="3" t="s">
        <v>4065</v>
      </c>
      <c r="W470" s="3" t="s">
        <v>4233</v>
      </c>
      <c r="X470" s="3" t="s">
        <v>4234</v>
      </c>
      <c r="Y470" s="3" t="n">
        <v>2</v>
      </c>
      <c r="Z470" s="3" t="n">
        <v>1</v>
      </c>
      <c r="AA470" s="3" t="n">
        <v>3</v>
      </c>
      <c r="AB470" s="3" t="n">
        <v>2</v>
      </c>
      <c r="AC470" s="3" t="n">
        <v>1</v>
      </c>
      <c r="AD470" s="3" t="n">
        <v>3</v>
      </c>
      <c r="AE470" s="3" t="s">
        <v>4046</v>
      </c>
      <c r="AF470" s="3" t="s">
        <v>847</v>
      </c>
      <c r="AG470" s="3"/>
      <c r="AH470" s="3"/>
      <c r="AI470" s="3" t="s">
        <v>4128</v>
      </c>
      <c r="AJ470" s="3" t="s">
        <v>59</v>
      </c>
      <c r="AK470" s="3" t="s">
        <v>4223</v>
      </c>
      <c r="AL470" s="3"/>
      <c r="AM470" s="3" t="n">
        <v>2</v>
      </c>
      <c r="AN470" s="3"/>
      <c r="AO470" s="3"/>
      <c r="AP470" s="3" t="n">
        <v>4</v>
      </c>
      <c r="AQ470" s="3"/>
      <c r="AR470" s="3"/>
    </row>
    <row r="471" customFormat="false" ht="15" hidden="false" customHeight="true" outlineLevel="0" collapsed="false">
      <c r="A471" s="3" t="s">
        <v>4235</v>
      </c>
      <c r="B471" s="3" t="n">
        <v>6</v>
      </c>
      <c r="C471" s="3" t="n">
        <v>38</v>
      </c>
      <c r="D471" s="3"/>
      <c r="E471" s="4"/>
      <c r="F471" s="3" t="n">
        <v>24</v>
      </c>
      <c r="G471" s="3" t="str">
        <f aca="false">IF(F471="","",IF(F471&gt;=Notes!$B$5,"Elderly ("&amp;Notes!$B$5&amp;"+)",IF(F471&lt;=Notes!$B$4,"Student age (≤"&amp;Notes!$B$4&amp;")","Middle-aged ("&amp;(Notes!$B$4+1)&amp;"–"&amp;(Notes!$B$5-1)&amp;")")))</f>
        <v>Student age (≤29)</v>
      </c>
      <c r="H471" s="3" t="s">
        <v>45</v>
      </c>
      <c r="I471" s="3"/>
      <c r="J471" s="3" t="s">
        <v>437</v>
      </c>
      <c r="K471" s="3" t="s">
        <v>437</v>
      </c>
      <c r="L471" s="3"/>
      <c r="M471" s="3" t="s">
        <v>437</v>
      </c>
      <c r="N471" s="3" t="s">
        <v>437</v>
      </c>
      <c r="O471" s="3" t="s">
        <v>4236</v>
      </c>
      <c r="P471" s="3"/>
      <c r="Q471" s="3" t="s">
        <v>117</v>
      </c>
      <c r="R471" s="3" t="s">
        <v>4080</v>
      </c>
      <c r="S471" s="3" t="s">
        <v>4052</v>
      </c>
      <c r="T471" s="3" t="s">
        <v>4183</v>
      </c>
      <c r="U471" s="3" t="s">
        <v>4054</v>
      </c>
      <c r="V471" s="3" t="s">
        <v>4173</v>
      </c>
      <c r="W471" s="3" t="s">
        <v>4237</v>
      </c>
      <c r="X471" s="3" t="s">
        <v>4238</v>
      </c>
      <c r="Y471" s="3" t="n">
        <v>1</v>
      </c>
      <c r="Z471" s="3" t="n">
        <v>3</v>
      </c>
      <c r="AA471" s="3" t="n">
        <v>2</v>
      </c>
      <c r="AB471" s="3" t="n">
        <v>1</v>
      </c>
      <c r="AC471" s="3" t="n">
        <v>3</v>
      </c>
      <c r="AD471" s="3" t="n">
        <v>2</v>
      </c>
      <c r="AE471" s="3" t="s">
        <v>4216</v>
      </c>
      <c r="AF471" s="3" t="s">
        <v>4047</v>
      </c>
      <c r="AG471" s="3"/>
      <c r="AH471" s="3"/>
      <c r="AI471" s="3" t="s">
        <v>4085</v>
      </c>
      <c r="AJ471" s="3" t="s">
        <v>59</v>
      </c>
      <c r="AK471" s="3" t="s">
        <v>4239</v>
      </c>
      <c r="AL471" s="3"/>
      <c r="AM471" s="3" t="n">
        <v>2</v>
      </c>
      <c r="AN471" s="3"/>
      <c r="AO471" s="3"/>
      <c r="AP471" s="3" t="n">
        <v>3</v>
      </c>
      <c r="AQ471" s="3"/>
      <c r="AR471" s="3"/>
    </row>
    <row r="472" customFormat="false" ht="15" hidden="false" customHeight="true" outlineLevel="0" collapsed="false">
      <c r="A472" s="3" t="s">
        <v>4240</v>
      </c>
      <c r="B472" s="3" t="n">
        <v>6</v>
      </c>
      <c r="C472" s="3" t="n">
        <v>39</v>
      </c>
      <c r="D472" s="3"/>
      <c r="E472" s="4"/>
      <c r="F472" s="3" t="n">
        <v>19</v>
      </c>
      <c r="G472" s="3" t="str">
        <f aca="false">IF(F472="","",IF(F472&gt;=Notes!$B$5,"Elderly ("&amp;Notes!$B$5&amp;"+)",IF(F472&lt;=Notes!$B$4,"Student age (≤"&amp;Notes!$B$4&amp;")","Middle-aged ("&amp;(Notes!$B$4+1)&amp;"–"&amp;(Notes!$B$5-1)&amp;")")))</f>
        <v>Student age (≤29)</v>
      </c>
      <c r="H472" s="3" t="s">
        <v>45</v>
      </c>
      <c r="I472" s="3"/>
      <c r="J472" s="3" t="s">
        <v>437</v>
      </c>
      <c r="K472" s="3" t="s">
        <v>437</v>
      </c>
      <c r="L472" s="3"/>
      <c r="M472" s="3" t="s">
        <v>437</v>
      </c>
      <c r="N472" s="3" t="s">
        <v>437</v>
      </c>
      <c r="O472" s="3" t="s">
        <v>4062</v>
      </c>
      <c r="P472" s="3"/>
      <c r="Q472" s="3" t="s">
        <v>117</v>
      </c>
      <c r="R472" s="3" t="s">
        <v>4039</v>
      </c>
      <c r="S472" s="3" t="s">
        <v>2062</v>
      </c>
      <c r="T472" s="3" t="s">
        <v>4120</v>
      </c>
      <c r="U472" s="3" t="s">
        <v>4054</v>
      </c>
      <c r="V472" s="3" t="s">
        <v>4065</v>
      </c>
      <c r="W472" s="3" t="s">
        <v>4066</v>
      </c>
      <c r="X472" s="3" t="s">
        <v>4045</v>
      </c>
      <c r="Y472" s="3" t="n">
        <v>3</v>
      </c>
      <c r="Z472" s="3" t="n">
        <v>1</v>
      </c>
      <c r="AA472" s="3" t="n">
        <v>2</v>
      </c>
      <c r="AB472" s="3" t="n">
        <v>1</v>
      </c>
      <c r="AC472" s="3" t="n">
        <v>3</v>
      </c>
      <c r="AD472" s="3" t="n">
        <v>2</v>
      </c>
      <c r="AE472" s="3" t="s">
        <v>4046</v>
      </c>
      <c r="AF472" s="3" t="s">
        <v>847</v>
      </c>
      <c r="AG472" s="3"/>
      <c r="AH472" s="3"/>
      <c r="AI472" s="3" t="s">
        <v>4164</v>
      </c>
      <c r="AJ472" s="3" t="s">
        <v>1625</v>
      </c>
      <c r="AK472" s="3" t="s">
        <v>2242</v>
      </c>
      <c r="AL472" s="3"/>
      <c r="AM472" s="3" t="n">
        <v>4</v>
      </c>
      <c r="AN472" s="3"/>
      <c r="AO472" s="3"/>
      <c r="AP472" s="3" t="n">
        <v>3</v>
      </c>
      <c r="AQ472" s="3"/>
      <c r="AR472" s="3"/>
    </row>
    <row r="473" customFormat="false" ht="15" hidden="false" customHeight="true" outlineLevel="0" collapsed="false">
      <c r="A473" s="3" t="s">
        <v>4241</v>
      </c>
      <c r="B473" s="3" t="n">
        <v>6</v>
      </c>
      <c r="C473" s="3" t="n">
        <v>40</v>
      </c>
      <c r="D473" s="3"/>
      <c r="E473" s="4"/>
      <c r="F473" s="3" t="n">
        <v>24</v>
      </c>
      <c r="G473" s="3" t="str">
        <f aca="false">IF(F473="","",IF(F473&gt;=Notes!$B$5,"Elderly ("&amp;Notes!$B$5&amp;"+)",IF(F473&lt;=Notes!$B$4,"Student age (≤"&amp;Notes!$B$4&amp;")","Middle-aged ("&amp;(Notes!$B$4+1)&amp;"–"&amp;(Notes!$B$5-1)&amp;")")))</f>
        <v>Student age (≤29)</v>
      </c>
      <c r="H473" s="3" t="s">
        <v>83</v>
      </c>
      <c r="I473" s="3"/>
      <c r="J473" s="3" t="s">
        <v>437</v>
      </c>
      <c r="K473" s="3" t="s">
        <v>437</v>
      </c>
      <c r="L473" s="3"/>
      <c r="M473" s="3" t="s">
        <v>437</v>
      </c>
      <c r="N473" s="3" t="s">
        <v>437</v>
      </c>
      <c r="O473" s="3" t="s">
        <v>4218</v>
      </c>
      <c r="P473" s="3"/>
      <c r="Q473" s="3" t="s">
        <v>74</v>
      </c>
      <c r="R473" s="3" t="s">
        <v>4063</v>
      </c>
      <c r="S473" s="3" t="s">
        <v>2062</v>
      </c>
      <c r="T473" s="3" t="s">
        <v>4242</v>
      </c>
      <c r="U473" s="3" t="s">
        <v>4054</v>
      </c>
      <c r="V473" s="3" t="s">
        <v>4200</v>
      </c>
      <c r="W473" s="3" t="s">
        <v>4243</v>
      </c>
      <c r="X473" s="3" t="s">
        <v>4244</v>
      </c>
      <c r="Y473" s="3" t="n">
        <v>1</v>
      </c>
      <c r="Z473" s="3" t="n">
        <v>3</v>
      </c>
      <c r="AA473" s="3" t="n">
        <v>2</v>
      </c>
      <c r="AB473" s="3" t="n">
        <v>1</v>
      </c>
      <c r="AC473" s="3" t="n">
        <v>3</v>
      </c>
      <c r="AD473" s="3" t="n">
        <v>2</v>
      </c>
      <c r="AE473" s="3" t="s">
        <v>4134</v>
      </c>
      <c r="AF473" s="3" t="s">
        <v>860</v>
      </c>
      <c r="AG473" s="3"/>
      <c r="AH473" s="3"/>
      <c r="AI473" s="3" t="s">
        <v>4164</v>
      </c>
      <c r="AJ473" s="3" t="s">
        <v>1625</v>
      </c>
      <c r="AK473" s="3" t="s">
        <v>2242</v>
      </c>
      <c r="AL473" s="3"/>
      <c r="AM473" s="3" t="n">
        <v>4</v>
      </c>
      <c r="AN473" s="3"/>
      <c r="AO473" s="3"/>
      <c r="AP473" s="3" t="n">
        <v>4</v>
      </c>
      <c r="AQ473" s="3"/>
      <c r="AR473" s="3"/>
    </row>
    <row r="474" customFormat="false" ht="15" hidden="false" customHeight="true" outlineLevel="0" collapsed="false">
      <c r="A474" s="3" t="s">
        <v>4245</v>
      </c>
      <c r="B474" s="3" t="n">
        <v>6</v>
      </c>
      <c r="C474" s="3" t="n">
        <v>41</v>
      </c>
      <c r="D474" s="3"/>
      <c r="E474" s="4"/>
      <c r="F474" s="3" t="n">
        <v>22</v>
      </c>
      <c r="G474" s="3" t="str">
        <f aca="false">IF(F474="","",IF(F474&gt;=Notes!$B$5,"Elderly ("&amp;Notes!$B$5&amp;"+)",IF(F474&lt;=Notes!$B$4,"Student age (≤"&amp;Notes!$B$4&amp;")","Middle-aged ("&amp;(Notes!$B$4+1)&amp;"–"&amp;(Notes!$B$5-1)&amp;")")))</f>
        <v>Student age (≤29)</v>
      </c>
      <c r="H474" s="3" t="s">
        <v>45</v>
      </c>
      <c r="I474" s="3"/>
      <c r="J474" s="3" t="s">
        <v>437</v>
      </c>
      <c r="K474" s="3" t="s">
        <v>437</v>
      </c>
      <c r="L474" s="3"/>
      <c r="M474" s="3" t="s">
        <v>3277</v>
      </c>
      <c r="N474" s="3" t="s">
        <v>3277</v>
      </c>
      <c r="O474" s="3" t="s">
        <v>4062</v>
      </c>
      <c r="P474" s="3"/>
      <c r="Q474" s="3" t="s">
        <v>95</v>
      </c>
      <c r="R474" s="3" t="s">
        <v>4072</v>
      </c>
      <c r="S474" s="3" t="s">
        <v>2062</v>
      </c>
      <c r="T474" s="3" t="s">
        <v>4183</v>
      </c>
      <c r="U474" s="3" t="s">
        <v>4054</v>
      </c>
      <c r="V474" s="3" t="s">
        <v>4161</v>
      </c>
      <c r="W474" s="3" t="s">
        <v>4246</v>
      </c>
      <c r="X474" s="3" t="s">
        <v>4045</v>
      </c>
      <c r="Y474" s="3" t="n">
        <v>3</v>
      </c>
      <c r="Z474" s="3" t="n">
        <v>1</v>
      </c>
      <c r="AA474" s="3" t="n">
        <v>2</v>
      </c>
      <c r="AB474" s="3" t="n">
        <v>2</v>
      </c>
      <c r="AC474" s="3" t="n">
        <v>1</v>
      </c>
      <c r="AD474" s="3" t="n">
        <v>3</v>
      </c>
      <c r="AE474" s="3" t="s">
        <v>4247</v>
      </c>
      <c r="AF474" s="3" t="s">
        <v>846</v>
      </c>
      <c r="AG474" s="3"/>
      <c r="AH474" s="3"/>
      <c r="AI474" s="3" t="s">
        <v>4059</v>
      </c>
      <c r="AJ474" s="3" t="s">
        <v>59</v>
      </c>
      <c r="AK474" s="3" t="s">
        <v>4175</v>
      </c>
      <c r="AL474" s="3"/>
      <c r="AM474" s="3" t="n">
        <v>2</v>
      </c>
      <c r="AN474" s="3"/>
      <c r="AO474" s="3"/>
      <c r="AP474" s="3" t="n">
        <v>3</v>
      </c>
      <c r="AQ474" s="3"/>
      <c r="AR474" s="3"/>
    </row>
    <row r="475" customFormat="false" ht="15" hidden="false" customHeight="true" outlineLevel="0" collapsed="false">
      <c r="A475" s="3" t="s">
        <v>4248</v>
      </c>
      <c r="B475" s="3" t="n">
        <v>6</v>
      </c>
      <c r="C475" s="3" t="n">
        <v>42</v>
      </c>
      <c r="D475" s="3"/>
      <c r="E475" s="4"/>
      <c r="F475" s="3" t="n">
        <v>23</v>
      </c>
      <c r="G475" s="3" t="str">
        <f aca="false">IF(F475="","",IF(F475&gt;=Notes!$B$5,"Elderly ("&amp;Notes!$B$5&amp;"+)",IF(F475&lt;=Notes!$B$4,"Student age (≤"&amp;Notes!$B$4&amp;")","Middle-aged ("&amp;(Notes!$B$4+1)&amp;"–"&amp;(Notes!$B$5-1)&amp;")")))</f>
        <v>Student age (≤29)</v>
      </c>
      <c r="H475" s="3" t="s">
        <v>45</v>
      </c>
      <c r="I475" s="3"/>
      <c r="J475" s="3" t="s">
        <v>437</v>
      </c>
      <c r="K475" s="3" t="s">
        <v>437</v>
      </c>
      <c r="L475" s="3"/>
      <c r="M475" s="3" t="s">
        <v>437</v>
      </c>
      <c r="N475" s="3" t="s">
        <v>437</v>
      </c>
      <c r="O475" s="3" t="s">
        <v>4062</v>
      </c>
      <c r="P475" s="3"/>
      <c r="Q475" s="3" t="s">
        <v>117</v>
      </c>
      <c r="R475" s="3" t="s">
        <v>4039</v>
      </c>
      <c r="S475" s="3" t="s">
        <v>4040</v>
      </c>
      <c r="T475" s="3" t="s">
        <v>4183</v>
      </c>
      <c r="U475" s="3" t="s">
        <v>4054</v>
      </c>
      <c r="V475" s="3" t="s">
        <v>4055</v>
      </c>
      <c r="W475" s="3" t="s">
        <v>4249</v>
      </c>
      <c r="X475" s="3" t="s">
        <v>4103</v>
      </c>
      <c r="Y475" s="3" t="n">
        <v>2</v>
      </c>
      <c r="Z475" s="3" t="n">
        <v>1</v>
      </c>
      <c r="AA475" s="3" t="n">
        <v>3</v>
      </c>
      <c r="AB475" s="3" t="n">
        <v>2</v>
      </c>
      <c r="AC475" s="3" t="n">
        <v>1</v>
      </c>
      <c r="AD475" s="3" t="n">
        <v>3</v>
      </c>
      <c r="AE475" s="3" t="s">
        <v>4095</v>
      </c>
      <c r="AF475" s="3" t="s">
        <v>4069</v>
      </c>
      <c r="AG475" s="3"/>
      <c r="AH475" s="3"/>
      <c r="AI475" s="3" t="s">
        <v>4085</v>
      </c>
      <c r="AJ475" s="3" t="s">
        <v>59</v>
      </c>
      <c r="AK475" s="3" t="s">
        <v>4178</v>
      </c>
      <c r="AL475" s="3"/>
      <c r="AM475" s="3" t="n">
        <v>4</v>
      </c>
      <c r="AN475" s="3"/>
      <c r="AO475" s="3"/>
      <c r="AP475" s="3" t="n">
        <v>4</v>
      </c>
      <c r="AQ475" s="3"/>
      <c r="AR475" s="3"/>
    </row>
    <row r="476" customFormat="false" ht="15" hidden="false" customHeight="true" outlineLevel="0" collapsed="false">
      <c r="A476" s="3" t="s">
        <v>4250</v>
      </c>
      <c r="B476" s="3" t="n">
        <v>6</v>
      </c>
      <c r="C476" s="3" t="n">
        <v>43</v>
      </c>
      <c r="D476" s="3"/>
      <c r="E476" s="4"/>
      <c r="F476" s="3" t="n">
        <v>45</v>
      </c>
      <c r="G476" s="3" t="str">
        <f aca="false">IF(F476="","",IF(F476&gt;=Notes!$B$5,"Elderly ("&amp;Notes!$B$5&amp;"+)",IF(F476&lt;=Notes!$B$4,"Student age (≤"&amp;Notes!$B$4&amp;")","Middle-aged ("&amp;(Notes!$B$4+1)&amp;"–"&amp;(Notes!$B$5-1)&amp;")")))</f>
        <v>Middle-aged (30–64)</v>
      </c>
      <c r="H476" s="3" t="s">
        <v>45</v>
      </c>
      <c r="I476" s="3"/>
      <c r="J476" s="3" t="s">
        <v>437</v>
      </c>
      <c r="K476" s="3" t="s">
        <v>437</v>
      </c>
      <c r="L476" s="3"/>
      <c r="M476" s="3" t="s">
        <v>437</v>
      </c>
      <c r="N476" s="3" t="s">
        <v>437</v>
      </c>
      <c r="O476" s="3" t="s">
        <v>4038</v>
      </c>
      <c r="P476" s="3"/>
      <c r="Q476" s="3" t="s">
        <v>52</v>
      </c>
      <c r="R476" s="3" t="s">
        <v>4080</v>
      </c>
      <c r="S476" s="3" t="s">
        <v>4251</v>
      </c>
      <c r="T476" s="3" t="s">
        <v>4126</v>
      </c>
      <c r="U476" s="3" t="s">
        <v>4042</v>
      </c>
      <c r="V476" s="3" t="s">
        <v>4055</v>
      </c>
      <c r="W476" s="3" t="s">
        <v>4252</v>
      </c>
      <c r="X476" s="3" t="s">
        <v>4094</v>
      </c>
      <c r="Y476" s="3" t="n">
        <v>1</v>
      </c>
      <c r="Z476" s="3" t="n">
        <v>2</v>
      </c>
      <c r="AA476" s="3" t="n">
        <v>3</v>
      </c>
      <c r="AB476" s="3" t="n">
        <v>2</v>
      </c>
      <c r="AC476" s="3" t="n">
        <v>1</v>
      </c>
      <c r="AD476" s="3" t="n">
        <v>3</v>
      </c>
      <c r="AE476" s="3" t="s">
        <v>4046</v>
      </c>
      <c r="AF476" s="3" t="s">
        <v>860</v>
      </c>
      <c r="AG476" s="3"/>
      <c r="AH476" s="3"/>
      <c r="AI476" s="3" t="s">
        <v>4085</v>
      </c>
      <c r="AJ476" s="3" t="s">
        <v>1625</v>
      </c>
      <c r="AK476" s="3" t="s">
        <v>2242</v>
      </c>
      <c r="AL476" s="3"/>
      <c r="AM476" s="3" t="n">
        <v>4</v>
      </c>
      <c r="AN476" s="3"/>
      <c r="AO476" s="3"/>
      <c r="AP476" s="3" t="n">
        <v>4</v>
      </c>
      <c r="AQ476" s="3"/>
      <c r="AR476" s="3"/>
    </row>
    <row r="477" customFormat="false" ht="15" hidden="false" customHeight="true" outlineLevel="0" collapsed="false">
      <c r="A477" s="3" t="s">
        <v>4253</v>
      </c>
      <c r="B477" s="3" t="n">
        <v>6</v>
      </c>
      <c r="C477" s="3" t="n">
        <v>44</v>
      </c>
      <c r="D477" s="3"/>
      <c r="E477" s="4"/>
      <c r="F477" s="3" t="n">
        <v>23</v>
      </c>
      <c r="G477" s="3" t="str">
        <f aca="false">IF(F477="","",IF(F477&gt;=Notes!$B$5,"Elderly ("&amp;Notes!$B$5&amp;"+)",IF(F477&lt;=Notes!$B$4,"Student age (≤"&amp;Notes!$B$4&amp;")","Middle-aged ("&amp;(Notes!$B$4+1)&amp;"–"&amp;(Notes!$B$5-1)&amp;")")))</f>
        <v>Student age (≤29)</v>
      </c>
      <c r="H477" s="3" t="s">
        <v>83</v>
      </c>
      <c r="I477" s="3"/>
      <c r="J477" s="3" t="s">
        <v>437</v>
      </c>
      <c r="K477" s="3" t="s">
        <v>437</v>
      </c>
      <c r="L477" s="3"/>
      <c r="M477" s="3" t="s">
        <v>437</v>
      </c>
      <c r="N477" s="3" t="s">
        <v>437</v>
      </c>
      <c r="O477" s="3" t="s">
        <v>4038</v>
      </c>
      <c r="P477" s="3"/>
      <c r="Q477" s="3" t="s">
        <v>117</v>
      </c>
      <c r="R477" s="3" t="s">
        <v>4072</v>
      </c>
      <c r="S477" s="3" t="s">
        <v>4040</v>
      </c>
      <c r="T477" s="3" t="s">
        <v>4107</v>
      </c>
      <c r="U477" s="3" t="s">
        <v>4042</v>
      </c>
      <c r="V477" s="3" t="s">
        <v>4254</v>
      </c>
      <c r="W477" s="3" t="s">
        <v>4255</v>
      </c>
      <c r="X477" s="3" t="s">
        <v>4103</v>
      </c>
      <c r="Y477" s="3" t="n">
        <v>3</v>
      </c>
      <c r="Z477" s="3" t="n">
        <v>1</v>
      </c>
      <c r="AA477" s="3" t="n">
        <v>2</v>
      </c>
      <c r="AB477" s="3" t="n">
        <v>3</v>
      </c>
      <c r="AC477" s="3" t="n">
        <v>1</v>
      </c>
      <c r="AD477" s="3" t="n">
        <v>2</v>
      </c>
      <c r="AE477" s="3" t="s">
        <v>4084</v>
      </c>
      <c r="AF477" s="3" t="s">
        <v>847</v>
      </c>
      <c r="AG477" s="3"/>
      <c r="AH477" s="3"/>
      <c r="AI477" s="3" t="s">
        <v>4085</v>
      </c>
      <c r="AJ477" s="3" t="s">
        <v>59</v>
      </c>
      <c r="AK477" s="3" t="s">
        <v>4256</v>
      </c>
      <c r="AL477" s="3"/>
      <c r="AM477" s="3" t="n">
        <v>4</v>
      </c>
      <c r="AN477" s="3"/>
      <c r="AO477" s="3"/>
      <c r="AP477" s="3" t="n">
        <v>4</v>
      </c>
      <c r="AQ477" s="3"/>
      <c r="AR477" s="3"/>
    </row>
    <row r="478" customFormat="false" ht="15" hidden="false" customHeight="true" outlineLevel="0" collapsed="false">
      <c r="A478" s="3" t="s">
        <v>4257</v>
      </c>
      <c r="B478" s="3" t="n">
        <v>6</v>
      </c>
      <c r="C478" s="3" t="n">
        <v>45</v>
      </c>
      <c r="D478" s="3"/>
      <c r="E478" s="4"/>
      <c r="F478" s="3" t="n">
        <v>25</v>
      </c>
      <c r="G478" s="3" t="str">
        <f aca="false">IF(F478="","",IF(F478&gt;=Notes!$B$5,"Elderly ("&amp;Notes!$B$5&amp;"+)",IF(F478&lt;=Notes!$B$4,"Student age (≤"&amp;Notes!$B$4&amp;")","Middle-aged ("&amp;(Notes!$B$4+1)&amp;"–"&amp;(Notes!$B$5-1)&amp;")")))</f>
        <v>Student age (≤29)</v>
      </c>
      <c r="H478" s="3" t="s">
        <v>45</v>
      </c>
      <c r="I478" s="3"/>
      <c r="J478" s="3" t="s">
        <v>437</v>
      </c>
      <c r="K478" s="3" t="s">
        <v>437</v>
      </c>
      <c r="L478" s="3"/>
      <c r="M478" s="3" t="s">
        <v>437</v>
      </c>
      <c r="N478" s="3" t="s">
        <v>437</v>
      </c>
      <c r="O478" s="3" t="s">
        <v>4062</v>
      </c>
      <c r="P478" s="3"/>
      <c r="Q478" s="3" t="s">
        <v>117</v>
      </c>
      <c r="R478" s="3" t="s">
        <v>4258</v>
      </c>
      <c r="S478" s="3" t="s">
        <v>2062</v>
      </c>
      <c r="T478" s="3" t="s">
        <v>4151</v>
      </c>
      <c r="U478" s="3" t="s">
        <v>4042</v>
      </c>
      <c r="V478" s="3" t="s">
        <v>4055</v>
      </c>
      <c r="W478" s="3" t="s">
        <v>4259</v>
      </c>
      <c r="X478" s="3" t="s">
        <v>4260</v>
      </c>
      <c r="Y478" s="3" t="n">
        <v>2</v>
      </c>
      <c r="Z478" s="3" t="n">
        <v>1</v>
      </c>
      <c r="AA478" s="3" t="n">
        <v>3</v>
      </c>
      <c r="AB478" s="3" t="n">
        <v>2</v>
      </c>
      <c r="AC478" s="3" t="n">
        <v>1</v>
      </c>
      <c r="AD478" s="3" t="n">
        <v>3</v>
      </c>
      <c r="AE478" s="3" t="s">
        <v>4261</v>
      </c>
      <c r="AF478" s="3" t="s">
        <v>846</v>
      </c>
      <c r="AG478" s="3"/>
      <c r="AH478" s="3"/>
      <c r="AI478" s="3" t="s">
        <v>4059</v>
      </c>
      <c r="AJ478" s="3" t="s">
        <v>59</v>
      </c>
      <c r="AK478" s="3" t="s">
        <v>4262</v>
      </c>
      <c r="AL478" s="3"/>
      <c r="AM478" s="3" t="n">
        <v>4</v>
      </c>
      <c r="AN478" s="3"/>
      <c r="AO478" s="3"/>
      <c r="AP478" s="3" t="n">
        <v>5</v>
      </c>
      <c r="AQ478" s="3"/>
      <c r="AR478" s="3"/>
    </row>
    <row r="479" customFormat="false" ht="15" hidden="false" customHeight="true" outlineLevel="0" collapsed="false">
      <c r="A479" s="3" t="s">
        <v>4263</v>
      </c>
      <c r="B479" s="3" t="n">
        <v>6</v>
      </c>
      <c r="C479" s="3" t="n">
        <v>46</v>
      </c>
      <c r="D479" s="3"/>
      <c r="E479" s="4"/>
      <c r="F479" s="3" t="n">
        <v>32</v>
      </c>
      <c r="G479" s="3" t="str">
        <f aca="false">IF(F479="","",IF(F479&gt;=Notes!$B$5,"Elderly ("&amp;Notes!$B$5&amp;"+)",IF(F479&lt;=Notes!$B$4,"Student age (≤"&amp;Notes!$B$4&amp;")","Middle-aged ("&amp;(Notes!$B$4+1)&amp;"–"&amp;(Notes!$B$5-1)&amp;")")))</f>
        <v>Middle-aged (30–64)</v>
      </c>
      <c r="H479" s="3" t="s">
        <v>1447</v>
      </c>
      <c r="I479" s="3"/>
      <c r="J479" s="3" t="s">
        <v>437</v>
      </c>
      <c r="K479" s="3" t="s">
        <v>437</v>
      </c>
      <c r="L479" s="3"/>
      <c r="M479" s="3" t="s">
        <v>437</v>
      </c>
      <c r="N479" s="3" t="s">
        <v>437</v>
      </c>
      <c r="O479" s="3" t="s">
        <v>4062</v>
      </c>
      <c r="P479" s="3"/>
      <c r="Q479" s="3" t="s">
        <v>74</v>
      </c>
      <c r="R479" s="3" t="s">
        <v>4039</v>
      </c>
      <c r="S479" s="3" t="s">
        <v>4131</v>
      </c>
      <c r="T479" s="3" t="s">
        <v>4264</v>
      </c>
      <c r="U479" s="3" t="s">
        <v>4265</v>
      </c>
      <c r="V479" s="3" t="s">
        <v>4065</v>
      </c>
      <c r="W479" s="3" t="s">
        <v>4066</v>
      </c>
      <c r="X479" s="3" t="s">
        <v>4204</v>
      </c>
      <c r="Y479" s="3" t="n">
        <v>3</v>
      </c>
      <c r="Z479" s="3" t="n">
        <v>1</v>
      </c>
      <c r="AA479" s="3" t="n">
        <v>2</v>
      </c>
      <c r="AB479" s="3" t="n">
        <v>3</v>
      </c>
      <c r="AC479" s="3" t="n">
        <v>1</v>
      </c>
      <c r="AD479" s="3" t="n">
        <v>2</v>
      </c>
      <c r="AE479" s="3" t="s">
        <v>4084</v>
      </c>
      <c r="AF479" s="3" t="s">
        <v>4047</v>
      </c>
      <c r="AG479" s="3"/>
      <c r="AH479" s="3"/>
      <c r="AI479" s="3" t="s">
        <v>4085</v>
      </c>
      <c r="AJ479" s="3" t="s">
        <v>59</v>
      </c>
      <c r="AK479" s="3" t="s">
        <v>4266</v>
      </c>
      <c r="AL479" s="3"/>
      <c r="AM479" s="3" t="n">
        <v>3</v>
      </c>
      <c r="AN479" s="3"/>
      <c r="AO479" s="3"/>
      <c r="AP479" s="3" t="n">
        <v>3</v>
      </c>
      <c r="AQ479" s="3"/>
      <c r="AR479" s="3"/>
    </row>
    <row r="480" customFormat="false" ht="15" hidden="false" customHeight="true" outlineLevel="0" collapsed="false">
      <c r="A480" s="3" t="s">
        <v>4267</v>
      </c>
      <c r="B480" s="3" t="n">
        <v>6</v>
      </c>
      <c r="C480" s="3" t="n">
        <v>47</v>
      </c>
      <c r="D480" s="3"/>
      <c r="E480" s="4"/>
      <c r="F480" s="3" t="n">
        <v>53</v>
      </c>
      <c r="G480" s="3" t="str">
        <f aca="false">IF(F480="","",IF(F480&gt;=Notes!$B$5,"Elderly ("&amp;Notes!$B$5&amp;"+)",IF(F480&lt;=Notes!$B$4,"Student age (≤"&amp;Notes!$B$4&amp;")","Middle-aged ("&amp;(Notes!$B$4+1)&amp;"–"&amp;(Notes!$B$5-1)&amp;")")))</f>
        <v>Middle-aged (30–64)</v>
      </c>
      <c r="H480" s="3" t="s">
        <v>45</v>
      </c>
      <c r="I480" s="3"/>
      <c r="J480" s="3"/>
      <c r="K480" s="3"/>
      <c r="L480" s="3"/>
      <c r="M480" s="3"/>
      <c r="N480" s="3"/>
      <c r="O480" s="3" t="s">
        <v>4038</v>
      </c>
      <c r="P480" s="3"/>
      <c r="Q480" s="3" t="s">
        <v>52</v>
      </c>
      <c r="R480" s="3" t="s">
        <v>4099</v>
      </c>
      <c r="S480" s="3" t="s">
        <v>4099</v>
      </c>
      <c r="T480" s="3" t="s">
        <v>4064</v>
      </c>
      <c r="U480" s="3" t="s">
        <v>4042</v>
      </c>
      <c r="V480" s="3" t="s">
        <v>4202</v>
      </c>
      <c r="W480" s="3" t="s">
        <v>4093</v>
      </c>
      <c r="X480" s="3" t="s">
        <v>4141</v>
      </c>
      <c r="Y480" s="3" t="n">
        <v>2</v>
      </c>
      <c r="Z480" s="3" t="n">
        <v>1</v>
      </c>
      <c r="AA480" s="3" t="n">
        <v>3</v>
      </c>
      <c r="AB480" s="3" t="n">
        <v>1</v>
      </c>
      <c r="AC480" s="3" t="n">
        <v>2</v>
      </c>
      <c r="AD480" s="3" t="n">
        <v>3</v>
      </c>
      <c r="AE480" s="3" t="s">
        <v>4117</v>
      </c>
      <c r="AF480" s="3" t="s">
        <v>847</v>
      </c>
      <c r="AG480" s="3"/>
      <c r="AH480" s="3"/>
      <c r="AI480" s="3" t="s">
        <v>4085</v>
      </c>
      <c r="AJ480" s="3" t="s">
        <v>59</v>
      </c>
      <c r="AK480" s="3" t="s">
        <v>1112</v>
      </c>
      <c r="AL480" s="3"/>
      <c r="AM480" s="3" t="n">
        <v>5</v>
      </c>
      <c r="AN480" s="3"/>
      <c r="AO480" s="3"/>
      <c r="AP480" s="3" t="n">
        <v>3</v>
      </c>
      <c r="AQ480" s="3"/>
      <c r="AR480" s="3" t="s">
        <v>4268</v>
      </c>
    </row>
    <row r="481" customFormat="false" ht="15" hidden="false" customHeight="true" outlineLevel="0" collapsed="false">
      <c r="A481" s="3" t="s">
        <v>4269</v>
      </c>
      <c r="B481" s="3" t="n">
        <v>6</v>
      </c>
      <c r="C481" s="3" t="n">
        <v>48</v>
      </c>
      <c r="D481" s="3"/>
      <c r="E481" s="4"/>
      <c r="F481" s="3" t="n">
        <v>26</v>
      </c>
      <c r="G481" s="3" t="str">
        <f aca="false">IF(F481="","",IF(F481&gt;=Notes!$B$5,"Elderly ("&amp;Notes!$B$5&amp;"+)",IF(F481&lt;=Notes!$B$4,"Student age (≤"&amp;Notes!$B$4&amp;")","Middle-aged ("&amp;(Notes!$B$4+1)&amp;"–"&amp;(Notes!$B$5-1)&amp;")")))</f>
        <v>Student age (≤29)</v>
      </c>
      <c r="H481" s="3" t="s">
        <v>45</v>
      </c>
      <c r="I481" s="3"/>
      <c r="J481" s="3" t="s">
        <v>437</v>
      </c>
      <c r="K481" s="3" t="s">
        <v>437</v>
      </c>
      <c r="L481" s="3"/>
      <c r="M481" s="3" t="s">
        <v>437</v>
      </c>
      <c r="N481" s="3" t="s">
        <v>437</v>
      </c>
      <c r="O481" s="3" t="s">
        <v>4062</v>
      </c>
      <c r="P481" s="3"/>
      <c r="Q481" s="3" t="s">
        <v>95</v>
      </c>
      <c r="R481" s="3" t="s">
        <v>4080</v>
      </c>
      <c r="S481" s="3" t="s">
        <v>4052</v>
      </c>
      <c r="T481" s="3" t="s">
        <v>4090</v>
      </c>
      <c r="U481" s="3" t="s">
        <v>4042</v>
      </c>
      <c r="V481" s="3" t="s">
        <v>4043</v>
      </c>
      <c r="W481" s="3" t="s">
        <v>4155</v>
      </c>
      <c r="X481" s="3" t="s">
        <v>4067</v>
      </c>
      <c r="Y481" s="3" t="n">
        <v>1</v>
      </c>
      <c r="Z481" s="3" t="n">
        <v>2</v>
      </c>
      <c r="AA481" s="3" t="n">
        <v>3</v>
      </c>
      <c r="AB481" s="3" t="n">
        <v>2</v>
      </c>
      <c r="AC481" s="3" t="n">
        <v>1</v>
      </c>
      <c r="AD481" s="3" t="n">
        <v>3</v>
      </c>
      <c r="AE481" s="3" t="s">
        <v>4117</v>
      </c>
      <c r="AF481" s="3" t="s">
        <v>847</v>
      </c>
      <c r="AG481" s="3"/>
      <c r="AH481" s="3"/>
      <c r="AI481" s="3" t="s">
        <v>4085</v>
      </c>
      <c r="AJ481" s="3" t="s">
        <v>59</v>
      </c>
      <c r="AK481" s="3" t="s">
        <v>4270</v>
      </c>
      <c r="AL481" s="3"/>
      <c r="AM481" s="3" t="n">
        <v>3</v>
      </c>
      <c r="AN481" s="3"/>
      <c r="AO481" s="3"/>
      <c r="AP481" s="3" t="n">
        <v>3</v>
      </c>
      <c r="AQ481" s="3"/>
      <c r="AR481" s="3"/>
    </row>
    <row r="482" customFormat="false" ht="15" hidden="false" customHeight="true" outlineLevel="0" collapsed="false">
      <c r="A482" s="3" t="s">
        <v>4271</v>
      </c>
      <c r="B482" s="3" t="n">
        <v>6</v>
      </c>
      <c r="C482" s="3" t="n">
        <v>49</v>
      </c>
      <c r="D482" s="3"/>
      <c r="E482" s="4"/>
      <c r="F482" s="3" t="n">
        <v>23</v>
      </c>
      <c r="G482" s="3" t="str">
        <f aca="false">IF(F482="","",IF(F482&gt;=Notes!$B$5,"Elderly ("&amp;Notes!$B$5&amp;"+)",IF(F482&lt;=Notes!$B$4,"Student age (≤"&amp;Notes!$B$4&amp;")","Middle-aged ("&amp;(Notes!$B$4+1)&amp;"–"&amp;(Notes!$B$5-1)&amp;")")))</f>
        <v>Student age (≤29)</v>
      </c>
      <c r="H482" s="3" t="s">
        <v>45</v>
      </c>
      <c r="I482" s="3"/>
      <c r="J482" s="3" t="s">
        <v>437</v>
      </c>
      <c r="K482" s="3" t="s">
        <v>437</v>
      </c>
      <c r="L482" s="3"/>
      <c r="M482" s="3" t="s">
        <v>437</v>
      </c>
      <c r="N482" s="3" t="s">
        <v>437</v>
      </c>
      <c r="O482" s="3" t="s">
        <v>4038</v>
      </c>
      <c r="P482" s="3"/>
      <c r="Q482" s="3" t="s">
        <v>95</v>
      </c>
      <c r="R482" s="3" t="s">
        <v>4099</v>
      </c>
      <c r="S482" s="3" t="s">
        <v>4136</v>
      </c>
      <c r="T482" s="3" t="s">
        <v>4120</v>
      </c>
      <c r="U482" s="3" t="s">
        <v>4042</v>
      </c>
      <c r="V482" s="3" t="s">
        <v>4173</v>
      </c>
      <c r="W482" s="3" t="s">
        <v>4209</v>
      </c>
      <c r="X482" s="3" t="s">
        <v>4148</v>
      </c>
      <c r="Y482" s="3" t="n">
        <v>1</v>
      </c>
      <c r="Z482" s="3" t="n">
        <v>2</v>
      </c>
      <c r="AA482" s="3" t="n">
        <v>3</v>
      </c>
      <c r="AB482" s="3" t="n">
        <v>1</v>
      </c>
      <c r="AC482" s="3" t="n">
        <v>2</v>
      </c>
      <c r="AD482" s="3" t="n">
        <v>3</v>
      </c>
      <c r="AE482" s="3" t="s">
        <v>4261</v>
      </c>
      <c r="AF482" s="3" t="s">
        <v>860</v>
      </c>
      <c r="AG482" s="3"/>
      <c r="AH482" s="3"/>
      <c r="AI482" s="3" t="s">
        <v>4059</v>
      </c>
      <c r="AJ482" s="3" t="s">
        <v>59</v>
      </c>
      <c r="AK482" s="3" t="s">
        <v>4178</v>
      </c>
      <c r="AL482" s="3"/>
      <c r="AM482" s="3" t="n">
        <v>4</v>
      </c>
      <c r="AN482" s="3"/>
      <c r="AO482" s="3"/>
      <c r="AP482" s="3" t="n">
        <v>4</v>
      </c>
      <c r="AQ482" s="3"/>
      <c r="AR482" s="3"/>
    </row>
    <row r="483" customFormat="false" ht="15" hidden="false" customHeight="true" outlineLevel="0" collapsed="false">
      <c r="A483" s="3" t="s">
        <v>4272</v>
      </c>
      <c r="B483" s="3" t="n">
        <v>6</v>
      </c>
      <c r="C483" s="3" t="n">
        <v>50</v>
      </c>
      <c r="D483" s="3"/>
      <c r="E483" s="4"/>
      <c r="F483" s="3" t="n">
        <v>26</v>
      </c>
      <c r="G483" s="3" t="str">
        <f aca="false">IF(F483="","",IF(F483&gt;=Notes!$B$5,"Elderly ("&amp;Notes!$B$5&amp;"+)",IF(F483&lt;=Notes!$B$4,"Student age (≤"&amp;Notes!$B$4&amp;")","Middle-aged ("&amp;(Notes!$B$4+1)&amp;"–"&amp;(Notes!$B$5-1)&amp;")")))</f>
        <v>Student age (≤29)</v>
      </c>
      <c r="H483" s="3" t="s">
        <v>45</v>
      </c>
      <c r="I483" s="3"/>
      <c r="J483" s="3" t="s">
        <v>437</v>
      </c>
      <c r="K483" s="3" t="s">
        <v>437</v>
      </c>
      <c r="L483" s="3"/>
      <c r="M483" s="3" t="s">
        <v>437</v>
      </c>
      <c r="N483" s="3" t="s">
        <v>437</v>
      </c>
      <c r="O483" s="3" t="s">
        <v>4038</v>
      </c>
      <c r="P483" s="3"/>
      <c r="Q483" s="3" t="s">
        <v>95</v>
      </c>
      <c r="R483" s="3" t="s">
        <v>4072</v>
      </c>
      <c r="S483" s="3" t="s">
        <v>4099</v>
      </c>
      <c r="T483" s="3" t="s">
        <v>4100</v>
      </c>
      <c r="U483" s="3" t="s">
        <v>4054</v>
      </c>
      <c r="V483" s="3" t="s">
        <v>4065</v>
      </c>
      <c r="W483" s="3" t="s">
        <v>4102</v>
      </c>
      <c r="X483" s="3" t="s">
        <v>4273</v>
      </c>
      <c r="Y483" s="3" t="n">
        <v>2</v>
      </c>
      <c r="Z483" s="3" t="n">
        <v>1</v>
      </c>
      <c r="AA483" s="3" t="n">
        <v>3</v>
      </c>
      <c r="AB483" s="3" t="n">
        <v>2</v>
      </c>
      <c r="AC483" s="3" t="n">
        <v>1</v>
      </c>
      <c r="AD483" s="3" t="n">
        <v>3</v>
      </c>
      <c r="AE483" s="3" t="s">
        <v>4117</v>
      </c>
      <c r="AF483" s="3" t="s">
        <v>847</v>
      </c>
      <c r="AG483" s="3"/>
      <c r="AH483" s="3"/>
      <c r="AI483" s="3" t="s">
        <v>4085</v>
      </c>
      <c r="AJ483" s="3" t="s">
        <v>59</v>
      </c>
      <c r="AK483" s="3" t="s">
        <v>4175</v>
      </c>
      <c r="AL483" s="3"/>
      <c r="AM483" s="3" t="n">
        <v>3</v>
      </c>
      <c r="AN483" s="3"/>
      <c r="AO483" s="3"/>
      <c r="AP483" s="3" t="n">
        <v>3</v>
      </c>
      <c r="AQ483" s="3"/>
      <c r="AR483" s="3"/>
    </row>
    <row r="484" customFormat="false" ht="15" hidden="false" customHeight="true" outlineLevel="0" collapsed="false">
      <c r="A484" s="3" t="s">
        <v>4274</v>
      </c>
      <c r="B484" s="3" t="n">
        <v>6</v>
      </c>
      <c r="C484" s="3" t="n">
        <v>51</v>
      </c>
      <c r="D484" s="3"/>
      <c r="E484" s="4"/>
      <c r="F484" s="3" t="n">
        <v>23</v>
      </c>
      <c r="G484" s="3" t="str">
        <f aca="false">IF(F484="","",IF(F484&gt;=Notes!$B$5,"Elderly ("&amp;Notes!$B$5&amp;"+)",IF(F484&lt;=Notes!$B$4,"Student age (≤"&amp;Notes!$B$4&amp;")","Middle-aged ("&amp;(Notes!$B$4+1)&amp;"–"&amp;(Notes!$B$5-1)&amp;")")))</f>
        <v>Student age (≤29)</v>
      </c>
      <c r="H484" s="3" t="s">
        <v>83</v>
      </c>
      <c r="I484" s="3"/>
      <c r="J484" s="3" t="s">
        <v>437</v>
      </c>
      <c r="K484" s="3" t="s">
        <v>437</v>
      </c>
      <c r="L484" s="3"/>
      <c r="M484" s="3" t="s">
        <v>437</v>
      </c>
      <c r="N484" s="3" t="s">
        <v>437</v>
      </c>
      <c r="O484" s="3" t="s">
        <v>4062</v>
      </c>
      <c r="P484" s="3"/>
      <c r="Q484" s="3" t="s">
        <v>95</v>
      </c>
      <c r="R484" s="3" t="s">
        <v>4275</v>
      </c>
      <c r="S484" s="3" t="s">
        <v>4276</v>
      </c>
      <c r="T484" s="3" t="s">
        <v>4242</v>
      </c>
      <c r="U484" s="3" t="s">
        <v>4042</v>
      </c>
      <c r="V484" s="3" t="s">
        <v>4277</v>
      </c>
      <c r="W484" s="3" t="s">
        <v>4074</v>
      </c>
      <c r="X484" s="3" t="s">
        <v>4075</v>
      </c>
      <c r="Y484" s="3" t="n">
        <v>1</v>
      </c>
      <c r="Z484" s="3" t="n">
        <v>2</v>
      </c>
      <c r="AA484" s="3" t="n">
        <v>3</v>
      </c>
      <c r="AB484" s="3" t="n">
        <v>1</v>
      </c>
      <c r="AC484" s="3" t="n">
        <v>3</v>
      </c>
      <c r="AD484" s="3" t="n">
        <v>2</v>
      </c>
      <c r="AE484" s="3" t="s">
        <v>4134</v>
      </c>
      <c r="AF484" s="3" t="s">
        <v>4047</v>
      </c>
      <c r="AG484" s="3"/>
      <c r="AH484" s="3"/>
      <c r="AI484" s="3" t="s">
        <v>4085</v>
      </c>
      <c r="AJ484" s="3" t="s">
        <v>59</v>
      </c>
      <c r="AK484" s="3" t="s">
        <v>4262</v>
      </c>
      <c r="AL484" s="3"/>
      <c r="AM484" s="3" t="n">
        <v>3</v>
      </c>
      <c r="AN484" s="3"/>
      <c r="AO484" s="3"/>
      <c r="AP484" s="3" t="n">
        <v>4</v>
      </c>
      <c r="AQ484" s="3"/>
      <c r="AR484" s="3"/>
    </row>
    <row r="485" customFormat="false" ht="15" hidden="false" customHeight="true" outlineLevel="0" collapsed="false">
      <c r="A485" s="3" t="s">
        <v>4278</v>
      </c>
      <c r="B485" s="3" t="n">
        <v>6</v>
      </c>
      <c r="C485" s="3" t="n">
        <v>52</v>
      </c>
      <c r="D485" s="3"/>
      <c r="E485" s="4"/>
      <c r="F485" s="3" t="n">
        <v>21</v>
      </c>
      <c r="G485" s="3" t="str">
        <f aca="false">IF(F485="","",IF(F485&gt;=Notes!$B$5,"Elderly ("&amp;Notes!$B$5&amp;"+)",IF(F485&lt;=Notes!$B$4,"Student age (≤"&amp;Notes!$B$4&amp;")","Middle-aged ("&amp;(Notes!$B$4+1)&amp;"–"&amp;(Notes!$B$5-1)&amp;")")))</f>
        <v>Student age (≤29)</v>
      </c>
      <c r="H485" s="3" t="s">
        <v>83</v>
      </c>
      <c r="I485" s="3"/>
      <c r="J485" s="3" t="s">
        <v>437</v>
      </c>
      <c r="K485" s="3" t="s">
        <v>437</v>
      </c>
      <c r="L485" s="3"/>
      <c r="M485" s="3" t="s">
        <v>437</v>
      </c>
      <c r="N485" s="3" t="s">
        <v>437</v>
      </c>
      <c r="O485" s="3" t="s">
        <v>4062</v>
      </c>
      <c r="P485" s="3"/>
      <c r="Q485" s="3" t="s">
        <v>95</v>
      </c>
      <c r="R485" s="3" t="s">
        <v>4063</v>
      </c>
      <c r="S485" s="3" t="s">
        <v>4131</v>
      </c>
      <c r="T485" s="3" t="s">
        <v>4151</v>
      </c>
      <c r="U485" s="3" t="s">
        <v>4132</v>
      </c>
      <c r="V485" s="3" t="s">
        <v>4202</v>
      </c>
      <c r="W485" s="3" t="s">
        <v>4279</v>
      </c>
      <c r="X485" s="3" t="s">
        <v>4280</v>
      </c>
      <c r="Y485" s="3" t="n">
        <v>3</v>
      </c>
      <c r="Z485" s="3" t="n">
        <v>1</v>
      </c>
      <c r="AA485" s="3" t="n">
        <v>2</v>
      </c>
      <c r="AB485" s="3" t="n">
        <v>1</v>
      </c>
      <c r="AC485" s="3" t="n">
        <v>2</v>
      </c>
      <c r="AD485" s="3" t="n">
        <v>3</v>
      </c>
      <c r="AE485" s="3" t="s">
        <v>4281</v>
      </c>
      <c r="AF485" s="3" t="s">
        <v>847</v>
      </c>
      <c r="AG485" s="3"/>
      <c r="AH485" s="3"/>
      <c r="AI485" s="3" t="s">
        <v>4104</v>
      </c>
      <c r="AJ485" s="3" t="s">
        <v>98</v>
      </c>
      <c r="AK485" s="3" t="s">
        <v>4282</v>
      </c>
      <c r="AL485" s="3"/>
      <c r="AM485" s="3" t="n">
        <v>4</v>
      </c>
      <c r="AN485" s="3"/>
      <c r="AO485" s="3"/>
      <c r="AP485" s="3" t="n">
        <v>4</v>
      </c>
      <c r="AQ485" s="3"/>
      <c r="AR485" s="3"/>
    </row>
    <row r="486" customFormat="false" ht="15" hidden="false" customHeight="true" outlineLevel="0" collapsed="false">
      <c r="A486" s="3" t="s">
        <v>4283</v>
      </c>
      <c r="B486" s="3" t="n">
        <v>6</v>
      </c>
      <c r="C486" s="3" t="n">
        <v>53</v>
      </c>
      <c r="D486" s="3"/>
      <c r="E486" s="4"/>
      <c r="F486" s="3" t="n">
        <v>23</v>
      </c>
      <c r="G486" s="3" t="str">
        <f aca="false">IF(F486="","",IF(F486&gt;=Notes!$B$5,"Elderly ("&amp;Notes!$B$5&amp;"+)",IF(F486&lt;=Notes!$B$4,"Student age (≤"&amp;Notes!$B$4&amp;")","Middle-aged ("&amp;(Notes!$B$4+1)&amp;"–"&amp;(Notes!$B$5-1)&amp;")")))</f>
        <v>Student age (≤29)</v>
      </c>
      <c r="H486" s="3" t="s">
        <v>45</v>
      </c>
      <c r="I486" s="3"/>
      <c r="J486" s="3" t="s">
        <v>437</v>
      </c>
      <c r="K486" s="3" t="s">
        <v>437</v>
      </c>
      <c r="L486" s="3" t="s">
        <v>49</v>
      </c>
      <c r="M486" s="3" t="s">
        <v>47</v>
      </c>
      <c r="N486" s="3" t="s">
        <v>50</v>
      </c>
      <c r="O486" s="3" t="s">
        <v>4236</v>
      </c>
      <c r="P486" s="3"/>
      <c r="Q486" s="3" t="s">
        <v>95</v>
      </c>
      <c r="R486" s="3" t="s">
        <v>4080</v>
      </c>
      <c r="S486" s="3" t="s">
        <v>2062</v>
      </c>
      <c r="T486" s="3" t="s">
        <v>4120</v>
      </c>
      <c r="U486" s="3" t="s">
        <v>4042</v>
      </c>
      <c r="V486" s="3" t="s">
        <v>4161</v>
      </c>
      <c r="W486" s="3" t="s">
        <v>4284</v>
      </c>
      <c r="X486" s="3" t="s">
        <v>4280</v>
      </c>
      <c r="Y486" s="3" t="n">
        <v>1</v>
      </c>
      <c r="Z486" s="3" t="n">
        <v>3</v>
      </c>
      <c r="AA486" s="3" t="n">
        <v>2</v>
      </c>
      <c r="AB486" s="3" t="n">
        <v>1</v>
      </c>
      <c r="AC486" s="3" t="n">
        <v>3</v>
      </c>
      <c r="AD486" s="3" t="n">
        <v>2</v>
      </c>
      <c r="AE486" s="3" t="s">
        <v>4197</v>
      </c>
      <c r="AF486" s="3" t="s">
        <v>846</v>
      </c>
      <c r="AG486" s="3"/>
      <c r="AH486" s="3"/>
      <c r="AI486" s="3" t="s">
        <v>4104</v>
      </c>
      <c r="AJ486" s="3" t="s">
        <v>1625</v>
      </c>
      <c r="AK486" s="3" t="s">
        <v>2242</v>
      </c>
      <c r="AL486" s="3"/>
      <c r="AM486" s="3" t="n">
        <v>5</v>
      </c>
      <c r="AN486" s="3"/>
      <c r="AO486" s="3"/>
      <c r="AP486" s="3" t="n">
        <v>5</v>
      </c>
      <c r="AQ486" s="3"/>
      <c r="AR486" s="3"/>
    </row>
    <row r="487" customFormat="false" ht="15" hidden="false" customHeight="true" outlineLevel="0" collapsed="false">
      <c r="A487" s="3" t="s">
        <v>4285</v>
      </c>
      <c r="B487" s="3" t="n">
        <v>6</v>
      </c>
      <c r="C487" s="3" t="n">
        <v>54</v>
      </c>
      <c r="D487" s="3"/>
      <c r="E487" s="4"/>
      <c r="F487" s="3" t="n">
        <v>23</v>
      </c>
      <c r="G487" s="3" t="str">
        <f aca="false">IF(F487="","",IF(F487&gt;=Notes!$B$5,"Elderly ("&amp;Notes!$B$5&amp;"+)",IF(F487&lt;=Notes!$B$4,"Student age (≤"&amp;Notes!$B$4&amp;")","Middle-aged ("&amp;(Notes!$B$4+1)&amp;"–"&amp;(Notes!$B$5-1)&amp;")")))</f>
        <v>Student age (≤29)</v>
      </c>
      <c r="H487" s="3" t="s">
        <v>45</v>
      </c>
      <c r="I487" s="3"/>
      <c r="J487" s="3" t="s">
        <v>437</v>
      </c>
      <c r="K487" s="3" t="s">
        <v>437</v>
      </c>
      <c r="L487" s="3"/>
      <c r="M487" s="3" t="s">
        <v>437</v>
      </c>
      <c r="N487" s="3" t="s">
        <v>437</v>
      </c>
      <c r="O487" s="3" t="s">
        <v>4062</v>
      </c>
      <c r="P487" s="3"/>
      <c r="Q487" s="3" t="s">
        <v>117</v>
      </c>
      <c r="R487" s="3" t="s">
        <v>4063</v>
      </c>
      <c r="S487" s="3" t="s">
        <v>2062</v>
      </c>
      <c r="T487" s="3" t="s">
        <v>4100</v>
      </c>
      <c r="U487" s="3" t="s">
        <v>4054</v>
      </c>
      <c r="V487" s="3" t="s">
        <v>4286</v>
      </c>
      <c r="W487" s="3" t="s">
        <v>4287</v>
      </c>
      <c r="X487" s="3" t="s">
        <v>4045</v>
      </c>
      <c r="Y487" s="3" t="n">
        <v>3</v>
      </c>
      <c r="Z487" s="3" t="n">
        <v>2</v>
      </c>
      <c r="AA487" s="3" t="n">
        <v>1</v>
      </c>
      <c r="AB487" s="3" t="n">
        <v>2</v>
      </c>
      <c r="AC487" s="3" t="n">
        <v>3</v>
      </c>
      <c r="AD487" s="3" t="n">
        <v>1</v>
      </c>
      <c r="AE487" s="3" t="s">
        <v>4247</v>
      </c>
      <c r="AF487" s="3" t="s">
        <v>4047</v>
      </c>
      <c r="AG487" s="3"/>
      <c r="AH487" s="3"/>
      <c r="AI487" s="3" t="s">
        <v>4077</v>
      </c>
      <c r="AJ487" s="3" t="s">
        <v>59</v>
      </c>
      <c r="AK487" s="3" t="s">
        <v>4288</v>
      </c>
      <c r="AL487" s="3"/>
      <c r="AM487" s="3" t="n">
        <v>4</v>
      </c>
      <c r="AN487" s="3"/>
      <c r="AO487" s="3"/>
      <c r="AP487" s="3" t="n">
        <v>3</v>
      </c>
      <c r="AQ487" s="3"/>
      <c r="AR487" s="3"/>
    </row>
    <row r="488" customFormat="false" ht="15" hidden="false" customHeight="true" outlineLevel="0" collapsed="false">
      <c r="A488" s="3" t="s">
        <v>4289</v>
      </c>
      <c r="B488" s="3" t="n">
        <v>6</v>
      </c>
      <c r="C488" s="3" t="n">
        <v>55</v>
      </c>
      <c r="D488" s="3"/>
      <c r="E488" s="4"/>
      <c r="F488" s="3" t="n">
        <v>23</v>
      </c>
      <c r="G488" s="3" t="str">
        <f aca="false">IF(F488="","",IF(F488&gt;=Notes!$B$5,"Elderly ("&amp;Notes!$B$5&amp;"+)",IF(F488&lt;=Notes!$B$4,"Student age (≤"&amp;Notes!$B$4&amp;")","Middle-aged ("&amp;(Notes!$B$4+1)&amp;"–"&amp;(Notes!$B$5-1)&amp;")")))</f>
        <v>Student age (≤29)</v>
      </c>
      <c r="H488" s="3" t="s">
        <v>83</v>
      </c>
      <c r="I488" s="3"/>
      <c r="J488" s="3" t="s">
        <v>437</v>
      </c>
      <c r="K488" s="3" t="s">
        <v>437</v>
      </c>
      <c r="L488" s="3"/>
      <c r="M488" s="3" t="s">
        <v>437</v>
      </c>
      <c r="N488" s="3" t="s">
        <v>437</v>
      </c>
      <c r="O488" s="3" t="s">
        <v>4038</v>
      </c>
      <c r="P488" s="3"/>
      <c r="Q488" s="3" t="s">
        <v>117</v>
      </c>
      <c r="R488" s="3" t="s">
        <v>4080</v>
      </c>
      <c r="S488" s="3" t="s">
        <v>2062</v>
      </c>
      <c r="T488" s="3" t="s">
        <v>4139</v>
      </c>
      <c r="U488" s="3" t="s">
        <v>4054</v>
      </c>
      <c r="V488" s="3" t="s">
        <v>4290</v>
      </c>
      <c r="W488" s="3" t="s">
        <v>4291</v>
      </c>
      <c r="X488" s="3" t="s">
        <v>4244</v>
      </c>
      <c r="Y488" s="3" t="n">
        <v>3</v>
      </c>
      <c r="Z488" s="3" t="n">
        <v>1</v>
      </c>
      <c r="AA488" s="3" t="n">
        <v>2</v>
      </c>
      <c r="AB488" s="3" t="n">
        <v>3</v>
      </c>
      <c r="AC488" s="3" t="n">
        <v>1</v>
      </c>
      <c r="AD488" s="3" t="n">
        <v>2</v>
      </c>
      <c r="AE488" s="3" t="s">
        <v>4117</v>
      </c>
      <c r="AF488" s="3" t="s">
        <v>846</v>
      </c>
      <c r="AG488" s="3"/>
      <c r="AH488" s="3"/>
      <c r="AI488" s="3" t="s">
        <v>4085</v>
      </c>
      <c r="AJ488" s="3" t="s">
        <v>59</v>
      </c>
      <c r="AK488" s="3" t="s">
        <v>4124</v>
      </c>
      <c r="AL488" s="3"/>
      <c r="AM488" s="3" t="n">
        <v>4</v>
      </c>
      <c r="AN488" s="3"/>
      <c r="AO488" s="3"/>
      <c r="AP488" s="3" t="n">
        <v>5</v>
      </c>
      <c r="AQ488" s="3"/>
      <c r="AR488" s="3"/>
    </row>
    <row r="489" customFormat="false" ht="15" hidden="false" customHeight="true" outlineLevel="0" collapsed="false">
      <c r="A489" s="3" t="s">
        <v>4292</v>
      </c>
      <c r="B489" s="3" t="n">
        <v>6</v>
      </c>
      <c r="C489" s="3" t="n">
        <v>56</v>
      </c>
      <c r="D489" s="3"/>
      <c r="E489" s="4"/>
      <c r="F489" s="3" t="n">
        <v>23</v>
      </c>
      <c r="G489" s="3" t="str">
        <f aca="false">IF(F489="","",IF(F489&gt;=Notes!$B$5,"Elderly ("&amp;Notes!$B$5&amp;"+)",IF(F489&lt;=Notes!$B$4,"Student age (≤"&amp;Notes!$B$4&amp;")","Middle-aged ("&amp;(Notes!$B$4+1)&amp;"–"&amp;(Notes!$B$5-1)&amp;")")))</f>
        <v>Student age (≤29)</v>
      </c>
      <c r="H489" s="3" t="s">
        <v>45</v>
      </c>
      <c r="I489" s="3"/>
      <c r="J489" s="3" t="s">
        <v>437</v>
      </c>
      <c r="K489" s="3" t="s">
        <v>437</v>
      </c>
      <c r="L489" s="3"/>
      <c r="M489" s="3" t="s">
        <v>437</v>
      </c>
      <c r="N489" s="3" t="s">
        <v>437</v>
      </c>
      <c r="O489" s="3" t="s">
        <v>4038</v>
      </c>
      <c r="P489" s="3"/>
      <c r="Q489" s="3" t="s">
        <v>52</v>
      </c>
      <c r="R489" s="3" t="s">
        <v>4099</v>
      </c>
      <c r="S489" s="3" t="s">
        <v>4099</v>
      </c>
      <c r="T489" s="3" t="s">
        <v>4120</v>
      </c>
      <c r="U489" s="3" t="s">
        <v>4042</v>
      </c>
      <c r="V489" s="3" t="s">
        <v>4065</v>
      </c>
      <c r="W489" s="3" t="s">
        <v>4133</v>
      </c>
      <c r="X489" s="3" t="s">
        <v>4094</v>
      </c>
      <c r="Y489" s="3" t="n">
        <v>2</v>
      </c>
      <c r="Z489" s="3" t="n">
        <v>1</v>
      </c>
      <c r="AA489" s="3" t="n">
        <v>3</v>
      </c>
      <c r="AB489" s="3" t="n">
        <v>2</v>
      </c>
      <c r="AC489" s="3" t="n">
        <v>1</v>
      </c>
      <c r="AD489" s="3" t="n">
        <v>3</v>
      </c>
      <c r="AE489" s="3" t="s">
        <v>4159</v>
      </c>
      <c r="AF489" s="3" t="s">
        <v>847</v>
      </c>
      <c r="AG489" s="3"/>
      <c r="AH489" s="3"/>
      <c r="AI489" s="3" t="s">
        <v>4104</v>
      </c>
      <c r="AJ489" s="3" t="s">
        <v>59</v>
      </c>
      <c r="AK489" s="3" t="s">
        <v>4293</v>
      </c>
      <c r="AL489" s="3"/>
      <c r="AM489" s="3" t="n">
        <v>2</v>
      </c>
      <c r="AN489" s="3"/>
      <c r="AO489" s="3"/>
      <c r="AP489" s="3" t="n">
        <v>3</v>
      </c>
      <c r="AQ489" s="3"/>
      <c r="AR489" s="3"/>
    </row>
    <row r="490" customFormat="false" ht="15" hidden="false" customHeight="true" outlineLevel="0" collapsed="false">
      <c r="A490" s="3" t="s">
        <v>4294</v>
      </c>
      <c r="B490" s="3" t="n">
        <v>6</v>
      </c>
      <c r="C490" s="3" t="n">
        <v>57</v>
      </c>
      <c r="D490" s="3"/>
      <c r="E490" s="4"/>
      <c r="F490" s="3" t="n">
        <v>23</v>
      </c>
      <c r="G490" s="3" t="str">
        <f aca="false">IF(F490="","",IF(F490&gt;=Notes!$B$5,"Elderly ("&amp;Notes!$B$5&amp;"+)",IF(F490&lt;=Notes!$B$4,"Student age (≤"&amp;Notes!$B$4&amp;")","Middle-aged ("&amp;(Notes!$B$4+1)&amp;"–"&amp;(Notes!$B$5-1)&amp;")")))</f>
        <v>Student age (≤29)</v>
      </c>
      <c r="H490" s="3" t="s">
        <v>83</v>
      </c>
      <c r="I490" s="3"/>
      <c r="J490" s="3" t="s">
        <v>437</v>
      </c>
      <c r="K490" s="3" t="s">
        <v>437</v>
      </c>
      <c r="L490" s="3"/>
      <c r="M490" s="3" t="s">
        <v>437</v>
      </c>
      <c r="N490" s="3" t="s">
        <v>437</v>
      </c>
      <c r="O490" s="3" t="s">
        <v>4062</v>
      </c>
      <c r="P490" s="3"/>
      <c r="Q490" s="3" t="s">
        <v>95</v>
      </c>
      <c r="R490" s="3" t="s">
        <v>4072</v>
      </c>
      <c r="S490" s="3" t="s">
        <v>4052</v>
      </c>
      <c r="T490" s="3" t="s">
        <v>4041</v>
      </c>
      <c r="U490" s="3" t="s">
        <v>4042</v>
      </c>
      <c r="V490" s="3" t="s">
        <v>4286</v>
      </c>
      <c r="W490" s="3" t="s">
        <v>4295</v>
      </c>
      <c r="X490" s="3" t="s">
        <v>4103</v>
      </c>
      <c r="Y490" s="3" t="n">
        <v>2</v>
      </c>
      <c r="Z490" s="3" t="n">
        <v>3</v>
      </c>
      <c r="AA490" s="3" t="n">
        <v>1</v>
      </c>
      <c r="AB490" s="3" t="n">
        <v>3</v>
      </c>
      <c r="AC490" s="3" t="n">
        <v>2</v>
      </c>
      <c r="AD490" s="3" t="n">
        <v>1</v>
      </c>
      <c r="AE490" s="3" t="s">
        <v>4117</v>
      </c>
      <c r="AF490" s="3" t="s">
        <v>846</v>
      </c>
      <c r="AG490" s="3"/>
      <c r="AH490" s="3"/>
      <c r="AI490" s="3" t="s">
        <v>4077</v>
      </c>
      <c r="AJ490" s="3" t="s">
        <v>59</v>
      </c>
      <c r="AK490" s="3" t="s">
        <v>4296</v>
      </c>
      <c r="AL490" s="3"/>
      <c r="AM490" s="3" t="n">
        <v>4</v>
      </c>
      <c r="AN490" s="3"/>
      <c r="AO490" s="3"/>
      <c r="AP490" s="3" t="n">
        <v>5</v>
      </c>
      <c r="AQ490" s="3"/>
      <c r="AR490" s="3"/>
    </row>
    <row r="491" customFormat="false" ht="15" hidden="false" customHeight="true" outlineLevel="0" collapsed="false">
      <c r="A491" s="3" t="s">
        <v>4297</v>
      </c>
      <c r="B491" s="3" t="n">
        <v>6</v>
      </c>
      <c r="C491" s="3" t="n">
        <v>58</v>
      </c>
      <c r="D491" s="3"/>
      <c r="E491" s="4"/>
      <c r="F491" s="3" t="n">
        <v>23</v>
      </c>
      <c r="G491" s="3" t="str">
        <f aca="false">IF(F491="","",IF(F491&gt;=Notes!$B$5,"Elderly ("&amp;Notes!$B$5&amp;"+)",IF(F491&lt;=Notes!$B$4,"Student age (≤"&amp;Notes!$B$4&amp;")","Middle-aged ("&amp;(Notes!$B$4+1)&amp;"–"&amp;(Notes!$B$5-1)&amp;")")))</f>
        <v>Student age (≤29)</v>
      </c>
      <c r="H491" s="3" t="s">
        <v>83</v>
      </c>
      <c r="I491" s="3"/>
      <c r="J491" s="3" t="s">
        <v>437</v>
      </c>
      <c r="K491" s="3" t="s">
        <v>437</v>
      </c>
      <c r="L491" s="3" t="s">
        <v>49</v>
      </c>
      <c r="M491" s="3" t="s">
        <v>47</v>
      </c>
      <c r="N491" s="3" t="s">
        <v>50</v>
      </c>
      <c r="O491" s="3" t="s">
        <v>4038</v>
      </c>
      <c r="P491" s="3"/>
      <c r="Q491" s="3" t="s">
        <v>117</v>
      </c>
      <c r="R491" s="3" t="s">
        <v>4072</v>
      </c>
      <c r="S491" s="3" t="s">
        <v>4040</v>
      </c>
      <c r="T491" s="3" t="s">
        <v>4183</v>
      </c>
      <c r="U491" s="3" t="s">
        <v>4054</v>
      </c>
      <c r="V491" s="3" t="s">
        <v>4065</v>
      </c>
      <c r="W491" s="3" t="s">
        <v>4093</v>
      </c>
      <c r="X491" s="3" t="s">
        <v>4094</v>
      </c>
      <c r="Y491" s="3" t="n">
        <v>3</v>
      </c>
      <c r="Z491" s="3" t="n">
        <v>2</v>
      </c>
      <c r="AA491" s="3" t="n">
        <v>1</v>
      </c>
      <c r="AB491" s="3" t="n">
        <v>3</v>
      </c>
      <c r="AC491" s="3" t="n">
        <v>2</v>
      </c>
      <c r="AD491" s="3" t="n">
        <v>1</v>
      </c>
      <c r="AE491" s="3" t="s">
        <v>4084</v>
      </c>
      <c r="AF491" s="3" t="s">
        <v>846</v>
      </c>
      <c r="AG491" s="3"/>
      <c r="AH491" s="3"/>
      <c r="AI491" s="3" t="s">
        <v>4085</v>
      </c>
      <c r="AJ491" s="3" t="s">
        <v>59</v>
      </c>
      <c r="AK491" s="3" t="s">
        <v>4086</v>
      </c>
      <c r="AL491" s="3"/>
      <c r="AM491" s="3" t="n">
        <v>3</v>
      </c>
      <c r="AN491" s="3"/>
      <c r="AO491" s="3"/>
      <c r="AP491" s="3" t="n">
        <v>1</v>
      </c>
      <c r="AQ491" s="3"/>
      <c r="AR491" s="3"/>
    </row>
    <row r="492" customFormat="false" ht="15" hidden="false" customHeight="true" outlineLevel="0" collapsed="false">
      <c r="A492" s="3" t="s">
        <v>4298</v>
      </c>
      <c r="B492" s="3" t="n">
        <v>6</v>
      </c>
      <c r="C492" s="3" t="n">
        <v>59</v>
      </c>
      <c r="D492" s="3"/>
      <c r="E492" s="4"/>
      <c r="F492" s="3" t="n">
        <v>24</v>
      </c>
      <c r="G492" s="3" t="str">
        <f aca="false">IF(F492="","",IF(F492&gt;=Notes!$B$5,"Elderly ("&amp;Notes!$B$5&amp;"+)",IF(F492&lt;=Notes!$B$4,"Student age (≤"&amp;Notes!$B$4&amp;")","Middle-aged ("&amp;(Notes!$B$4+1)&amp;"–"&amp;(Notes!$B$5-1)&amp;")")))</f>
        <v>Student age (≤29)</v>
      </c>
      <c r="H492" s="3" t="s">
        <v>45</v>
      </c>
      <c r="I492" s="3"/>
      <c r="J492" s="3" t="s">
        <v>437</v>
      </c>
      <c r="K492" s="3" t="s">
        <v>437</v>
      </c>
      <c r="L492" s="3"/>
      <c r="M492" s="3" t="s">
        <v>437</v>
      </c>
      <c r="N492" s="3" t="s">
        <v>437</v>
      </c>
      <c r="O492" s="3" t="s">
        <v>4038</v>
      </c>
      <c r="P492" s="3"/>
      <c r="Q492" s="3" t="s">
        <v>117</v>
      </c>
      <c r="R492" s="3" t="s">
        <v>4072</v>
      </c>
      <c r="S492" s="3" t="s">
        <v>4150</v>
      </c>
      <c r="T492" s="3" t="s">
        <v>4090</v>
      </c>
      <c r="U492" s="3" t="s">
        <v>4042</v>
      </c>
      <c r="V492" s="3" t="s">
        <v>4229</v>
      </c>
      <c r="W492" s="3" t="s">
        <v>4299</v>
      </c>
      <c r="X492" s="3" t="s">
        <v>4103</v>
      </c>
      <c r="Y492" s="3" t="n">
        <v>3</v>
      </c>
      <c r="Z492" s="3" t="n">
        <v>1</v>
      </c>
      <c r="AA492" s="3" t="n">
        <v>2</v>
      </c>
      <c r="AB492" s="3" t="n">
        <v>2</v>
      </c>
      <c r="AC492" s="3" t="n">
        <v>3</v>
      </c>
      <c r="AD492" s="3" t="n">
        <v>1</v>
      </c>
      <c r="AE492" s="3" t="s">
        <v>4281</v>
      </c>
      <c r="AF492" s="3" t="s">
        <v>846</v>
      </c>
      <c r="AG492" s="3"/>
      <c r="AH492" s="3"/>
      <c r="AI492" s="3" t="s">
        <v>4077</v>
      </c>
      <c r="AJ492" s="3" t="s">
        <v>59</v>
      </c>
      <c r="AK492" s="3" t="s">
        <v>4300</v>
      </c>
      <c r="AL492" s="3"/>
      <c r="AM492" s="3" t="n">
        <v>4</v>
      </c>
      <c r="AN492" s="3"/>
      <c r="AO492" s="3"/>
      <c r="AP492" s="3" t="n">
        <v>4</v>
      </c>
      <c r="AQ492" s="3"/>
      <c r="AR492" s="3"/>
    </row>
    <row r="493" customFormat="false" ht="15" hidden="false" customHeight="true" outlineLevel="0" collapsed="false">
      <c r="A493" s="3" t="s">
        <v>4301</v>
      </c>
      <c r="B493" s="3" t="n">
        <v>6</v>
      </c>
      <c r="C493" s="3" t="n">
        <v>60</v>
      </c>
      <c r="D493" s="3"/>
      <c r="E493" s="4"/>
      <c r="F493" s="3" t="n">
        <v>20</v>
      </c>
      <c r="G493" s="3" t="str">
        <f aca="false">IF(F493="","",IF(F493&gt;=Notes!$B$5,"Elderly ("&amp;Notes!$B$5&amp;"+)",IF(F493&lt;=Notes!$B$4,"Student age (≤"&amp;Notes!$B$4&amp;")","Middle-aged ("&amp;(Notes!$B$4+1)&amp;"–"&amp;(Notes!$B$5-1)&amp;")")))</f>
        <v>Student age (≤29)</v>
      </c>
      <c r="H493" s="3" t="s">
        <v>1447</v>
      </c>
      <c r="I493" s="3"/>
      <c r="J493" s="3" t="s">
        <v>437</v>
      </c>
      <c r="K493" s="3" t="s">
        <v>437</v>
      </c>
      <c r="L493" s="3" t="s">
        <v>159</v>
      </c>
      <c r="M493" s="3" t="s">
        <v>47</v>
      </c>
      <c r="N493" s="3" t="s">
        <v>160</v>
      </c>
      <c r="O493" s="3" t="s">
        <v>4098</v>
      </c>
      <c r="P493" s="3"/>
      <c r="Q493" s="3" t="s">
        <v>117</v>
      </c>
      <c r="R493" s="3" t="s">
        <v>4072</v>
      </c>
      <c r="S493" s="3" t="s">
        <v>4040</v>
      </c>
      <c r="T493" s="3" t="s">
        <v>4081</v>
      </c>
      <c r="U493" s="3" t="s">
        <v>4042</v>
      </c>
      <c r="V493" s="3" t="s">
        <v>4173</v>
      </c>
      <c r="W493" s="3" t="s">
        <v>4209</v>
      </c>
      <c r="X493" s="3" t="s">
        <v>4238</v>
      </c>
      <c r="Y493" s="3" t="n">
        <v>3</v>
      </c>
      <c r="Z493" s="3" t="n">
        <v>1</v>
      </c>
      <c r="AA493" s="3" t="n">
        <v>2</v>
      </c>
      <c r="AB493" s="3" t="n">
        <v>3</v>
      </c>
      <c r="AC493" s="3" t="n">
        <v>1</v>
      </c>
      <c r="AD493" s="3" t="n">
        <v>2</v>
      </c>
      <c r="AE493" s="3" t="s">
        <v>4117</v>
      </c>
      <c r="AF493" s="3" t="s">
        <v>847</v>
      </c>
      <c r="AG493" s="3"/>
      <c r="AH493" s="3"/>
      <c r="AI493" s="3" t="s">
        <v>4077</v>
      </c>
      <c r="AJ493" s="3" t="s">
        <v>59</v>
      </c>
      <c r="AK493" s="3" t="s">
        <v>4302</v>
      </c>
      <c r="AL493" s="3"/>
      <c r="AM493" s="3" t="n">
        <v>4</v>
      </c>
      <c r="AN493" s="3"/>
      <c r="AO493" s="3"/>
      <c r="AP493" s="3" t="n">
        <v>3</v>
      </c>
      <c r="AQ493" s="3"/>
      <c r="AR493" s="3"/>
    </row>
    <row r="494" customFormat="false" ht="15" hidden="false" customHeight="true" outlineLevel="0" collapsed="false">
      <c r="A494" s="3" t="s">
        <v>4303</v>
      </c>
      <c r="B494" s="3" t="n">
        <v>6</v>
      </c>
      <c r="C494" s="3" t="n">
        <v>61</v>
      </c>
      <c r="D494" s="3"/>
      <c r="E494" s="4"/>
      <c r="F494" s="3" t="n">
        <v>23</v>
      </c>
      <c r="G494" s="3" t="str">
        <f aca="false">IF(F494="","",IF(F494&gt;=Notes!$B$5,"Elderly ("&amp;Notes!$B$5&amp;"+)",IF(F494&lt;=Notes!$B$4,"Student age (≤"&amp;Notes!$B$4&amp;")","Middle-aged ("&amp;(Notes!$B$4+1)&amp;"–"&amp;(Notes!$B$5-1)&amp;")")))</f>
        <v>Student age (≤29)</v>
      </c>
      <c r="H494" s="3" t="s">
        <v>45</v>
      </c>
      <c r="I494" s="3"/>
      <c r="J494" s="3" t="s">
        <v>437</v>
      </c>
      <c r="K494" s="3" t="s">
        <v>437</v>
      </c>
      <c r="L494" s="3"/>
      <c r="M494" s="3" t="s">
        <v>437</v>
      </c>
      <c r="N494" s="3" t="s">
        <v>437</v>
      </c>
      <c r="O494" s="3" t="s">
        <v>4304</v>
      </c>
      <c r="P494" s="3"/>
      <c r="Q494" s="3" t="s">
        <v>95</v>
      </c>
      <c r="R494" s="3" t="s">
        <v>4063</v>
      </c>
      <c r="S494" s="3" t="s">
        <v>2062</v>
      </c>
      <c r="T494" s="3" t="s">
        <v>4305</v>
      </c>
      <c r="U494" s="3" t="s">
        <v>4042</v>
      </c>
      <c r="V494" s="3" t="s">
        <v>4065</v>
      </c>
      <c r="W494" s="3" t="s">
        <v>4306</v>
      </c>
      <c r="X494" s="3" t="s">
        <v>4103</v>
      </c>
      <c r="Y494" s="3" t="n">
        <v>2</v>
      </c>
      <c r="Z494" s="3" t="n">
        <v>1</v>
      </c>
      <c r="AA494" s="3" t="n">
        <v>3</v>
      </c>
      <c r="AB494" s="3" t="n">
        <v>1</v>
      </c>
      <c r="AC494" s="3" t="n">
        <v>2</v>
      </c>
      <c r="AD494" s="3" t="n">
        <v>3</v>
      </c>
      <c r="AE494" s="3" t="s">
        <v>4095</v>
      </c>
      <c r="AF494" s="3" t="s">
        <v>860</v>
      </c>
      <c r="AG494" s="3"/>
      <c r="AH494" s="3"/>
      <c r="AI494" s="3" t="s">
        <v>4111</v>
      </c>
      <c r="AJ494" s="3" t="s">
        <v>59</v>
      </c>
      <c r="AK494" s="3" t="s">
        <v>4300</v>
      </c>
      <c r="AL494" s="3"/>
      <c r="AM494" s="3" t="n">
        <v>4</v>
      </c>
      <c r="AN494" s="3"/>
      <c r="AO494" s="3"/>
      <c r="AP494" s="3" t="n">
        <v>4</v>
      </c>
      <c r="AQ494" s="3"/>
      <c r="AR494" s="3"/>
    </row>
    <row r="495" customFormat="false" ht="15" hidden="false" customHeight="true" outlineLevel="0" collapsed="false">
      <c r="A495" s="3" t="s">
        <v>4307</v>
      </c>
      <c r="B495" s="3" t="n">
        <v>6</v>
      </c>
      <c r="C495" s="3" t="n">
        <v>62</v>
      </c>
      <c r="D495" s="3"/>
      <c r="E495" s="4"/>
      <c r="F495" s="3" t="n">
        <v>23</v>
      </c>
      <c r="G495" s="3" t="str">
        <f aca="false">IF(F495="","",IF(F495&gt;=Notes!$B$5,"Elderly ("&amp;Notes!$B$5&amp;"+)",IF(F495&lt;=Notes!$B$4,"Student age (≤"&amp;Notes!$B$4&amp;")","Middle-aged ("&amp;(Notes!$B$4+1)&amp;"–"&amp;(Notes!$B$5-1)&amp;")")))</f>
        <v>Student age (≤29)</v>
      </c>
      <c r="H495" s="3" t="s">
        <v>45</v>
      </c>
      <c r="I495" s="3"/>
      <c r="J495" s="3" t="s">
        <v>437</v>
      </c>
      <c r="K495" s="3" t="s">
        <v>437</v>
      </c>
      <c r="L495" s="3" t="s">
        <v>49</v>
      </c>
      <c r="M495" s="3" t="s">
        <v>47</v>
      </c>
      <c r="N495" s="3" t="s">
        <v>50</v>
      </c>
      <c r="O495" s="3" t="s">
        <v>4062</v>
      </c>
      <c r="P495" s="3"/>
      <c r="Q495" s="3" t="s">
        <v>117</v>
      </c>
      <c r="R495" s="3" t="s">
        <v>4072</v>
      </c>
      <c r="S495" s="3" t="s">
        <v>2062</v>
      </c>
      <c r="T495" s="3" t="s">
        <v>4081</v>
      </c>
      <c r="U495" s="3" t="s">
        <v>4042</v>
      </c>
      <c r="V495" s="3" t="s">
        <v>4229</v>
      </c>
      <c r="W495" s="3" t="s">
        <v>4308</v>
      </c>
      <c r="X495" s="3" t="s">
        <v>4103</v>
      </c>
      <c r="Y495" s="3" t="n">
        <v>2</v>
      </c>
      <c r="Z495" s="3" t="n">
        <v>1</v>
      </c>
      <c r="AA495" s="3" t="n">
        <v>3</v>
      </c>
      <c r="AB495" s="3" t="n">
        <v>1</v>
      </c>
      <c r="AC495" s="3" t="n">
        <v>3</v>
      </c>
      <c r="AD495" s="3" t="n">
        <v>2</v>
      </c>
      <c r="AE495" s="3" t="s">
        <v>4084</v>
      </c>
      <c r="AF495" s="3" t="s">
        <v>847</v>
      </c>
      <c r="AG495" s="3"/>
      <c r="AH495" s="3"/>
      <c r="AI495" s="3" t="s">
        <v>4070</v>
      </c>
      <c r="AJ495" s="3" t="s">
        <v>59</v>
      </c>
      <c r="AK495" s="3" t="s">
        <v>4309</v>
      </c>
      <c r="AL495" s="3"/>
      <c r="AM495" s="3" t="n">
        <v>4</v>
      </c>
      <c r="AN495" s="3"/>
      <c r="AO495" s="3"/>
      <c r="AP495" s="3" t="n">
        <v>3</v>
      </c>
      <c r="AQ495" s="3"/>
      <c r="AR495" s="3"/>
    </row>
    <row r="496" customFormat="false" ht="15" hidden="false" customHeight="true" outlineLevel="0" collapsed="false">
      <c r="A496" s="3" t="s">
        <v>4310</v>
      </c>
      <c r="B496" s="3" t="n">
        <v>6</v>
      </c>
      <c r="C496" s="3" t="n">
        <v>63</v>
      </c>
      <c r="D496" s="3"/>
      <c r="E496" s="4"/>
      <c r="F496" s="3" t="n">
        <v>24</v>
      </c>
      <c r="G496" s="3" t="str">
        <f aca="false">IF(F496="","",IF(F496&gt;=Notes!$B$5,"Elderly ("&amp;Notes!$B$5&amp;"+)",IF(F496&lt;=Notes!$B$4,"Student age (≤"&amp;Notes!$B$4&amp;")","Middle-aged ("&amp;(Notes!$B$4+1)&amp;"–"&amp;(Notes!$B$5-1)&amp;")")))</f>
        <v>Student age (≤29)</v>
      </c>
      <c r="H496" s="3" t="s">
        <v>83</v>
      </c>
      <c r="I496" s="3"/>
      <c r="J496" s="3" t="s">
        <v>437</v>
      </c>
      <c r="K496" s="3" t="s">
        <v>437</v>
      </c>
      <c r="L496" s="3"/>
      <c r="M496" s="3" t="s">
        <v>437</v>
      </c>
      <c r="N496" s="3" t="s">
        <v>437</v>
      </c>
      <c r="O496" s="3" t="s">
        <v>4062</v>
      </c>
      <c r="P496" s="3"/>
      <c r="Q496" s="3" t="s">
        <v>95</v>
      </c>
      <c r="R496" s="3" t="s">
        <v>4063</v>
      </c>
      <c r="S496" s="3" t="s">
        <v>2062</v>
      </c>
      <c r="T496" s="3" t="s">
        <v>4107</v>
      </c>
      <c r="U496" s="3" t="s">
        <v>4042</v>
      </c>
      <c r="V496" s="3" t="s">
        <v>4065</v>
      </c>
      <c r="W496" s="3" t="s">
        <v>4102</v>
      </c>
      <c r="X496" s="3" t="s">
        <v>4103</v>
      </c>
      <c r="Y496" s="3" t="n">
        <v>1</v>
      </c>
      <c r="Z496" s="3" t="n">
        <v>3</v>
      </c>
      <c r="AA496" s="3" t="n">
        <v>2</v>
      </c>
      <c r="AB496" s="3" t="n">
        <v>3</v>
      </c>
      <c r="AC496" s="3" t="n">
        <v>1</v>
      </c>
      <c r="AD496" s="3" t="n">
        <v>2</v>
      </c>
      <c r="AE496" s="3" t="s">
        <v>4110</v>
      </c>
      <c r="AF496" s="3" t="s">
        <v>846</v>
      </c>
      <c r="AG496" s="3"/>
      <c r="AH496" s="3"/>
      <c r="AI496" s="3" t="s">
        <v>4164</v>
      </c>
      <c r="AJ496" s="3" t="s">
        <v>59</v>
      </c>
      <c r="AK496" s="3" t="s">
        <v>4311</v>
      </c>
      <c r="AL496" s="3"/>
      <c r="AM496" s="3" t="n">
        <v>5</v>
      </c>
      <c r="AN496" s="3"/>
      <c r="AO496" s="3"/>
      <c r="AP496" s="3" t="n">
        <v>5</v>
      </c>
      <c r="AQ496" s="3"/>
      <c r="AR496" s="3"/>
    </row>
    <row r="497" customFormat="false" ht="15" hidden="false" customHeight="true" outlineLevel="0" collapsed="false">
      <c r="A497" s="3" t="s">
        <v>4312</v>
      </c>
      <c r="B497" s="3" t="n">
        <v>6</v>
      </c>
      <c r="C497" s="3" t="n">
        <v>64</v>
      </c>
      <c r="D497" s="3"/>
      <c r="E497" s="4"/>
      <c r="F497" s="3" t="n">
        <v>49</v>
      </c>
      <c r="G497" s="3" t="str">
        <f aca="false">IF(F497="","",IF(F497&gt;=Notes!$B$5,"Elderly ("&amp;Notes!$B$5&amp;"+)",IF(F497&lt;=Notes!$B$4,"Student age (≤"&amp;Notes!$B$4&amp;")","Middle-aged ("&amp;(Notes!$B$4+1)&amp;"–"&amp;(Notes!$B$5-1)&amp;")")))</f>
        <v>Middle-aged (30–64)</v>
      </c>
      <c r="H497" s="3" t="s">
        <v>45</v>
      </c>
      <c r="I497" s="3"/>
      <c r="J497" s="3" t="s">
        <v>437</v>
      </c>
      <c r="K497" s="3" t="s">
        <v>437</v>
      </c>
      <c r="L497" s="3"/>
      <c r="M497" s="3" t="s">
        <v>437</v>
      </c>
      <c r="N497" s="3" t="s">
        <v>437</v>
      </c>
      <c r="O497" s="3" t="s">
        <v>4038</v>
      </c>
      <c r="P497" s="3"/>
      <c r="Q497" s="3" t="s">
        <v>117</v>
      </c>
      <c r="R497" s="3" t="s">
        <v>4072</v>
      </c>
      <c r="S497" s="3" t="s">
        <v>4040</v>
      </c>
      <c r="T497" s="3" t="s">
        <v>4073</v>
      </c>
      <c r="U497" s="3" t="s">
        <v>4042</v>
      </c>
      <c r="V497" s="3" t="s">
        <v>4313</v>
      </c>
      <c r="W497" s="3" t="s">
        <v>4314</v>
      </c>
      <c r="X497" s="3" t="s">
        <v>4148</v>
      </c>
      <c r="Y497" s="3" t="n">
        <v>1</v>
      </c>
      <c r="Z497" s="3" t="n">
        <v>2</v>
      </c>
      <c r="AA497" s="3" t="n">
        <v>3</v>
      </c>
      <c r="AB497" s="3" t="n">
        <v>1</v>
      </c>
      <c r="AC497" s="3" t="n">
        <v>2</v>
      </c>
      <c r="AD497" s="3" t="n">
        <v>3</v>
      </c>
      <c r="AE497" s="3" t="s">
        <v>4117</v>
      </c>
      <c r="AF497" s="3" t="s">
        <v>847</v>
      </c>
      <c r="AG497" s="3"/>
      <c r="AH497" s="3"/>
      <c r="AI497" s="3" t="s">
        <v>4059</v>
      </c>
      <c r="AJ497" s="3" t="s">
        <v>59</v>
      </c>
      <c r="AK497" s="3" t="s">
        <v>4060</v>
      </c>
      <c r="AL497" s="3"/>
      <c r="AM497" s="3" t="n">
        <v>4</v>
      </c>
      <c r="AN497" s="3"/>
      <c r="AO497" s="3"/>
      <c r="AP497" s="3" t="n">
        <v>5</v>
      </c>
      <c r="AQ497" s="3"/>
      <c r="AR497" s="3"/>
    </row>
    <row r="498" customFormat="false" ht="15" hidden="false" customHeight="true" outlineLevel="0" collapsed="false">
      <c r="A498" s="3" t="s">
        <v>4315</v>
      </c>
      <c r="B498" s="3" t="n">
        <v>6</v>
      </c>
      <c r="C498" s="3" t="n">
        <v>65</v>
      </c>
      <c r="D498" s="3"/>
      <c r="E498" s="4"/>
      <c r="F498" s="3" t="n">
        <v>26</v>
      </c>
      <c r="G498" s="3" t="str">
        <f aca="false">IF(F498="","",IF(F498&gt;=Notes!$B$5,"Elderly ("&amp;Notes!$B$5&amp;"+)",IF(F498&lt;=Notes!$B$4,"Student age (≤"&amp;Notes!$B$4&amp;")","Middle-aged ("&amp;(Notes!$B$4+1)&amp;"–"&amp;(Notes!$B$5-1)&amp;")")))</f>
        <v>Student age (≤29)</v>
      </c>
      <c r="H498" s="3" t="s">
        <v>45</v>
      </c>
      <c r="I498" s="3"/>
      <c r="J498" s="3" t="s">
        <v>437</v>
      </c>
      <c r="K498" s="3" t="s">
        <v>437</v>
      </c>
      <c r="L498" s="3"/>
      <c r="M498" s="3" t="s">
        <v>437</v>
      </c>
      <c r="N498" s="3" t="s">
        <v>437</v>
      </c>
      <c r="O498" s="3" t="s">
        <v>4038</v>
      </c>
      <c r="P498" s="3"/>
      <c r="Q498" s="3" t="s">
        <v>117</v>
      </c>
      <c r="R498" s="3" t="s">
        <v>4080</v>
      </c>
      <c r="S498" s="3" t="s">
        <v>4131</v>
      </c>
      <c r="T498" s="3" t="s">
        <v>4041</v>
      </c>
      <c r="U498" s="3" t="s">
        <v>4054</v>
      </c>
      <c r="V498" s="3" t="s">
        <v>4200</v>
      </c>
      <c r="W498" s="3" t="s">
        <v>4093</v>
      </c>
      <c r="X498" s="3" t="s">
        <v>4103</v>
      </c>
      <c r="Y498" s="3" t="n">
        <v>2</v>
      </c>
      <c r="Z498" s="3" t="n">
        <v>1</v>
      </c>
      <c r="AA498" s="3" t="n">
        <v>3</v>
      </c>
      <c r="AB498" s="3" t="n">
        <v>2</v>
      </c>
      <c r="AC498" s="3" t="n">
        <v>1</v>
      </c>
      <c r="AD498" s="3" t="n">
        <v>3</v>
      </c>
      <c r="AE498" s="3" t="s">
        <v>4117</v>
      </c>
      <c r="AF498" s="3" t="s">
        <v>860</v>
      </c>
      <c r="AG498" s="3"/>
      <c r="AH498" s="3"/>
      <c r="AI498" s="3" t="s">
        <v>4077</v>
      </c>
      <c r="AJ498" s="3" t="s">
        <v>59</v>
      </c>
      <c r="AK498" s="3" t="s">
        <v>4096</v>
      </c>
      <c r="AL498" s="3"/>
      <c r="AM498" s="3" t="n">
        <v>5</v>
      </c>
      <c r="AN498" s="3"/>
      <c r="AO498" s="3"/>
      <c r="AP498" s="3" t="n">
        <v>5</v>
      </c>
      <c r="AQ498" s="3"/>
      <c r="AR498" s="3"/>
    </row>
    <row r="499" customFormat="false" ht="15" hidden="false" customHeight="true" outlineLevel="0" collapsed="false">
      <c r="A499" s="3" t="s">
        <v>4316</v>
      </c>
      <c r="B499" s="3" t="n">
        <v>6</v>
      </c>
      <c r="C499" s="3" t="n">
        <v>66</v>
      </c>
      <c r="D499" s="3"/>
      <c r="E499" s="4"/>
      <c r="F499" s="3" t="n">
        <v>23</v>
      </c>
      <c r="G499" s="3" t="str">
        <f aca="false">IF(F499="","",IF(F499&gt;=Notes!$B$5,"Elderly ("&amp;Notes!$B$5&amp;"+)",IF(F499&lt;=Notes!$B$4,"Student age (≤"&amp;Notes!$B$4&amp;")","Middle-aged ("&amp;(Notes!$B$4+1)&amp;"–"&amp;(Notes!$B$5-1)&amp;")")))</f>
        <v>Student age (≤29)</v>
      </c>
      <c r="H499" s="3" t="s">
        <v>45</v>
      </c>
      <c r="I499" s="3"/>
      <c r="J499" s="3" t="s">
        <v>437</v>
      </c>
      <c r="K499" s="3" t="s">
        <v>437</v>
      </c>
      <c r="L499" s="3"/>
      <c r="M499" s="3" t="s">
        <v>437</v>
      </c>
      <c r="N499" s="3" t="s">
        <v>437</v>
      </c>
      <c r="O499" s="3" t="s">
        <v>4062</v>
      </c>
      <c r="P499" s="3"/>
      <c r="Q499" s="3" t="s">
        <v>95</v>
      </c>
      <c r="R499" s="3" t="s">
        <v>4072</v>
      </c>
      <c r="S499" s="3" t="s">
        <v>4040</v>
      </c>
      <c r="T499" s="3" t="s">
        <v>4317</v>
      </c>
      <c r="U499" s="3" t="s">
        <v>4042</v>
      </c>
      <c r="V499" s="3" t="s">
        <v>4200</v>
      </c>
      <c r="W499" s="3" t="s">
        <v>4318</v>
      </c>
      <c r="X499" s="3" t="s">
        <v>4156</v>
      </c>
      <c r="Y499" s="3" t="n">
        <v>1</v>
      </c>
      <c r="Z499" s="3" t="n">
        <v>3</v>
      </c>
      <c r="AA499" s="3" t="n">
        <v>2</v>
      </c>
      <c r="AB499" s="3" t="n">
        <v>3</v>
      </c>
      <c r="AC499" s="3" t="n">
        <v>2</v>
      </c>
      <c r="AD499" s="3" t="n">
        <v>1</v>
      </c>
      <c r="AE499" s="3" t="s">
        <v>4163</v>
      </c>
      <c r="AF499" s="3" t="s">
        <v>4069</v>
      </c>
      <c r="AG499" s="3"/>
      <c r="AH499" s="3"/>
      <c r="AI499" s="3" t="s">
        <v>4077</v>
      </c>
      <c r="AJ499" s="3" t="s">
        <v>59</v>
      </c>
      <c r="AK499" s="3" t="s">
        <v>4319</v>
      </c>
      <c r="AL499" s="3"/>
      <c r="AM499" s="3" t="n">
        <v>4</v>
      </c>
      <c r="AN499" s="3"/>
      <c r="AO499" s="3"/>
      <c r="AP499" s="3" t="n">
        <v>4</v>
      </c>
      <c r="AQ499" s="3"/>
      <c r="AR499" s="3"/>
    </row>
    <row r="500" customFormat="false" ht="15" hidden="false" customHeight="true" outlineLevel="0" collapsed="false">
      <c r="A500" s="3" t="s">
        <v>4320</v>
      </c>
      <c r="B500" s="3" t="n">
        <v>6</v>
      </c>
      <c r="C500" s="3" t="n">
        <v>67</v>
      </c>
      <c r="D500" s="3"/>
      <c r="E500" s="4"/>
      <c r="F500" s="3" t="n">
        <v>51</v>
      </c>
      <c r="G500" s="3" t="str">
        <f aca="false">IF(F500="","",IF(F500&gt;=Notes!$B$5,"Elderly ("&amp;Notes!$B$5&amp;"+)",IF(F500&lt;=Notes!$B$4,"Student age (≤"&amp;Notes!$B$4&amp;")","Middle-aged ("&amp;(Notes!$B$4+1)&amp;"–"&amp;(Notes!$B$5-1)&amp;")")))</f>
        <v>Middle-aged (30–64)</v>
      </c>
      <c r="H500" s="3" t="s">
        <v>83</v>
      </c>
      <c r="I500" s="3"/>
      <c r="J500" s="3" t="s">
        <v>437</v>
      </c>
      <c r="K500" s="3" t="s">
        <v>437</v>
      </c>
      <c r="L500" s="3"/>
      <c r="M500" s="3" t="s">
        <v>437</v>
      </c>
      <c r="N500" s="3" t="s">
        <v>437</v>
      </c>
      <c r="O500" s="3" t="s">
        <v>4038</v>
      </c>
      <c r="P500" s="3"/>
      <c r="Q500" s="3" t="s">
        <v>95</v>
      </c>
      <c r="R500" s="3" t="s">
        <v>4258</v>
      </c>
      <c r="S500" s="3" t="s">
        <v>4150</v>
      </c>
      <c r="T500" s="3" t="s">
        <v>4264</v>
      </c>
      <c r="U500" s="3" t="s">
        <v>4042</v>
      </c>
      <c r="V500" s="3" t="s">
        <v>4065</v>
      </c>
      <c r="W500" s="3" t="s">
        <v>4321</v>
      </c>
      <c r="X500" s="3" t="s">
        <v>4156</v>
      </c>
      <c r="Y500" s="3" t="n">
        <v>2</v>
      </c>
      <c r="Z500" s="3" t="n">
        <v>3</v>
      </c>
      <c r="AA500" s="3" t="n">
        <v>1</v>
      </c>
      <c r="AB500" s="3" t="n">
        <v>3</v>
      </c>
      <c r="AC500" s="3" t="n">
        <v>1</v>
      </c>
      <c r="AD500" s="3" t="n">
        <v>2</v>
      </c>
      <c r="AE500" s="3" t="s">
        <v>4197</v>
      </c>
      <c r="AF500" s="3" t="s">
        <v>847</v>
      </c>
      <c r="AG500" s="3"/>
      <c r="AH500" s="3"/>
      <c r="AI500" s="3" t="s">
        <v>4104</v>
      </c>
      <c r="AJ500" s="3" t="s">
        <v>59</v>
      </c>
      <c r="AK500" s="3" t="s">
        <v>4322</v>
      </c>
      <c r="AL500" s="3"/>
      <c r="AM500" s="3" t="n">
        <v>5</v>
      </c>
      <c r="AN500" s="3"/>
      <c r="AO500" s="3"/>
      <c r="AP500" s="3" t="n">
        <v>5</v>
      </c>
      <c r="AQ500" s="3"/>
      <c r="AR500" s="3"/>
    </row>
    <row r="501" customFormat="false" ht="15" hidden="false" customHeight="true" outlineLevel="0" collapsed="false">
      <c r="A501" s="3" t="s">
        <v>4323</v>
      </c>
      <c r="B501" s="3" t="n">
        <v>6</v>
      </c>
      <c r="C501" s="3" t="n">
        <v>68</v>
      </c>
      <c r="D501" s="3"/>
      <c r="E501" s="4"/>
      <c r="F501" s="3" t="n">
        <v>24</v>
      </c>
      <c r="G501" s="3" t="str">
        <f aca="false">IF(F501="","",IF(F501&gt;=Notes!$B$5,"Elderly ("&amp;Notes!$B$5&amp;"+)",IF(F501&lt;=Notes!$B$4,"Student age (≤"&amp;Notes!$B$4&amp;")","Middle-aged ("&amp;(Notes!$B$4+1)&amp;"–"&amp;(Notes!$B$5-1)&amp;")")))</f>
        <v>Student age (≤29)</v>
      </c>
      <c r="H501" s="3" t="s">
        <v>45</v>
      </c>
      <c r="I501" s="3"/>
      <c r="J501" s="3" t="s">
        <v>437</v>
      </c>
      <c r="K501" s="3" t="s">
        <v>437</v>
      </c>
      <c r="L501" s="3"/>
      <c r="M501" s="3" t="s">
        <v>47</v>
      </c>
      <c r="N501" s="3" t="s">
        <v>47</v>
      </c>
      <c r="O501" s="3" t="s">
        <v>4038</v>
      </c>
      <c r="P501" s="3"/>
      <c r="Q501" s="3" t="s">
        <v>95</v>
      </c>
      <c r="R501" s="3" t="s">
        <v>4089</v>
      </c>
      <c r="S501" s="3" t="s">
        <v>2062</v>
      </c>
      <c r="T501" s="3" t="s">
        <v>4073</v>
      </c>
      <c r="U501" s="3" t="s">
        <v>4054</v>
      </c>
      <c r="V501" s="3" t="s">
        <v>4101</v>
      </c>
      <c r="W501" s="3" t="s">
        <v>4209</v>
      </c>
      <c r="X501" s="3" t="s">
        <v>4324</v>
      </c>
      <c r="Y501" s="3" t="n">
        <v>3</v>
      </c>
      <c r="Z501" s="3" t="n">
        <v>1</v>
      </c>
      <c r="AA501" s="3" t="n">
        <v>2</v>
      </c>
      <c r="AB501" s="3" t="n">
        <v>3</v>
      </c>
      <c r="AC501" s="3" t="n">
        <v>1</v>
      </c>
      <c r="AD501" s="3" t="n">
        <v>2</v>
      </c>
      <c r="AE501" s="3" t="s">
        <v>4281</v>
      </c>
      <c r="AF501" s="3" t="s">
        <v>847</v>
      </c>
      <c r="AG501" s="3"/>
      <c r="AH501" s="3"/>
      <c r="AI501" s="3" t="s">
        <v>4085</v>
      </c>
      <c r="AJ501" s="3" t="s">
        <v>59</v>
      </c>
      <c r="AK501" s="3" t="s">
        <v>4325</v>
      </c>
      <c r="AL501" s="3"/>
      <c r="AM501" s="3" t="n">
        <v>4</v>
      </c>
      <c r="AN501" s="3"/>
      <c r="AO501" s="3"/>
      <c r="AP501" s="3" t="n">
        <v>5</v>
      </c>
      <c r="AQ501" s="3"/>
      <c r="AR501" s="3"/>
    </row>
    <row r="502" customFormat="false" ht="15" hidden="false" customHeight="true" outlineLevel="0" collapsed="false">
      <c r="A502" s="3" t="s">
        <v>4326</v>
      </c>
      <c r="B502" s="3" t="n">
        <v>6</v>
      </c>
      <c r="C502" s="3" t="n">
        <v>69</v>
      </c>
      <c r="D502" s="3"/>
      <c r="E502" s="4"/>
      <c r="F502" s="3" t="n">
        <v>24</v>
      </c>
      <c r="G502" s="3" t="str">
        <f aca="false">IF(F502="","",IF(F502&gt;=Notes!$B$5,"Elderly ("&amp;Notes!$B$5&amp;"+)",IF(F502&lt;=Notes!$B$4,"Student age (≤"&amp;Notes!$B$4&amp;")","Middle-aged ("&amp;(Notes!$B$4+1)&amp;"–"&amp;(Notes!$B$5-1)&amp;")")))</f>
        <v>Student age (≤29)</v>
      </c>
      <c r="H502" s="3" t="s">
        <v>83</v>
      </c>
      <c r="I502" s="3"/>
      <c r="J502" s="3" t="s">
        <v>437</v>
      </c>
      <c r="K502" s="3" t="s">
        <v>437</v>
      </c>
      <c r="L502" s="3" t="s">
        <v>71</v>
      </c>
      <c r="M502" s="3" t="s">
        <v>47</v>
      </c>
      <c r="N502" s="3" t="s">
        <v>72</v>
      </c>
      <c r="O502" s="3" t="s">
        <v>4038</v>
      </c>
      <c r="P502" s="3"/>
      <c r="Q502" s="3" t="s">
        <v>52</v>
      </c>
      <c r="R502" s="3" t="s">
        <v>4039</v>
      </c>
      <c r="S502" s="3" t="s">
        <v>4131</v>
      </c>
      <c r="T502" s="3" t="s">
        <v>4151</v>
      </c>
      <c r="U502" s="3" t="s">
        <v>4042</v>
      </c>
      <c r="V502" s="3" t="s">
        <v>4065</v>
      </c>
      <c r="W502" s="3" t="s">
        <v>4137</v>
      </c>
      <c r="X502" s="3" t="s">
        <v>4327</v>
      </c>
      <c r="Y502" s="3" t="n">
        <v>3</v>
      </c>
      <c r="Z502" s="3" t="n">
        <v>1</v>
      </c>
      <c r="AA502" s="3" t="n">
        <v>2</v>
      </c>
      <c r="AB502" s="3" t="n">
        <v>2</v>
      </c>
      <c r="AC502" s="3" t="n">
        <v>1</v>
      </c>
      <c r="AD502" s="3" t="n">
        <v>3</v>
      </c>
      <c r="AE502" s="3" t="s">
        <v>4328</v>
      </c>
      <c r="AF502" s="3" t="s">
        <v>860</v>
      </c>
      <c r="AG502" s="3"/>
      <c r="AH502" s="3"/>
      <c r="AI502" s="3" t="s">
        <v>4329</v>
      </c>
      <c r="AJ502" s="3" t="s">
        <v>59</v>
      </c>
      <c r="AK502" s="3" t="s">
        <v>4330</v>
      </c>
      <c r="AL502" s="3"/>
      <c r="AM502" s="3" t="n">
        <v>3</v>
      </c>
      <c r="AN502" s="3"/>
      <c r="AO502" s="3"/>
      <c r="AP502" s="3" t="n">
        <v>5</v>
      </c>
      <c r="AQ502" s="3"/>
      <c r="AR502" s="3"/>
    </row>
    <row r="503" customFormat="false" ht="15" hidden="false" customHeight="true" outlineLevel="0" collapsed="false">
      <c r="A503" s="3" t="s">
        <v>4331</v>
      </c>
      <c r="B503" s="3" t="n">
        <v>6</v>
      </c>
      <c r="C503" s="3" t="n">
        <v>70</v>
      </c>
      <c r="D503" s="3"/>
      <c r="E503" s="4"/>
      <c r="F503" s="3" t="n">
        <v>24</v>
      </c>
      <c r="G503" s="3" t="str">
        <f aca="false">IF(F503="","",IF(F503&gt;=Notes!$B$5,"Elderly ("&amp;Notes!$B$5&amp;"+)",IF(F503&lt;=Notes!$B$4,"Student age (≤"&amp;Notes!$B$4&amp;")","Middle-aged ("&amp;(Notes!$B$4+1)&amp;"–"&amp;(Notes!$B$5-1)&amp;")")))</f>
        <v>Student age (≤29)</v>
      </c>
      <c r="H503" s="3" t="s">
        <v>83</v>
      </c>
      <c r="I503" s="3"/>
      <c r="J503" s="3" t="s">
        <v>437</v>
      </c>
      <c r="K503" s="3" t="s">
        <v>437</v>
      </c>
      <c r="L503" s="3"/>
      <c r="M503" s="3" t="s">
        <v>437</v>
      </c>
      <c r="N503" s="3" t="s">
        <v>437</v>
      </c>
      <c r="O503" s="3" t="s">
        <v>4038</v>
      </c>
      <c r="P503" s="3"/>
      <c r="Q503" s="3" t="s">
        <v>117</v>
      </c>
      <c r="R503" s="3" t="s">
        <v>4072</v>
      </c>
      <c r="S503" s="3" t="s">
        <v>4136</v>
      </c>
      <c r="T503" s="3" t="s">
        <v>4332</v>
      </c>
      <c r="U503" s="3" t="s">
        <v>4042</v>
      </c>
      <c r="V503" s="3" t="s">
        <v>4065</v>
      </c>
      <c r="W503" s="3" t="s">
        <v>4162</v>
      </c>
      <c r="X503" s="3" t="s">
        <v>4067</v>
      </c>
      <c r="Y503" s="3" t="n">
        <v>1</v>
      </c>
      <c r="Z503" s="3" t="n">
        <v>2</v>
      </c>
      <c r="AA503" s="3" t="n">
        <v>3</v>
      </c>
      <c r="AB503" s="3" t="n">
        <v>1</v>
      </c>
      <c r="AC503" s="3" t="n">
        <v>2</v>
      </c>
      <c r="AD503" s="3" t="n">
        <v>3</v>
      </c>
      <c r="AE503" s="3" t="s">
        <v>4084</v>
      </c>
      <c r="AF503" s="3" t="s">
        <v>860</v>
      </c>
      <c r="AG503" s="3"/>
      <c r="AH503" s="3"/>
      <c r="AI503" s="3" t="s">
        <v>4059</v>
      </c>
      <c r="AJ503" s="3" t="s">
        <v>1625</v>
      </c>
      <c r="AK503" s="3" t="s">
        <v>2242</v>
      </c>
      <c r="AL503" s="3"/>
      <c r="AM503" s="3" t="n">
        <v>4</v>
      </c>
      <c r="AN503" s="3"/>
      <c r="AO503" s="3"/>
      <c r="AP503" s="3" t="n">
        <v>4</v>
      </c>
      <c r="AQ503" s="3"/>
      <c r="AR503" s="3"/>
    </row>
    <row r="504" customFormat="false" ht="15" hidden="false" customHeight="true" outlineLevel="0" collapsed="false">
      <c r="A504" s="3" t="s">
        <v>4333</v>
      </c>
      <c r="B504" s="3" t="n">
        <v>6</v>
      </c>
      <c r="C504" s="3" t="n">
        <v>71</v>
      </c>
      <c r="D504" s="3"/>
      <c r="E504" s="4"/>
      <c r="F504" s="3" t="n">
        <v>22</v>
      </c>
      <c r="G504" s="3" t="str">
        <f aca="false">IF(F504="","",IF(F504&gt;=Notes!$B$5,"Elderly ("&amp;Notes!$B$5&amp;"+)",IF(F504&lt;=Notes!$B$4,"Student age (≤"&amp;Notes!$B$4&amp;")","Middle-aged ("&amp;(Notes!$B$4+1)&amp;"–"&amp;(Notes!$B$5-1)&amp;")")))</f>
        <v>Student age (≤29)</v>
      </c>
      <c r="H504" s="3" t="s">
        <v>45</v>
      </c>
      <c r="I504" s="3"/>
      <c r="J504" s="3" t="s">
        <v>437</v>
      </c>
      <c r="K504" s="3" t="s">
        <v>437</v>
      </c>
      <c r="L504" s="3"/>
      <c r="M504" s="3" t="s">
        <v>437</v>
      </c>
      <c r="N504" s="3" t="s">
        <v>437</v>
      </c>
      <c r="O504" s="3" t="s">
        <v>4038</v>
      </c>
      <c r="P504" s="3"/>
      <c r="Q504" s="3" t="s">
        <v>95</v>
      </c>
      <c r="R504" s="3" t="s">
        <v>4072</v>
      </c>
      <c r="S504" s="3" t="s">
        <v>4131</v>
      </c>
      <c r="T504" s="3" t="s">
        <v>4053</v>
      </c>
      <c r="U504" s="3" t="s">
        <v>4042</v>
      </c>
      <c r="V504" s="3" t="s">
        <v>4334</v>
      </c>
      <c r="W504" s="3" t="s">
        <v>4093</v>
      </c>
      <c r="X504" s="3" t="s">
        <v>4335</v>
      </c>
      <c r="Y504" s="3" t="n">
        <v>2</v>
      </c>
      <c r="Z504" s="3" t="n">
        <v>1</v>
      </c>
      <c r="AA504" s="3" t="n">
        <v>3</v>
      </c>
      <c r="AB504" s="3" t="n">
        <v>2</v>
      </c>
      <c r="AC504" s="3" t="n">
        <v>1</v>
      </c>
      <c r="AD504" s="3" t="n">
        <v>3</v>
      </c>
      <c r="AE504" s="3" t="s">
        <v>4110</v>
      </c>
      <c r="AF504" s="3" t="s">
        <v>4047</v>
      </c>
      <c r="AG504" s="3"/>
      <c r="AH504" s="3"/>
      <c r="AI504" s="3" t="s">
        <v>4077</v>
      </c>
      <c r="AJ504" s="3" t="s">
        <v>59</v>
      </c>
      <c r="AK504" s="3" t="s">
        <v>4336</v>
      </c>
      <c r="AL504" s="3"/>
      <c r="AM504" s="3" t="n">
        <v>3</v>
      </c>
      <c r="AN504" s="3"/>
      <c r="AO504" s="3"/>
      <c r="AP504" s="3" t="n">
        <v>3</v>
      </c>
      <c r="AQ504" s="3"/>
      <c r="AR504" s="3"/>
    </row>
    <row r="505" customFormat="false" ht="15" hidden="false" customHeight="true" outlineLevel="0" collapsed="false">
      <c r="A505" s="3" t="s">
        <v>4337</v>
      </c>
      <c r="B505" s="3" t="n">
        <v>6</v>
      </c>
      <c r="C505" s="3" t="n">
        <v>72</v>
      </c>
      <c r="D505" s="3"/>
      <c r="E505" s="4"/>
      <c r="F505" s="3" t="n">
        <v>23</v>
      </c>
      <c r="G505" s="3" t="str">
        <f aca="false">IF(F505="","",IF(F505&gt;=Notes!$B$5,"Elderly ("&amp;Notes!$B$5&amp;"+)",IF(F505&lt;=Notes!$B$4,"Student age (≤"&amp;Notes!$B$4&amp;")","Middle-aged ("&amp;(Notes!$B$4+1)&amp;"–"&amp;(Notes!$B$5-1)&amp;")")))</f>
        <v>Student age (≤29)</v>
      </c>
      <c r="H505" s="3" t="s">
        <v>45</v>
      </c>
      <c r="I505" s="3"/>
      <c r="J505" s="3" t="s">
        <v>437</v>
      </c>
      <c r="K505" s="3" t="s">
        <v>437</v>
      </c>
      <c r="L505" s="3" t="s">
        <v>254</v>
      </c>
      <c r="M505" s="3" t="s">
        <v>47</v>
      </c>
      <c r="N505" s="3" t="s">
        <v>255</v>
      </c>
      <c r="O505" s="3" t="s">
        <v>4062</v>
      </c>
      <c r="P505" s="3"/>
      <c r="Q505" s="3" t="s">
        <v>95</v>
      </c>
      <c r="R505" s="3" t="s">
        <v>4039</v>
      </c>
      <c r="S505" s="3" t="s">
        <v>4131</v>
      </c>
      <c r="T505" s="3" t="s">
        <v>4100</v>
      </c>
      <c r="U505" s="3" t="s">
        <v>4054</v>
      </c>
      <c r="V505" s="3" t="s">
        <v>4338</v>
      </c>
      <c r="W505" s="3" t="s">
        <v>4339</v>
      </c>
      <c r="X505" s="3" t="s">
        <v>4340</v>
      </c>
      <c r="Y505" s="3" t="n">
        <v>3</v>
      </c>
      <c r="Z505" s="3" t="n">
        <v>1</v>
      </c>
      <c r="AA505" s="3" t="n">
        <v>2</v>
      </c>
      <c r="AB505" s="3" t="n">
        <v>3</v>
      </c>
      <c r="AC505" s="3" t="n">
        <v>2</v>
      </c>
      <c r="AD505" s="3" t="n">
        <v>1</v>
      </c>
      <c r="AE505" s="3" t="s">
        <v>4123</v>
      </c>
      <c r="AF505" s="3" t="s">
        <v>847</v>
      </c>
      <c r="AG505" s="3"/>
      <c r="AH505" s="3"/>
      <c r="AI505" s="3" t="s">
        <v>4085</v>
      </c>
      <c r="AJ505" s="3" t="s">
        <v>59</v>
      </c>
      <c r="AK505" s="3" t="s">
        <v>4341</v>
      </c>
      <c r="AL505" s="3"/>
      <c r="AM505" s="3" t="n">
        <v>3</v>
      </c>
      <c r="AN505" s="3"/>
      <c r="AO505" s="3"/>
      <c r="AP505" s="3" t="n">
        <v>3</v>
      </c>
      <c r="AQ505" s="3"/>
      <c r="AR505" s="3"/>
    </row>
    <row r="506" customFormat="false" ht="15" hidden="false" customHeight="true" outlineLevel="0" collapsed="false">
      <c r="A506" s="3" t="s">
        <v>4342</v>
      </c>
      <c r="B506" s="3" t="n">
        <v>6</v>
      </c>
      <c r="C506" s="3" t="n">
        <v>73</v>
      </c>
      <c r="D506" s="3"/>
      <c r="E506" s="4"/>
      <c r="F506" s="3" t="n">
        <v>21</v>
      </c>
      <c r="G506" s="3" t="str">
        <f aca="false">IF(F506="","",IF(F506&gt;=Notes!$B$5,"Elderly ("&amp;Notes!$B$5&amp;"+)",IF(F506&lt;=Notes!$B$4,"Student age (≤"&amp;Notes!$B$4&amp;")","Middle-aged ("&amp;(Notes!$B$4+1)&amp;"–"&amp;(Notes!$B$5-1)&amp;")")))</f>
        <v>Student age (≤29)</v>
      </c>
      <c r="H506" s="3" t="s">
        <v>45</v>
      </c>
      <c r="I506" s="3"/>
      <c r="J506" s="3" t="s">
        <v>437</v>
      </c>
      <c r="K506" s="3" t="s">
        <v>437</v>
      </c>
      <c r="L506" s="3" t="s">
        <v>825</v>
      </c>
      <c r="M506" s="3" t="s">
        <v>47</v>
      </c>
      <c r="N506" s="3" t="s">
        <v>826</v>
      </c>
      <c r="O506" s="3" t="s">
        <v>4038</v>
      </c>
      <c r="P506" s="3"/>
      <c r="Q506" s="3" t="s">
        <v>117</v>
      </c>
      <c r="R506" s="3" t="s">
        <v>4080</v>
      </c>
      <c r="S506" s="3" t="s">
        <v>4136</v>
      </c>
      <c r="T506" s="3" t="s">
        <v>4100</v>
      </c>
      <c r="U506" s="3" t="s">
        <v>4042</v>
      </c>
      <c r="V506" s="3" t="s">
        <v>4065</v>
      </c>
      <c r="W506" s="3" t="s">
        <v>4343</v>
      </c>
      <c r="X506" s="3" t="s">
        <v>4094</v>
      </c>
      <c r="Y506" s="3" t="n">
        <v>3</v>
      </c>
      <c r="Z506" s="3" t="n">
        <v>1</v>
      </c>
      <c r="AA506" s="3" t="n">
        <v>2</v>
      </c>
      <c r="AB506" s="3" t="n">
        <v>3</v>
      </c>
      <c r="AC506" s="3" t="n">
        <v>1</v>
      </c>
      <c r="AD506" s="3" t="n">
        <v>2</v>
      </c>
      <c r="AE506" s="3" t="s">
        <v>4095</v>
      </c>
      <c r="AF506" s="3" t="s">
        <v>846</v>
      </c>
      <c r="AG506" s="3"/>
      <c r="AH506" s="3"/>
      <c r="AI506" s="3" t="s">
        <v>4085</v>
      </c>
      <c r="AJ506" s="3" t="s">
        <v>59</v>
      </c>
      <c r="AK506" s="3" t="s">
        <v>4262</v>
      </c>
      <c r="AL506" s="3"/>
      <c r="AM506" s="3" t="n">
        <v>4</v>
      </c>
      <c r="AN506" s="3"/>
      <c r="AO506" s="3"/>
      <c r="AP506" s="3" t="n">
        <v>5</v>
      </c>
      <c r="AQ506" s="3"/>
      <c r="AR506" s="3"/>
    </row>
    <row r="507" customFormat="false" ht="15" hidden="false" customHeight="true" outlineLevel="0" collapsed="false">
      <c r="A507" s="3" t="s">
        <v>4344</v>
      </c>
      <c r="B507" s="3" t="n">
        <v>6</v>
      </c>
      <c r="C507" s="3" t="n">
        <v>74</v>
      </c>
      <c r="D507" s="3"/>
      <c r="E507" s="4"/>
      <c r="F507" s="3" t="n">
        <v>24</v>
      </c>
      <c r="G507" s="3" t="str">
        <f aca="false">IF(F507="","",IF(F507&gt;=Notes!$B$5,"Elderly ("&amp;Notes!$B$5&amp;"+)",IF(F507&lt;=Notes!$B$4,"Student age (≤"&amp;Notes!$B$4&amp;")","Middle-aged ("&amp;(Notes!$B$4+1)&amp;"–"&amp;(Notes!$B$5-1)&amp;")")))</f>
        <v>Student age (≤29)</v>
      </c>
      <c r="H507" s="3" t="s">
        <v>45</v>
      </c>
      <c r="I507" s="3"/>
      <c r="J507" s="3" t="s">
        <v>437</v>
      </c>
      <c r="K507" s="3" t="s">
        <v>437</v>
      </c>
      <c r="L507" s="3"/>
      <c r="M507" s="3" t="s">
        <v>437</v>
      </c>
      <c r="N507" s="3" t="s">
        <v>437</v>
      </c>
      <c r="O507" s="3" t="s">
        <v>4062</v>
      </c>
      <c r="P507" s="3"/>
      <c r="Q507" s="3" t="s">
        <v>95</v>
      </c>
      <c r="R507" s="3" t="s">
        <v>4072</v>
      </c>
      <c r="S507" s="3" t="s">
        <v>4040</v>
      </c>
      <c r="T507" s="3" t="s">
        <v>4081</v>
      </c>
      <c r="U507" s="3" t="s">
        <v>4054</v>
      </c>
      <c r="V507" s="3" t="s">
        <v>4345</v>
      </c>
      <c r="W507" s="3" t="s">
        <v>4346</v>
      </c>
      <c r="X507" s="3" t="s">
        <v>4156</v>
      </c>
      <c r="Y507" s="3" t="n">
        <v>3</v>
      </c>
      <c r="Z507" s="3" t="n">
        <v>1</v>
      </c>
      <c r="AA507" s="3" t="n">
        <v>2</v>
      </c>
      <c r="AB507" s="3" t="n">
        <v>2</v>
      </c>
      <c r="AC507" s="3" t="n">
        <v>1</v>
      </c>
      <c r="AD507" s="3" t="n">
        <v>3</v>
      </c>
      <c r="AE507" s="3" t="s">
        <v>4095</v>
      </c>
      <c r="AF507" s="3" t="s">
        <v>847</v>
      </c>
      <c r="AG507" s="3"/>
      <c r="AH507" s="3"/>
      <c r="AI507" s="3" t="s">
        <v>4070</v>
      </c>
      <c r="AJ507" s="3" t="s">
        <v>59</v>
      </c>
      <c r="AK507" s="3" t="s">
        <v>4142</v>
      </c>
      <c r="AL507" s="3"/>
      <c r="AM507" s="3" t="n">
        <v>5</v>
      </c>
      <c r="AN507" s="3"/>
      <c r="AO507" s="3"/>
      <c r="AP507" s="3" t="n">
        <v>3</v>
      </c>
      <c r="AQ507" s="3"/>
      <c r="AR507" s="3"/>
    </row>
    <row r="508" customFormat="false" ht="15" hidden="false" customHeight="true" outlineLevel="0" collapsed="false">
      <c r="A508" s="3" t="s">
        <v>4347</v>
      </c>
      <c r="B508" s="3" t="n">
        <v>6</v>
      </c>
      <c r="C508" s="3" t="n">
        <v>75</v>
      </c>
      <c r="D508" s="3"/>
      <c r="E508" s="4"/>
      <c r="F508" s="3" t="n">
        <v>24</v>
      </c>
      <c r="G508" s="3" t="str">
        <f aca="false">IF(F508="","",IF(F508&gt;=Notes!$B$5,"Elderly ("&amp;Notes!$B$5&amp;"+)",IF(F508&lt;=Notes!$B$4,"Student age (≤"&amp;Notes!$B$4&amp;")","Middle-aged ("&amp;(Notes!$B$4+1)&amp;"–"&amp;(Notes!$B$5-1)&amp;")")))</f>
        <v>Student age (≤29)</v>
      </c>
      <c r="H508" s="3" t="s">
        <v>83</v>
      </c>
      <c r="I508" s="3"/>
      <c r="J508" s="3" t="s">
        <v>437</v>
      </c>
      <c r="K508" s="3" t="s">
        <v>437</v>
      </c>
      <c r="L508" s="3"/>
      <c r="M508" s="3" t="s">
        <v>47</v>
      </c>
      <c r="N508" s="3" t="s">
        <v>47</v>
      </c>
      <c r="O508" s="3" t="s">
        <v>4088</v>
      </c>
      <c r="P508" s="3"/>
      <c r="Q508" s="3" t="s">
        <v>74</v>
      </c>
      <c r="R508" s="3" t="s">
        <v>4080</v>
      </c>
      <c r="S508" s="3" t="s">
        <v>4052</v>
      </c>
      <c r="T508" s="3" t="s">
        <v>4151</v>
      </c>
      <c r="U508" s="3" t="s">
        <v>4054</v>
      </c>
      <c r="V508" s="3" t="s">
        <v>4313</v>
      </c>
      <c r="W508" s="3" t="s">
        <v>4348</v>
      </c>
      <c r="X508" s="3" t="s">
        <v>4260</v>
      </c>
      <c r="Y508" s="3" t="n">
        <v>2</v>
      </c>
      <c r="Z508" s="3" t="n">
        <v>1</v>
      </c>
      <c r="AA508" s="3" t="n">
        <v>3</v>
      </c>
      <c r="AB508" s="3" t="n">
        <v>2</v>
      </c>
      <c r="AC508" s="3" t="n">
        <v>3</v>
      </c>
      <c r="AD508" s="3" t="n">
        <v>1</v>
      </c>
      <c r="AE508" s="3" t="s">
        <v>4046</v>
      </c>
      <c r="AF508" s="3" t="s">
        <v>847</v>
      </c>
      <c r="AG508" s="3"/>
      <c r="AH508" s="3"/>
      <c r="AI508" s="3" t="s">
        <v>4111</v>
      </c>
      <c r="AJ508" s="3" t="s">
        <v>59</v>
      </c>
      <c r="AK508" s="3" t="s">
        <v>4300</v>
      </c>
      <c r="AL508" s="3"/>
      <c r="AM508" s="3" t="n">
        <v>2</v>
      </c>
      <c r="AN508" s="3"/>
      <c r="AO508" s="3"/>
      <c r="AP508" s="3" t="n">
        <v>5</v>
      </c>
      <c r="AQ508" s="3"/>
      <c r="AR508" s="3"/>
    </row>
    <row r="509" customFormat="false" ht="15" hidden="false" customHeight="true" outlineLevel="0" collapsed="false">
      <c r="A509" s="3" t="s">
        <v>4349</v>
      </c>
      <c r="B509" s="3" t="n">
        <v>6</v>
      </c>
      <c r="C509" s="3" t="n">
        <v>76</v>
      </c>
      <c r="D509" s="3"/>
      <c r="E509" s="4"/>
      <c r="F509" s="3" t="n">
        <v>28</v>
      </c>
      <c r="G509" s="3" t="str">
        <f aca="false">IF(F509="","",IF(F509&gt;=Notes!$B$5,"Elderly ("&amp;Notes!$B$5&amp;"+)",IF(F509&lt;=Notes!$B$4,"Student age (≤"&amp;Notes!$B$4&amp;")","Middle-aged ("&amp;(Notes!$B$4+1)&amp;"–"&amp;(Notes!$B$5-1)&amp;")")))</f>
        <v>Student age (≤29)</v>
      </c>
      <c r="H509" s="3" t="s">
        <v>83</v>
      </c>
      <c r="I509" s="3"/>
      <c r="J509" s="3" t="s">
        <v>437</v>
      </c>
      <c r="K509" s="3" t="s">
        <v>437</v>
      </c>
      <c r="L509" s="3"/>
      <c r="M509" s="3" t="s">
        <v>437</v>
      </c>
      <c r="N509" s="3" t="s">
        <v>437</v>
      </c>
      <c r="O509" s="3" t="s">
        <v>4218</v>
      </c>
      <c r="P509" s="3"/>
      <c r="Q509" s="3" t="s">
        <v>74</v>
      </c>
      <c r="R509" s="3" t="s">
        <v>4063</v>
      </c>
      <c r="S509" s="3" t="s">
        <v>4131</v>
      </c>
      <c r="T509" s="3" t="s">
        <v>4317</v>
      </c>
      <c r="U509" s="3" t="s">
        <v>4091</v>
      </c>
      <c r="V509" s="3" t="s">
        <v>4350</v>
      </c>
      <c r="W509" s="3" t="s">
        <v>4351</v>
      </c>
      <c r="X509" s="3" t="s">
        <v>4083</v>
      </c>
      <c r="Y509" s="3" t="n">
        <v>2</v>
      </c>
      <c r="Z509" s="3" t="n">
        <v>1</v>
      </c>
      <c r="AA509" s="3" t="n">
        <v>3</v>
      </c>
      <c r="AB509" s="3" t="n">
        <v>2</v>
      </c>
      <c r="AC509" s="3" t="n">
        <v>1</v>
      </c>
      <c r="AD509" s="3" t="n">
        <v>3</v>
      </c>
      <c r="AE509" s="3" t="s">
        <v>4197</v>
      </c>
      <c r="AF509" s="3" t="s">
        <v>847</v>
      </c>
      <c r="AG509" s="3"/>
      <c r="AH509" s="3"/>
      <c r="AI509" s="3" t="s">
        <v>4070</v>
      </c>
      <c r="AJ509" s="3" t="s">
        <v>59</v>
      </c>
      <c r="AK509" s="3" t="s">
        <v>4142</v>
      </c>
      <c r="AL509" s="3"/>
      <c r="AM509" s="3" t="n">
        <v>4</v>
      </c>
      <c r="AN509" s="3"/>
      <c r="AO509" s="3"/>
      <c r="AP509" s="3" t="n">
        <v>4</v>
      </c>
      <c r="AQ509" s="3"/>
      <c r="AR509" s="3"/>
    </row>
    <row r="510" customFormat="false" ht="15" hidden="false" customHeight="true" outlineLevel="0" collapsed="false">
      <c r="A510" s="3" t="s">
        <v>4352</v>
      </c>
      <c r="B510" s="3" t="n">
        <v>6</v>
      </c>
      <c r="C510" s="3" t="n">
        <v>77</v>
      </c>
      <c r="D510" s="3"/>
      <c r="E510" s="4"/>
      <c r="F510" s="3" t="n">
        <v>26</v>
      </c>
      <c r="G510" s="3" t="str">
        <f aca="false">IF(F510="","",IF(F510&gt;=Notes!$B$5,"Elderly ("&amp;Notes!$B$5&amp;"+)",IF(F510&lt;=Notes!$B$4,"Student age (≤"&amp;Notes!$B$4&amp;")","Middle-aged ("&amp;(Notes!$B$4+1)&amp;"–"&amp;(Notes!$B$5-1)&amp;")")))</f>
        <v>Student age (≤29)</v>
      </c>
      <c r="H510" s="3" t="s">
        <v>45</v>
      </c>
      <c r="I510" s="3"/>
      <c r="J510" s="3" t="s">
        <v>437</v>
      </c>
      <c r="K510" s="3" t="s">
        <v>437</v>
      </c>
      <c r="L510" s="3"/>
      <c r="M510" s="3" t="s">
        <v>437</v>
      </c>
      <c r="N510" s="3" t="s">
        <v>437</v>
      </c>
      <c r="O510" s="3" t="s">
        <v>4062</v>
      </c>
      <c r="P510" s="3"/>
      <c r="Q510" s="3" t="s">
        <v>117</v>
      </c>
      <c r="R510" s="3" t="s">
        <v>4072</v>
      </c>
      <c r="S510" s="3" t="s">
        <v>4040</v>
      </c>
      <c r="T510" s="3" t="s">
        <v>4183</v>
      </c>
      <c r="U510" s="3" t="s">
        <v>4042</v>
      </c>
      <c r="V510" s="3" t="s">
        <v>4177</v>
      </c>
      <c r="W510" s="3" t="s">
        <v>4308</v>
      </c>
      <c r="X510" s="3" t="s">
        <v>4067</v>
      </c>
      <c r="Y510" s="3" t="n">
        <v>3</v>
      </c>
      <c r="Z510" s="3" t="n">
        <v>1</v>
      </c>
      <c r="AA510" s="3" t="n">
        <v>2</v>
      </c>
      <c r="AB510" s="3" t="n">
        <v>2</v>
      </c>
      <c r="AC510" s="3" t="n">
        <v>1</v>
      </c>
      <c r="AD510" s="3" t="n">
        <v>3</v>
      </c>
      <c r="AE510" s="3" t="s">
        <v>4170</v>
      </c>
      <c r="AF510" s="3" t="s">
        <v>846</v>
      </c>
      <c r="AG510" s="3"/>
      <c r="AH510" s="3"/>
      <c r="AI510" s="3" t="s">
        <v>4048</v>
      </c>
      <c r="AJ510" s="3" t="s">
        <v>59</v>
      </c>
      <c r="AK510" s="3" t="s">
        <v>4353</v>
      </c>
      <c r="AL510" s="3"/>
      <c r="AM510" s="3" t="n">
        <v>5</v>
      </c>
      <c r="AN510" s="3"/>
      <c r="AO510" s="3"/>
      <c r="AP510" s="3" t="n">
        <v>5</v>
      </c>
      <c r="AQ510" s="3"/>
      <c r="AR510" s="3"/>
    </row>
    <row r="511" customFormat="false" ht="15" hidden="false" customHeight="true" outlineLevel="0" collapsed="false">
      <c r="A511" s="3" t="s">
        <v>4354</v>
      </c>
      <c r="B511" s="3" t="n">
        <v>6</v>
      </c>
      <c r="C511" s="3" t="n">
        <v>78</v>
      </c>
      <c r="D511" s="3"/>
      <c r="E511" s="4"/>
      <c r="F511" s="3" t="n">
        <v>22</v>
      </c>
      <c r="G511" s="3" t="str">
        <f aca="false">IF(F511="","",IF(F511&gt;=Notes!$B$5,"Elderly ("&amp;Notes!$B$5&amp;"+)",IF(F511&lt;=Notes!$B$4,"Student age (≤"&amp;Notes!$B$4&amp;")","Middle-aged ("&amp;(Notes!$B$4+1)&amp;"–"&amp;(Notes!$B$5-1)&amp;")")))</f>
        <v>Student age (≤29)</v>
      </c>
      <c r="H511" s="3" t="s">
        <v>45</v>
      </c>
      <c r="I511" s="3"/>
      <c r="J511" s="3" t="s">
        <v>437</v>
      </c>
      <c r="K511" s="3" t="s">
        <v>437</v>
      </c>
      <c r="L511" s="3"/>
      <c r="M511" s="3" t="s">
        <v>2651</v>
      </c>
      <c r="N511" s="3" t="s">
        <v>2651</v>
      </c>
      <c r="O511" s="3" t="s">
        <v>4038</v>
      </c>
      <c r="P511" s="3"/>
      <c r="Q511" s="3" t="s">
        <v>117</v>
      </c>
      <c r="R511" s="3" t="s">
        <v>4099</v>
      </c>
      <c r="S511" s="3" t="s">
        <v>4099</v>
      </c>
      <c r="T511" s="3" t="s">
        <v>4053</v>
      </c>
      <c r="U511" s="3" t="s">
        <v>4042</v>
      </c>
      <c r="V511" s="3" t="s">
        <v>4043</v>
      </c>
      <c r="W511" s="3" t="s">
        <v>4093</v>
      </c>
      <c r="X511" s="3" t="s">
        <v>4083</v>
      </c>
      <c r="Y511" s="3" t="n">
        <v>3</v>
      </c>
      <c r="Z511" s="3" t="n">
        <v>2</v>
      </c>
      <c r="AA511" s="3" t="n">
        <v>1</v>
      </c>
      <c r="AB511" s="3" t="n">
        <v>1</v>
      </c>
      <c r="AC511" s="3" t="n">
        <v>2</v>
      </c>
      <c r="AD511" s="3" t="n">
        <v>3</v>
      </c>
      <c r="AE511" s="3" t="s">
        <v>4095</v>
      </c>
      <c r="AF511" s="3" t="s">
        <v>846</v>
      </c>
      <c r="AG511" s="3"/>
      <c r="AH511" s="3"/>
      <c r="AI511" s="3" t="s">
        <v>4077</v>
      </c>
      <c r="AJ511" s="3" t="s">
        <v>59</v>
      </c>
      <c r="AK511" s="3" t="s">
        <v>4175</v>
      </c>
      <c r="AL511" s="3"/>
      <c r="AM511" s="3" t="n">
        <v>3</v>
      </c>
      <c r="AN511" s="3"/>
      <c r="AO511" s="3"/>
      <c r="AP511" s="3" t="n">
        <v>4</v>
      </c>
      <c r="AQ511" s="3"/>
      <c r="AR511" s="3"/>
    </row>
    <row r="512" customFormat="false" ht="15" hidden="false" customHeight="true" outlineLevel="0" collapsed="false">
      <c r="A512" s="3" t="s">
        <v>4355</v>
      </c>
      <c r="B512" s="3" t="n">
        <v>6</v>
      </c>
      <c r="C512" s="3" t="n">
        <v>79</v>
      </c>
      <c r="D512" s="3"/>
      <c r="E512" s="4"/>
      <c r="F512" s="3" t="n">
        <v>27</v>
      </c>
      <c r="G512" s="3" t="str">
        <f aca="false">IF(F512="","",IF(F512&gt;=Notes!$B$5,"Elderly ("&amp;Notes!$B$5&amp;"+)",IF(F512&lt;=Notes!$B$4,"Student age (≤"&amp;Notes!$B$4&amp;")","Middle-aged ("&amp;(Notes!$B$4+1)&amp;"–"&amp;(Notes!$B$5-1)&amp;")")))</f>
        <v>Student age (≤29)</v>
      </c>
      <c r="H512" s="3" t="s">
        <v>83</v>
      </c>
      <c r="I512" s="3" t="s">
        <v>49</v>
      </c>
      <c r="J512" s="3" t="s">
        <v>47</v>
      </c>
      <c r="K512" s="3" t="s">
        <v>50</v>
      </c>
      <c r="L512" s="3" t="s">
        <v>49</v>
      </c>
      <c r="M512" s="3" t="s">
        <v>47</v>
      </c>
      <c r="N512" s="3" t="s">
        <v>50</v>
      </c>
      <c r="O512" s="3" t="s">
        <v>4038</v>
      </c>
      <c r="P512" s="3"/>
      <c r="Q512" s="3" t="s">
        <v>95</v>
      </c>
      <c r="R512" s="3" t="s">
        <v>4099</v>
      </c>
      <c r="S512" s="3" t="s">
        <v>4040</v>
      </c>
      <c r="T512" s="3" t="s">
        <v>4064</v>
      </c>
      <c r="U512" s="3" t="s">
        <v>4054</v>
      </c>
      <c r="V512" s="3" t="s">
        <v>4065</v>
      </c>
      <c r="W512" s="3" t="s">
        <v>4213</v>
      </c>
      <c r="X512" s="3" t="s">
        <v>4226</v>
      </c>
      <c r="Y512" s="3" t="n">
        <v>3</v>
      </c>
      <c r="Z512" s="3" t="n">
        <v>1</v>
      </c>
      <c r="AA512" s="3" t="n">
        <v>2</v>
      </c>
      <c r="AB512" s="3" t="n">
        <v>3</v>
      </c>
      <c r="AC512" s="3" t="n">
        <v>1</v>
      </c>
      <c r="AD512" s="3" t="n">
        <v>2</v>
      </c>
      <c r="AE512" s="3" t="s">
        <v>4261</v>
      </c>
      <c r="AF512" s="3" t="s">
        <v>847</v>
      </c>
      <c r="AG512" s="3"/>
      <c r="AH512" s="3"/>
      <c r="AI512" s="3" t="s">
        <v>4070</v>
      </c>
      <c r="AJ512" s="3" t="s">
        <v>59</v>
      </c>
      <c r="AK512" s="3" t="s">
        <v>4356</v>
      </c>
      <c r="AL512" s="3"/>
      <c r="AM512" s="3" t="n">
        <v>5</v>
      </c>
      <c r="AN512" s="3"/>
      <c r="AO512" s="3"/>
      <c r="AP512" s="3" t="n">
        <v>5</v>
      </c>
      <c r="AQ512" s="3"/>
      <c r="AR512" s="3"/>
    </row>
    <row r="513" customFormat="false" ht="15" hidden="false" customHeight="true" outlineLevel="0" collapsed="false">
      <c r="A513" s="3" t="s">
        <v>4357</v>
      </c>
      <c r="B513" s="3" t="n">
        <v>6</v>
      </c>
      <c r="C513" s="3" t="n">
        <v>80</v>
      </c>
      <c r="D513" s="3"/>
      <c r="E513" s="4"/>
      <c r="F513" s="3" t="n">
        <v>21</v>
      </c>
      <c r="G513" s="3" t="str">
        <f aca="false">IF(F513="","",IF(F513&gt;=Notes!$B$5,"Elderly ("&amp;Notes!$B$5&amp;"+)",IF(F513&lt;=Notes!$B$4,"Student age (≤"&amp;Notes!$B$4&amp;")","Middle-aged ("&amp;(Notes!$B$4+1)&amp;"–"&amp;(Notes!$B$5-1)&amp;")")))</f>
        <v>Student age (≤29)</v>
      </c>
      <c r="H513" s="3" t="s">
        <v>45</v>
      </c>
      <c r="I513" s="3"/>
      <c r="J513" s="3" t="s">
        <v>437</v>
      </c>
      <c r="K513" s="3" t="s">
        <v>437</v>
      </c>
      <c r="L513" s="3" t="s">
        <v>49</v>
      </c>
      <c r="M513" s="3" t="s">
        <v>47</v>
      </c>
      <c r="N513" s="3" t="s">
        <v>50</v>
      </c>
      <c r="O513" s="3" t="s">
        <v>4038</v>
      </c>
      <c r="P513" s="3"/>
      <c r="Q513" s="3" t="s">
        <v>95</v>
      </c>
      <c r="R513" s="3" t="s">
        <v>4072</v>
      </c>
      <c r="S513" s="3" t="s">
        <v>4099</v>
      </c>
      <c r="T513" s="3" t="s">
        <v>4120</v>
      </c>
      <c r="U513" s="3" t="s">
        <v>4042</v>
      </c>
      <c r="V513" s="3" t="s">
        <v>4065</v>
      </c>
      <c r="W513" s="3" t="s">
        <v>4358</v>
      </c>
      <c r="X513" s="3" t="s">
        <v>4116</v>
      </c>
      <c r="Y513" s="3" t="n">
        <v>1</v>
      </c>
      <c r="Z513" s="3" t="n">
        <v>3</v>
      </c>
      <c r="AA513" s="3" t="n">
        <v>2</v>
      </c>
      <c r="AB513" s="3" t="n">
        <v>2</v>
      </c>
      <c r="AC513" s="3" t="n">
        <v>1</v>
      </c>
      <c r="AD513" s="3" t="n">
        <v>3</v>
      </c>
      <c r="AE513" s="3" t="s">
        <v>4261</v>
      </c>
      <c r="AF513" s="3" t="s">
        <v>846</v>
      </c>
      <c r="AG513" s="3"/>
      <c r="AH513" s="3"/>
      <c r="AI513" s="3" t="s">
        <v>4059</v>
      </c>
      <c r="AJ513" s="3" t="s">
        <v>59</v>
      </c>
      <c r="AK513" s="3" t="s">
        <v>4205</v>
      </c>
      <c r="AL513" s="3"/>
      <c r="AM513" s="3" t="n">
        <v>5</v>
      </c>
      <c r="AN513" s="3"/>
      <c r="AO513" s="3"/>
      <c r="AP513" s="3" t="n">
        <v>5</v>
      </c>
      <c r="AQ513" s="3"/>
      <c r="AR513" s="3"/>
    </row>
    <row r="514" customFormat="false" ht="15" hidden="false" customHeight="true" outlineLevel="0" collapsed="false">
      <c r="A514" s="3" t="s">
        <v>4359</v>
      </c>
      <c r="B514" s="3" t="n">
        <v>6</v>
      </c>
      <c r="C514" s="3" t="n">
        <v>81</v>
      </c>
      <c r="D514" s="3"/>
      <c r="E514" s="4"/>
      <c r="F514" s="3" t="n">
        <v>72</v>
      </c>
      <c r="G514" s="3" t="str">
        <f aca="false">IF(F514="","",IF(F514&gt;=Notes!$B$5,"Elderly ("&amp;Notes!$B$5&amp;"+)",IF(F514&lt;=Notes!$B$4,"Student age (≤"&amp;Notes!$B$4&amp;")","Middle-aged ("&amp;(Notes!$B$4+1)&amp;"–"&amp;(Notes!$B$5-1)&amp;")")))</f>
        <v>Elderly (65+)</v>
      </c>
      <c r="H514" s="3" t="s">
        <v>45</v>
      </c>
      <c r="I514" s="3"/>
      <c r="J514" s="3" t="s">
        <v>437</v>
      </c>
      <c r="K514" s="3" t="s">
        <v>437</v>
      </c>
      <c r="L514" s="3"/>
      <c r="M514" s="3" t="s">
        <v>437</v>
      </c>
      <c r="N514" s="3" t="s">
        <v>437</v>
      </c>
      <c r="O514" s="3" t="s">
        <v>4038</v>
      </c>
      <c r="P514" s="3"/>
      <c r="Q514" s="3" t="s">
        <v>95</v>
      </c>
      <c r="R514" s="3" t="s">
        <v>4039</v>
      </c>
      <c r="S514" s="3" t="s">
        <v>4099</v>
      </c>
      <c r="T514" s="3" t="s">
        <v>4041</v>
      </c>
      <c r="U514" s="3" t="s">
        <v>4042</v>
      </c>
      <c r="V514" s="3" t="s">
        <v>4065</v>
      </c>
      <c r="W514" s="3" t="s">
        <v>4203</v>
      </c>
      <c r="X514" s="3" t="s">
        <v>4094</v>
      </c>
      <c r="Y514" s="3" t="n">
        <v>3</v>
      </c>
      <c r="Z514" s="3" t="n">
        <v>1</v>
      </c>
      <c r="AA514" s="3" t="n">
        <v>2</v>
      </c>
      <c r="AB514" s="3" t="n">
        <v>3</v>
      </c>
      <c r="AC514" s="3" t="n">
        <v>2</v>
      </c>
      <c r="AD514" s="3" t="n">
        <v>1</v>
      </c>
      <c r="AE514" s="3" t="s">
        <v>4110</v>
      </c>
      <c r="AF514" s="3" t="s">
        <v>846</v>
      </c>
      <c r="AG514" s="3"/>
      <c r="AH514" s="3"/>
      <c r="AI514" s="3" t="s">
        <v>4085</v>
      </c>
      <c r="AJ514" s="3" t="s">
        <v>1625</v>
      </c>
      <c r="AK514" s="3" t="s">
        <v>2242</v>
      </c>
      <c r="AL514" s="3"/>
      <c r="AM514" s="3" t="n">
        <v>5</v>
      </c>
      <c r="AN514" s="3"/>
      <c r="AO514" s="3"/>
      <c r="AP514" s="3" t="n">
        <v>5</v>
      </c>
      <c r="AQ514" s="3"/>
      <c r="AR514" s="3"/>
    </row>
    <row r="515" customFormat="false" ht="15" hidden="false" customHeight="true" outlineLevel="0" collapsed="false">
      <c r="A515" s="3" t="s">
        <v>4360</v>
      </c>
      <c r="B515" s="3" t="n">
        <v>6</v>
      </c>
      <c r="C515" s="3" t="n">
        <v>82</v>
      </c>
      <c r="D515" s="3"/>
      <c r="E515" s="4"/>
      <c r="F515" s="3" t="n">
        <v>24</v>
      </c>
      <c r="G515" s="3" t="str">
        <f aca="false">IF(F515="","",IF(F515&gt;=Notes!$B$5,"Elderly ("&amp;Notes!$B$5&amp;"+)",IF(F515&lt;=Notes!$B$4,"Student age (≤"&amp;Notes!$B$4&amp;")","Middle-aged ("&amp;(Notes!$B$4+1)&amp;"–"&amp;(Notes!$B$5-1)&amp;")")))</f>
        <v>Student age (≤29)</v>
      </c>
      <c r="H515" s="3" t="s">
        <v>45</v>
      </c>
      <c r="I515" s="3" t="s">
        <v>289</v>
      </c>
      <c r="J515" s="3" t="s">
        <v>47</v>
      </c>
      <c r="K515" s="3" t="s">
        <v>290</v>
      </c>
      <c r="L515" s="3" t="s">
        <v>289</v>
      </c>
      <c r="M515" s="3" t="s">
        <v>47</v>
      </c>
      <c r="N515" s="3" t="s">
        <v>290</v>
      </c>
      <c r="O515" s="3" t="s">
        <v>4062</v>
      </c>
      <c r="P515" s="3"/>
      <c r="Q515" s="3" t="s">
        <v>117</v>
      </c>
      <c r="R515" s="3" t="s">
        <v>4063</v>
      </c>
      <c r="S515" s="3" t="s">
        <v>4150</v>
      </c>
      <c r="T515" s="3" t="s">
        <v>4361</v>
      </c>
      <c r="U515" s="3" t="s">
        <v>4042</v>
      </c>
      <c r="V515" s="3" t="s">
        <v>4362</v>
      </c>
      <c r="W515" s="3" t="s">
        <v>4363</v>
      </c>
      <c r="X515" s="3" t="s">
        <v>4364</v>
      </c>
      <c r="Y515" s="3" t="n">
        <v>1</v>
      </c>
      <c r="Z515" s="3" t="n">
        <v>3</v>
      </c>
      <c r="AA515" s="3" t="n">
        <v>2</v>
      </c>
      <c r="AB515" s="3" t="n">
        <v>3</v>
      </c>
      <c r="AC515" s="3" t="n">
        <v>2</v>
      </c>
      <c r="AD515" s="3" t="n">
        <v>1</v>
      </c>
      <c r="AE515" s="3" t="s">
        <v>4117</v>
      </c>
      <c r="AF515" s="3" t="s">
        <v>846</v>
      </c>
      <c r="AG515" s="3"/>
      <c r="AH515" s="3"/>
      <c r="AI515" s="3" t="s">
        <v>4164</v>
      </c>
      <c r="AJ515" s="3" t="s">
        <v>59</v>
      </c>
      <c r="AK515" s="3" t="s">
        <v>4365</v>
      </c>
      <c r="AL515" s="3"/>
      <c r="AM515" s="3" t="n">
        <v>4</v>
      </c>
      <c r="AN515" s="3"/>
      <c r="AO515" s="3"/>
      <c r="AP515" s="3" t="n">
        <v>4</v>
      </c>
      <c r="AQ515" s="3"/>
      <c r="AR515" s="3"/>
    </row>
    <row r="516" customFormat="false" ht="15" hidden="false" customHeight="true" outlineLevel="0" collapsed="false">
      <c r="A516" s="3" t="s">
        <v>4366</v>
      </c>
      <c r="B516" s="3" t="n">
        <v>6</v>
      </c>
      <c r="C516" s="3" t="n">
        <v>83</v>
      </c>
      <c r="D516" s="3"/>
      <c r="E516" s="4"/>
      <c r="F516" s="3" t="n">
        <v>49</v>
      </c>
      <c r="G516" s="3" t="str">
        <f aca="false">IF(F516="","",IF(F516&gt;=Notes!$B$5,"Elderly ("&amp;Notes!$B$5&amp;"+)",IF(F516&lt;=Notes!$B$4,"Student age (≤"&amp;Notes!$B$4&amp;")","Middle-aged ("&amp;(Notes!$B$4+1)&amp;"–"&amp;(Notes!$B$5-1)&amp;")")))</f>
        <v>Middle-aged (30–64)</v>
      </c>
      <c r="H516" s="3" t="s">
        <v>83</v>
      </c>
      <c r="I516" s="3"/>
      <c r="J516" s="3" t="s">
        <v>437</v>
      </c>
      <c r="K516" s="3" t="s">
        <v>437</v>
      </c>
      <c r="L516" s="3"/>
      <c r="M516" s="3" t="s">
        <v>437</v>
      </c>
      <c r="N516" s="3" t="s">
        <v>437</v>
      </c>
      <c r="O516" s="3" t="s">
        <v>4088</v>
      </c>
      <c r="P516" s="3"/>
      <c r="Q516" s="3" t="s">
        <v>95</v>
      </c>
      <c r="R516" s="3" t="s">
        <v>4063</v>
      </c>
      <c r="S516" s="3" t="s">
        <v>4136</v>
      </c>
      <c r="T516" s="3" t="s">
        <v>4188</v>
      </c>
      <c r="U516" s="3" t="s">
        <v>4042</v>
      </c>
      <c r="V516" s="3" t="s">
        <v>4065</v>
      </c>
      <c r="W516" s="3" t="s">
        <v>4221</v>
      </c>
      <c r="X516" s="3" t="s">
        <v>4367</v>
      </c>
      <c r="Y516" s="3" t="n">
        <v>2</v>
      </c>
      <c r="Z516" s="3" t="n">
        <v>1</v>
      </c>
      <c r="AA516" s="3" t="n">
        <v>3</v>
      </c>
      <c r="AB516" s="3" t="n">
        <v>2</v>
      </c>
      <c r="AC516" s="3" t="n">
        <v>1</v>
      </c>
      <c r="AD516" s="3" t="n">
        <v>3</v>
      </c>
      <c r="AE516" s="3" t="s">
        <v>4117</v>
      </c>
      <c r="AF516" s="3" t="s">
        <v>847</v>
      </c>
      <c r="AG516" s="3"/>
      <c r="AH516" s="3"/>
      <c r="AI516" s="3" t="s">
        <v>4059</v>
      </c>
      <c r="AJ516" s="3" t="s">
        <v>59</v>
      </c>
      <c r="AK516" s="3" t="s">
        <v>4368</v>
      </c>
      <c r="AL516" s="3"/>
      <c r="AM516" s="3" t="n">
        <v>3</v>
      </c>
      <c r="AN516" s="3"/>
      <c r="AO516" s="3"/>
      <c r="AP516" s="3" t="n">
        <v>4</v>
      </c>
      <c r="AQ516" s="3"/>
      <c r="AR516" s="3"/>
    </row>
    <row r="517" customFormat="false" ht="15" hidden="false" customHeight="true" outlineLevel="0" collapsed="false">
      <c r="A517" s="3" t="s">
        <v>4369</v>
      </c>
      <c r="B517" s="3" t="n">
        <v>6</v>
      </c>
      <c r="C517" s="3" t="n">
        <v>84</v>
      </c>
      <c r="D517" s="3"/>
      <c r="E517" s="4"/>
      <c r="F517" s="3" t="n">
        <v>52</v>
      </c>
      <c r="G517" s="3" t="str">
        <f aca="false">IF(F517="","",IF(F517&gt;=Notes!$B$5,"Elderly ("&amp;Notes!$B$5&amp;"+)",IF(F517&lt;=Notes!$B$4,"Student age (≤"&amp;Notes!$B$4&amp;")","Middle-aged ("&amp;(Notes!$B$4+1)&amp;"–"&amp;(Notes!$B$5-1)&amp;")")))</f>
        <v>Middle-aged (30–64)</v>
      </c>
      <c r="H517" s="3" t="s">
        <v>45</v>
      </c>
      <c r="I517" s="3"/>
      <c r="J517" s="3" t="s">
        <v>437</v>
      </c>
      <c r="K517" s="3" t="s">
        <v>437</v>
      </c>
      <c r="L517" s="3"/>
      <c r="M517" s="3" t="s">
        <v>437</v>
      </c>
      <c r="N517" s="3" t="s">
        <v>437</v>
      </c>
      <c r="O517" s="3" t="s">
        <v>4038</v>
      </c>
      <c r="P517" s="3"/>
      <c r="Q517" s="3" t="s">
        <v>74</v>
      </c>
      <c r="R517" s="3" t="s">
        <v>4080</v>
      </c>
      <c r="S517" s="3" t="s">
        <v>4136</v>
      </c>
      <c r="T517" s="3" t="s">
        <v>4041</v>
      </c>
      <c r="U517" s="3" t="s">
        <v>4042</v>
      </c>
      <c r="V517" s="3" t="s">
        <v>4065</v>
      </c>
      <c r="W517" s="3" t="s">
        <v>4093</v>
      </c>
      <c r="X517" s="3" t="s">
        <v>4370</v>
      </c>
      <c r="Y517" s="3" t="n">
        <v>3</v>
      </c>
      <c r="Z517" s="3" t="n">
        <v>1</v>
      </c>
      <c r="AA517" s="3" t="n">
        <v>2</v>
      </c>
      <c r="AB517" s="3" t="n">
        <v>3</v>
      </c>
      <c r="AC517" s="3" t="n">
        <v>2</v>
      </c>
      <c r="AD517" s="3" t="n">
        <v>1</v>
      </c>
      <c r="AE517" s="3" t="s">
        <v>4117</v>
      </c>
      <c r="AF517" s="3" t="s">
        <v>4069</v>
      </c>
      <c r="AG517" s="3"/>
      <c r="AH517" s="3"/>
      <c r="AI517" s="3" t="s">
        <v>4059</v>
      </c>
      <c r="AJ517" s="3" t="s">
        <v>59</v>
      </c>
      <c r="AK517" s="3" t="s">
        <v>4371</v>
      </c>
      <c r="AL517" s="3"/>
      <c r="AM517" s="3" t="n">
        <v>4</v>
      </c>
      <c r="AN517" s="3"/>
      <c r="AO517" s="3"/>
      <c r="AP517" s="3" t="n">
        <v>4</v>
      </c>
      <c r="AQ517" s="3"/>
      <c r="AR517" s="3"/>
    </row>
    <row r="518" customFormat="false" ht="15" hidden="false" customHeight="true" outlineLevel="0" collapsed="false">
      <c r="A518" s="3" t="s">
        <v>4372</v>
      </c>
      <c r="B518" s="3" t="n">
        <v>6</v>
      </c>
      <c r="C518" s="3" t="n">
        <v>85</v>
      </c>
      <c r="D518" s="3"/>
      <c r="E518" s="4"/>
      <c r="F518" s="3" t="n">
        <v>52</v>
      </c>
      <c r="G518" s="3" t="str">
        <f aca="false">IF(F518="","",IF(F518&gt;=Notes!$B$5,"Elderly ("&amp;Notes!$B$5&amp;"+)",IF(F518&lt;=Notes!$B$4,"Student age (≤"&amp;Notes!$B$4&amp;")","Middle-aged ("&amp;(Notes!$B$4+1)&amp;"–"&amp;(Notes!$B$5-1)&amp;")")))</f>
        <v>Middle-aged (30–64)</v>
      </c>
      <c r="H518" s="3" t="s">
        <v>83</v>
      </c>
      <c r="I518" s="3"/>
      <c r="J518" s="3" t="s">
        <v>437</v>
      </c>
      <c r="K518" s="3" t="s">
        <v>437</v>
      </c>
      <c r="L518" s="3"/>
      <c r="M518" s="3" t="s">
        <v>437</v>
      </c>
      <c r="N518" s="3" t="s">
        <v>437</v>
      </c>
      <c r="O518" s="3" t="s">
        <v>4038</v>
      </c>
      <c r="P518" s="3"/>
      <c r="Q518" s="3" t="s">
        <v>95</v>
      </c>
      <c r="R518" s="3" t="s">
        <v>4072</v>
      </c>
      <c r="S518" s="3" t="s">
        <v>4040</v>
      </c>
      <c r="T518" s="3" t="s">
        <v>4090</v>
      </c>
      <c r="U518" s="3" t="s">
        <v>4054</v>
      </c>
      <c r="V518" s="3" t="s">
        <v>4362</v>
      </c>
      <c r="W518" s="3" t="s">
        <v>4373</v>
      </c>
      <c r="X518" s="3" t="s">
        <v>4374</v>
      </c>
      <c r="Y518" s="3" t="n">
        <v>3</v>
      </c>
      <c r="Z518" s="3" t="n">
        <v>1</v>
      </c>
      <c r="AA518" s="3" t="n">
        <v>2</v>
      </c>
      <c r="AB518" s="3" t="n">
        <v>3</v>
      </c>
      <c r="AC518" s="3" t="n">
        <v>1</v>
      </c>
      <c r="AD518" s="3" t="n">
        <v>2</v>
      </c>
      <c r="AE518" s="3" t="s">
        <v>4123</v>
      </c>
      <c r="AF518" s="3" t="s">
        <v>846</v>
      </c>
      <c r="AG518" s="3"/>
      <c r="AH518" s="3"/>
      <c r="AI518" s="3" t="s">
        <v>4111</v>
      </c>
      <c r="AJ518" s="3" t="s">
        <v>59</v>
      </c>
      <c r="AK518" s="3" t="s">
        <v>4375</v>
      </c>
      <c r="AL518" s="3"/>
      <c r="AM518" s="3" t="n">
        <v>4</v>
      </c>
      <c r="AN518" s="3"/>
      <c r="AO518" s="3"/>
      <c r="AP518" s="3" t="n">
        <v>4</v>
      </c>
      <c r="AQ518" s="3"/>
      <c r="AR518" s="3"/>
    </row>
    <row r="519" customFormat="false" ht="15" hidden="false" customHeight="true" outlineLevel="0" collapsed="false">
      <c r="A519" s="3" t="s">
        <v>4376</v>
      </c>
      <c r="B519" s="3" t="n">
        <v>6</v>
      </c>
      <c r="C519" s="3" t="n">
        <v>86</v>
      </c>
      <c r="D519" s="3"/>
      <c r="E519" s="4"/>
      <c r="F519" s="3" t="n">
        <v>56</v>
      </c>
      <c r="G519" s="3" t="str">
        <f aca="false">IF(F519="","",IF(F519&gt;=Notes!$B$5,"Elderly ("&amp;Notes!$B$5&amp;"+)",IF(F519&lt;=Notes!$B$4,"Student age (≤"&amp;Notes!$B$4&amp;")","Middle-aged ("&amp;(Notes!$B$4+1)&amp;"–"&amp;(Notes!$B$5-1)&amp;")")))</f>
        <v>Middle-aged (30–64)</v>
      </c>
      <c r="H519" s="3" t="s">
        <v>83</v>
      </c>
      <c r="I519" s="3"/>
      <c r="J519" s="3" t="s">
        <v>437</v>
      </c>
      <c r="K519" s="3" t="s">
        <v>437</v>
      </c>
      <c r="L519" s="3"/>
      <c r="M519" s="3" t="s">
        <v>437</v>
      </c>
      <c r="N519" s="3" t="s">
        <v>437</v>
      </c>
      <c r="O519" s="3" t="s">
        <v>4038</v>
      </c>
      <c r="P519" s="3"/>
      <c r="Q519" s="3" t="s">
        <v>117</v>
      </c>
      <c r="R519" s="3" t="s">
        <v>4099</v>
      </c>
      <c r="S519" s="3" t="s">
        <v>4099</v>
      </c>
      <c r="T519" s="3" t="s">
        <v>4120</v>
      </c>
      <c r="U519" s="3" t="s">
        <v>4042</v>
      </c>
      <c r="V519" s="3" t="s">
        <v>4173</v>
      </c>
      <c r="W519" s="3" t="s">
        <v>4377</v>
      </c>
      <c r="X519" s="3" t="s">
        <v>4370</v>
      </c>
      <c r="Y519" s="3" t="n">
        <v>1</v>
      </c>
      <c r="Z519" s="3" t="n">
        <v>3</v>
      </c>
      <c r="AA519" s="3" t="n">
        <v>2</v>
      </c>
      <c r="AB519" s="3" t="n">
        <v>1</v>
      </c>
      <c r="AC519" s="3" t="n">
        <v>2</v>
      </c>
      <c r="AD519" s="3" t="n">
        <v>3</v>
      </c>
      <c r="AE519" s="3" t="s">
        <v>4117</v>
      </c>
      <c r="AF519" s="3" t="s">
        <v>860</v>
      </c>
      <c r="AG519" s="3"/>
      <c r="AH519" s="3"/>
      <c r="AI519" s="3" t="s">
        <v>4085</v>
      </c>
      <c r="AJ519" s="3" t="s">
        <v>59</v>
      </c>
      <c r="AK519" s="3" t="s">
        <v>4175</v>
      </c>
      <c r="AL519" s="3"/>
      <c r="AM519" s="3" t="n">
        <v>4</v>
      </c>
      <c r="AN519" s="3"/>
      <c r="AO519" s="3"/>
      <c r="AP519" s="3" t="n">
        <v>4</v>
      </c>
      <c r="AQ519" s="3"/>
      <c r="AR519" s="3"/>
    </row>
    <row r="520" customFormat="false" ht="15" hidden="false" customHeight="true" outlineLevel="0" collapsed="false">
      <c r="A520" s="3" t="s">
        <v>4378</v>
      </c>
      <c r="B520" s="3" t="n">
        <v>6</v>
      </c>
      <c r="C520" s="3" t="n">
        <v>87</v>
      </c>
      <c r="D520" s="3"/>
      <c r="E520" s="4"/>
      <c r="F520" s="3" t="n">
        <v>48</v>
      </c>
      <c r="G520" s="3" t="str">
        <f aca="false">IF(F520="","",IF(F520&gt;=Notes!$B$5,"Elderly ("&amp;Notes!$B$5&amp;"+)",IF(F520&lt;=Notes!$B$4,"Student age (≤"&amp;Notes!$B$4&amp;")","Middle-aged ("&amp;(Notes!$B$4+1)&amp;"–"&amp;(Notes!$B$5-1)&amp;")")))</f>
        <v>Middle-aged (30–64)</v>
      </c>
      <c r="H520" s="3" t="s">
        <v>45</v>
      </c>
      <c r="I520" s="3"/>
      <c r="J520" s="3" t="s">
        <v>437</v>
      </c>
      <c r="K520" s="3" t="s">
        <v>437</v>
      </c>
      <c r="L520" s="3"/>
      <c r="M520" s="3" t="s">
        <v>437</v>
      </c>
      <c r="N520" s="3" t="s">
        <v>437</v>
      </c>
      <c r="O520" s="3" t="s">
        <v>4062</v>
      </c>
      <c r="P520" s="3"/>
      <c r="Q520" s="3" t="s">
        <v>95</v>
      </c>
      <c r="R520" s="3" t="s">
        <v>4080</v>
      </c>
      <c r="S520" s="3" t="s">
        <v>4136</v>
      </c>
      <c r="T520" s="3" t="s">
        <v>4100</v>
      </c>
      <c r="U520" s="3" t="s">
        <v>4042</v>
      </c>
      <c r="V520" s="3" t="s">
        <v>4065</v>
      </c>
      <c r="W520" s="3" t="s">
        <v>4379</v>
      </c>
      <c r="X520" s="3" t="s">
        <v>4103</v>
      </c>
      <c r="Y520" s="3" t="n">
        <v>3</v>
      </c>
      <c r="Z520" s="3" t="n">
        <v>2</v>
      </c>
      <c r="AA520" s="3" t="n">
        <v>1</v>
      </c>
      <c r="AB520" s="3" t="n">
        <v>3</v>
      </c>
      <c r="AC520" s="3" t="n">
        <v>2</v>
      </c>
      <c r="AD520" s="3" t="n">
        <v>1</v>
      </c>
      <c r="AE520" s="3" t="s">
        <v>4110</v>
      </c>
      <c r="AF520" s="3" t="s">
        <v>846</v>
      </c>
      <c r="AG520" s="3"/>
      <c r="AH520" s="3"/>
      <c r="AI520" s="3" t="s">
        <v>4059</v>
      </c>
      <c r="AJ520" s="3" t="s">
        <v>59</v>
      </c>
      <c r="AK520" s="3" t="s">
        <v>4380</v>
      </c>
      <c r="AL520" s="3"/>
      <c r="AM520" s="3" t="n">
        <v>5</v>
      </c>
      <c r="AN520" s="3"/>
      <c r="AO520" s="3"/>
      <c r="AP520" s="3" t="n">
        <v>5</v>
      </c>
      <c r="AQ520" s="3"/>
      <c r="AR520" s="3"/>
    </row>
    <row r="521" customFormat="false" ht="15" hidden="false" customHeight="true" outlineLevel="0" collapsed="false">
      <c r="A521" s="3" t="s">
        <v>4381</v>
      </c>
      <c r="B521" s="3" t="n">
        <v>6</v>
      </c>
      <c r="C521" s="3" t="n">
        <v>88</v>
      </c>
      <c r="D521" s="3"/>
      <c r="E521" s="4"/>
      <c r="F521" s="3" t="n">
        <v>42</v>
      </c>
      <c r="G521" s="3" t="str">
        <f aca="false">IF(F521="","",IF(F521&gt;=Notes!$B$5,"Elderly ("&amp;Notes!$B$5&amp;"+)",IF(F521&lt;=Notes!$B$4,"Student age (≤"&amp;Notes!$B$4&amp;")","Middle-aged ("&amp;(Notes!$B$4+1)&amp;"–"&amp;(Notes!$B$5-1)&amp;")")))</f>
        <v>Middle-aged (30–64)</v>
      </c>
      <c r="H521" s="3" t="s">
        <v>45</v>
      </c>
      <c r="I521" s="3"/>
      <c r="J521" s="3" t="s">
        <v>437</v>
      </c>
      <c r="K521" s="3" t="s">
        <v>437</v>
      </c>
      <c r="L521" s="3"/>
      <c r="M521" s="3" t="s">
        <v>437</v>
      </c>
      <c r="N521" s="3" t="s">
        <v>437</v>
      </c>
      <c r="O521" s="3" t="s">
        <v>4038</v>
      </c>
      <c r="P521" s="3"/>
      <c r="Q521" s="3" t="s">
        <v>117</v>
      </c>
      <c r="R521" s="3" t="s">
        <v>4080</v>
      </c>
      <c r="S521" s="3" t="s">
        <v>4131</v>
      </c>
      <c r="T521" s="3" t="s">
        <v>4151</v>
      </c>
      <c r="U521" s="3" t="s">
        <v>4054</v>
      </c>
      <c r="V521" s="3" t="s">
        <v>4101</v>
      </c>
      <c r="W521" s="3" t="s">
        <v>4155</v>
      </c>
      <c r="X521" s="3" t="s">
        <v>4141</v>
      </c>
      <c r="Y521" s="3" t="n">
        <v>2</v>
      </c>
      <c r="Z521" s="3" t="n">
        <v>1</v>
      </c>
      <c r="AA521" s="3" t="n">
        <v>3</v>
      </c>
      <c r="AB521" s="3" t="n">
        <v>3</v>
      </c>
      <c r="AC521" s="3" t="n">
        <v>1</v>
      </c>
      <c r="AD521" s="3" t="n">
        <v>2</v>
      </c>
      <c r="AE521" s="3" t="s">
        <v>4134</v>
      </c>
      <c r="AF521" s="3" t="s">
        <v>847</v>
      </c>
      <c r="AG521" s="3"/>
      <c r="AH521" s="3"/>
      <c r="AI521" s="3" t="s">
        <v>4059</v>
      </c>
      <c r="AJ521" s="3" t="s">
        <v>59</v>
      </c>
      <c r="AK521" s="3" t="s">
        <v>4382</v>
      </c>
      <c r="AL521" s="3"/>
      <c r="AM521" s="3" t="n">
        <v>3</v>
      </c>
      <c r="AN521" s="3"/>
      <c r="AO521" s="3"/>
      <c r="AP521" s="3" t="n">
        <v>4</v>
      </c>
      <c r="AQ521" s="3"/>
      <c r="AR521" s="3"/>
    </row>
    <row r="522" customFormat="false" ht="15" hidden="false" customHeight="true" outlineLevel="0" collapsed="false">
      <c r="A522" s="3" t="s">
        <v>4383</v>
      </c>
      <c r="B522" s="3" t="n">
        <v>6</v>
      </c>
      <c r="C522" s="3" t="n">
        <v>89</v>
      </c>
      <c r="D522" s="3"/>
      <c r="E522" s="4"/>
      <c r="F522" s="3" t="n">
        <v>40</v>
      </c>
      <c r="G522" s="3" t="str">
        <f aca="false">IF(F522="","",IF(F522&gt;=Notes!$B$5,"Elderly ("&amp;Notes!$B$5&amp;"+)",IF(F522&lt;=Notes!$B$4,"Student age (≤"&amp;Notes!$B$4&amp;")","Middle-aged ("&amp;(Notes!$B$4+1)&amp;"–"&amp;(Notes!$B$5-1)&amp;")")))</f>
        <v>Middle-aged (30–64)</v>
      </c>
      <c r="H522" s="3" t="s">
        <v>83</v>
      </c>
      <c r="I522" s="3"/>
      <c r="J522" s="3" t="s">
        <v>437</v>
      </c>
      <c r="K522" s="3" t="s">
        <v>437</v>
      </c>
      <c r="L522" s="3"/>
      <c r="M522" s="3" t="s">
        <v>437</v>
      </c>
      <c r="N522" s="3" t="s">
        <v>437</v>
      </c>
      <c r="O522" s="3" t="s">
        <v>4038</v>
      </c>
      <c r="P522" s="3"/>
      <c r="Q522" s="3" t="s">
        <v>74</v>
      </c>
      <c r="R522" s="3" t="s">
        <v>4080</v>
      </c>
      <c r="S522" s="3" t="s">
        <v>4099</v>
      </c>
      <c r="T522" s="3" t="s">
        <v>4219</v>
      </c>
      <c r="U522" s="3" t="s">
        <v>4042</v>
      </c>
      <c r="V522" s="3" t="s">
        <v>4092</v>
      </c>
      <c r="W522" s="3" t="s">
        <v>4093</v>
      </c>
      <c r="X522" s="3" t="s">
        <v>4116</v>
      </c>
      <c r="Y522" s="3" t="n">
        <v>2</v>
      </c>
      <c r="Z522" s="3" t="n">
        <v>1</v>
      </c>
      <c r="AA522" s="3" t="n">
        <v>3</v>
      </c>
      <c r="AB522" s="3" t="n">
        <v>3</v>
      </c>
      <c r="AC522" s="3" t="n">
        <v>1</v>
      </c>
      <c r="AD522" s="3" t="n">
        <v>2</v>
      </c>
      <c r="AE522" s="3" t="s">
        <v>4261</v>
      </c>
      <c r="AF522" s="3" t="s">
        <v>4069</v>
      </c>
      <c r="AG522" s="3"/>
      <c r="AH522" s="3"/>
      <c r="AI522" s="3" t="s">
        <v>4085</v>
      </c>
      <c r="AJ522" s="3" t="s">
        <v>59</v>
      </c>
      <c r="AK522" s="3" t="s">
        <v>4384</v>
      </c>
      <c r="AL522" s="3"/>
      <c r="AM522" s="3" t="n">
        <v>5</v>
      </c>
      <c r="AN522" s="3"/>
      <c r="AO522" s="3"/>
      <c r="AP522" s="3" t="n">
        <v>5</v>
      </c>
      <c r="AQ522" s="3"/>
      <c r="AR522" s="3"/>
    </row>
    <row r="523" customFormat="false" ht="15" hidden="false" customHeight="true" outlineLevel="0" collapsed="false">
      <c r="A523" s="3" t="s">
        <v>4385</v>
      </c>
      <c r="B523" s="3" t="n">
        <v>6</v>
      </c>
      <c r="C523" s="3" t="n">
        <v>90</v>
      </c>
      <c r="D523" s="3"/>
      <c r="E523" s="4"/>
      <c r="F523" s="3" t="n">
        <v>50</v>
      </c>
      <c r="G523" s="3" t="str">
        <f aca="false">IF(F523="","",IF(F523&gt;=Notes!$B$5,"Elderly ("&amp;Notes!$B$5&amp;"+)",IF(F523&lt;=Notes!$B$4,"Student age (≤"&amp;Notes!$B$4&amp;")","Middle-aged ("&amp;(Notes!$B$4+1)&amp;"–"&amp;(Notes!$B$5-1)&amp;")")))</f>
        <v>Middle-aged (30–64)</v>
      </c>
      <c r="H523" s="3" t="s">
        <v>45</v>
      </c>
      <c r="I523" s="3"/>
      <c r="J523" s="3" t="s">
        <v>437</v>
      </c>
      <c r="K523" s="3" t="s">
        <v>437</v>
      </c>
      <c r="L523" s="3"/>
      <c r="M523" s="3" t="s">
        <v>437</v>
      </c>
      <c r="N523" s="3" t="s">
        <v>437</v>
      </c>
      <c r="O523" s="3" t="s">
        <v>4098</v>
      </c>
      <c r="P523" s="3"/>
      <c r="Q523" s="3" t="s">
        <v>117</v>
      </c>
      <c r="R523" s="3" t="s">
        <v>4080</v>
      </c>
      <c r="S523" s="3" t="s">
        <v>4136</v>
      </c>
      <c r="T523" s="3" t="s">
        <v>4120</v>
      </c>
      <c r="U523" s="3" t="s">
        <v>4042</v>
      </c>
      <c r="V523" s="3" t="s">
        <v>4043</v>
      </c>
      <c r="W523" s="3" t="s">
        <v>4386</v>
      </c>
      <c r="X523" s="3" t="s">
        <v>4156</v>
      </c>
      <c r="Y523" s="3" t="n">
        <v>2</v>
      </c>
      <c r="Z523" s="3" t="n">
        <v>3</v>
      </c>
      <c r="AA523" s="3" t="n">
        <v>1</v>
      </c>
      <c r="AB523" s="3" t="n">
        <v>3</v>
      </c>
      <c r="AC523" s="3" t="n">
        <v>1</v>
      </c>
      <c r="AD523" s="3" t="n">
        <v>2</v>
      </c>
      <c r="AE523" s="3" t="s">
        <v>4123</v>
      </c>
      <c r="AF523" s="3" t="s">
        <v>847</v>
      </c>
      <c r="AG523" s="3"/>
      <c r="AH523" s="3"/>
      <c r="AI523" s="3" t="s">
        <v>4059</v>
      </c>
      <c r="AJ523" s="3" t="s">
        <v>59</v>
      </c>
      <c r="AK523" s="3" t="s">
        <v>4387</v>
      </c>
      <c r="AL523" s="3"/>
      <c r="AM523" s="3" t="n">
        <v>5</v>
      </c>
      <c r="AN523" s="3"/>
      <c r="AO523" s="3"/>
      <c r="AP523" s="3" t="n">
        <v>4</v>
      </c>
      <c r="AQ523" s="3"/>
      <c r="AR523" s="3"/>
    </row>
    <row r="524" customFormat="false" ht="15" hidden="false" customHeight="true" outlineLevel="0" collapsed="false">
      <c r="A524" s="3" t="s">
        <v>4388</v>
      </c>
      <c r="B524" s="3" t="n">
        <v>6</v>
      </c>
      <c r="C524" s="3" t="n">
        <v>91</v>
      </c>
      <c r="D524" s="3"/>
      <c r="E524" s="4"/>
      <c r="F524" s="3" t="n">
        <v>36</v>
      </c>
      <c r="G524" s="3" t="str">
        <f aca="false">IF(F524="","",IF(F524&gt;=Notes!$B$5,"Elderly ("&amp;Notes!$B$5&amp;"+)",IF(F524&lt;=Notes!$B$4,"Student age (≤"&amp;Notes!$B$4&amp;")","Middle-aged ("&amp;(Notes!$B$4+1)&amp;"–"&amp;(Notes!$B$5-1)&amp;")")))</f>
        <v>Middle-aged (30–64)</v>
      </c>
      <c r="H524" s="3" t="s">
        <v>83</v>
      </c>
      <c r="I524" s="3"/>
      <c r="J524" s="3" t="s">
        <v>437</v>
      </c>
      <c r="K524" s="3" t="s">
        <v>437</v>
      </c>
      <c r="L524" s="3"/>
      <c r="M524" s="3" t="s">
        <v>437</v>
      </c>
      <c r="N524" s="3" t="s">
        <v>437</v>
      </c>
      <c r="O524" s="3" t="s">
        <v>4218</v>
      </c>
      <c r="P524" s="3"/>
      <c r="Q524" s="3" t="s">
        <v>52</v>
      </c>
      <c r="R524" s="3" t="s">
        <v>4099</v>
      </c>
      <c r="S524" s="3" t="s">
        <v>4131</v>
      </c>
      <c r="T524" s="3" t="s">
        <v>4081</v>
      </c>
      <c r="U524" s="3" t="s">
        <v>4265</v>
      </c>
      <c r="V524" s="3" t="s">
        <v>4173</v>
      </c>
      <c r="W524" s="3" t="s">
        <v>4389</v>
      </c>
      <c r="X524" s="3" t="s">
        <v>4094</v>
      </c>
      <c r="Y524" s="3" t="n">
        <v>3</v>
      </c>
      <c r="Z524" s="3" t="n">
        <v>1</v>
      </c>
      <c r="AA524" s="3" t="n">
        <v>2</v>
      </c>
      <c r="AB524" s="3" t="n">
        <v>3</v>
      </c>
      <c r="AC524" s="3" t="n">
        <v>1</v>
      </c>
      <c r="AD524" s="3" t="n">
        <v>2</v>
      </c>
      <c r="AE524" s="3" t="s">
        <v>4281</v>
      </c>
      <c r="AF524" s="3" t="s">
        <v>846</v>
      </c>
      <c r="AG524" s="3"/>
      <c r="AH524" s="3"/>
      <c r="AI524" s="3" t="s">
        <v>4070</v>
      </c>
      <c r="AJ524" s="3" t="s">
        <v>59</v>
      </c>
      <c r="AK524" s="3" t="s">
        <v>4086</v>
      </c>
      <c r="AL524" s="3"/>
      <c r="AM524" s="3" t="n">
        <v>4</v>
      </c>
      <c r="AN524" s="3"/>
      <c r="AO524" s="3"/>
      <c r="AP524" s="3" t="n">
        <v>3</v>
      </c>
      <c r="AQ524" s="3"/>
      <c r="AR524" s="3"/>
    </row>
    <row r="525" customFormat="false" ht="15" hidden="false" customHeight="true" outlineLevel="0" collapsed="false">
      <c r="A525" s="3" t="s">
        <v>4390</v>
      </c>
      <c r="B525" s="3" t="n">
        <v>6</v>
      </c>
      <c r="C525" s="3" t="n">
        <v>92</v>
      </c>
      <c r="D525" s="3"/>
      <c r="E525" s="4"/>
      <c r="F525" s="3" t="n">
        <v>49</v>
      </c>
      <c r="G525" s="3" t="str">
        <f aca="false">IF(F525="","",IF(F525&gt;=Notes!$B$5,"Elderly ("&amp;Notes!$B$5&amp;"+)",IF(F525&lt;=Notes!$B$4,"Student age (≤"&amp;Notes!$B$4&amp;")","Middle-aged ("&amp;(Notes!$B$4+1)&amp;"–"&amp;(Notes!$B$5-1)&amp;")")))</f>
        <v>Middle-aged (30–64)</v>
      </c>
      <c r="H525" s="3" t="s">
        <v>83</v>
      </c>
      <c r="I525" s="3"/>
      <c r="J525" s="3" t="s">
        <v>437</v>
      </c>
      <c r="K525" s="3" t="s">
        <v>437</v>
      </c>
      <c r="L525" s="3"/>
      <c r="M525" s="3" t="s">
        <v>437</v>
      </c>
      <c r="N525" s="3" t="s">
        <v>437</v>
      </c>
      <c r="O525" s="3" t="s">
        <v>4038</v>
      </c>
      <c r="P525" s="3"/>
      <c r="Q525" s="3" t="s">
        <v>95</v>
      </c>
      <c r="R525" s="3" t="s">
        <v>4051</v>
      </c>
      <c r="S525" s="3" t="s">
        <v>4251</v>
      </c>
      <c r="T525" s="3" t="s">
        <v>4107</v>
      </c>
      <c r="U525" s="3" t="s">
        <v>4054</v>
      </c>
      <c r="V525" s="3" t="s">
        <v>4092</v>
      </c>
      <c r="W525" s="3" t="s">
        <v>4093</v>
      </c>
      <c r="X525" s="3" t="s">
        <v>4103</v>
      </c>
      <c r="Y525" s="3" t="n">
        <v>3</v>
      </c>
      <c r="Z525" s="3" t="n">
        <v>2</v>
      </c>
      <c r="AA525" s="3" t="n">
        <v>1</v>
      </c>
      <c r="AB525" s="3" t="n">
        <v>3</v>
      </c>
      <c r="AC525" s="3" t="n">
        <v>1</v>
      </c>
      <c r="AD525" s="3" t="n">
        <v>2</v>
      </c>
      <c r="AE525" s="3" t="s">
        <v>4261</v>
      </c>
      <c r="AF525" s="3" t="s">
        <v>847</v>
      </c>
      <c r="AG525" s="3"/>
      <c r="AH525" s="3"/>
      <c r="AI525" s="3" t="s">
        <v>4070</v>
      </c>
      <c r="AJ525" s="3" t="s">
        <v>59</v>
      </c>
      <c r="AK525" s="3" t="s">
        <v>4391</v>
      </c>
      <c r="AL525" s="3"/>
      <c r="AM525" s="3" t="n">
        <v>4</v>
      </c>
      <c r="AN525" s="3"/>
      <c r="AO525" s="3"/>
      <c r="AP525" s="3" t="n">
        <v>4</v>
      </c>
      <c r="AQ525" s="3"/>
      <c r="AR525" s="3"/>
    </row>
    <row r="526" customFormat="false" ht="15" hidden="false" customHeight="true" outlineLevel="0" collapsed="false">
      <c r="A526" s="3" t="s">
        <v>4392</v>
      </c>
      <c r="B526" s="3" t="n">
        <v>6</v>
      </c>
      <c r="C526" s="3" t="n">
        <v>93</v>
      </c>
      <c r="D526" s="3"/>
      <c r="E526" s="4"/>
      <c r="F526" s="3" t="n">
        <v>24</v>
      </c>
      <c r="G526" s="3" t="str">
        <f aca="false">IF(F526="","",IF(F526&gt;=Notes!$B$5,"Elderly ("&amp;Notes!$B$5&amp;"+)",IF(F526&lt;=Notes!$B$4,"Student age (≤"&amp;Notes!$B$4&amp;")","Middle-aged ("&amp;(Notes!$B$4+1)&amp;"–"&amp;(Notes!$B$5-1)&amp;")")))</f>
        <v>Student age (≤29)</v>
      </c>
      <c r="H526" s="3" t="s">
        <v>45</v>
      </c>
      <c r="I526" s="3"/>
      <c r="J526" s="3" t="s">
        <v>437</v>
      </c>
      <c r="K526" s="3" t="s">
        <v>437</v>
      </c>
      <c r="L526" s="3"/>
      <c r="M526" s="3" t="s">
        <v>437</v>
      </c>
      <c r="N526" s="3" t="s">
        <v>437</v>
      </c>
      <c r="O526" s="3" t="s">
        <v>4038</v>
      </c>
      <c r="P526" s="3"/>
      <c r="Q526" s="3" t="s">
        <v>95</v>
      </c>
      <c r="R526" s="3" t="s">
        <v>4039</v>
      </c>
      <c r="S526" s="3" t="s">
        <v>2062</v>
      </c>
      <c r="T526" s="3" t="s">
        <v>4100</v>
      </c>
      <c r="U526" s="3" t="s">
        <v>4042</v>
      </c>
      <c r="V526" s="3" t="s">
        <v>4202</v>
      </c>
      <c r="W526" s="3" t="s">
        <v>4393</v>
      </c>
      <c r="X526" s="3" t="s">
        <v>4083</v>
      </c>
      <c r="Y526" s="3" t="n">
        <v>3</v>
      </c>
      <c r="Z526" s="3" t="n">
        <v>1</v>
      </c>
      <c r="AA526" s="3" t="n">
        <v>2</v>
      </c>
      <c r="AB526" s="3" t="n">
        <v>2</v>
      </c>
      <c r="AC526" s="3" t="n">
        <v>1</v>
      </c>
      <c r="AD526" s="3" t="n">
        <v>3</v>
      </c>
      <c r="AE526" s="3" t="s">
        <v>4095</v>
      </c>
      <c r="AF526" s="3" t="s">
        <v>847</v>
      </c>
      <c r="AG526" s="3"/>
      <c r="AH526" s="3"/>
      <c r="AI526" s="3" t="s">
        <v>4085</v>
      </c>
      <c r="AJ526" s="3" t="s">
        <v>59</v>
      </c>
      <c r="AK526" s="3" t="s">
        <v>4205</v>
      </c>
      <c r="AL526" s="3"/>
      <c r="AM526" s="3" t="n">
        <v>4</v>
      </c>
      <c r="AN526" s="3"/>
      <c r="AO526" s="3"/>
      <c r="AP526" s="3" t="n">
        <v>4</v>
      </c>
      <c r="AQ526" s="3"/>
      <c r="AR526" s="3"/>
    </row>
    <row r="527" customFormat="false" ht="15" hidden="false" customHeight="true" outlineLevel="0" collapsed="false">
      <c r="A527" s="3" t="s">
        <v>4394</v>
      </c>
      <c r="B527" s="3" t="n">
        <v>6</v>
      </c>
      <c r="C527" s="3" t="n">
        <v>94</v>
      </c>
      <c r="D527" s="3"/>
      <c r="E527" s="4"/>
      <c r="F527" s="3" t="n">
        <v>62</v>
      </c>
      <c r="G527" s="3" t="str">
        <f aca="false">IF(F527="","",IF(F527&gt;=Notes!$B$5,"Elderly ("&amp;Notes!$B$5&amp;"+)",IF(F527&lt;=Notes!$B$4,"Student age (≤"&amp;Notes!$B$4&amp;")","Middle-aged ("&amp;(Notes!$B$4+1)&amp;"–"&amp;(Notes!$B$5-1)&amp;")")))</f>
        <v>Middle-aged (30–64)</v>
      </c>
      <c r="H527" s="3" t="s">
        <v>83</v>
      </c>
      <c r="I527" s="3"/>
      <c r="J527" s="3" t="s">
        <v>437</v>
      </c>
      <c r="K527" s="3" t="s">
        <v>437</v>
      </c>
      <c r="L527" s="3"/>
      <c r="M527" s="3" t="s">
        <v>437</v>
      </c>
      <c r="N527" s="3" t="s">
        <v>437</v>
      </c>
      <c r="O527" s="3" t="s">
        <v>4062</v>
      </c>
      <c r="P527" s="3"/>
      <c r="Q527" s="3" t="s">
        <v>95</v>
      </c>
      <c r="R527" s="3" t="s">
        <v>4099</v>
      </c>
      <c r="S527" s="3" t="s">
        <v>4099</v>
      </c>
      <c r="T527" s="3" t="s">
        <v>4053</v>
      </c>
      <c r="U527" s="3" t="s">
        <v>4054</v>
      </c>
      <c r="V527" s="3" t="s">
        <v>4043</v>
      </c>
      <c r="W527" s="3" t="s">
        <v>4395</v>
      </c>
      <c r="X527" s="3" t="s">
        <v>4083</v>
      </c>
      <c r="Y527" s="3" t="n">
        <v>3</v>
      </c>
      <c r="Z527" s="3" t="n">
        <v>1</v>
      </c>
      <c r="AA527" s="3" t="n">
        <v>2</v>
      </c>
      <c r="AB527" s="3" t="n">
        <v>3</v>
      </c>
      <c r="AC527" s="3" t="n">
        <v>1</v>
      </c>
      <c r="AD527" s="3" t="n">
        <v>2</v>
      </c>
      <c r="AE527" s="3" t="s">
        <v>4123</v>
      </c>
      <c r="AF527" s="3" t="s">
        <v>847</v>
      </c>
      <c r="AG527" s="3"/>
      <c r="AH527" s="3"/>
      <c r="AI527" s="3" t="s">
        <v>4059</v>
      </c>
      <c r="AJ527" s="3" t="s">
        <v>1625</v>
      </c>
      <c r="AK527" s="3" t="s">
        <v>2242</v>
      </c>
      <c r="AL527" s="3"/>
      <c r="AM527" s="3" t="n">
        <v>5</v>
      </c>
      <c r="AN527" s="3"/>
      <c r="AO527" s="3"/>
      <c r="AP527" s="3" t="n">
        <v>4</v>
      </c>
      <c r="AQ527" s="3"/>
      <c r="AR527" s="3"/>
    </row>
    <row r="528" customFormat="false" ht="15" hidden="false" customHeight="true" outlineLevel="0" collapsed="false">
      <c r="A528" s="3" t="s">
        <v>4396</v>
      </c>
      <c r="B528" s="3" t="n">
        <v>6</v>
      </c>
      <c r="C528" s="3" t="n">
        <v>95</v>
      </c>
      <c r="D528" s="3"/>
      <c r="E528" s="4"/>
      <c r="F528" s="3" t="n">
        <v>23</v>
      </c>
      <c r="G528" s="3" t="str">
        <f aca="false">IF(F528="","",IF(F528&gt;=Notes!$B$5,"Elderly ("&amp;Notes!$B$5&amp;"+)",IF(F528&lt;=Notes!$B$4,"Student age (≤"&amp;Notes!$B$4&amp;")","Middle-aged ("&amp;(Notes!$B$4+1)&amp;"–"&amp;(Notes!$B$5-1)&amp;")")))</f>
        <v>Student age (≤29)</v>
      </c>
      <c r="H528" s="3" t="s">
        <v>45</v>
      </c>
      <c r="I528" s="3"/>
      <c r="J528" s="3" t="s">
        <v>437</v>
      </c>
      <c r="K528" s="3" t="s">
        <v>437</v>
      </c>
      <c r="L528" s="3"/>
      <c r="M528" s="3" t="s">
        <v>437</v>
      </c>
      <c r="N528" s="3" t="s">
        <v>437</v>
      </c>
      <c r="O528" s="3" t="s">
        <v>4038</v>
      </c>
      <c r="P528" s="3"/>
      <c r="Q528" s="3" t="s">
        <v>117</v>
      </c>
      <c r="R528" s="3" t="s">
        <v>4063</v>
      </c>
      <c r="S528" s="3" t="s">
        <v>4131</v>
      </c>
      <c r="T528" s="3" t="s">
        <v>4053</v>
      </c>
      <c r="U528" s="3" t="s">
        <v>4042</v>
      </c>
      <c r="V528" s="3" t="s">
        <v>4200</v>
      </c>
      <c r="W528" s="3" t="s">
        <v>4363</v>
      </c>
      <c r="X528" s="3" t="s">
        <v>4156</v>
      </c>
      <c r="Y528" s="3" t="n">
        <v>2</v>
      </c>
      <c r="Z528" s="3" t="n">
        <v>1</v>
      </c>
      <c r="AA528" s="3" t="n">
        <v>3</v>
      </c>
      <c r="AB528" s="3" t="n">
        <v>1</v>
      </c>
      <c r="AC528" s="3" t="n">
        <v>2</v>
      </c>
      <c r="AD528" s="3" t="n">
        <v>3</v>
      </c>
      <c r="AE528" s="3" t="s">
        <v>4095</v>
      </c>
      <c r="AF528" s="3" t="s">
        <v>4069</v>
      </c>
      <c r="AG528" s="3"/>
      <c r="AH528" s="3"/>
      <c r="AI528" s="3" t="s">
        <v>4059</v>
      </c>
      <c r="AJ528" s="3" t="s">
        <v>59</v>
      </c>
      <c r="AK528" s="3" t="s">
        <v>4124</v>
      </c>
      <c r="AL528" s="3"/>
      <c r="AM528" s="3" t="n">
        <v>5</v>
      </c>
      <c r="AN528" s="3"/>
      <c r="AO528" s="3"/>
      <c r="AP528" s="3" t="n">
        <v>5</v>
      </c>
      <c r="AQ528" s="3"/>
      <c r="AR528" s="3"/>
    </row>
    <row r="529" customFormat="false" ht="15" hidden="false" customHeight="true" outlineLevel="0" collapsed="false">
      <c r="A529" s="3" t="s">
        <v>4397</v>
      </c>
      <c r="B529" s="3" t="n">
        <v>6</v>
      </c>
      <c r="C529" s="3" t="n">
        <v>96</v>
      </c>
      <c r="D529" s="3"/>
      <c r="E529" s="4"/>
      <c r="F529" s="3" t="n">
        <v>63</v>
      </c>
      <c r="G529" s="3" t="str">
        <f aca="false">IF(F529="","",IF(F529&gt;=Notes!$B$5,"Elderly ("&amp;Notes!$B$5&amp;"+)",IF(F529&lt;=Notes!$B$4,"Student age (≤"&amp;Notes!$B$4&amp;")","Middle-aged ("&amp;(Notes!$B$4+1)&amp;"–"&amp;(Notes!$B$5-1)&amp;")")))</f>
        <v>Middle-aged (30–64)</v>
      </c>
      <c r="H529" s="3" t="s">
        <v>45</v>
      </c>
      <c r="I529" s="3"/>
      <c r="J529" s="3" t="s">
        <v>437</v>
      </c>
      <c r="K529" s="3" t="s">
        <v>437</v>
      </c>
      <c r="L529" s="3"/>
      <c r="M529" s="3" t="s">
        <v>437</v>
      </c>
      <c r="N529" s="3" t="s">
        <v>437</v>
      </c>
      <c r="O529" s="3" t="s">
        <v>4098</v>
      </c>
      <c r="P529" s="3"/>
      <c r="Q529" s="3" t="s">
        <v>117</v>
      </c>
      <c r="R529" s="3" t="s">
        <v>4099</v>
      </c>
      <c r="S529" s="3" t="s">
        <v>4099</v>
      </c>
      <c r="T529" s="3" t="s">
        <v>4120</v>
      </c>
      <c r="U529" s="3" t="s">
        <v>4265</v>
      </c>
      <c r="V529" s="3" t="s">
        <v>4065</v>
      </c>
      <c r="W529" s="3" t="s">
        <v>4259</v>
      </c>
      <c r="X529" s="3" t="s">
        <v>4083</v>
      </c>
      <c r="Y529" s="3" t="n">
        <v>1</v>
      </c>
      <c r="Z529" s="3" t="n">
        <v>2</v>
      </c>
      <c r="AA529" s="3" t="n">
        <v>3</v>
      </c>
      <c r="AB529" s="3" t="n">
        <v>1</v>
      </c>
      <c r="AC529" s="3" t="n">
        <v>2</v>
      </c>
      <c r="AD529" s="3" t="n">
        <v>3</v>
      </c>
      <c r="AE529" s="3" t="s">
        <v>4095</v>
      </c>
      <c r="AF529" s="3" t="s">
        <v>4069</v>
      </c>
      <c r="AG529" s="3"/>
      <c r="AH529" s="3"/>
      <c r="AI529" s="3" t="s">
        <v>4059</v>
      </c>
      <c r="AJ529" s="3" t="s">
        <v>1625</v>
      </c>
      <c r="AK529" s="3" t="s">
        <v>2242</v>
      </c>
      <c r="AL529" s="3"/>
      <c r="AM529" s="3" t="n">
        <v>4</v>
      </c>
      <c r="AN529" s="3"/>
      <c r="AO529" s="3"/>
      <c r="AP529" s="3" t="n">
        <v>4</v>
      </c>
      <c r="AQ529" s="3"/>
      <c r="AR529" s="3"/>
    </row>
    <row r="530" customFormat="false" ht="15" hidden="false" customHeight="true" outlineLevel="0" collapsed="false">
      <c r="A530" s="3" t="s">
        <v>4398</v>
      </c>
      <c r="B530" s="3" t="n">
        <v>6</v>
      </c>
      <c r="C530" s="3" t="n">
        <v>97</v>
      </c>
      <c r="D530" s="3"/>
      <c r="E530" s="4"/>
      <c r="F530" s="3" t="n">
        <v>23</v>
      </c>
      <c r="G530" s="3" t="str">
        <f aca="false">IF(F530="","",IF(F530&gt;=Notes!$B$5,"Elderly ("&amp;Notes!$B$5&amp;"+)",IF(F530&lt;=Notes!$B$4,"Student age (≤"&amp;Notes!$B$4&amp;")","Middle-aged ("&amp;(Notes!$B$4+1)&amp;"–"&amp;(Notes!$B$5-1)&amp;")")))</f>
        <v>Student age (≤29)</v>
      </c>
      <c r="H530" s="3" t="s">
        <v>45</v>
      </c>
      <c r="I530" s="3"/>
      <c r="J530" s="3" t="s">
        <v>437</v>
      </c>
      <c r="K530" s="3" t="s">
        <v>437</v>
      </c>
      <c r="L530" s="3"/>
      <c r="M530" s="3" t="s">
        <v>437</v>
      </c>
      <c r="N530" s="3" t="s">
        <v>437</v>
      </c>
      <c r="O530" s="3" t="s">
        <v>4038</v>
      </c>
      <c r="P530" s="3"/>
      <c r="Q530" s="3" t="s">
        <v>117</v>
      </c>
      <c r="R530" s="3" t="s">
        <v>4063</v>
      </c>
      <c r="S530" s="3" t="s">
        <v>4040</v>
      </c>
      <c r="T530" s="3" t="s">
        <v>4183</v>
      </c>
      <c r="U530" s="3" t="s">
        <v>4042</v>
      </c>
      <c r="V530" s="3" t="s">
        <v>4286</v>
      </c>
      <c r="W530" s="3" t="s">
        <v>4192</v>
      </c>
      <c r="X530" s="3" t="s">
        <v>4067</v>
      </c>
      <c r="Y530" s="3" t="n">
        <v>1</v>
      </c>
      <c r="Z530" s="3" t="n">
        <v>2</v>
      </c>
      <c r="AA530" s="3" t="n">
        <v>3</v>
      </c>
      <c r="AB530" s="3" t="n">
        <v>1</v>
      </c>
      <c r="AC530" s="3" t="n">
        <v>2</v>
      </c>
      <c r="AD530" s="3" t="n">
        <v>3</v>
      </c>
      <c r="AE530" s="3" t="s">
        <v>4170</v>
      </c>
      <c r="AF530" s="3" t="s">
        <v>860</v>
      </c>
      <c r="AG530" s="3"/>
      <c r="AH530" s="3"/>
      <c r="AI530" s="3" t="s">
        <v>4085</v>
      </c>
      <c r="AJ530" s="3" t="s">
        <v>59</v>
      </c>
      <c r="AK530" s="3" t="s">
        <v>4399</v>
      </c>
      <c r="AL530" s="3"/>
      <c r="AM530" s="3" t="n">
        <v>5</v>
      </c>
      <c r="AN530" s="3"/>
      <c r="AO530" s="3"/>
      <c r="AP530" s="3" t="n">
        <v>5</v>
      </c>
      <c r="AQ530" s="3"/>
      <c r="AR530" s="3"/>
    </row>
    <row r="531" customFormat="false" ht="15" hidden="false" customHeight="true" outlineLevel="0" collapsed="false">
      <c r="A531" s="3" t="s">
        <v>4400</v>
      </c>
      <c r="B531" s="3" t="n">
        <v>6</v>
      </c>
      <c r="C531" s="3" t="n">
        <v>98</v>
      </c>
      <c r="D531" s="3"/>
      <c r="E531" s="4"/>
      <c r="F531" s="3" t="n">
        <v>23</v>
      </c>
      <c r="G531" s="3" t="str">
        <f aca="false">IF(F531="","",IF(F531&gt;=Notes!$B$5,"Elderly ("&amp;Notes!$B$5&amp;"+)",IF(F531&lt;=Notes!$B$4,"Student age (≤"&amp;Notes!$B$4&amp;")","Middle-aged ("&amp;(Notes!$B$4+1)&amp;"–"&amp;(Notes!$B$5-1)&amp;")")))</f>
        <v>Student age (≤29)</v>
      </c>
      <c r="H531" s="3" t="s">
        <v>45</v>
      </c>
      <c r="I531" s="3"/>
      <c r="J531" s="3" t="s">
        <v>437</v>
      </c>
      <c r="K531" s="3" t="s">
        <v>437</v>
      </c>
      <c r="L531" s="3" t="s">
        <v>254</v>
      </c>
      <c r="M531" s="3" t="s">
        <v>47</v>
      </c>
      <c r="N531" s="3" t="s">
        <v>255</v>
      </c>
      <c r="O531" s="3" t="s">
        <v>4038</v>
      </c>
      <c r="P531" s="3"/>
      <c r="Q531" s="3" t="s">
        <v>52</v>
      </c>
      <c r="R531" s="3" t="s">
        <v>4080</v>
      </c>
      <c r="S531" s="3" t="s">
        <v>4136</v>
      </c>
      <c r="T531" s="3" t="s">
        <v>4081</v>
      </c>
      <c r="U531" s="3" t="s">
        <v>4042</v>
      </c>
      <c r="V531" s="3" t="s">
        <v>4065</v>
      </c>
      <c r="W531" s="3" t="s">
        <v>4389</v>
      </c>
      <c r="X531" s="3" t="s">
        <v>4045</v>
      </c>
      <c r="Y531" s="3" t="n">
        <v>3</v>
      </c>
      <c r="Z531" s="3" t="n">
        <v>1</v>
      </c>
      <c r="AA531" s="3" t="n">
        <v>2</v>
      </c>
      <c r="AB531" s="3" t="n">
        <v>3</v>
      </c>
      <c r="AC531" s="3" t="n">
        <v>1</v>
      </c>
      <c r="AD531" s="3" t="n">
        <v>2</v>
      </c>
      <c r="AE531" s="3" t="s">
        <v>4084</v>
      </c>
      <c r="AF531" s="3" t="s">
        <v>847</v>
      </c>
      <c r="AG531" s="3"/>
      <c r="AH531" s="3"/>
      <c r="AI531" s="3" t="s">
        <v>4059</v>
      </c>
      <c r="AJ531" s="3" t="s">
        <v>59</v>
      </c>
      <c r="AK531" s="3" t="s">
        <v>4380</v>
      </c>
      <c r="AL531" s="3"/>
      <c r="AM531" s="3" t="n">
        <v>4</v>
      </c>
      <c r="AN531" s="3"/>
      <c r="AO531" s="3"/>
      <c r="AP531" s="3" t="n">
        <v>4</v>
      </c>
      <c r="AQ531" s="3"/>
      <c r="AR531" s="3"/>
    </row>
    <row r="532" customFormat="false" ht="15" hidden="false" customHeight="true" outlineLevel="0" collapsed="false">
      <c r="A532" s="3" t="s">
        <v>4401</v>
      </c>
      <c r="B532" s="3" t="n">
        <v>6</v>
      </c>
      <c r="C532" s="3" t="n">
        <v>99</v>
      </c>
      <c r="D532" s="3"/>
      <c r="E532" s="4"/>
      <c r="F532" s="3" t="n">
        <v>52</v>
      </c>
      <c r="G532" s="3" t="str">
        <f aca="false">IF(F532="","",IF(F532&gt;=Notes!$B$5,"Elderly ("&amp;Notes!$B$5&amp;"+)",IF(F532&lt;=Notes!$B$4,"Student age (≤"&amp;Notes!$B$4&amp;")","Middle-aged ("&amp;(Notes!$B$4+1)&amp;"–"&amp;(Notes!$B$5-1)&amp;")")))</f>
        <v>Middle-aged (30–64)</v>
      </c>
      <c r="H532" s="3" t="s">
        <v>45</v>
      </c>
      <c r="I532" s="3"/>
      <c r="J532" s="3" t="s">
        <v>437</v>
      </c>
      <c r="K532" s="3" t="s">
        <v>437</v>
      </c>
      <c r="L532" s="3"/>
      <c r="M532" s="3" t="s">
        <v>437</v>
      </c>
      <c r="N532" s="3" t="s">
        <v>437</v>
      </c>
      <c r="O532" s="3" t="s">
        <v>4088</v>
      </c>
      <c r="P532" s="3"/>
      <c r="Q532" s="3" t="s">
        <v>74</v>
      </c>
      <c r="R532" s="3" t="s">
        <v>4072</v>
      </c>
      <c r="S532" s="3" t="s">
        <v>4040</v>
      </c>
      <c r="T532" s="3" t="s">
        <v>4107</v>
      </c>
      <c r="U532" s="3" t="s">
        <v>4042</v>
      </c>
      <c r="V532" s="3" t="s">
        <v>4254</v>
      </c>
      <c r="W532" s="3" t="s">
        <v>4306</v>
      </c>
      <c r="X532" s="3" t="s">
        <v>4402</v>
      </c>
      <c r="Y532" s="3" t="n">
        <v>1</v>
      </c>
      <c r="Z532" s="3" t="n">
        <v>2</v>
      </c>
      <c r="AA532" s="3" t="n">
        <v>3</v>
      </c>
      <c r="AB532" s="3" t="n">
        <v>2</v>
      </c>
      <c r="AC532" s="3" t="n">
        <v>1</v>
      </c>
      <c r="AD532" s="3" t="n">
        <v>3</v>
      </c>
      <c r="AE532" s="3" t="s">
        <v>4084</v>
      </c>
      <c r="AF532" s="3" t="s">
        <v>860</v>
      </c>
      <c r="AG532" s="3"/>
      <c r="AH532" s="3"/>
      <c r="AI532" s="3" t="s">
        <v>4048</v>
      </c>
      <c r="AJ532" s="3" t="s">
        <v>59</v>
      </c>
      <c r="AK532" s="3" t="s">
        <v>4399</v>
      </c>
      <c r="AL532" s="3"/>
      <c r="AM532" s="3" t="n">
        <v>5</v>
      </c>
      <c r="AN532" s="3"/>
      <c r="AO532" s="3"/>
      <c r="AP532" s="3" t="n">
        <v>5</v>
      </c>
      <c r="AQ532" s="3"/>
      <c r="AR532" s="3"/>
    </row>
    <row r="533" customFormat="false" ht="15" hidden="false" customHeight="true" outlineLevel="0" collapsed="false">
      <c r="A533" s="3" t="s">
        <v>4403</v>
      </c>
      <c r="B533" s="3" t="n">
        <v>6</v>
      </c>
      <c r="C533" s="3" t="n">
        <v>100</v>
      </c>
      <c r="D533" s="3"/>
      <c r="E533" s="4"/>
      <c r="F533" s="3" t="n">
        <v>22</v>
      </c>
      <c r="G533" s="3" t="str">
        <f aca="false">IF(F533="","",IF(F533&gt;=Notes!$B$5,"Elderly ("&amp;Notes!$B$5&amp;"+)",IF(F533&lt;=Notes!$B$4,"Student age (≤"&amp;Notes!$B$4&amp;")","Middle-aged ("&amp;(Notes!$B$4+1)&amp;"–"&amp;(Notes!$B$5-1)&amp;")")))</f>
        <v>Student age (≤29)</v>
      </c>
      <c r="H533" s="3" t="s">
        <v>45</v>
      </c>
      <c r="I533" s="3"/>
      <c r="J533" s="3" t="s">
        <v>437</v>
      </c>
      <c r="K533" s="3" t="s">
        <v>437</v>
      </c>
      <c r="L533" s="3"/>
      <c r="M533" s="3" t="s">
        <v>437</v>
      </c>
      <c r="N533" s="3" t="s">
        <v>437</v>
      </c>
      <c r="O533" s="3" t="s">
        <v>4062</v>
      </c>
      <c r="P533" s="3"/>
      <c r="Q533" s="3" t="s">
        <v>95</v>
      </c>
      <c r="R533" s="3" t="s">
        <v>4099</v>
      </c>
      <c r="S533" s="3" t="s">
        <v>4040</v>
      </c>
      <c r="T533" s="3" t="s">
        <v>4183</v>
      </c>
      <c r="U533" s="3" t="s">
        <v>4042</v>
      </c>
      <c r="V533" s="3" t="s">
        <v>4208</v>
      </c>
      <c r="W533" s="3" t="s">
        <v>4259</v>
      </c>
      <c r="X533" s="3" t="s">
        <v>4335</v>
      </c>
      <c r="Y533" s="3" t="n">
        <v>1</v>
      </c>
      <c r="Z533" s="3" t="n">
        <v>2</v>
      </c>
      <c r="AA533" s="3" t="n">
        <v>3</v>
      </c>
      <c r="AB533" s="3" t="n">
        <v>3</v>
      </c>
      <c r="AC533" s="3" t="n">
        <v>1</v>
      </c>
      <c r="AD533" s="3" t="n">
        <v>2</v>
      </c>
      <c r="AE533" s="3" t="s">
        <v>4117</v>
      </c>
      <c r="AF533" s="3" t="s">
        <v>4069</v>
      </c>
      <c r="AG533" s="3"/>
      <c r="AH533" s="3"/>
      <c r="AI533" s="3" t="s">
        <v>4085</v>
      </c>
      <c r="AJ533" s="3" t="s">
        <v>59</v>
      </c>
      <c r="AK533" s="3" t="s">
        <v>4404</v>
      </c>
      <c r="AL533" s="3"/>
      <c r="AM533" s="3" t="n">
        <v>4</v>
      </c>
      <c r="AN533" s="3"/>
      <c r="AO533" s="3"/>
      <c r="AP533" s="3" t="n">
        <v>3</v>
      </c>
      <c r="AQ533" s="3"/>
      <c r="AR533" s="3"/>
    </row>
    <row r="534" customFormat="false" ht="15" hidden="false" customHeight="true" outlineLevel="0" collapsed="false">
      <c r="A534" s="3" t="s">
        <v>4405</v>
      </c>
      <c r="B534" s="3" t="n">
        <v>6</v>
      </c>
      <c r="C534" s="3" t="n">
        <v>101</v>
      </c>
      <c r="D534" s="3"/>
      <c r="E534" s="4"/>
      <c r="F534" s="3" t="n">
        <v>23</v>
      </c>
      <c r="G534" s="3" t="str">
        <f aca="false">IF(F534="","",IF(F534&gt;=Notes!$B$5,"Elderly ("&amp;Notes!$B$5&amp;"+)",IF(F534&lt;=Notes!$B$4,"Student age (≤"&amp;Notes!$B$4&amp;")","Middle-aged ("&amp;(Notes!$B$4+1)&amp;"–"&amp;(Notes!$B$5-1)&amp;")")))</f>
        <v>Student age (≤29)</v>
      </c>
      <c r="H534" s="3" t="s">
        <v>83</v>
      </c>
      <c r="I534" s="3"/>
      <c r="J534" s="3" t="s">
        <v>437</v>
      </c>
      <c r="K534" s="3" t="s">
        <v>437</v>
      </c>
      <c r="L534" s="3"/>
      <c r="M534" s="3" t="s">
        <v>437</v>
      </c>
      <c r="N534" s="3" t="s">
        <v>437</v>
      </c>
      <c r="O534" s="3" t="s">
        <v>4038</v>
      </c>
      <c r="P534" s="3"/>
      <c r="Q534" s="3" t="s">
        <v>117</v>
      </c>
      <c r="R534" s="3" t="s">
        <v>4072</v>
      </c>
      <c r="S534" s="3" t="s">
        <v>2062</v>
      </c>
      <c r="T534" s="3" t="s">
        <v>4081</v>
      </c>
      <c r="U534" s="3" t="s">
        <v>4042</v>
      </c>
      <c r="V534" s="3" t="s">
        <v>4065</v>
      </c>
      <c r="W534" s="3" t="s">
        <v>4259</v>
      </c>
      <c r="X534" s="3" t="s">
        <v>4045</v>
      </c>
      <c r="Y534" s="3" t="n">
        <v>2</v>
      </c>
      <c r="Z534" s="3" t="n">
        <v>1</v>
      </c>
      <c r="AA534" s="3" t="n">
        <v>3</v>
      </c>
      <c r="AB534" s="3" t="n">
        <v>2</v>
      </c>
      <c r="AC534" s="3" t="n">
        <v>1</v>
      </c>
      <c r="AD534" s="3" t="n">
        <v>3</v>
      </c>
      <c r="AE534" s="3" t="s">
        <v>4134</v>
      </c>
      <c r="AF534" s="3" t="s">
        <v>847</v>
      </c>
      <c r="AG534" s="3"/>
      <c r="AH534" s="3"/>
      <c r="AI534" s="3" t="s">
        <v>4085</v>
      </c>
      <c r="AJ534" s="3" t="s">
        <v>1625</v>
      </c>
      <c r="AK534" s="3" t="s">
        <v>2242</v>
      </c>
      <c r="AL534" s="3"/>
      <c r="AM534" s="3" t="n">
        <v>3</v>
      </c>
      <c r="AN534" s="3"/>
      <c r="AO534" s="3"/>
      <c r="AP534" s="3" t="n">
        <v>3</v>
      </c>
      <c r="AQ534" s="3"/>
      <c r="AR534" s="3"/>
    </row>
    <row r="535" customFormat="false" ht="15" hidden="false" customHeight="true" outlineLevel="0" collapsed="false">
      <c r="A535" s="3" t="s">
        <v>4406</v>
      </c>
      <c r="B535" s="3" t="n">
        <v>6</v>
      </c>
      <c r="C535" s="3" t="n">
        <v>102</v>
      </c>
      <c r="D535" s="3"/>
      <c r="E535" s="4"/>
      <c r="F535" s="3" t="n">
        <v>22</v>
      </c>
      <c r="G535" s="3" t="str">
        <f aca="false">IF(F535="","",IF(F535&gt;=Notes!$B$5,"Elderly ("&amp;Notes!$B$5&amp;"+)",IF(F535&lt;=Notes!$B$4,"Student age (≤"&amp;Notes!$B$4&amp;")","Middle-aged ("&amp;(Notes!$B$4+1)&amp;"–"&amp;(Notes!$B$5-1)&amp;")")))</f>
        <v>Student age (≤29)</v>
      </c>
      <c r="H535" s="3" t="s">
        <v>45</v>
      </c>
      <c r="I535" s="3"/>
      <c r="J535" s="3" t="s">
        <v>437</v>
      </c>
      <c r="K535" s="3" t="s">
        <v>437</v>
      </c>
      <c r="L535" s="3"/>
      <c r="M535" s="3" t="s">
        <v>437</v>
      </c>
      <c r="N535" s="3" t="s">
        <v>437</v>
      </c>
      <c r="O535" s="3" t="s">
        <v>4038</v>
      </c>
      <c r="P535" s="3"/>
      <c r="Q535" s="3" t="s">
        <v>117</v>
      </c>
      <c r="R535" s="3" t="s">
        <v>4039</v>
      </c>
      <c r="S535" s="3" t="s">
        <v>2062</v>
      </c>
      <c r="T535" s="3" t="s">
        <v>4183</v>
      </c>
      <c r="U535" s="3" t="s">
        <v>4042</v>
      </c>
      <c r="V535" s="3" t="s">
        <v>4229</v>
      </c>
      <c r="W535" s="3" t="s">
        <v>4314</v>
      </c>
      <c r="X535" s="3" t="s">
        <v>4103</v>
      </c>
      <c r="Y535" s="3" t="n">
        <v>2</v>
      </c>
      <c r="Z535" s="3" t="n">
        <v>1</v>
      </c>
      <c r="AA535" s="3" t="n">
        <v>3</v>
      </c>
      <c r="AB535" s="3" t="n">
        <v>2</v>
      </c>
      <c r="AC535" s="3" t="n">
        <v>1</v>
      </c>
      <c r="AD535" s="3" t="n">
        <v>3</v>
      </c>
      <c r="AE535" s="3" t="s">
        <v>4134</v>
      </c>
      <c r="AF535" s="3" t="s">
        <v>4069</v>
      </c>
      <c r="AG535" s="3"/>
      <c r="AH535" s="3"/>
      <c r="AI535" s="3" t="s">
        <v>4104</v>
      </c>
      <c r="AJ535" s="3" t="s">
        <v>59</v>
      </c>
      <c r="AK535" s="3" t="s">
        <v>4407</v>
      </c>
      <c r="AL535" s="3"/>
      <c r="AM535" s="3" t="n">
        <v>4</v>
      </c>
      <c r="AN535" s="3"/>
      <c r="AO535" s="3"/>
      <c r="AP535" s="3" t="n">
        <v>4</v>
      </c>
      <c r="AQ535" s="3"/>
      <c r="AR535" s="3"/>
    </row>
    <row r="536" customFormat="false" ht="15" hidden="false" customHeight="true" outlineLevel="0" collapsed="false">
      <c r="A536" s="3" t="s">
        <v>4408</v>
      </c>
      <c r="B536" s="3" t="n">
        <v>6</v>
      </c>
      <c r="C536" s="3" t="n">
        <v>103</v>
      </c>
      <c r="D536" s="3"/>
      <c r="E536" s="4"/>
      <c r="F536" s="3" t="n">
        <v>24</v>
      </c>
      <c r="G536" s="3" t="str">
        <f aca="false">IF(F536="","",IF(F536&gt;=Notes!$B$5,"Elderly ("&amp;Notes!$B$5&amp;"+)",IF(F536&lt;=Notes!$B$4,"Student age (≤"&amp;Notes!$B$4&amp;")","Middle-aged ("&amp;(Notes!$B$4+1)&amp;"–"&amp;(Notes!$B$5-1)&amp;")")))</f>
        <v>Student age (≤29)</v>
      </c>
      <c r="H536" s="3" t="s">
        <v>83</v>
      </c>
      <c r="I536" s="3"/>
      <c r="J536" s="3" t="s">
        <v>437</v>
      </c>
      <c r="K536" s="3" t="s">
        <v>437</v>
      </c>
      <c r="L536" s="3"/>
      <c r="M536" s="3" t="s">
        <v>47</v>
      </c>
      <c r="N536" s="3" t="s">
        <v>47</v>
      </c>
      <c r="O536" s="3" t="s">
        <v>4038</v>
      </c>
      <c r="P536" s="3"/>
      <c r="Q536" s="3" t="s">
        <v>95</v>
      </c>
      <c r="R536" s="3" t="s">
        <v>4080</v>
      </c>
      <c r="S536" s="3" t="s">
        <v>4099</v>
      </c>
      <c r="T536" s="3" t="s">
        <v>4409</v>
      </c>
      <c r="U536" s="3" t="s">
        <v>4042</v>
      </c>
      <c r="V536" s="3" t="s">
        <v>4350</v>
      </c>
      <c r="W536" s="3" t="s">
        <v>4389</v>
      </c>
      <c r="X536" s="3" t="s">
        <v>4370</v>
      </c>
      <c r="Y536" s="3" t="n">
        <v>3</v>
      </c>
      <c r="Z536" s="3" t="n">
        <v>1</v>
      </c>
      <c r="AA536" s="3" t="n">
        <v>2</v>
      </c>
      <c r="AB536" s="3" t="n">
        <v>3</v>
      </c>
      <c r="AC536" s="3" t="n">
        <v>2</v>
      </c>
      <c r="AD536" s="3" t="n">
        <v>1</v>
      </c>
      <c r="AE536" s="3" t="s">
        <v>4410</v>
      </c>
      <c r="AF536" s="3" t="s">
        <v>846</v>
      </c>
      <c r="AG536" s="3"/>
      <c r="AH536" s="3"/>
      <c r="AI536" s="3" t="s">
        <v>4104</v>
      </c>
      <c r="AJ536" s="3" t="s">
        <v>1625</v>
      </c>
      <c r="AK536" s="3" t="s">
        <v>2242</v>
      </c>
      <c r="AL536" s="3"/>
      <c r="AM536" s="3" t="n">
        <v>5</v>
      </c>
      <c r="AN536" s="3"/>
      <c r="AO536" s="3"/>
      <c r="AP536" s="3" t="n">
        <v>5</v>
      </c>
      <c r="AQ536" s="3"/>
      <c r="AR536" s="3"/>
    </row>
    <row r="537" customFormat="false" ht="15" hidden="false" customHeight="true" outlineLevel="0" collapsed="false">
      <c r="A537" s="3" t="s">
        <v>4411</v>
      </c>
      <c r="B537" s="3" t="n">
        <v>6</v>
      </c>
      <c r="C537" s="3" t="n">
        <v>104</v>
      </c>
      <c r="D537" s="3"/>
      <c r="E537" s="4"/>
      <c r="F537" s="3" t="n">
        <v>25</v>
      </c>
      <c r="G537" s="3" t="str">
        <f aca="false">IF(F537="","",IF(F537&gt;=Notes!$B$5,"Elderly ("&amp;Notes!$B$5&amp;"+)",IF(F537&lt;=Notes!$B$4,"Student age (≤"&amp;Notes!$B$4&amp;")","Middle-aged ("&amp;(Notes!$B$4+1)&amp;"–"&amp;(Notes!$B$5-1)&amp;")")))</f>
        <v>Student age (≤29)</v>
      </c>
      <c r="H537" s="3" t="s">
        <v>45</v>
      </c>
      <c r="I537" s="3"/>
      <c r="J537" s="3" t="s">
        <v>437</v>
      </c>
      <c r="K537" s="3" t="s">
        <v>437</v>
      </c>
      <c r="L537" s="3" t="s">
        <v>92</v>
      </c>
      <c r="M537" s="3" t="s">
        <v>47</v>
      </c>
      <c r="N537" s="3" t="s">
        <v>93</v>
      </c>
      <c r="O537" s="3" t="s">
        <v>4038</v>
      </c>
      <c r="P537" s="3"/>
      <c r="Q537" s="3" t="s">
        <v>74</v>
      </c>
      <c r="R537" s="3" t="s">
        <v>4072</v>
      </c>
      <c r="S537" s="3" t="s">
        <v>4040</v>
      </c>
      <c r="T537" s="3" t="s">
        <v>4412</v>
      </c>
      <c r="U537" s="3" t="s">
        <v>4042</v>
      </c>
      <c r="V537" s="3" t="s">
        <v>4065</v>
      </c>
      <c r="W537" s="3" t="s">
        <v>4066</v>
      </c>
      <c r="X537" s="3" t="s">
        <v>4103</v>
      </c>
      <c r="Y537" s="3" t="n">
        <v>2</v>
      </c>
      <c r="Z537" s="3" t="n">
        <v>1</v>
      </c>
      <c r="AA537" s="3" t="n">
        <v>3</v>
      </c>
      <c r="AB537" s="3" t="n">
        <v>1</v>
      </c>
      <c r="AC537" s="3" t="n">
        <v>2</v>
      </c>
      <c r="AD537" s="3" t="n">
        <v>3</v>
      </c>
      <c r="AE537" s="3" t="s">
        <v>4413</v>
      </c>
      <c r="AF537" s="3" t="s">
        <v>4069</v>
      </c>
      <c r="AG537" s="3"/>
      <c r="AH537" s="3"/>
      <c r="AI537" s="3" t="s">
        <v>4059</v>
      </c>
      <c r="AJ537" s="3" t="s">
        <v>59</v>
      </c>
      <c r="AK537" s="3" t="s">
        <v>4414</v>
      </c>
      <c r="AL537" s="3"/>
      <c r="AM537" s="3" t="n">
        <v>4</v>
      </c>
      <c r="AN537" s="3"/>
      <c r="AO537" s="3"/>
      <c r="AP537" s="3" t="n">
        <v>4</v>
      </c>
      <c r="AQ537" s="3"/>
      <c r="AR537" s="3"/>
    </row>
    <row r="538" customFormat="false" ht="15" hidden="false" customHeight="true" outlineLevel="0" collapsed="false">
      <c r="A538" s="3" t="s">
        <v>4415</v>
      </c>
      <c r="B538" s="3" t="n">
        <v>6</v>
      </c>
      <c r="C538" s="3" t="n">
        <v>105</v>
      </c>
      <c r="D538" s="3"/>
      <c r="E538" s="4"/>
      <c r="F538" s="3" t="n">
        <v>24</v>
      </c>
      <c r="G538" s="3" t="str">
        <f aca="false">IF(F538="","",IF(F538&gt;=Notes!$B$5,"Elderly ("&amp;Notes!$B$5&amp;"+)",IF(F538&lt;=Notes!$B$4,"Student age (≤"&amp;Notes!$B$4&amp;")","Middle-aged ("&amp;(Notes!$B$4+1)&amp;"–"&amp;(Notes!$B$5-1)&amp;")")))</f>
        <v>Student age (≤29)</v>
      </c>
      <c r="H538" s="3" t="s">
        <v>83</v>
      </c>
      <c r="I538" s="3"/>
      <c r="J538" s="3" t="s">
        <v>437</v>
      </c>
      <c r="K538" s="3" t="s">
        <v>437</v>
      </c>
      <c r="L538" s="3"/>
      <c r="M538" s="3" t="s">
        <v>47</v>
      </c>
      <c r="N538" s="3" t="s">
        <v>47</v>
      </c>
      <c r="O538" s="3" t="s">
        <v>4038</v>
      </c>
      <c r="P538" s="3"/>
      <c r="Q538" s="3" t="s">
        <v>95</v>
      </c>
      <c r="R538" s="3" t="s">
        <v>4099</v>
      </c>
      <c r="S538" s="3" t="s">
        <v>4040</v>
      </c>
      <c r="T538" s="3" t="s">
        <v>4416</v>
      </c>
      <c r="U538" s="3" t="s">
        <v>4091</v>
      </c>
      <c r="V538" s="3" t="s">
        <v>4200</v>
      </c>
      <c r="W538" s="3" t="s">
        <v>4417</v>
      </c>
      <c r="X538" s="3" t="s">
        <v>4418</v>
      </c>
      <c r="Y538" s="3" t="n">
        <v>1</v>
      </c>
      <c r="Z538" s="3" t="n">
        <v>2</v>
      </c>
      <c r="AA538" s="3" t="n">
        <v>2</v>
      </c>
      <c r="AB538" s="3" t="n">
        <v>1</v>
      </c>
      <c r="AC538" s="3" t="n">
        <v>2</v>
      </c>
      <c r="AD538" s="3" t="n">
        <v>2</v>
      </c>
      <c r="AE538" s="3" t="s">
        <v>4419</v>
      </c>
      <c r="AF538" s="3" t="s">
        <v>860</v>
      </c>
      <c r="AG538" s="3"/>
      <c r="AH538" s="3"/>
      <c r="AI538" s="3" t="s">
        <v>4085</v>
      </c>
      <c r="AJ538" s="3" t="s">
        <v>59</v>
      </c>
      <c r="AK538" s="3" t="s">
        <v>4420</v>
      </c>
      <c r="AL538" s="3"/>
      <c r="AM538" s="3" t="n">
        <v>4</v>
      </c>
      <c r="AN538" s="3"/>
      <c r="AO538" s="3"/>
      <c r="AP538" s="3" t="n">
        <v>4</v>
      </c>
      <c r="AQ538" s="3"/>
      <c r="AR538" s="3" t="s">
        <v>81</v>
      </c>
    </row>
    <row r="539" customFormat="false" ht="15" hidden="false" customHeight="true" outlineLevel="0" collapsed="false">
      <c r="A539" s="3" t="s">
        <v>4421</v>
      </c>
      <c r="B539" s="3" t="n">
        <v>6</v>
      </c>
      <c r="C539" s="3" t="n">
        <v>106</v>
      </c>
      <c r="D539" s="3"/>
      <c r="E539" s="4"/>
      <c r="F539" s="3" t="n">
        <v>24</v>
      </c>
      <c r="G539" s="3" t="str">
        <f aca="false">IF(F539="","",IF(F539&gt;=Notes!$B$5,"Elderly ("&amp;Notes!$B$5&amp;"+)",IF(F539&lt;=Notes!$B$4,"Student age (≤"&amp;Notes!$B$4&amp;")","Middle-aged ("&amp;(Notes!$B$4+1)&amp;"–"&amp;(Notes!$B$5-1)&amp;")")))</f>
        <v>Student age (≤29)</v>
      </c>
      <c r="H539" s="3" t="s">
        <v>45</v>
      </c>
      <c r="I539" s="3" t="s">
        <v>92</v>
      </c>
      <c r="J539" s="3" t="s">
        <v>47</v>
      </c>
      <c r="K539" s="3" t="s">
        <v>93</v>
      </c>
      <c r="L539" s="3" t="s">
        <v>49</v>
      </c>
      <c r="M539" s="3" t="s">
        <v>47</v>
      </c>
      <c r="N539" s="3" t="s">
        <v>50</v>
      </c>
      <c r="O539" s="3" t="s">
        <v>4038</v>
      </c>
      <c r="P539" s="3"/>
      <c r="Q539" s="3" t="s">
        <v>117</v>
      </c>
      <c r="R539" s="3" t="s">
        <v>4072</v>
      </c>
      <c r="S539" s="3" t="s">
        <v>4040</v>
      </c>
      <c r="T539" s="3" t="s">
        <v>4422</v>
      </c>
      <c r="U539" s="3" t="s">
        <v>4265</v>
      </c>
      <c r="V539" s="3" t="s">
        <v>4055</v>
      </c>
      <c r="W539" s="3" t="s">
        <v>4093</v>
      </c>
      <c r="X539" s="3" t="s">
        <v>4103</v>
      </c>
      <c r="Y539" s="3" t="n">
        <v>2</v>
      </c>
      <c r="Z539" s="3" t="n">
        <v>1</v>
      </c>
      <c r="AA539" s="3" t="n">
        <v>3</v>
      </c>
      <c r="AB539" s="3" t="n">
        <v>2</v>
      </c>
      <c r="AC539" s="3" t="n">
        <v>1</v>
      </c>
      <c r="AD539" s="3" t="n">
        <v>3</v>
      </c>
      <c r="AE539" s="3" t="s">
        <v>4084</v>
      </c>
      <c r="AF539" s="3" t="s">
        <v>860</v>
      </c>
      <c r="AG539" s="3"/>
      <c r="AH539" s="3"/>
      <c r="AI539" s="3" t="s">
        <v>4164</v>
      </c>
      <c r="AJ539" s="3" t="s">
        <v>59</v>
      </c>
      <c r="AK539" s="3" t="s">
        <v>4086</v>
      </c>
      <c r="AL539" s="3"/>
      <c r="AM539" s="3" t="n">
        <v>4</v>
      </c>
      <c r="AN539" s="3"/>
      <c r="AO539" s="3"/>
      <c r="AP539" s="3" t="n">
        <v>3</v>
      </c>
      <c r="AQ539" s="3"/>
      <c r="AR539" s="3"/>
    </row>
    <row r="540" customFormat="false" ht="15" hidden="false" customHeight="true" outlineLevel="0" collapsed="false">
      <c r="A540" s="3" t="s">
        <v>4423</v>
      </c>
      <c r="B540" s="3" t="n">
        <v>6</v>
      </c>
      <c r="C540" s="3" t="n">
        <v>107</v>
      </c>
      <c r="D540" s="3"/>
      <c r="E540" s="4"/>
      <c r="F540" s="3" t="n">
        <v>36</v>
      </c>
      <c r="G540" s="3" t="str">
        <f aca="false">IF(F540="","",IF(F540&gt;=Notes!$B$5,"Elderly ("&amp;Notes!$B$5&amp;"+)",IF(F540&lt;=Notes!$B$4,"Student age (≤"&amp;Notes!$B$4&amp;")","Middle-aged ("&amp;(Notes!$B$4+1)&amp;"–"&amp;(Notes!$B$5-1)&amp;")")))</f>
        <v>Middle-aged (30–64)</v>
      </c>
      <c r="H540" s="3" t="s">
        <v>83</v>
      </c>
      <c r="I540" s="3"/>
      <c r="J540" s="3" t="s">
        <v>437</v>
      </c>
      <c r="K540" s="3" t="s">
        <v>437</v>
      </c>
      <c r="L540" s="3" t="s">
        <v>49</v>
      </c>
      <c r="M540" s="3" t="s">
        <v>47</v>
      </c>
      <c r="N540" s="3" t="s">
        <v>50</v>
      </c>
      <c r="O540" s="3" t="s">
        <v>4038</v>
      </c>
      <c r="P540" s="3"/>
      <c r="Q540" s="3" t="s">
        <v>52</v>
      </c>
      <c r="R540" s="3" t="s">
        <v>4080</v>
      </c>
      <c r="S540" s="3" t="s">
        <v>4136</v>
      </c>
      <c r="T540" s="3" t="s">
        <v>4073</v>
      </c>
      <c r="U540" s="3" t="s">
        <v>4042</v>
      </c>
      <c r="V540" s="3" t="s">
        <v>4121</v>
      </c>
      <c r="W540" s="3" t="s">
        <v>4351</v>
      </c>
      <c r="X540" s="3" t="s">
        <v>4083</v>
      </c>
      <c r="Y540" s="3" t="n">
        <v>3</v>
      </c>
      <c r="Z540" s="3" t="n">
        <v>2</v>
      </c>
      <c r="AA540" s="3" t="n">
        <v>1</v>
      </c>
      <c r="AB540" s="3" t="n">
        <v>3</v>
      </c>
      <c r="AC540" s="3" t="n">
        <v>2</v>
      </c>
      <c r="AD540" s="3" t="n">
        <v>1</v>
      </c>
      <c r="AE540" s="3" t="s">
        <v>4424</v>
      </c>
      <c r="AF540" s="3" t="s">
        <v>846</v>
      </c>
      <c r="AG540" s="3"/>
      <c r="AH540" s="3"/>
      <c r="AI540" s="3" t="s">
        <v>4164</v>
      </c>
      <c r="AJ540" s="3" t="s">
        <v>59</v>
      </c>
      <c r="AK540" s="3" t="s">
        <v>4425</v>
      </c>
      <c r="AL540" s="3"/>
      <c r="AM540" s="3" t="n">
        <v>5</v>
      </c>
      <c r="AN540" s="3"/>
      <c r="AO540" s="3"/>
      <c r="AP540" s="3" t="n">
        <v>5</v>
      </c>
      <c r="AQ540" s="3"/>
      <c r="AR540" s="3"/>
    </row>
    <row r="541" customFormat="false" ht="15" hidden="false" customHeight="true" outlineLevel="0" collapsed="false">
      <c r="A541" s="3" t="s">
        <v>4426</v>
      </c>
      <c r="B541" s="3" t="n">
        <v>6</v>
      </c>
      <c r="C541" s="3" t="n">
        <v>108</v>
      </c>
      <c r="D541" s="3"/>
      <c r="E541" s="4"/>
      <c r="F541" s="3" t="n">
        <v>20</v>
      </c>
      <c r="G541" s="3" t="str">
        <f aca="false">IF(F541="","",IF(F541&gt;=Notes!$B$5,"Elderly ("&amp;Notes!$B$5&amp;"+)",IF(F541&lt;=Notes!$B$4,"Student age (≤"&amp;Notes!$B$4&amp;")","Middle-aged ("&amp;(Notes!$B$4+1)&amp;"–"&amp;(Notes!$B$5-1)&amp;")")))</f>
        <v>Student age (≤29)</v>
      </c>
      <c r="H541" s="3" t="s">
        <v>45</v>
      </c>
      <c r="I541" s="3"/>
      <c r="J541" s="3" t="s">
        <v>1687</v>
      </c>
      <c r="K541" s="3" t="s">
        <v>1687</v>
      </c>
      <c r="L541" s="3" t="s">
        <v>49</v>
      </c>
      <c r="M541" s="3" t="s">
        <v>47</v>
      </c>
      <c r="N541" s="3" t="s">
        <v>50</v>
      </c>
      <c r="O541" s="3" t="s">
        <v>4062</v>
      </c>
      <c r="P541" s="3"/>
      <c r="Q541" s="3" t="s">
        <v>117</v>
      </c>
      <c r="R541" s="3" t="s">
        <v>4072</v>
      </c>
      <c r="S541" s="3" t="s">
        <v>4136</v>
      </c>
      <c r="T541" s="3" t="s">
        <v>4317</v>
      </c>
      <c r="U541" s="3" t="s">
        <v>4042</v>
      </c>
      <c r="V541" s="3" t="s">
        <v>4200</v>
      </c>
      <c r="W541" s="3" t="s">
        <v>4066</v>
      </c>
      <c r="X541" s="3" t="s">
        <v>4103</v>
      </c>
      <c r="Y541" s="3" t="n">
        <v>3</v>
      </c>
      <c r="Z541" s="3" t="n">
        <v>1</v>
      </c>
      <c r="AA541" s="3" t="n">
        <v>2</v>
      </c>
      <c r="AB541" s="3" t="n">
        <v>3</v>
      </c>
      <c r="AC541" s="3" t="n">
        <v>1</v>
      </c>
      <c r="AD541" s="3" t="n">
        <v>2</v>
      </c>
      <c r="AE541" s="3" t="s">
        <v>4216</v>
      </c>
      <c r="AF541" s="3" t="s">
        <v>4047</v>
      </c>
      <c r="AG541" s="3"/>
      <c r="AH541" s="3"/>
      <c r="AI541" s="3" t="s">
        <v>4070</v>
      </c>
      <c r="AJ541" s="3" t="s">
        <v>59</v>
      </c>
      <c r="AK541" s="3" t="s">
        <v>4356</v>
      </c>
      <c r="AL541" s="3"/>
      <c r="AM541" s="3" t="n">
        <v>4</v>
      </c>
      <c r="AN541" s="3"/>
      <c r="AO541" s="3"/>
      <c r="AP541" s="3" t="n">
        <v>4</v>
      </c>
      <c r="AQ541" s="3"/>
      <c r="AR541" s="3"/>
    </row>
    <row r="542" customFormat="false" ht="15" hidden="false" customHeight="true" outlineLevel="0" collapsed="false">
      <c r="A542" s="3" t="s">
        <v>4427</v>
      </c>
      <c r="B542" s="3" t="n">
        <v>6</v>
      </c>
      <c r="C542" s="3" t="n">
        <v>109</v>
      </c>
      <c r="D542" s="3"/>
      <c r="E542" s="4"/>
      <c r="F542" s="3" t="n">
        <v>22</v>
      </c>
      <c r="G542" s="3" t="str">
        <f aca="false">IF(F542="","",IF(F542&gt;=Notes!$B$5,"Elderly ("&amp;Notes!$B$5&amp;"+)",IF(F542&lt;=Notes!$B$4,"Student age (≤"&amp;Notes!$B$4&amp;")","Middle-aged ("&amp;(Notes!$B$4+1)&amp;"–"&amp;(Notes!$B$5-1)&amp;")")))</f>
        <v>Student age (≤29)</v>
      </c>
      <c r="H542" s="3" t="s">
        <v>45</v>
      </c>
      <c r="I542" s="3"/>
      <c r="J542" s="3" t="s">
        <v>437</v>
      </c>
      <c r="K542" s="3" t="s">
        <v>437</v>
      </c>
      <c r="L542" s="3"/>
      <c r="M542" s="3" t="s">
        <v>2651</v>
      </c>
      <c r="N542" s="3" t="s">
        <v>2651</v>
      </c>
      <c r="O542" s="3" t="s">
        <v>4038</v>
      </c>
      <c r="P542" s="3"/>
      <c r="Q542" s="3" t="s">
        <v>117</v>
      </c>
      <c r="R542" s="3" t="s">
        <v>4072</v>
      </c>
      <c r="S542" s="3" t="s">
        <v>4251</v>
      </c>
      <c r="T542" s="3" t="s">
        <v>4428</v>
      </c>
      <c r="U542" s="3" t="s">
        <v>4042</v>
      </c>
      <c r="V542" s="3" t="s">
        <v>4429</v>
      </c>
      <c r="W542" s="3" t="s">
        <v>4430</v>
      </c>
      <c r="X542" s="3" t="s">
        <v>4083</v>
      </c>
      <c r="Y542" s="3" t="n">
        <v>1</v>
      </c>
      <c r="Z542" s="3" t="n">
        <v>3</v>
      </c>
      <c r="AA542" s="3" t="n">
        <v>2</v>
      </c>
      <c r="AB542" s="3" t="n">
        <v>2</v>
      </c>
      <c r="AC542" s="3" t="n">
        <v>1</v>
      </c>
      <c r="AD542" s="3" t="n">
        <v>3</v>
      </c>
      <c r="AE542" s="3" t="s">
        <v>4095</v>
      </c>
      <c r="AF542" s="3" t="s">
        <v>846</v>
      </c>
      <c r="AG542" s="3"/>
      <c r="AH542" s="3"/>
      <c r="AI542" s="3" t="s">
        <v>4077</v>
      </c>
      <c r="AJ542" s="3" t="s">
        <v>59</v>
      </c>
      <c r="AK542" s="3" t="s">
        <v>4431</v>
      </c>
      <c r="AL542" s="3"/>
      <c r="AM542" s="3" t="n">
        <v>5</v>
      </c>
      <c r="AN542" s="3"/>
      <c r="AO542" s="3"/>
      <c r="AP542" s="3" t="n">
        <v>5</v>
      </c>
      <c r="AQ542" s="3"/>
      <c r="AR542" s="3"/>
    </row>
    <row r="543" customFormat="false" ht="15" hidden="false" customHeight="true" outlineLevel="0" collapsed="false">
      <c r="A543" s="3" t="s">
        <v>4432</v>
      </c>
      <c r="B543" s="3" t="n">
        <v>6</v>
      </c>
      <c r="C543" s="3" t="n">
        <v>110</v>
      </c>
      <c r="D543" s="3"/>
      <c r="E543" s="4"/>
      <c r="F543" s="3" t="n">
        <v>25</v>
      </c>
      <c r="G543" s="3" t="str">
        <f aca="false">IF(F543="","",IF(F543&gt;=Notes!$B$5,"Elderly ("&amp;Notes!$B$5&amp;"+)",IF(F543&lt;=Notes!$B$4,"Student age (≤"&amp;Notes!$B$4&amp;")","Middle-aged ("&amp;(Notes!$B$4+1)&amp;"–"&amp;(Notes!$B$5-1)&amp;")")))</f>
        <v>Student age (≤29)</v>
      </c>
      <c r="H543" s="3" t="s">
        <v>1556</v>
      </c>
      <c r="I543" s="3"/>
      <c r="J543" s="3" t="s">
        <v>437</v>
      </c>
      <c r="K543" s="3" t="s">
        <v>437</v>
      </c>
      <c r="L543" s="3"/>
      <c r="M543" s="3" t="s">
        <v>2651</v>
      </c>
      <c r="N543" s="3" t="s">
        <v>2651</v>
      </c>
      <c r="O543" s="3" t="s">
        <v>4038</v>
      </c>
      <c r="P543" s="3"/>
      <c r="Q543" s="3" t="s">
        <v>117</v>
      </c>
      <c r="R543" s="3" t="s">
        <v>4072</v>
      </c>
      <c r="S543" s="3" t="s">
        <v>4099</v>
      </c>
      <c r="T543" s="3" t="s">
        <v>4433</v>
      </c>
      <c r="U543" s="3" t="s">
        <v>4042</v>
      </c>
      <c r="V543" s="3" t="s">
        <v>4065</v>
      </c>
      <c r="W543" s="3" t="s">
        <v>4434</v>
      </c>
      <c r="X543" s="3" t="s">
        <v>4067</v>
      </c>
      <c r="Y543" s="3" t="n">
        <v>1</v>
      </c>
      <c r="Z543" s="3" t="n">
        <v>2</v>
      </c>
      <c r="AA543" s="3" t="n">
        <v>3</v>
      </c>
      <c r="AB543" s="3" t="n">
        <v>1</v>
      </c>
      <c r="AC543" s="3" t="n">
        <v>1</v>
      </c>
      <c r="AD543" s="3" t="n">
        <v>1</v>
      </c>
      <c r="AE543" s="3" t="s">
        <v>4117</v>
      </c>
      <c r="AF543" s="3" t="s">
        <v>847</v>
      </c>
      <c r="AG543" s="3"/>
      <c r="AH543" s="3"/>
      <c r="AI543" s="3" t="s">
        <v>4059</v>
      </c>
      <c r="AJ543" s="3" t="s">
        <v>59</v>
      </c>
      <c r="AK543" s="3" t="s">
        <v>4325</v>
      </c>
      <c r="AL543" s="3"/>
      <c r="AM543" s="3" t="n">
        <v>3</v>
      </c>
      <c r="AN543" s="3"/>
      <c r="AO543" s="3"/>
      <c r="AP543" s="3" t="n">
        <v>5</v>
      </c>
      <c r="AQ543" s="3"/>
      <c r="AR543" s="3" t="s">
        <v>448</v>
      </c>
    </row>
    <row r="544" customFormat="false" ht="15" hidden="false" customHeight="true" outlineLevel="0" collapsed="false">
      <c r="A544" s="3" t="s">
        <v>4435</v>
      </c>
      <c r="B544" s="3" t="n">
        <v>6</v>
      </c>
      <c r="C544" s="3" t="n">
        <v>111</v>
      </c>
      <c r="D544" s="3"/>
      <c r="E544" s="4"/>
      <c r="F544" s="3" t="n">
        <v>23</v>
      </c>
      <c r="G544" s="3" t="str">
        <f aca="false">IF(F544="","",IF(F544&gt;=Notes!$B$5,"Elderly ("&amp;Notes!$B$5&amp;"+)",IF(F544&lt;=Notes!$B$4,"Student age (≤"&amp;Notes!$B$4&amp;")","Middle-aged ("&amp;(Notes!$B$4+1)&amp;"–"&amp;(Notes!$B$5-1)&amp;")")))</f>
        <v>Student age (≤29)</v>
      </c>
      <c r="H544" s="3" t="s">
        <v>45</v>
      </c>
      <c r="I544" s="3"/>
      <c r="J544" s="3" t="s">
        <v>437</v>
      </c>
      <c r="K544" s="3" t="s">
        <v>437</v>
      </c>
      <c r="L544" s="3"/>
      <c r="M544" s="3" t="s">
        <v>2651</v>
      </c>
      <c r="N544" s="3" t="s">
        <v>2651</v>
      </c>
      <c r="O544" s="3" t="s">
        <v>4038</v>
      </c>
      <c r="P544" s="3"/>
      <c r="Q544" s="3" t="s">
        <v>117</v>
      </c>
      <c r="R544" s="3" t="s">
        <v>4436</v>
      </c>
      <c r="S544" s="3" t="s">
        <v>4131</v>
      </c>
      <c r="T544" s="3" t="s">
        <v>4120</v>
      </c>
      <c r="U544" s="3" t="s">
        <v>4042</v>
      </c>
      <c r="V544" s="3" t="s">
        <v>4437</v>
      </c>
      <c r="W544" s="3" t="s">
        <v>4438</v>
      </c>
      <c r="X544" s="3" t="s">
        <v>4067</v>
      </c>
      <c r="Y544" s="3" t="n">
        <v>2</v>
      </c>
      <c r="Z544" s="3" t="n">
        <v>1</v>
      </c>
      <c r="AA544" s="3" t="n">
        <v>3</v>
      </c>
      <c r="AB544" s="3" t="n">
        <v>3</v>
      </c>
      <c r="AC544" s="3" t="n">
        <v>1</v>
      </c>
      <c r="AD544" s="3" t="n">
        <v>2</v>
      </c>
      <c r="AE544" s="3" t="s">
        <v>4134</v>
      </c>
      <c r="AF544" s="3" t="s">
        <v>847</v>
      </c>
      <c r="AG544" s="3"/>
      <c r="AH544" s="3"/>
      <c r="AI544" s="3" t="s">
        <v>4104</v>
      </c>
      <c r="AJ544" s="3" t="s">
        <v>59</v>
      </c>
      <c r="AK544" s="3" t="s">
        <v>4439</v>
      </c>
      <c r="AL544" s="3"/>
      <c r="AM544" s="3" t="n">
        <v>5</v>
      </c>
      <c r="AN544" s="3"/>
      <c r="AO544" s="3"/>
      <c r="AP544" s="3" t="n">
        <v>5</v>
      </c>
      <c r="AQ544" s="3"/>
      <c r="AR544" s="3"/>
    </row>
    <row r="545" customFormat="false" ht="15" hidden="false" customHeight="true" outlineLevel="0" collapsed="false">
      <c r="A545" s="3" t="s">
        <v>4440</v>
      </c>
      <c r="B545" s="3" t="n">
        <v>6</v>
      </c>
      <c r="C545" s="3" t="n">
        <v>112</v>
      </c>
      <c r="D545" s="3"/>
      <c r="E545" s="4"/>
      <c r="F545" s="3" t="n">
        <v>22</v>
      </c>
      <c r="G545" s="3" t="str">
        <f aca="false">IF(F545="","",IF(F545&gt;=Notes!$B$5,"Elderly ("&amp;Notes!$B$5&amp;"+)",IF(F545&lt;=Notes!$B$4,"Student age (≤"&amp;Notes!$B$4&amp;")","Middle-aged ("&amp;(Notes!$B$4+1)&amp;"–"&amp;(Notes!$B$5-1)&amp;")")))</f>
        <v>Student age (≤29)</v>
      </c>
      <c r="H545" s="3" t="s">
        <v>83</v>
      </c>
      <c r="I545" s="3"/>
      <c r="J545" s="3" t="s">
        <v>437</v>
      </c>
      <c r="K545" s="3" t="s">
        <v>437</v>
      </c>
      <c r="L545" s="3" t="s">
        <v>3645</v>
      </c>
      <c r="M545" s="3" t="s">
        <v>437</v>
      </c>
      <c r="N545" s="3" t="s">
        <v>3646</v>
      </c>
      <c r="O545" s="3" t="s">
        <v>4236</v>
      </c>
      <c r="P545" s="3"/>
      <c r="Q545" s="3" t="s">
        <v>74</v>
      </c>
      <c r="R545" s="3" t="s">
        <v>4039</v>
      </c>
      <c r="S545" s="3" t="s">
        <v>2062</v>
      </c>
      <c r="T545" s="3" t="s">
        <v>4064</v>
      </c>
      <c r="U545" s="3" t="s">
        <v>4042</v>
      </c>
      <c r="V545" s="3" t="s">
        <v>4208</v>
      </c>
      <c r="W545" s="3" t="s">
        <v>4314</v>
      </c>
      <c r="X545" s="3" t="s">
        <v>4370</v>
      </c>
      <c r="Y545" s="3" t="n">
        <v>3</v>
      </c>
      <c r="Z545" s="3" t="n">
        <v>2</v>
      </c>
      <c r="AA545" s="3" t="n">
        <v>1</v>
      </c>
      <c r="AB545" s="3" t="n">
        <v>3</v>
      </c>
      <c r="AC545" s="3" t="n">
        <v>2</v>
      </c>
      <c r="AD545" s="3" t="n">
        <v>1</v>
      </c>
      <c r="AE545" s="3" t="s">
        <v>4117</v>
      </c>
      <c r="AF545" s="3" t="s">
        <v>846</v>
      </c>
      <c r="AG545" s="3"/>
      <c r="AH545" s="3"/>
      <c r="AI545" s="3" t="s">
        <v>4085</v>
      </c>
      <c r="AJ545" s="3" t="s">
        <v>59</v>
      </c>
      <c r="AK545" s="3"/>
      <c r="AL545" s="3"/>
      <c r="AM545" s="3" t="n">
        <v>3</v>
      </c>
      <c r="AN545" s="3"/>
      <c r="AO545" s="3"/>
      <c r="AP545" s="3" t="n">
        <v>4</v>
      </c>
      <c r="AQ545" s="3"/>
      <c r="AR545" s="3"/>
    </row>
    <row r="546" customFormat="false" ht="15" hidden="false" customHeight="true" outlineLevel="0" collapsed="false">
      <c r="A546" s="3" t="s">
        <v>4441</v>
      </c>
      <c r="B546" s="3" t="n">
        <v>6</v>
      </c>
      <c r="C546" s="3" t="n">
        <v>113</v>
      </c>
      <c r="D546" s="3"/>
      <c r="E546" s="4"/>
      <c r="F546" s="3" t="n">
        <v>35</v>
      </c>
      <c r="G546" s="3" t="str">
        <f aca="false">IF(F546="","",IF(F546&gt;=Notes!$B$5,"Elderly ("&amp;Notes!$B$5&amp;"+)",IF(F546&lt;=Notes!$B$4,"Student age (≤"&amp;Notes!$B$4&amp;")","Middle-aged ("&amp;(Notes!$B$4+1)&amp;"–"&amp;(Notes!$B$5-1)&amp;")")))</f>
        <v>Middle-aged (30–64)</v>
      </c>
      <c r="H546" s="3" t="s">
        <v>83</v>
      </c>
      <c r="I546" s="3"/>
      <c r="J546" s="3" t="s">
        <v>47</v>
      </c>
      <c r="K546" s="3" t="s">
        <v>47</v>
      </c>
      <c r="L546" s="3" t="s">
        <v>171</v>
      </c>
      <c r="M546" s="3" t="s">
        <v>47</v>
      </c>
      <c r="N546" s="3" t="s">
        <v>172</v>
      </c>
      <c r="O546" s="3" t="s">
        <v>4062</v>
      </c>
      <c r="P546" s="3"/>
      <c r="Q546" s="3" t="s">
        <v>95</v>
      </c>
      <c r="R546" s="3" t="s">
        <v>4072</v>
      </c>
      <c r="S546" s="3" t="s">
        <v>4052</v>
      </c>
      <c r="T546" s="3" t="s">
        <v>4081</v>
      </c>
      <c r="U546" s="3" t="s">
        <v>4042</v>
      </c>
      <c r="V546" s="3" t="s">
        <v>4173</v>
      </c>
      <c r="W546" s="3" t="s">
        <v>4442</v>
      </c>
      <c r="X546" s="3" t="s">
        <v>4103</v>
      </c>
      <c r="Y546" s="3" t="n">
        <v>2</v>
      </c>
      <c r="Z546" s="3" t="n">
        <v>1</v>
      </c>
      <c r="AA546" s="3" t="n">
        <v>3</v>
      </c>
      <c r="AB546" s="3" t="n">
        <v>2</v>
      </c>
      <c r="AC546" s="3" t="n">
        <v>1</v>
      </c>
      <c r="AD546" s="3" t="n">
        <v>3</v>
      </c>
      <c r="AE546" s="3" t="s">
        <v>4095</v>
      </c>
      <c r="AF546" s="3" t="s">
        <v>860</v>
      </c>
      <c r="AG546" s="3"/>
      <c r="AH546" s="3"/>
      <c r="AI546" s="3" t="s">
        <v>4085</v>
      </c>
      <c r="AJ546" s="3" t="s">
        <v>59</v>
      </c>
      <c r="AK546" s="3" t="s">
        <v>4443</v>
      </c>
      <c r="AL546" s="3"/>
      <c r="AM546" s="3" t="n">
        <v>4</v>
      </c>
      <c r="AN546" s="3"/>
      <c r="AO546" s="3"/>
      <c r="AP546" s="3" t="n">
        <v>5</v>
      </c>
      <c r="AQ546" s="3"/>
      <c r="AR546" s="3"/>
    </row>
    <row r="547" customFormat="false" ht="15" hidden="false" customHeight="true" outlineLevel="0" collapsed="false">
      <c r="A547" s="3" t="s">
        <v>4444</v>
      </c>
      <c r="B547" s="3" t="n">
        <v>6</v>
      </c>
      <c r="C547" s="3" t="n">
        <v>114</v>
      </c>
      <c r="D547" s="3"/>
      <c r="E547" s="4"/>
      <c r="F547" s="3" t="n">
        <v>20</v>
      </c>
      <c r="G547" s="3" t="str">
        <f aca="false">IF(F547="","",IF(F547&gt;=Notes!$B$5,"Elderly ("&amp;Notes!$B$5&amp;"+)",IF(F547&lt;=Notes!$B$4,"Student age (≤"&amp;Notes!$B$4&amp;")","Middle-aged ("&amp;(Notes!$B$4+1)&amp;"–"&amp;(Notes!$B$5-1)&amp;")")))</f>
        <v>Student age (≤29)</v>
      </c>
      <c r="H547" s="3" t="s">
        <v>1447</v>
      </c>
      <c r="I547" s="3"/>
      <c r="J547" s="3" t="s">
        <v>4445</v>
      </c>
      <c r="K547" s="3" t="s">
        <v>4445</v>
      </c>
      <c r="L547" s="3"/>
      <c r="M547" s="3" t="s">
        <v>4445</v>
      </c>
      <c r="N547" s="3" t="s">
        <v>4445</v>
      </c>
      <c r="O547" s="3" t="s">
        <v>4038</v>
      </c>
      <c r="P547" s="3"/>
      <c r="Q547" s="3" t="s">
        <v>117</v>
      </c>
      <c r="R547" s="3" t="s">
        <v>4072</v>
      </c>
      <c r="S547" s="3" t="s">
        <v>4040</v>
      </c>
      <c r="T547" s="3" t="s">
        <v>4139</v>
      </c>
      <c r="U547" s="3" t="s">
        <v>4132</v>
      </c>
      <c r="V547" s="3" t="s">
        <v>4286</v>
      </c>
      <c r="W547" s="3" t="s">
        <v>4446</v>
      </c>
      <c r="X547" s="3" t="s">
        <v>4083</v>
      </c>
      <c r="Y547" s="3" t="n">
        <v>3</v>
      </c>
      <c r="Z547" s="3" t="n">
        <v>1</v>
      </c>
      <c r="AA547" s="3" t="n">
        <v>2</v>
      </c>
      <c r="AB547" s="3" t="n">
        <v>2</v>
      </c>
      <c r="AC547" s="3" t="n">
        <v>1</v>
      </c>
      <c r="AD547" s="3" t="n">
        <v>3</v>
      </c>
      <c r="AE547" s="3" t="s">
        <v>4095</v>
      </c>
      <c r="AF547" s="3" t="s">
        <v>4047</v>
      </c>
      <c r="AG547" s="3"/>
      <c r="AH547" s="3"/>
      <c r="AI547" s="3" t="s">
        <v>4164</v>
      </c>
      <c r="AJ547" s="3" t="s">
        <v>59</v>
      </c>
      <c r="AK547" s="3" t="s">
        <v>4262</v>
      </c>
      <c r="AL547" s="3"/>
      <c r="AM547" s="3" t="n">
        <v>2</v>
      </c>
      <c r="AN547" s="3"/>
      <c r="AO547" s="3"/>
      <c r="AP547" s="3" t="n">
        <v>5</v>
      </c>
      <c r="AQ547" s="3"/>
      <c r="AR547" s="3"/>
    </row>
    <row r="548" customFormat="false" ht="15" hidden="false" customHeight="true" outlineLevel="0" collapsed="false">
      <c r="A548" s="3" t="s">
        <v>4447</v>
      </c>
      <c r="B548" s="3" t="n">
        <v>6</v>
      </c>
      <c r="C548" s="3" t="n">
        <v>115</v>
      </c>
      <c r="D548" s="3"/>
      <c r="E548" s="4"/>
      <c r="F548" s="3" t="n">
        <v>25</v>
      </c>
      <c r="G548" s="3" t="str">
        <f aca="false">IF(F548="","",IF(F548&gt;=Notes!$B$5,"Elderly ("&amp;Notes!$B$5&amp;"+)",IF(F548&lt;=Notes!$B$4,"Student age (≤"&amp;Notes!$B$4&amp;")","Middle-aged ("&amp;(Notes!$B$4+1)&amp;"–"&amp;(Notes!$B$5-1)&amp;")")))</f>
        <v>Student age (≤29)</v>
      </c>
      <c r="H548" s="3" t="s">
        <v>45</v>
      </c>
      <c r="I548" s="3"/>
      <c r="J548" s="3" t="s">
        <v>3277</v>
      </c>
      <c r="K548" s="3" t="s">
        <v>3277</v>
      </c>
      <c r="L548" s="3" t="s">
        <v>49</v>
      </c>
      <c r="M548" s="3" t="s">
        <v>47</v>
      </c>
      <c r="N548" s="3" t="s">
        <v>50</v>
      </c>
      <c r="O548" s="3" t="s">
        <v>4218</v>
      </c>
      <c r="P548" s="3"/>
      <c r="Q548" s="3" t="s">
        <v>95</v>
      </c>
      <c r="R548" s="3" t="s">
        <v>4080</v>
      </c>
      <c r="S548" s="3" t="s">
        <v>4040</v>
      </c>
      <c r="T548" s="3" t="s">
        <v>4448</v>
      </c>
      <c r="U548" s="3" t="s">
        <v>4054</v>
      </c>
      <c r="V548" s="3" t="s">
        <v>4173</v>
      </c>
      <c r="W548" s="3" t="s">
        <v>4449</v>
      </c>
      <c r="X548" s="3" t="s">
        <v>4450</v>
      </c>
      <c r="Y548" s="3" t="n">
        <v>2</v>
      </c>
      <c r="Z548" s="3" t="n">
        <v>1</v>
      </c>
      <c r="AA548" s="3" t="n">
        <v>3</v>
      </c>
      <c r="AB548" s="3" t="n">
        <v>2</v>
      </c>
      <c r="AC548" s="3" t="n">
        <v>1</v>
      </c>
      <c r="AD548" s="3" t="n">
        <v>3</v>
      </c>
      <c r="AE548" s="3" t="s">
        <v>4451</v>
      </c>
      <c r="AF548" s="3" t="s">
        <v>860</v>
      </c>
      <c r="AG548" s="3"/>
      <c r="AH548" s="3"/>
      <c r="AI548" s="3" t="s">
        <v>4070</v>
      </c>
      <c r="AJ548" s="3" t="s">
        <v>59</v>
      </c>
      <c r="AK548" s="3" t="s">
        <v>4452</v>
      </c>
      <c r="AL548" s="3"/>
      <c r="AM548" s="3" t="n">
        <v>3</v>
      </c>
      <c r="AN548" s="3"/>
      <c r="AO548" s="3"/>
      <c r="AP548" s="3" t="n">
        <v>5</v>
      </c>
      <c r="AQ548" s="3"/>
      <c r="AR548" s="3"/>
    </row>
    <row r="549" customFormat="false" ht="15" hidden="false" customHeight="true" outlineLevel="0" collapsed="false">
      <c r="A549" s="3" t="s">
        <v>4453</v>
      </c>
      <c r="B549" s="3" t="n">
        <v>6</v>
      </c>
      <c r="C549" s="3" t="n">
        <v>116</v>
      </c>
      <c r="D549" s="3"/>
      <c r="E549" s="4"/>
      <c r="F549" s="3" t="n">
        <v>37</v>
      </c>
      <c r="G549" s="3" t="str">
        <f aca="false">IF(F549="","",IF(F549&gt;=Notes!$B$5,"Elderly ("&amp;Notes!$B$5&amp;"+)",IF(F549&lt;=Notes!$B$4,"Student age (≤"&amp;Notes!$B$4&amp;")","Middle-aged ("&amp;(Notes!$B$4+1)&amp;"–"&amp;(Notes!$B$5-1)&amp;")")))</f>
        <v>Middle-aged (30–64)</v>
      </c>
      <c r="H549" s="3" t="s">
        <v>45</v>
      </c>
      <c r="I549" s="3"/>
      <c r="J549" s="3" t="s">
        <v>4445</v>
      </c>
      <c r="K549" s="3" t="s">
        <v>4445</v>
      </c>
      <c r="L549" s="3"/>
      <c r="M549" s="3" t="s">
        <v>4445</v>
      </c>
      <c r="N549" s="3" t="s">
        <v>4445</v>
      </c>
      <c r="O549" s="3" t="s">
        <v>4088</v>
      </c>
      <c r="P549" s="3"/>
      <c r="Q549" s="3" t="s">
        <v>117</v>
      </c>
      <c r="R549" s="3" t="s">
        <v>4039</v>
      </c>
      <c r="S549" s="3" t="s">
        <v>4136</v>
      </c>
      <c r="T549" s="3" t="s">
        <v>4100</v>
      </c>
      <c r="U549" s="3" t="s">
        <v>4132</v>
      </c>
      <c r="V549" s="3" t="s">
        <v>4220</v>
      </c>
      <c r="W549" s="3" t="s">
        <v>4252</v>
      </c>
      <c r="X549" s="3" t="s">
        <v>4103</v>
      </c>
      <c r="Y549" s="3" t="n">
        <v>2</v>
      </c>
      <c r="Z549" s="3" t="n">
        <v>1</v>
      </c>
      <c r="AA549" s="3" t="n">
        <v>3</v>
      </c>
      <c r="AB549" s="3" t="n">
        <v>2</v>
      </c>
      <c r="AC549" s="3" t="n">
        <v>1</v>
      </c>
      <c r="AD549" s="3" t="n">
        <v>3</v>
      </c>
      <c r="AE549" s="3" t="s">
        <v>4134</v>
      </c>
      <c r="AF549" s="3" t="s">
        <v>4069</v>
      </c>
      <c r="AG549" s="3"/>
      <c r="AH549" s="3"/>
      <c r="AI549" s="3" t="s">
        <v>4077</v>
      </c>
      <c r="AJ549" s="3" t="s">
        <v>59</v>
      </c>
      <c r="AK549" s="3" t="s">
        <v>4454</v>
      </c>
      <c r="AL549" s="3"/>
      <c r="AM549" s="3" t="n">
        <v>3</v>
      </c>
      <c r="AN549" s="3"/>
      <c r="AO549" s="3"/>
      <c r="AP549" s="3" t="n">
        <v>4</v>
      </c>
      <c r="AQ549" s="3"/>
      <c r="AR549" s="3"/>
    </row>
    <row r="550" customFormat="false" ht="15" hidden="false" customHeight="true" outlineLevel="0" collapsed="false">
      <c r="A550" s="3" t="s">
        <v>4455</v>
      </c>
      <c r="B550" s="3" t="n">
        <v>6</v>
      </c>
      <c r="C550" s="3" t="n">
        <v>117</v>
      </c>
      <c r="D550" s="3"/>
      <c r="E550" s="4"/>
      <c r="F550" s="3" t="n">
        <v>22</v>
      </c>
      <c r="G550" s="3" t="str">
        <f aca="false">IF(F550="","",IF(F550&gt;=Notes!$B$5,"Elderly ("&amp;Notes!$B$5&amp;"+)",IF(F550&lt;=Notes!$B$4,"Student age (≤"&amp;Notes!$B$4&amp;")","Middle-aged ("&amp;(Notes!$B$4+1)&amp;"–"&amp;(Notes!$B$5-1)&amp;")")))</f>
        <v>Student age (≤29)</v>
      </c>
      <c r="H550" s="3" t="s">
        <v>45</v>
      </c>
      <c r="I550" s="3"/>
      <c r="J550" s="3" t="s">
        <v>437</v>
      </c>
      <c r="K550" s="3" t="s">
        <v>437</v>
      </c>
      <c r="L550" s="3" t="s">
        <v>49</v>
      </c>
      <c r="M550" s="3" t="s">
        <v>47</v>
      </c>
      <c r="N550" s="3" t="s">
        <v>50</v>
      </c>
      <c r="O550" s="3" t="s">
        <v>4098</v>
      </c>
      <c r="P550" s="3"/>
      <c r="Q550" s="3" t="s">
        <v>117</v>
      </c>
      <c r="R550" s="3" t="s">
        <v>4099</v>
      </c>
      <c r="S550" s="3" t="s">
        <v>4131</v>
      </c>
      <c r="T550" s="3" t="s">
        <v>4456</v>
      </c>
      <c r="U550" s="3" t="s">
        <v>4042</v>
      </c>
      <c r="V550" s="3" t="s">
        <v>4457</v>
      </c>
      <c r="W550" s="3" t="s">
        <v>4458</v>
      </c>
      <c r="X550" s="3" t="s">
        <v>4450</v>
      </c>
      <c r="Y550" s="3" t="n">
        <v>1</v>
      </c>
      <c r="Z550" s="3" t="n">
        <v>2</v>
      </c>
      <c r="AA550" s="3" t="n">
        <v>3</v>
      </c>
      <c r="AB550" s="3" t="n">
        <v>1</v>
      </c>
      <c r="AC550" s="3" t="n">
        <v>2</v>
      </c>
      <c r="AD550" s="3" t="n">
        <v>3</v>
      </c>
      <c r="AE550" s="3" t="s">
        <v>4247</v>
      </c>
      <c r="AF550" s="3" t="s">
        <v>860</v>
      </c>
      <c r="AG550" s="3"/>
      <c r="AH550" s="3"/>
      <c r="AI550" s="3" t="s">
        <v>4085</v>
      </c>
      <c r="AJ550" s="3" t="s">
        <v>59</v>
      </c>
      <c r="AK550" s="3" t="s">
        <v>4300</v>
      </c>
      <c r="AL550" s="3"/>
      <c r="AM550" s="3" t="n">
        <v>5</v>
      </c>
      <c r="AN550" s="3"/>
      <c r="AO550" s="3"/>
      <c r="AP550" s="3" t="n">
        <v>5</v>
      </c>
      <c r="AQ550" s="3"/>
      <c r="AR550" s="3"/>
    </row>
    <row r="551" customFormat="false" ht="15" hidden="false" customHeight="true" outlineLevel="0" collapsed="false">
      <c r="A551" s="3" t="s">
        <v>4459</v>
      </c>
      <c r="B551" s="3" t="n">
        <v>6</v>
      </c>
      <c r="C551" s="3" t="n">
        <v>118</v>
      </c>
      <c r="D551" s="3"/>
      <c r="E551" s="4"/>
      <c r="F551" s="3" t="n">
        <v>22</v>
      </c>
      <c r="G551" s="3" t="str">
        <f aca="false">IF(F551="","",IF(F551&gt;=Notes!$B$5,"Elderly ("&amp;Notes!$B$5&amp;"+)",IF(F551&lt;=Notes!$B$4,"Student age (≤"&amp;Notes!$B$4&amp;")","Middle-aged ("&amp;(Notes!$B$4+1)&amp;"–"&amp;(Notes!$B$5-1)&amp;")")))</f>
        <v>Student age (≤29)</v>
      </c>
      <c r="H551" s="3" t="s">
        <v>83</v>
      </c>
      <c r="I551" s="3"/>
      <c r="J551" s="3" t="s">
        <v>437</v>
      </c>
      <c r="K551" s="3" t="s">
        <v>437</v>
      </c>
      <c r="L551" s="3" t="s">
        <v>49</v>
      </c>
      <c r="M551" s="3" t="s">
        <v>47</v>
      </c>
      <c r="N551" s="3" t="s">
        <v>50</v>
      </c>
      <c r="O551" s="3" t="s">
        <v>4218</v>
      </c>
      <c r="P551" s="3"/>
      <c r="Q551" s="3" t="s">
        <v>117</v>
      </c>
      <c r="R551" s="3" t="s">
        <v>4080</v>
      </c>
      <c r="S551" s="3" t="s">
        <v>2062</v>
      </c>
      <c r="T551" s="3" t="s">
        <v>4120</v>
      </c>
      <c r="U551" s="3" t="s">
        <v>4042</v>
      </c>
      <c r="V551" s="3" t="s">
        <v>4460</v>
      </c>
      <c r="W551" s="3" t="s">
        <v>4461</v>
      </c>
      <c r="X551" s="3" t="s">
        <v>4340</v>
      </c>
      <c r="Y551" s="3" t="n">
        <v>1</v>
      </c>
      <c r="Z551" s="3" t="n">
        <v>1</v>
      </c>
      <c r="AA551" s="3" t="n">
        <v>1</v>
      </c>
      <c r="AB551" s="3" t="n">
        <v>1</v>
      </c>
      <c r="AC551" s="3" t="n">
        <v>1</v>
      </c>
      <c r="AD551" s="3" t="n">
        <v>1</v>
      </c>
      <c r="AE551" s="3" t="s">
        <v>4462</v>
      </c>
      <c r="AF551" s="3" t="s">
        <v>846</v>
      </c>
      <c r="AG551" s="3"/>
      <c r="AH551" s="3"/>
      <c r="AI551" s="3" t="s">
        <v>4104</v>
      </c>
      <c r="AJ551" s="3" t="s">
        <v>1625</v>
      </c>
      <c r="AK551" s="3" t="s">
        <v>4463</v>
      </c>
      <c r="AL551" s="3"/>
      <c r="AM551" s="3" t="n">
        <v>5</v>
      </c>
      <c r="AN551" s="3"/>
      <c r="AO551" s="3"/>
      <c r="AP551" s="3" t="n">
        <v>4</v>
      </c>
      <c r="AQ551" s="3"/>
      <c r="AR551" s="3" t="s">
        <v>81</v>
      </c>
    </row>
    <row r="552" customFormat="false" ht="15" hidden="false" customHeight="true" outlineLevel="0" collapsed="false">
      <c r="A552" s="3" t="s">
        <v>4464</v>
      </c>
      <c r="B552" s="3" t="n">
        <v>6</v>
      </c>
      <c r="C552" s="3" t="n">
        <v>119</v>
      </c>
      <c r="D552" s="3"/>
      <c r="E552" s="4"/>
      <c r="F552" s="3" t="n">
        <v>22</v>
      </c>
      <c r="G552" s="3" t="str">
        <f aca="false">IF(F552="","",IF(F552&gt;=Notes!$B$5,"Elderly ("&amp;Notes!$B$5&amp;"+)",IF(F552&lt;=Notes!$B$4,"Student age (≤"&amp;Notes!$B$4&amp;")","Middle-aged ("&amp;(Notes!$B$4+1)&amp;"–"&amp;(Notes!$B$5-1)&amp;")")))</f>
        <v>Student age (≤29)</v>
      </c>
      <c r="H552" s="3" t="s">
        <v>45</v>
      </c>
      <c r="I552" s="3"/>
      <c r="J552" s="3" t="s">
        <v>437</v>
      </c>
      <c r="K552" s="3" t="s">
        <v>437</v>
      </c>
      <c r="L552" s="3" t="s">
        <v>49</v>
      </c>
      <c r="M552" s="3" t="s">
        <v>47</v>
      </c>
      <c r="N552" s="3" t="s">
        <v>50</v>
      </c>
      <c r="O552" s="3" t="s">
        <v>4038</v>
      </c>
      <c r="P552" s="3"/>
      <c r="Q552" s="3" t="s">
        <v>95</v>
      </c>
      <c r="R552" s="3" t="s">
        <v>4099</v>
      </c>
      <c r="S552" s="3" t="s">
        <v>4099</v>
      </c>
      <c r="T552" s="3" t="s">
        <v>4064</v>
      </c>
      <c r="U552" s="3" t="s">
        <v>4042</v>
      </c>
      <c r="V552" s="3" t="s">
        <v>4121</v>
      </c>
      <c r="W552" s="3" t="s">
        <v>4465</v>
      </c>
      <c r="X552" s="3" t="s">
        <v>4103</v>
      </c>
      <c r="Y552" s="3" t="n">
        <v>1</v>
      </c>
      <c r="Z552" s="3" t="n">
        <v>2</v>
      </c>
      <c r="AA552" s="3" t="n">
        <v>3</v>
      </c>
      <c r="AB552" s="3" t="n">
        <v>1</v>
      </c>
      <c r="AC552" s="3" t="n">
        <v>2</v>
      </c>
      <c r="AD552" s="3" t="n">
        <v>3</v>
      </c>
      <c r="AE552" s="3" t="s">
        <v>4466</v>
      </c>
      <c r="AF552" s="3" t="s">
        <v>860</v>
      </c>
      <c r="AG552" s="3"/>
      <c r="AH552" s="3"/>
      <c r="AI552" s="3" t="s">
        <v>4164</v>
      </c>
      <c r="AJ552" s="3" t="s">
        <v>59</v>
      </c>
      <c r="AK552" s="3" t="s">
        <v>4431</v>
      </c>
      <c r="AL552" s="3"/>
      <c r="AM552" s="3" t="n">
        <v>4</v>
      </c>
      <c r="AN552" s="3"/>
      <c r="AO552" s="3"/>
      <c r="AP552" s="3" t="n">
        <v>4</v>
      </c>
      <c r="AQ552" s="3"/>
      <c r="AR552" s="3"/>
    </row>
    <row r="553" customFormat="false" ht="15" hidden="false" customHeight="true" outlineLevel="0" collapsed="false">
      <c r="A553" s="3" t="s">
        <v>4467</v>
      </c>
      <c r="B553" s="3" t="n">
        <v>6</v>
      </c>
      <c r="C553" s="3" t="n">
        <v>120</v>
      </c>
      <c r="D553" s="3"/>
      <c r="E553" s="4"/>
      <c r="F553" s="3" t="n">
        <v>79</v>
      </c>
      <c r="G553" s="3" t="str">
        <f aca="false">IF(F553="","",IF(F553&gt;=Notes!$B$5,"Elderly ("&amp;Notes!$B$5&amp;"+)",IF(F553&lt;=Notes!$B$4,"Student age (≤"&amp;Notes!$B$4&amp;")","Middle-aged ("&amp;(Notes!$B$4+1)&amp;"–"&amp;(Notes!$B$5-1)&amp;")")))</f>
        <v>Elderly (65+)</v>
      </c>
      <c r="H553" s="3" t="s">
        <v>45</v>
      </c>
      <c r="I553" s="3"/>
      <c r="J553" s="3" t="s">
        <v>2651</v>
      </c>
      <c r="K553" s="3" t="s">
        <v>2651</v>
      </c>
      <c r="L553" s="3"/>
      <c r="M553" s="3" t="s">
        <v>2651</v>
      </c>
      <c r="N553" s="3" t="s">
        <v>2651</v>
      </c>
      <c r="O553" s="3" t="s">
        <v>4088</v>
      </c>
      <c r="P553" s="3"/>
      <c r="Q553" s="3" t="s">
        <v>52</v>
      </c>
      <c r="R553" s="3" t="s">
        <v>4468</v>
      </c>
      <c r="S553" s="3" t="s">
        <v>4052</v>
      </c>
      <c r="T553" s="3" t="s">
        <v>4064</v>
      </c>
      <c r="U553" s="3" t="s">
        <v>4265</v>
      </c>
      <c r="V553" s="3" t="s">
        <v>4469</v>
      </c>
      <c r="W553" s="3" t="s">
        <v>4470</v>
      </c>
      <c r="X553" s="3" t="s">
        <v>4103</v>
      </c>
      <c r="Y553" s="3" t="n">
        <v>3</v>
      </c>
      <c r="Z553" s="3" t="n">
        <v>1</v>
      </c>
      <c r="AA553" s="3" t="n">
        <v>2</v>
      </c>
      <c r="AB553" s="3" t="n">
        <v>3</v>
      </c>
      <c r="AC553" s="3" t="n">
        <v>1</v>
      </c>
      <c r="AD553" s="3" t="n">
        <v>2</v>
      </c>
      <c r="AE553" s="3" t="s">
        <v>4084</v>
      </c>
      <c r="AF553" s="3" t="s">
        <v>847</v>
      </c>
      <c r="AG553" s="3"/>
      <c r="AH553" s="3"/>
      <c r="AI553" s="3" t="s">
        <v>4085</v>
      </c>
      <c r="AJ553" s="3" t="s">
        <v>59</v>
      </c>
      <c r="AK553" s="3" t="s">
        <v>4471</v>
      </c>
      <c r="AL553" s="3"/>
      <c r="AM553" s="3" t="n">
        <v>4</v>
      </c>
      <c r="AN553" s="3"/>
      <c r="AO553" s="3"/>
      <c r="AP553" s="3" t="n">
        <v>4</v>
      </c>
      <c r="AQ553" s="3"/>
      <c r="AR553" s="3"/>
    </row>
    <row r="554" customFormat="false" ht="15" hidden="false" customHeight="true" outlineLevel="0" collapsed="false">
      <c r="A554" s="3" t="s">
        <v>4472</v>
      </c>
      <c r="B554" s="3" t="n">
        <v>6</v>
      </c>
      <c r="C554" s="3" t="n">
        <v>121</v>
      </c>
      <c r="D554" s="3"/>
      <c r="E554" s="4"/>
      <c r="F554" s="3" t="n">
        <v>23</v>
      </c>
      <c r="G554" s="3" t="str">
        <f aca="false">IF(F554="","",IF(F554&gt;=Notes!$B$5,"Elderly ("&amp;Notes!$B$5&amp;"+)",IF(F554&lt;=Notes!$B$4,"Student age (≤"&amp;Notes!$B$4&amp;")","Middle-aged ("&amp;(Notes!$B$4+1)&amp;"–"&amp;(Notes!$B$5-1)&amp;")")))</f>
        <v>Student age (≤29)</v>
      </c>
      <c r="H554" s="3" t="s">
        <v>45</v>
      </c>
      <c r="I554" s="3" t="s">
        <v>3510</v>
      </c>
      <c r="J554" s="3" t="s">
        <v>2651</v>
      </c>
      <c r="K554" s="3" t="s">
        <v>3511</v>
      </c>
      <c r="L554" s="3" t="s">
        <v>3510</v>
      </c>
      <c r="M554" s="3" t="s">
        <v>2651</v>
      </c>
      <c r="N554" s="3" t="s">
        <v>3511</v>
      </c>
      <c r="O554" s="3" t="s">
        <v>4038</v>
      </c>
      <c r="P554" s="3"/>
      <c r="Q554" s="3" t="s">
        <v>95</v>
      </c>
      <c r="R554" s="3" t="s">
        <v>4099</v>
      </c>
      <c r="S554" s="3" t="s">
        <v>4099</v>
      </c>
      <c r="T554" s="3" t="s">
        <v>4473</v>
      </c>
      <c r="U554" s="3" t="s">
        <v>4042</v>
      </c>
      <c r="V554" s="3" t="s">
        <v>4173</v>
      </c>
      <c r="W554" s="3" t="s">
        <v>4306</v>
      </c>
      <c r="X554" s="3" t="s">
        <v>4370</v>
      </c>
      <c r="Y554" s="3" t="n">
        <v>1</v>
      </c>
      <c r="Z554" s="3" t="n">
        <v>2</v>
      </c>
      <c r="AA554" s="3" t="n">
        <v>3</v>
      </c>
      <c r="AB554" s="3" t="n">
        <v>1</v>
      </c>
      <c r="AC554" s="3" t="n">
        <v>2</v>
      </c>
      <c r="AD554" s="3" t="n">
        <v>3</v>
      </c>
      <c r="AE554" s="3" t="s">
        <v>4095</v>
      </c>
      <c r="AF554" s="3" t="s">
        <v>846</v>
      </c>
      <c r="AG554" s="3"/>
      <c r="AH554" s="3"/>
      <c r="AI554" s="3" t="s">
        <v>4128</v>
      </c>
      <c r="AJ554" s="3" t="s">
        <v>59</v>
      </c>
      <c r="AK554" s="3" t="s">
        <v>4474</v>
      </c>
      <c r="AL554" s="3"/>
      <c r="AM554" s="3" t="n">
        <v>3</v>
      </c>
      <c r="AN554" s="3"/>
      <c r="AO554" s="3"/>
      <c r="AP554" s="3" t="n">
        <v>4</v>
      </c>
      <c r="AQ554" s="3"/>
      <c r="AR554" s="3"/>
    </row>
    <row r="555" customFormat="false" ht="15" hidden="false" customHeight="true" outlineLevel="0" collapsed="false">
      <c r="A555" s="3" t="s">
        <v>4475</v>
      </c>
      <c r="B555" s="3" t="n">
        <v>6</v>
      </c>
      <c r="C555" s="3" t="n">
        <v>122</v>
      </c>
      <c r="D555" s="3"/>
      <c r="E555" s="4"/>
      <c r="F555" s="3" t="n">
        <v>23</v>
      </c>
      <c r="G555" s="3" t="str">
        <f aca="false">IF(F555="","",IF(F555&gt;=Notes!$B$5,"Elderly ("&amp;Notes!$B$5&amp;"+)",IF(F555&lt;=Notes!$B$4,"Student age (≤"&amp;Notes!$B$4&amp;")","Middle-aged ("&amp;(Notes!$B$4+1)&amp;"–"&amp;(Notes!$B$5-1)&amp;")")))</f>
        <v>Student age (≤29)</v>
      </c>
      <c r="H555" s="3" t="s">
        <v>45</v>
      </c>
      <c r="I555" s="3"/>
      <c r="J555" s="3" t="s">
        <v>1025</v>
      </c>
      <c r="K555" s="3" t="s">
        <v>1025</v>
      </c>
      <c r="L555" s="3"/>
      <c r="M555" s="3" t="s">
        <v>2651</v>
      </c>
      <c r="N555" s="3" t="s">
        <v>2651</v>
      </c>
      <c r="O555" s="3" t="s">
        <v>4038</v>
      </c>
      <c r="P555" s="3"/>
      <c r="Q555" s="3" t="s">
        <v>52</v>
      </c>
      <c r="R555" s="3" t="s">
        <v>4051</v>
      </c>
      <c r="S555" s="3" t="s">
        <v>4040</v>
      </c>
      <c r="T555" s="3" t="s">
        <v>4053</v>
      </c>
      <c r="U555" s="3" t="s">
        <v>4054</v>
      </c>
      <c r="V555" s="3" t="s">
        <v>4055</v>
      </c>
      <c r="W555" s="3" t="s">
        <v>4306</v>
      </c>
      <c r="X555" s="3" t="s">
        <v>4148</v>
      </c>
      <c r="Y555" s="3" t="n">
        <v>3</v>
      </c>
      <c r="Z555" s="3" t="n">
        <v>1</v>
      </c>
      <c r="AA555" s="3" t="n">
        <v>2</v>
      </c>
      <c r="AB555" s="3" t="n">
        <v>3</v>
      </c>
      <c r="AC555" s="3" t="n">
        <v>1</v>
      </c>
      <c r="AD555" s="3" t="n">
        <v>2</v>
      </c>
      <c r="AE555" s="3" t="s">
        <v>4281</v>
      </c>
      <c r="AF555" s="3" t="s">
        <v>846</v>
      </c>
      <c r="AG555" s="3"/>
      <c r="AH555" s="3"/>
      <c r="AI555" s="3" t="s">
        <v>4164</v>
      </c>
      <c r="AJ555" s="3" t="s">
        <v>59</v>
      </c>
      <c r="AK555" s="3" t="s">
        <v>4476</v>
      </c>
      <c r="AL555" s="3"/>
      <c r="AM555" s="3" t="n">
        <v>4</v>
      </c>
      <c r="AN555" s="3"/>
      <c r="AO555" s="3"/>
      <c r="AP555" s="3" t="n">
        <v>5</v>
      </c>
      <c r="AQ555" s="3"/>
      <c r="AR555" s="3"/>
    </row>
    <row r="556" customFormat="false" ht="15" hidden="false" customHeight="true" outlineLevel="0" collapsed="false">
      <c r="A556" s="3" t="s">
        <v>4477</v>
      </c>
      <c r="B556" s="3" t="n">
        <v>6</v>
      </c>
      <c r="C556" s="3" t="n">
        <v>123</v>
      </c>
      <c r="D556" s="3"/>
      <c r="E556" s="4"/>
      <c r="F556" s="3" t="n">
        <v>21</v>
      </c>
      <c r="G556" s="3" t="str">
        <f aca="false">IF(F556="","",IF(F556&gt;=Notes!$B$5,"Elderly ("&amp;Notes!$B$5&amp;"+)",IF(F556&lt;=Notes!$B$4,"Student age (≤"&amp;Notes!$B$4&amp;")","Middle-aged ("&amp;(Notes!$B$4+1)&amp;"–"&amp;(Notes!$B$5-1)&amp;")")))</f>
        <v>Student age (≤29)</v>
      </c>
      <c r="H556" s="3" t="s">
        <v>83</v>
      </c>
      <c r="I556" s="3"/>
      <c r="J556" s="3" t="s">
        <v>437</v>
      </c>
      <c r="K556" s="3" t="s">
        <v>437</v>
      </c>
      <c r="L556" s="3"/>
      <c r="M556" s="3" t="s">
        <v>47</v>
      </c>
      <c r="N556" s="3" t="s">
        <v>47</v>
      </c>
      <c r="O556" s="3" t="s">
        <v>4038</v>
      </c>
      <c r="P556" s="3"/>
      <c r="Q556" s="3" t="s">
        <v>52</v>
      </c>
      <c r="R556" s="3" t="s">
        <v>4099</v>
      </c>
      <c r="S556" s="3" t="s">
        <v>4136</v>
      </c>
      <c r="T556" s="3" t="s">
        <v>4317</v>
      </c>
      <c r="U556" s="3" t="s">
        <v>4042</v>
      </c>
      <c r="V556" s="3" t="s">
        <v>4065</v>
      </c>
      <c r="W556" s="3" t="s">
        <v>4478</v>
      </c>
      <c r="X556" s="3" t="s">
        <v>4103</v>
      </c>
      <c r="Y556" s="3" t="n">
        <v>3</v>
      </c>
      <c r="Z556" s="3" t="n">
        <v>1</v>
      </c>
      <c r="AA556" s="3" t="n">
        <v>2</v>
      </c>
      <c r="AB556" s="3" t="n">
        <v>3</v>
      </c>
      <c r="AC556" s="3" t="n">
        <v>1</v>
      </c>
      <c r="AD556" s="3" t="n">
        <v>2</v>
      </c>
      <c r="AE556" s="3" t="s">
        <v>4216</v>
      </c>
      <c r="AF556" s="3" t="s">
        <v>846</v>
      </c>
      <c r="AG556" s="3"/>
      <c r="AH556" s="3"/>
      <c r="AI556" s="3" t="s">
        <v>4085</v>
      </c>
      <c r="AJ556" s="3" t="s">
        <v>59</v>
      </c>
      <c r="AK556" s="3" t="s">
        <v>4086</v>
      </c>
      <c r="AL556" s="3"/>
      <c r="AM556" s="3" t="n">
        <v>4</v>
      </c>
      <c r="AN556" s="3"/>
      <c r="AO556" s="3"/>
      <c r="AP556" s="3" t="n">
        <v>5</v>
      </c>
      <c r="AQ556" s="3"/>
      <c r="AR556" s="3"/>
    </row>
    <row r="557" customFormat="false" ht="15" hidden="false" customHeight="true" outlineLevel="0" collapsed="false">
      <c r="A557" s="3" t="s">
        <v>4479</v>
      </c>
      <c r="B557" s="3" t="n">
        <v>7</v>
      </c>
      <c r="C557" s="3" t="n">
        <v>2</v>
      </c>
      <c r="D557" s="3"/>
      <c r="E557" s="4"/>
      <c r="F557" s="3" t="n">
        <v>21</v>
      </c>
      <c r="G557" s="3" t="str">
        <f aca="false">IF(F557="","",IF(F557&gt;=Notes!$B$5,"Elderly ("&amp;Notes!$B$5&amp;"+)",IF(F557&lt;=Notes!$B$4,"Student age (≤"&amp;Notes!$B$4&amp;")","Middle-aged ("&amp;(Notes!$B$4+1)&amp;"–"&amp;(Notes!$B$5-1)&amp;")")))</f>
        <v>Student age (≤29)</v>
      </c>
      <c r="H557" s="3" t="s">
        <v>45</v>
      </c>
      <c r="I557" s="3" t="s">
        <v>289</v>
      </c>
      <c r="J557" s="3" t="s">
        <v>47</v>
      </c>
      <c r="K557" s="3" t="s">
        <v>290</v>
      </c>
      <c r="L557" s="3" t="s">
        <v>49</v>
      </c>
      <c r="M557" s="3" t="s">
        <v>47</v>
      </c>
      <c r="N557" s="3" t="s">
        <v>50</v>
      </c>
      <c r="O557" s="3" t="s">
        <v>4480</v>
      </c>
      <c r="P557" s="3" t="n">
        <v>23</v>
      </c>
      <c r="Q557" s="3" t="s">
        <v>117</v>
      </c>
      <c r="R557" s="3" t="s">
        <v>4481</v>
      </c>
      <c r="S557" s="3" t="s">
        <v>4482</v>
      </c>
      <c r="T557" s="3"/>
      <c r="U557" s="3" t="s">
        <v>4483</v>
      </c>
      <c r="V557" s="3" t="s">
        <v>4484</v>
      </c>
      <c r="W557" s="3" t="s">
        <v>4485</v>
      </c>
      <c r="X557" s="3" t="s">
        <v>4486</v>
      </c>
      <c r="Y557" s="3" t="n">
        <v>1</v>
      </c>
      <c r="Z557" s="3" t="n">
        <v>2</v>
      </c>
      <c r="AA557" s="3" t="n">
        <v>3</v>
      </c>
      <c r="AB557" s="3" t="n">
        <v>3</v>
      </c>
      <c r="AC557" s="3" t="n">
        <v>1</v>
      </c>
      <c r="AD557" s="3" t="n">
        <v>2</v>
      </c>
      <c r="AE557" s="3" t="s">
        <v>4487</v>
      </c>
      <c r="AF557" s="3"/>
      <c r="AG557" s="3" t="s">
        <v>4488</v>
      </c>
      <c r="AH557" s="3"/>
      <c r="AI557" s="3" t="s">
        <v>4489</v>
      </c>
      <c r="AJ557" s="3"/>
      <c r="AK557" s="3" t="s">
        <v>4490</v>
      </c>
      <c r="AL557" s="3"/>
      <c r="AM557" s="3" t="n">
        <v>3</v>
      </c>
      <c r="AN557" s="3"/>
      <c r="AO557" s="3" t="s">
        <v>59</v>
      </c>
      <c r="AP557" s="3"/>
      <c r="AQ557" s="3" t="s">
        <v>4491</v>
      </c>
      <c r="AR557" s="3"/>
    </row>
    <row r="558" customFormat="false" ht="15" hidden="false" customHeight="true" outlineLevel="0" collapsed="false">
      <c r="A558" s="3" t="s">
        <v>4492</v>
      </c>
      <c r="B558" s="3" t="n">
        <v>7</v>
      </c>
      <c r="C558" s="3" t="n">
        <v>3</v>
      </c>
      <c r="D558" s="3"/>
      <c r="E558" s="4"/>
      <c r="F558" s="3" t="n">
        <v>21</v>
      </c>
      <c r="G558" s="3" t="str">
        <f aca="false">IF(F558="","",IF(F558&gt;=Notes!$B$5,"Elderly ("&amp;Notes!$B$5&amp;"+)",IF(F558&lt;=Notes!$B$4,"Student age (≤"&amp;Notes!$B$4&amp;")","Middle-aged ("&amp;(Notes!$B$4+1)&amp;"–"&amp;(Notes!$B$5-1)&amp;")")))</f>
        <v>Student age (≤29)</v>
      </c>
      <c r="H558" s="3" t="s">
        <v>45</v>
      </c>
      <c r="I558" s="3" t="s">
        <v>71</v>
      </c>
      <c r="J558" s="3" t="s">
        <v>47</v>
      </c>
      <c r="K558" s="3" t="s">
        <v>72</v>
      </c>
      <c r="L558" s="3" t="s">
        <v>71</v>
      </c>
      <c r="M558" s="3" t="s">
        <v>47</v>
      </c>
      <c r="N558" s="3" t="s">
        <v>72</v>
      </c>
      <c r="O558" s="3" t="s">
        <v>4493</v>
      </c>
      <c r="P558" s="3" t="n">
        <v>20</v>
      </c>
      <c r="Q558" s="3" t="s">
        <v>95</v>
      </c>
      <c r="R558" s="3" t="s">
        <v>4494</v>
      </c>
      <c r="S558" s="3" t="s">
        <v>4495</v>
      </c>
      <c r="T558" s="3"/>
      <c r="U558" s="3" t="s">
        <v>4496</v>
      </c>
      <c r="V558" s="3" t="s">
        <v>4497</v>
      </c>
      <c r="W558" s="3" t="s">
        <v>59</v>
      </c>
      <c r="X558" s="3" t="s">
        <v>4498</v>
      </c>
      <c r="Y558" s="3" t="n">
        <v>3</v>
      </c>
      <c r="Z558" s="3" t="n">
        <v>1</v>
      </c>
      <c r="AA558" s="3" t="n">
        <v>2</v>
      </c>
      <c r="AB558" s="3" t="n">
        <v>2</v>
      </c>
      <c r="AC558" s="3" t="n">
        <v>1</v>
      </c>
      <c r="AD558" s="3" t="n">
        <v>3</v>
      </c>
      <c r="AE558" s="3" t="s">
        <v>4499</v>
      </c>
      <c r="AF558" s="3"/>
      <c r="AG558" s="3" t="s">
        <v>4500</v>
      </c>
      <c r="AH558" s="3"/>
      <c r="AI558" s="3" t="s">
        <v>4501</v>
      </c>
      <c r="AJ558" s="3" t="s">
        <v>59</v>
      </c>
      <c r="AK558" s="3" t="s">
        <v>4502</v>
      </c>
      <c r="AL558" s="3"/>
      <c r="AM558" s="3" t="n">
        <v>4</v>
      </c>
      <c r="AN558" s="3"/>
      <c r="AO558" s="3" t="s">
        <v>59</v>
      </c>
      <c r="AP558" s="3"/>
      <c r="AQ558" s="3"/>
      <c r="AR558" s="3"/>
    </row>
    <row r="559" customFormat="false" ht="15" hidden="false" customHeight="true" outlineLevel="0" collapsed="false">
      <c r="A559" s="3" t="s">
        <v>4503</v>
      </c>
      <c r="B559" s="3" t="n">
        <v>7</v>
      </c>
      <c r="C559" s="3" t="n">
        <v>4</v>
      </c>
      <c r="D559" s="3"/>
      <c r="E559" s="4"/>
      <c r="F559" s="3" t="n">
        <v>21</v>
      </c>
      <c r="G559" s="3" t="str">
        <f aca="false">IF(F559="","",IF(F559&gt;=Notes!$B$5,"Elderly ("&amp;Notes!$B$5&amp;"+)",IF(F559&lt;=Notes!$B$4,"Student age (≤"&amp;Notes!$B$4&amp;")","Middle-aged ("&amp;(Notes!$B$4+1)&amp;"–"&amp;(Notes!$B$5-1)&amp;")")))</f>
        <v>Student age (≤29)</v>
      </c>
      <c r="H559" s="3" t="s">
        <v>45</v>
      </c>
      <c r="I559" s="3" t="s">
        <v>289</v>
      </c>
      <c r="J559" s="3" t="s">
        <v>47</v>
      </c>
      <c r="K559" s="3" t="s">
        <v>290</v>
      </c>
      <c r="L559" s="3" t="s">
        <v>49</v>
      </c>
      <c r="M559" s="3" t="s">
        <v>47</v>
      </c>
      <c r="N559" s="3" t="s">
        <v>50</v>
      </c>
      <c r="O559" s="3" t="s">
        <v>4504</v>
      </c>
      <c r="P559" s="3" t="n">
        <v>23</v>
      </c>
      <c r="Q559" s="3" t="s">
        <v>117</v>
      </c>
      <c r="R559" s="3" t="s">
        <v>4505</v>
      </c>
      <c r="S559" s="3" t="s">
        <v>4506</v>
      </c>
      <c r="T559" s="3"/>
      <c r="U559" s="3" t="s">
        <v>4507</v>
      </c>
      <c r="V559" s="3" t="s">
        <v>4508</v>
      </c>
      <c r="W559" s="3" t="s">
        <v>4509</v>
      </c>
      <c r="X559" s="3" t="s">
        <v>4510</v>
      </c>
      <c r="Y559" s="3" t="n">
        <v>1</v>
      </c>
      <c r="Z559" s="3" t="n">
        <v>2</v>
      </c>
      <c r="AA559" s="3" t="n">
        <v>3</v>
      </c>
      <c r="AB559" s="3" t="n">
        <v>3</v>
      </c>
      <c r="AC559" s="3" t="n">
        <v>1</v>
      </c>
      <c r="AD559" s="3" t="n">
        <v>2</v>
      </c>
      <c r="AE559" s="3" t="s">
        <v>4511</v>
      </c>
      <c r="AF559" s="3"/>
      <c r="AG559" s="3" t="s">
        <v>4512</v>
      </c>
      <c r="AH559" s="3"/>
      <c r="AI559" s="3" t="s">
        <v>4513</v>
      </c>
      <c r="AJ559" s="3" t="s">
        <v>59</v>
      </c>
      <c r="AK559" s="3" t="s">
        <v>4514</v>
      </c>
      <c r="AL559" s="3"/>
      <c r="AM559" s="3" t="n">
        <v>3</v>
      </c>
      <c r="AN559" s="3"/>
      <c r="AO559" s="3" t="s">
        <v>59</v>
      </c>
      <c r="AP559" s="3"/>
      <c r="AQ559" s="3"/>
      <c r="AR559" s="3"/>
    </row>
    <row r="560" customFormat="false" ht="15" hidden="false" customHeight="true" outlineLevel="0" collapsed="false">
      <c r="A560" s="3" t="s">
        <v>4515</v>
      </c>
      <c r="B560" s="3" t="n">
        <v>7</v>
      </c>
      <c r="C560" s="3" t="n">
        <v>5</v>
      </c>
      <c r="D560" s="3"/>
      <c r="E560" s="4"/>
      <c r="F560" s="3" t="n">
        <v>21</v>
      </c>
      <c r="G560" s="3" t="str">
        <f aca="false">IF(F560="","",IF(F560&gt;=Notes!$B$5,"Elderly ("&amp;Notes!$B$5&amp;"+)",IF(F560&lt;=Notes!$B$4,"Student age (≤"&amp;Notes!$B$4&amp;")","Middle-aged ("&amp;(Notes!$B$4+1)&amp;"–"&amp;(Notes!$B$5-1)&amp;")")))</f>
        <v>Student age (≤29)</v>
      </c>
      <c r="H560" s="3" t="s">
        <v>83</v>
      </c>
      <c r="I560" s="3" t="s">
        <v>4516</v>
      </c>
      <c r="J560" s="3" t="s">
        <v>47</v>
      </c>
      <c r="K560" s="3" t="s">
        <v>4517</v>
      </c>
      <c r="L560" s="3" t="s">
        <v>321</v>
      </c>
      <c r="M560" s="3" t="s">
        <v>47</v>
      </c>
      <c r="N560" s="3" t="s">
        <v>322</v>
      </c>
      <c r="O560" s="3" t="s">
        <v>4518</v>
      </c>
      <c r="P560" s="3" t="n">
        <v>15</v>
      </c>
      <c r="Q560" s="3" t="s">
        <v>74</v>
      </c>
      <c r="R560" s="3" t="s">
        <v>1366</v>
      </c>
      <c r="S560" s="3" t="s">
        <v>4519</v>
      </c>
      <c r="T560" s="3"/>
      <c r="U560" s="3" t="s">
        <v>4520</v>
      </c>
      <c r="V560" s="3" t="s">
        <v>4521</v>
      </c>
      <c r="W560" s="3" t="s">
        <v>4522</v>
      </c>
      <c r="X560" s="3" t="s">
        <v>4523</v>
      </c>
      <c r="Y560" s="3" t="n">
        <v>2</v>
      </c>
      <c r="Z560" s="3" t="n">
        <v>1</v>
      </c>
      <c r="AA560" s="3" t="n">
        <v>3</v>
      </c>
      <c r="AB560" s="3" t="n">
        <v>2</v>
      </c>
      <c r="AC560" s="3" t="n">
        <v>1</v>
      </c>
      <c r="AD560" s="3" t="n">
        <v>3</v>
      </c>
      <c r="AE560" s="3" t="s">
        <v>4524</v>
      </c>
      <c r="AF560" s="3"/>
      <c r="AG560" s="3" t="s">
        <v>4525</v>
      </c>
      <c r="AH560" s="3"/>
      <c r="AI560" s="3" t="s">
        <v>4526</v>
      </c>
      <c r="AJ560" s="3" t="s">
        <v>59</v>
      </c>
      <c r="AK560" s="3" t="s">
        <v>4527</v>
      </c>
      <c r="AL560" s="3"/>
      <c r="AM560" s="3" t="n">
        <v>5</v>
      </c>
      <c r="AN560" s="3"/>
      <c r="AO560" s="3" t="s">
        <v>59</v>
      </c>
      <c r="AP560" s="3"/>
      <c r="AQ560" s="3"/>
      <c r="AR560" s="3"/>
    </row>
    <row r="561" customFormat="false" ht="15" hidden="false" customHeight="true" outlineLevel="0" collapsed="false">
      <c r="A561" s="3" t="s">
        <v>4528</v>
      </c>
      <c r="B561" s="3" t="n">
        <v>7</v>
      </c>
      <c r="C561" s="3" t="n">
        <v>6</v>
      </c>
      <c r="D561" s="3"/>
      <c r="E561" s="4"/>
      <c r="F561" s="3" t="n">
        <v>20</v>
      </c>
      <c r="G561" s="3" t="str">
        <f aca="false">IF(F561="","",IF(F561&gt;=Notes!$B$5,"Elderly ("&amp;Notes!$B$5&amp;"+)",IF(F561&lt;=Notes!$B$4,"Student age (≤"&amp;Notes!$B$4&amp;")","Middle-aged ("&amp;(Notes!$B$4+1)&amp;"–"&amp;(Notes!$B$5-1)&amp;")")))</f>
        <v>Student age (≤29)</v>
      </c>
      <c r="H561" s="3" t="s">
        <v>45</v>
      </c>
      <c r="I561" s="3" t="s">
        <v>71</v>
      </c>
      <c r="J561" s="3" t="s">
        <v>47</v>
      </c>
      <c r="K561" s="3" t="s">
        <v>72</v>
      </c>
      <c r="L561" s="3" t="s">
        <v>49</v>
      </c>
      <c r="M561" s="3" t="s">
        <v>47</v>
      </c>
      <c r="N561" s="3" t="s">
        <v>50</v>
      </c>
      <c r="O561" s="3" t="s">
        <v>4529</v>
      </c>
      <c r="P561" s="3" t="n">
        <v>35</v>
      </c>
      <c r="Q561" s="3" t="s">
        <v>52</v>
      </c>
      <c r="R561" s="3" t="s">
        <v>4530</v>
      </c>
      <c r="S561" s="3" t="s">
        <v>4531</v>
      </c>
      <c r="T561" s="3"/>
      <c r="U561" s="3" t="s">
        <v>4532</v>
      </c>
      <c r="V561" s="3" t="s">
        <v>4533</v>
      </c>
      <c r="W561" s="3" t="s">
        <v>4534</v>
      </c>
      <c r="X561" s="3" t="s">
        <v>4535</v>
      </c>
      <c r="Y561" s="3" t="n">
        <v>2</v>
      </c>
      <c r="Z561" s="3" t="n">
        <v>1</v>
      </c>
      <c r="AA561" s="3" t="n">
        <v>3</v>
      </c>
      <c r="AB561" s="3" t="n">
        <v>3</v>
      </c>
      <c r="AC561" s="3" t="n">
        <v>1</v>
      </c>
      <c r="AD561" s="3" t="n">
        <v>2</v>
      </c>
      <c r="AE561" s="3" t="s">
        <v>4536</v>
      </c>
      <c r="AF561" s="3"/>
      <c r="AG561" s="3" t="s">
        <v>4537</v>
      </c>
      <c r="AH561" s="3"/>
      <c r="AI561" s="3" t="s">
        <v>4538</v>
      </c>
      <c r="AJ561" s="3" t="s">
        <v>59</v>
      </c>
      <c r="AK561" s="3" t="s">
        <v>4539</v>
      </c>
      <c r="AL561" s="3"/>
      <c r="AM561" s="3" t="n">
        <v>3</v>
      </c>
      <c r="AN561" s="3"/>
      <c r="AO561" s="3" t="s">
        <v>59</v>
      </c>
      <c r="AP561" s="3"/>
      <c r="AQ561" s="3"/>
      <c r="AR561" s="3"/>
    </row>
    <row r="562" customFormat="false" ht="15" hidden="false" customHeight="true" outlineLevel="0" collapsed="false">
      <c r="A562" s="3" t="s">
        <v>4540</v>
      </c>
      <c r="B562" s="3" t="n">
        <v>7</v>
      </c>
      <c r="C562" s="3" t="n">
        <v>7</v>
      </c>
      <c r="D562" s="3"/>
      <c r="E562" s="4"/>
      <c r="F562" s="3" t="n">
        <v>21</v>
      </c>
      <c r="G562" s="3" t="str">
        <f aca="false">IF(F562="","",IF(F562&gt;=Notes!$B$5,"Elderly ("&amp;Notes!$B$5&amp;"+)",IF(F562&lt;=Notes!$B$4,"Student age (≤"&amp;Notes!$B$4&amp;")","Middle-aged ("&amp;(Notes!$B$4+1)&amp;"–"&amp;(Notes!$B$5-1)&amp;")")))</f>
        <v>Student age (≤29)</v>
      </c>
      <c r="H562" s="3" t="s">
        <v>45</v>
      </c>
      <c r="I562" s="3"/>
      <c r="J562" s="3" t="s">
        <v>1025</v>
      </c>
      <c r="K562" s="3" t="s">
        <v>1025</v>
      </c>
      <c r="L562" s="3" t="s">
        <v>49</v>
      </c>
      <c r="M562" s="3" t="s">
        <v>47</v>
      </c>
      <c r="N562" s="3" t="s">
        <v>50</v>
      </c>
      <c r="O562" s="3" t="s">
        <v>4541</v>
      </c>
      <c r="P562" s="3" t="n">
        <v>35</v>
      </c>
      <c r="Q562" s="3" t="s">
        <v>52</v>
      </c>
      <c r="R562" s="3" t="s">
        <v>4542</v>
      </c>
      <c r="S562" s="3" t="s">
        <v>4543</v>
      </c>
      <c r="T562" s="3"/>
      <c r="U562" s="3" t="s">
        <v>4544</v>
      </c>
      <c r="V562" s="3" t="s">
        <v>4545</v>
      </c>
      <c r="W562" s="3" t="s">
        <v>4546</v>
      </c>
      <c r="X562" s="3" t="s">
        <v>4547</v>
      </c>
      <c r="Y562" s="3" t="n">
        <v>1</v>
      </c>
      <c r="Z562" s="3" t="n">
        <v>2</v>
      </c>
      <c r="AA562" s="3" t="n">
        <v>3</v>
      </c>
      <c r="AB562" s="3" t="n">
        <v>2</v>
      </c>
      <c r="AC562" s="3" t="n">
        <v>1</v>
      </c>
      <c r="AD562" s="3" t="n">
        <v>3</v>
      </c>
      <c r="AE562" s="3" t="s">
        <v>4548</v>
      </c>
      <c r="AF562" s="3"/>
      <c r="AG562" s="3" t="s">
        <v>4549</v>
      </c>
      <c r="AH562" s="3"/>
      <c r="AI562" s="3" t="s">
        <v>4550</v>
      </c>
      <c r="AJ562" s="3" t="s">
        <v>1625</v>
      </c>
      <c r="AK562" s="3" t="s">
        <v>4551</v>
      </c>
      <c r="AL562" s="3"/>
      <c r="AM562" s="3" t="n">
        <v>4</v>
      </c>
      <c r="AN562" s="3"/>
      <c r="AO562" s="3" t="s">
        <v>59</v>
      </c>
      <c r="AP562" s="3"/>
      <c r="AQ562" s="3"/>
      <c r="AR562" s="3"/>
    </row>
    <row r="563" customFormat="false" ht="15" hidden="false" customHeight="true" outlineLevel="0" collapsed="false">
      <c r="A563" s="3" t="s">
        <v>4552</v>
      </c>
      <c r="B563" s="3" t="n">
        <v>7</v>
      </c>
      <c r="C563" s="3" t="n">
        <v>8</v>
      </c>
      <c r="D563" s="3"/>
      <c r="E563" s="4"/>
      <c r="F563" s="3" t="n">
        <v>21</v>
      </c>
      <c r="G563" s="3" t="str">
        <f aca="false">IF(F563="","",IF(F563&gt;=Notes!$B$5,"Elderly ("&amp;Notes!$B$5&amp;"+)",IF(F563&lt;=Notes!$B$4,"Student age (≤"&amp;Notes!$B$4&amp;")","Middle-aged ("&amp;(Notes!$B$4+1)&amp;"–"&amp;(Notes!$B$5-1)&amp;")")))</f>
        <v>Student age (≤29)</v>
      </c>
      <c r="H563" s="3" t="s">
        <v>45</v>
      </c>
      <c r="I563" s="3"/>
      <c r="J563" s="3" t="s">
        <v>1025</v>
      </c>
      <c r="K563" s="3" t="s">
        <v>1025</v>
      </c>
      <c r="L563" s="3" t="s">
        <v>49</v>
      </c>
      <c r="M563" s="3" t="s">
        <v>47</v>
      </c>
      <c r="N563" s="3" t="s">
        <v>50</v>
      </c>
      <c r="O563" s="3" t="s">
        <v>4553</v>
      </c>
      <c r="P563" s="3" t="n">
        <v>35</v>
      </c>
      <c r="Q563" s="3" t="s">
        <v>52</v>
      </c>
      <c r="R563" s="3" t="s">
        <v>4554</v>
      </c>
      <c r="S563" s="3" t="s">
        <v>4555</v>
      </c>
      <c r="T563" s="3"/>
      <c r="U563" s="3" t="s">
        <v>4556</v>
      </c>
      <c r="V563" s="3" t="s">
        <v>4557</v>
      </c>
      <c r="W563" s="3" t="s">
        <v>4558</v>
      </c>
      <c r="X563" s="3" t="s">
        <v>4559</v>
      </c>
      <c r="Y563" s="3" t="n">
        <v>1</v>
      </c>
      <c r="Z563" s="3" t="n">
        <v>2</v>
      </c>
      <c r="AA563" s="3" t="n">
        <v>3</v>
      </c>
      <c r="AB563" s="3" t="n">
        <v>2</v>
      </c>
      <c r="AC563" s="3" t="n">
        <v>1</v>
      </c>
      <c r="AD563" s="3" t="n">
        <v>3</v>
      </c>
      <c r="AE563" s="3" t="s">
        <v>4560</v>
      </c>
      <c r="AF563" s="3"/>
      <c r="AG563" s="3" t="s">
        <v>4561</v>
      </c>
      <c r="AH563" s="3"/>
      <c r="AI563" s="3" t="s">
        <v>4562</v>
      </c>
      <c r="AJ563" s="3"/>
      <c r="AK563" s="3" t="s">
        <v>4563</v>
      </c>
      <c r="AL563" s="3"/>
      <c r="AM563" s="3" t="n">
        <v>4</v>
      </c>
      <c r="AN563" s="3"/>
      <c r="AO563" s="3" t="s">
        <v>59</v>
      </c>
      <c r="AP563" s="3"/>
      <c r="AQ563" s="3" t="s">
        <v>4564</v>
      </c>
      <c r="AR563" s="3"/>
    </row>
    <row r="564" customFormat="false" ht="15" hidden="false" customHeight="true" outlineLevel="0" collapsed="false">
      <c r="A564" s="3" t="s">
        <v>4565</v>
      </c>
      <c r="B564" s="3" t="n">
        <v>7</v>
      </c>
      <c r="C564" s="3" t="n">
        <v>9</v>
      </c>
      <c r="D564" s="3"/>
      <c r="E564" s="4"/>
      <c r="F564" s="3" t="n">
        <v>20</v>
      </c>
      <c r="G564" s="3" t="str">
        <f aca="false">IF(F564="","",IF(F564&gt;=Notes!$B$5,"Elderly ("&amp;Notes!$B$5&amp;"+)",IF(F564&lt;=Notes!$B$4,"Student age (≤"&amp;Notes!$B$4&amp;")","Middle-aged ("&amp;(Notes!$B$4+1)&amp;"–"&amp;(Notes!$B$5-1)&amp;")")))</f>
        <v>Student age (≤29)</v>
      </c>
      <c r="H564" s="3" t="s">
        <v>83</v>
      </c>
      <c r="I564" s="3" t="s">
        <v>171</v>
      </c>
      <c r="J564" s="3" t="s">
        <v>47</v>
      </c>
      <c r="K564" s="3" t="s">
        <v>172</v>
      </c>
      <c r="L564" s="3" t="s">
        <v>61</v>
      </c>
      <c r="M564" s="3" t="s">
        <v>47</v>
      </c>
      <c r="N564" s="3" t="s">
        <v>62</v>
      </c>
      <c r="O564" s="3" t="s">
        <v>4566</v>
      </c>
      <c r="P564" s="3" t="n">
        <v>20</v>
      </c>
      <c r="Q564" s="3" t="s">
        <v>95</v>
      </c>
      <c r="R564" s="3" t="s">
        <v>4567</v>
      </c>
      <c r="S564" s="3" t="s">
        <v>4568</v>
      </c>
      <c r="T564" s="3"/>
      <c r="U564" s="3" t="s">
        <v>98</v>
      </c>
      <c r="V564" s="3" t="s">
        <v>4569</v>
      </c>
      <c r="W564" s="3" t="s">
        <v>4570</v>
      </c>
      <c r="X564" s="3" t="s">
        <v>4571</v>
      </c>
      <c r="Y564" s="3" t="n">
        <v>1</v>
      </c>
      <c r="Z564" s="3" t="n">
        <v>3</v>
      </c>
      <c r="AA564" s="3" t="n">
        <v>2</v>
      </c>
      <c r="AB564" s="3" t="n">
        <v>2</v>
      </c>
      <c r="AC564" s="3" t="n">
        <v>1</v>
      </c>
      <c r="AD564" s="3" t="n">
        <v>3</v>
      </c>
      <c r="AE564" s="3" t="s">
        <v>4572</v>
      </c>
      <c r="AF564" s="3"/>
      <c r="AG564" s="3" t="s">
        <v>4573</v>
      </c>
      <c r="AH564" s="3"/>
      <c r="AI564" s="3" t="s">
        <v>4574</v>
      </c>
      <c r="AJ564" s="3" t="s">
        <v>59</v>
      </c>
      <c r="AK564" s="3"/>
      <c r="AL564" s="3"/>
      <c r="AM564" s="3" t="n">
        <v>4</v>
      </c>
      <c r="AN564" s="3"/>
      <c r="AO564" s="3" t="s">
        <v>59</v>
      </c>
      <c r="AP564" s="3"/>
      <c r="AQ564" s="3"/>
      <c r="AR564" s="3"/>
    </row>
    <row r="565" customFormat="false" ht="15" hidden="false" customHeight="true" outlineLevel="0" collapsed="false">
      <c r="A565" s="3" t="s">
        <v>4575</v>
      </c>
      <c r="B565" s="3" t="n">
        <v>7</v>
      </c>
      <c r="C565" s="3" t="n">
        <v>10</v>
      </c>
      <c r="D565" s="3"/>
      <c r="E565" s="4"/>
      <c r="F565" s="3" t="n">
        <v>20</v>
      </c>
      <c r="G565" s="3" t="str">
        <f aca="false">IF(F565="","",IF(F565&gt;=Notes!$B$5,"Elderly ("&amp;Notes!$B$5&amp;"+)",IF(F565&lt;=Notes!$B$4,"Student age (≤"&amp;Notes!$B$4&amp;")","Middle-aged ("&amp;(Notes!$B$4+1)&amp;"–"&amp;(Notes!$B$5-1)&amp;")")))</f>
        <v>Student age (≤29)</v>
      </c>
      <c r="H565" s="3" t="s">
        <v>83</v>
      </c>
      <c r="I565" s="3" t="s">
        <v>49</v>
      </c>
      <c r="J565" s="3" t="s">
        <v>47</v>
      </c>
      <c r="K565" s="3" t="s">
        <v>50</v>
      </c>
      <c r="L565" s="3" t="s">
        <v>49</v>
      </c>
      <c r="M565" s="3" t="s">
        <v>47</v>
      </c>
      <c r="N565" s="3" t="s">
        <v>50</v>
      </c>
      <c r="O565" s="3" t="s">
        <v>4576</v>
      </c>
      <c r="P565" s="3" t="n">
        <v>35</v>
      </c>
      <c r="Q565" s="3" t="s">
        <v>52</v>
      </c>
      <c r="R565" s="3" t="s">
        <v>4577</v>
      </c>
      <c r="S565" s="3" t="s">
        <v>4578</v>
      </c>
      <c r="T565" s="3"/>
      <c r="U565" s="3" t="s">
        <v>4579</v>
      </c>
      <c r="V565" s="3" t="s">
        <v>4580</v>
      </c>
      <c r="W565" s="3" t="s">
        <v>4581</v>
      </c>
      <c r="X565" s="3" t="s">
        <v>4582</v>
      </c>
      <c r="Y565" s="3" t="n">
        <v>1</v>
      </c>
      <c r="Z565" s="3" t="n">
        <v>2</v>
      </c>
      <c r="AA565" s="3" t="n">
        <v>3</v>
      </c>
      <c r="AB565" s="3" t="n">
        <v>2</v>
      </c>
      <c r="AC565" s="3" t="n">
        <v>1</v>
      </c>
      <c r="AD565" s="3" t="n">
        <v>3</v>
      </c>
      <c r="AE565" s="3" t="s">
        <v>4583</v>
      </c>
      <c r="AF565" s="3"/>
      <c r="AG565" s="3" t="s">
        <v>4584</v>
      </c>
      <c r="AH565" s="3"/>
      <c r="AI565" s="3" t="s">
        <v>4585</v>
      </c>
      <c r="AJ565" s="3"/>
      <c r="AK565" s="3" t="s">
        <v>4586</v>
      </c>
      <c r="AL565" s="3"/>
      <c r="AM565" s="3" t="n">
        <v>4</v>
      </c>
      <c r="AN565" s="3"/>
      <c r="AO565" s="3" t="s">
        <v>59</v>
      </c>
      <c r="AP565" s="3"/>
      <c r="AQ565" s="3" t="s">
        <v>4587</v>
      </c>
      <c r="AR565" s="3"/>
    </row>
    <row r="566" customFormat="false" ht="15" hidden="false" customHeight="true" outlineLevel="0" collapsed="false">
      <c r="A566" s="3" t="s">
        <v>4588</v>
      </c>
      <c r="B566" s="3" t="n">
        <v>7</v>
      </c>
      <c r="C566" s="3" t="n">
        <v>11</v>
      </c>
      <c r="D566" s="3"/>
      <c r="E566" s="4"/>
      <c r="F566" s="3" t="n">
        <v>19</v>
      </c>
      <c r="G566" s="3" t="str">
        <f aca="false">IF(F566="","",IF(F566&gt;=Notes!$B$5,"Elderly ("&amp;Notes!$B$5&amp;"+)",IF(F566&lt;=Notes!$B$4,"Student age (≤"&amp;Notes!$B$4&amp;")","Middle-aged ("&amp;(Notes!$B$4+1)&amp;"–"&amp;(Notes!$B$5-1)&amp;")")))</f>
        <v>Student age (≤29)</v>
      </c>
      <c r="H566" s="3" t="s">
        <v>45</v>
      </c>
      <c r="I566" s="3"/>
      <c r="J566" s="3" t="s">
        <v>4589</v>
      </c>
      <c r="K566" s="3" t="s">
        <v>4589</v>
      </c>
      <c r="L566" s="3" t="s">
        <v>49</v>
      </c>
      <c r="M566" s="3" t="s">
        <v>47</v>
      </c>
      <c r="N566" s="3" t="s">
        <v>50</v>
      </c>
      <c r="O566" s="3" t="s">
        <v>605</v>
      </c>
      <c r="P566" s="3" t="n">
        <v>35</v>
      </c>
      <c r="Q566" s="3" t="s">
        <v>52</v>
      </c>
      <c r="R566" s="3" t="s">
        <v>4590</v>
      </c>
      <c r="S566" s="3" t="s">
        <v>4591</v>
      </c>
      <c r="T566" s="3"/>
      <c r="U566" s="3" t="s">
        <v>4592</v>
      </c>
      <c r="V566" s="3" t="s">
        <v>4593</v>
      </c>
      <c r="W566" s="3" t="s">
        <v>4594</v>
      </c>
      <c r="X566" s="3" t="s">
        <v>4595</v>
      </c>
      <c r="Y566" s="3" t="n">
        <v>3</v>
      </c>
      <c r="Z566" s="3" t="n">
        <v>1</v>
      </c>
      <c r="AA566" s="3" t="n">
        <v>2</v>
      </c>
      <c r="AB566" s="3" t="n">
        <v>1</v>
      </c>
      <c r="AC566" s="3" t="n">
        <v>2</v>
      </c>
      <c r="AD566" s="3" t="n">
        <v>3</v>
      </c>
      <c r="AE566" s="3" t="s">
        <v>4596</v>
      </c>
      <c r="AF566" s="3"/>
      <c r="AG566" s="3" t="s">
        <v>4597</v>
      </c>
      <c r="AH566" s="3"/>
      <c r="AI566" s="3" t="s">
        <v>4598</v>
      </c>
      <c r="AJ566" s="3"/>
      <c r="AK566" s="3" t="s">
        <v>4599</v>
      </c>
      <c r="AL566" s="3"/>
      <c r="AM566" s="3" t="n">
        <v>4</v>
      </c>
      <c r="AN566" s="3"/>
      <c r="AO566" s="3" t="s">
        <v>59</v>
      </c>
      <c r="AP566" s="3"/>
      <c r="AQ566" s="3"/>
      <c r="AR566" s="3"/>
    </row>
    <row r="567" customFormat="false" ht="15" hidden="false" customHeight="true" outlineLevel="0" collapsed="false">
      <c r="A567" s="3" t="s">
        <v>4600</v>
      </c>
      <c r="B567" s="3" t="n">
        <v>7</v>
      </c>
      <c r="C567" s="3" t="n">
        <v>12</v>
      </c>
      <c r="D567" s="3"/>
      <c r="E567" s="4"/>
      <c r="F567" s="3" t="n">
        <v>21</v>
      </c>
      <c r="G567" s="3" t="str">
        <f aca="false">IF(F567="","",IF(F567&gt;=Notes!$B$5,"Elderly ("&amp;Notes!$B$5&amp;"+)",IF(F567&lt;=Notes!$B$4,"Student age (≤"&amp;Notes!$B$4&amp;")","Middle-aged ("&amp;(Notes!$B$4+1)&amp;"–"&amp;(Notes!$B$5-1)&amp;")")))</f>
        <v>Student age (≤29)</v>
      </c>
      <c r="H567" s="3" t="s">
        <v>45</v>
      </c>
      <c r="I567" s="3" t="s">
        <v>71</v>
      </c>
      <c r="J567" s="3" t="s">
        <v>47</v>
      </c>
      <c r="K567" s="3" t="s">
        <v>72</v>
      </c>
      <c r="L567" s="3" t="s">
        <v>49</v>
      </c>
      <c r="M567" s="3" t="s">
        <v>47</v>
      </c>
      <c r="N567" s="3" t="s">
        <v>50</v>
      </c>
      <c r="O567" s="3" t="s">
        <v>4601</v>
      </c>
      <c r="P567" s="3" t="n">
        <v>30</v>
      </c>
      <c r="Q567" s="3" t="s">
        <v>117</v>
      </c>
      <c r="R567" s="3" t="s">
        <v>4602</v>
      </c>
      <c r="S567" s="3" t="s">
        <v>4603</v>
      </c>
      <c r="T567" s="3"/>
      <c r="U567" s="3" t="s">
        <v>4604</v>
      </c>
      <c r="V567" s="3" t="s">
        <v>4605</v>
      </c>
      <c r="W567" s="3" t="s">
        <v>4606</v>
      </c>
      <c r="X567" s="3" t="s">
        <v>4607</v>
      </c>
      <c r="Y567" s="3" t="n">
        <v>2</v>
      </c>
      <c r="Z567" s="3" t="n">
        <v>1</v>
      </c>
      <c r="AA567" s="3" t="n">
        <v>3</v>
      </c>
      <c r="AB567" s="3" t="n">
        <v>3</v>
      </c>
      <c r="AC567" s="3" t="n">
        <v>2</v>
      </c>
      <c r="AD567" s="3" t="n">
        <v>1</v>
      </c>
      <c r="AE567" s="3" t="s">
        <v>4608</v>
      </c>
      <c r="AF567" s="3"/>
      <c r="AG567" s="3" t="s">
        <v>4609</v>
      </c>
      <c r="AH567" s="3"/>
      <c r="AI567" s="3" t="s">
        <v>4610</v>
      </c>
      <c r="AJ567" s="3" t="s">
        <v>59</v>
      </c>
      <c r="AK567" s="3" t="s">
        <v>4611</v>
      </c>
      <c r="AL567" s="3"/>
      <c r="AM567" s="3" t="n">
        <v>3</v>
      </c>
      <c r="AN567" s="3"/>
      <c r="AO567" s="3" t="s">
        <v>59</v>
      </c>
      <c r="AP567" s="3"/>
      <c r="AQ567" s="3"/>
      <c r="AR567" s="3"/>
    </row>
    <row r="568" customFormat="false" ht="15" hidden="false" customHeight="true" outlineLevel="0" collapsed="false">
      <c r="A568" s="3" t="s">
        <v>4612</v>
      </c>
      <c r="B568" s="3" t="n">
        <v>7</v>
      </c>
      <c r="C568" s="3" t="n">
        <v>13</v>
      </c>
      <c r="D568" s="3"/>
      <c r="E568" s="4"/>
      <c r="F568" s="3" t="n">
        <v>19</v>
      </c>
      <c r="G568" s="3" t="str">
        <f aca="false">IF(F568="","",IF(F568&gt;=Notes!$B$5,"Elderly ("&amp;Notes!$B$5&amp;"+)",IF(F568&lt;=Notes!$B$4,"Student age (≤"&amp;Notes!$B$4&amp;")","Middle-aged ("&amp;(Notes!$B$4+1)&amp;"–"&amp;(Notes!$B$5-1)&amp;")")))</f>
        <v>Student age (≤29)</v>
      </c>
      <c r="H568" s="3" t="s">
        <v>45</v>
      </c>
      <c r="I568" s="3" t="s">
        <v>171</v>
      </c>
      <c r="J568" s="3" t="s">
        <v>47</v>
      </c>
      <c r="K568" s="3" t="s">
        <v>172</v>
      </c>
      <c r="L568" s="3" t="s">
        <v>49</v>
      </c>
      <c r="M568" s="3" t="s">
        <v>47</v>
      </c>
      <c r="N568" s="3" t="s">
        <v>50</v>
      </c>
      <c r="O568" s="3" t="s">
        <v>4613</v>
      </c>
      <c r="P568" s="3" t="n">
        <v>35</v>
      </c>
      <c r="Q568" s="3" t="s">
        <v>52</v>
      </c>
      <c r="R568" s="3" t="s">
        <v>4614</v>
      </c>
      <c r="S568" s="3" t="s">
        <v>4615</v>
      </c>
      <c r="T568" s="3"/>
      <c r="U568" s="3" t="s">
        <v>4616</v>
      </c>
      <c r="V568" s="3" t="s">
        <v>4617</v>
      </c>
      <c r="W568" s="3" t="s">
        <v>4618</v>
      </c>
      <c r="X568" s="3" t="s">
        <v>4619</v>
      </c>
      <c r="Y568" s="3" t="n">
        <v>3</v>
      </c>
      <c r="Z568" s="3" t="n">
        <v>1</v>
      </c>
      <c r="AA568" s="3" t="n">
        <v>1</v>
      </c>
      <c r="AB568" s="3" t="n">
        <v>3</v>
      </c>
      <c r="AC568" s="3" t="n">
        <v>1</v>
      </c>
      <c r="AD568" s="3" t="n">
        <v>2</v>
      </c>
      <c r="AE568" s="3" t="s">
        <v>4620</v>
      </c>
      <c r="AF568" s="3"/>
      <c r="AG568" s="3" t="s">
        <v>4621</v>
      </c>
      <c r="AH568" s="3"/>
      <c r="AI568" s="3" t="s">
        <v>4622</v>
      </c>
      <c r="AJ568" s="3"/>
      <c r="AK568" s="3" t="s">
        <v>4623</v>
      </c>
      <c r="AL568" s="3"/>
      <c r="AM568" s="3" t="n">
        <v>5</v>
      </c>
      <c r="AN568" s="3"/>
      <c r="AO568" s="3" t="s">
        <v>59</v>
      </c>
      <c r="AP568" s="3"/>
      <c r="AQ568" s="3" t="s">
        <v>4624</v>
      </c>
      <c r="AR568" s="3" t="s">
        <v>287</v>
      </c>
    </row>
    <row r="569" customFormat="false" ht="15" hidden="false" customHeight="true" outlineLevel="0" collapsed="false">
      <c r="A569" s="3" t="s">
        <v>4625</v>
      </c>
      <c r="B569" s="3" t="n">
        <v>7</v>
      </c>
      <c r="C569" s="3" t="n">
        <v>14</v>
      </c>
      <c r="D569" s="3"/>
      <c r="E569" s="4"/>
      <c r="F569" s="3" t="n">
        <v>20</v>
      </c>
      <c r="G569" s="3" t="str">
        <f aca="false">IF(F569="","",IF(F569&gt;=Notes!$B$5,"Elderly ("&amp;Notes!$B$5&amp;"+)",IF(F569&lt;=Notes!$B$4,"Student age (≤"&amp;Notes!$B$4&amp;")","Middle-aged ("&amp;(Notes!$B$4+1)&amp;"–"&amp;(Notes!$B$5-1)&amp;")")))</f>
        <v>Student age (≤29)</v>
      </c>
      <c r="H569" s="3" t="s">
        <v>83</v>
      </c>
      <c r="I569" s="3" t="s">
        <v>49</v>
      </c>
      <c r="J569" s="3" t="s">
        <v>47</v>
      </c>
      <c r="K569" s="3" t="s">
        <v>50</v>
      </c>
      <c r="L569" s="3" t="s">
        <v>49</v>
      </c>
      <c r="M569" s="3" t="s">
        <v>47</v>
      </c>
      <c r="N569" s="3" t="s">
        <v>50</v>
      </c>
      <c r="O569" s="3" t="s">
        <v>4626</v>
      </c>
      <c r="P569" s="3" t="n">
        <v>35</v>
      </c>
      <c r="Q569" s="3" t="s">
        <v>52</v>
      </c>
      <c r="R569" s="3" t="s">
        <v>4627</v>
      </c>
      <c r="S569" s="3" t="s">
        <v>4628</v>
      </c>
      <c r="T569" s="3"/>
      <c r="U569" s="3" t="s">
        <v>4629</v>
      </c>
      <c r="V569" s="3" t="s">
        <v>4630</v>
      </c>
      <c r="W569" s="3" t="s">
        <v>4631</v>
      </c>
      <c r="X569" s="3" t="s">
        <v>4632</v>
      </c>
      <c r="Y569" s="3" t="n">
        <v>1</v>
      </c>
      <c r="Z569" s="3" t="n">
        <v>2</v>
      </c>
      <c r="AA569" s="3" t="n">
        <v>3</v>
      </c>
      <c r="AB569" s="3" t="n">
        <v>2</v>
      </c>
      <c r="AC569" s="3" t="n">
        <v>1</v>
      </c>
      <c r="AD569" s="3" t="n">
        <v>3</v>
      </c>
      <c r="AE569" s="3" t="s">
        <v>4633</v>
      </c>
      <c r="AF569" s="3"/>
      <c r="AG569" s="3" t="s">
        <v>4634</v>
      </c>
      <c r="AH569" s="3"/>
      <c r="AI569" s="3" t="s">
        <v>4635</v>
      </c>
      <c r="AJ569" s="3"/>
      <c r="AK569" s="3" t="s">
        <v>4636</v>
      </c>
      <c r="AL569" s="3"/>
      <c r="AM569" s="3" t="n">
        <v>4</v>
      </c>
      <c r="AN569" s="3"/>
      <c r="AO569" s="3" t="s">
        <v>59</v>
      </c>
      <c r="AP569" s="3"/>
      <c r="AQ569" s="3"/>
      <c r="AR569" s="3"/>
    </row>
    <row r="570" customFormat="false" ht="15" hidden="false" customHeight="true" outlineLevel="0" collapsed="false">
      <c r="A570" s="3" t="s">
        <v>4637</v>
      </c>
      <c r="B570" s="3" t="n">
        <v>7</v>
      </c>
      <c r="C570" s="3" t="n">
        <v>15</v>
      </c>
      <c r="D570" s="3"/>
      <c r="E570" s="4"/>
      <c r="F570" s="3" t="n">
        <v>19</v>
      </c>
      <c r="G570" s="3" t="str">
        <f aca="false">IF(F570="","",IF(F570&gt;=Notes!$B$5,"Elderly ("&amp;Notes!$B$5&amp;"+)",IF(F570&lt;=Notes!$B$4,"Student age (≤"&amp;Notes!$B$4&amp;")","Middle-aged ("&amp;(Notes!$B$4+1)&amp;"–"&amp;(Notes!$B$5-1)&amp;")")))</f>
        <v>Student age (≤29)</v>
      </c>
      <c r="H570" s="3" t="s">
        <v>83</v>
      </c>
      <c r="I570" s="3" t="s">
        <v>71</v>
      </c>
      <c r="J570" s="3" t="s">
        <v>47</v>
      </c>
      <c r="K570" s="3" t="s">
        <v>72</v>
      </c>
      <c r="L570" s="3" t="s">
        <v>71</v>
      </c>
      <c r="M570" s="3" t="s">
        <v>47</v>
      </c>
      <c r="N570" s="3" t="s">
        <v>72</v>
      </c>
      <c r="O570" s="3" t="s">
        <v>4638</v>
      </c>
      <c r="P570" s="3" t="n">
        <v>25</v>
      </c>
      <c r="Q570" s="3" t="s">
        <v>117</v>
      </c>
      <c r="R570" s="3" t="s">
        <v>4639</v>
      </c>
      <c r="S570" s="3" t="s">
        <v>4640</v>
      </c>
      <c r="T570" s="3"/>
      <c r="U570" s="3" t="s">
        <v>4641</v>
      </c>
      <c r="V570" s="3" t="s">
        <v>4642</v>
      </c>
      <c r="W570" s="3" t="s">
        <v>4643</v>
      </c>
      <c r="X570" s="3" t="s">
        <v>4644</v>
      </c>
      <c r="Y570" s="3" t="n">
        <v>1</v>
      </c>
      <c r="Z570" s="3" t="n">
        <v>3</v>
      </c>
      <c r="AA570" s="3" t="n">
        <v>1</v>
      </c>
      <c r="AB570" s="3" t="n">
        <v>1</v>
      </c>
      <c r="AC570" s="3" t="n">
        <v>2</v>
      </c>
      <c r="AD570" s="3" t="n">
        <v>1</v>
      </c>
      <c r="AE570" s="3" t="s">
        <v>4645</v>
      </c>
      <c r="AF570" s="3"/>
      <c r="AG570" s="3" t="s">
        <v>4646</v>
      </c>
      <c r="AH570" s="3"/>
      <c r="AI570" s="3" t="s">
        <v>4647</v>
      </c>
      <c r="AJ570" s="3"/>
      <c r="AK570" s="3" t="s">
        <v>4648</v>
      </c>
      <c r="AL570" s="3"/>
      <c r="AM570" s="3" t="n">
        <v>5</v>
      </c>
      <c r="AN570" s="3"/>
      <c r="AO570" s="3" t="s">
        <v>59</v>
      </c>
      <c r="AP570" s="3"/>
      <c r="AQ570" s="3" t="s">
        <v>4649</v>
      </c>
      <c r="AR570" s="3" t="s">
        <v>81</v>
      </c>
    </row>
    <row r="571" customFormat="false" ht="15" hidden="false" customHeight="true" outlineLevel="0" collapsed="false">
      <c r="A571" s="3" t="s">
        <v>4650</v>
      </c>
      <c r="B571" s="3" t="n">
        <v>7</v>
      </c>
      <c r="C571" s="3" t="n">
        <v>16</v>
      </c>
      <c r="D571" s="3"/>
      <c r="E571" s="4"/>
      <c r="F571" s="3" t="n">
        <v>20</v>
      </c>
      <c r="G571" s="3" t="str">
        <f aca="false">IF(F571="","",IF(F571&gt;=Notes!$B$5,"Elderly ("&amp;Notes!$B$5&amp;"+)",IF(F571&lt;=Notes!$B$4,"Student age (≤"&amp;Notes!$B$4&amp;")","Middle-aged ("&amp;(Notes!$B$4+1)&amp;"–"&amp;(Notes!$B$5-1)&amp;")")))</f>
        <v>Student age (≤29)</v>
      </c>
      <c r="H571" s="3" t="s">
        <v>45</v>
      </c>
      <c r="I571" s="3"/>
      <c r="J571" s="3" t="s">
        <v>4651</v>
      </c>
      <c r="K571" s="3" t="s">
        <v>4651</v>
      </c>
      <c r="L571" s="3" t="s">
        <v>71</v>
      </c>
      <c r="M571" s="3" t="s">
        <v>47</v>
      </c>
      <c r="N571" s="3" t="s">
        <v>72</v>
      </c>
      <c r="O571" s="3" t="s">
        <v>4652</v>
      </c>
      <c r="P571" s="3" t="n">
        <v>20</v>
      </c>
      <c r="Q571" s="3" t="s">
        <v>95</v>
      </c>
      <c r="R571" s="3" t="s">
        <v>4653</v>
      </c>
      <c r="S571" s="3" t="s">
        <v>4654</v>
      </c>
      <c r="T571" s="3"/>
      <c r="U571" s="3" t="s">
        <v>4655</v>
      </c>
      <c r="V571" s="3" t="s">
        <v>4656</v>
      </c>
      <c r="W571" s="3" t="s">
        <v>4657</v>
      </c>
      <c r="X571" s="3" t="s">
        <v>4658</v>
      </c>
      <c r="Y571" s="3" t="n">
        <v>1</v>
      </c>
      <c r="Z571" s="3" t="n">
        <v>1</v>
      </c>
      <c r="AA571" s="3" t="n">
        <v>3</v>
      </c>
      <c r="AB571" s="3" t="n">
        <v>1</v>
      </c>
      <c r="AC571" s="3" t="n">
        <v>1</v>
      </c>
      <c r="AD571" s="3" t="n">
        <v>3</v>
      </c>
      <c r="AE571" s="3" t="s">
        <v>4659</v>
      </c>
      <c r="AF571" s="3"/>
      <c r="AG571" s="3" t="s">
        <v>4660</v>
      </c>
      <c r="AH571" s="3"/>
      <c r="AI571" s="3" t="s">
        <v>4661</v>
      </c>
      <c r="AJ571" s="3"/>
      <c r="AK571" s="3" t="s">
        <v>4662</v>
      </c>
      <c r="AL571" s="3"/>
      <c r="AM571" s="3" t="n">
        <v>5</v>
      </c>
      <c r="AN571" s="3"/>
      <c r="AO571" s="3" t="s">
        <v>59</v>
      </c>
      <c r="AP571" s="3"/>
      <c r="AQ571" s="3" t="s">
        <v>4663</v>
      </c>
      <c r="AR571" s="3" t="s">
        <v>81</v>
      </c>
    </row>
    <row r="572" customFormat="false" ht="15" hidden="false" customHeight="true" outlineLevel="0" collapsed="false">
      <c r="A572" s="3" t="s">
        <v>4664</v>
      </c>
      <c r="B572" s="3" t="n">
        <v>7</v>
      </c>
      <c r="C572" s="3" t="n">
        <v>17</v>
      </c>
      <c r="D572" s="3"/>
      <c r="E572" s="4"/>
      <c r="F572" s="3" t="n">
        <v>19</v>
      </c>
      <c r="G572" s="3" t="str">
        <f aca="false">IF(F572="","",IF(F572&gt;=Notes!$B$5,"Elderly ("&amp;Notes!$B$5&amp;"+)",IF(F572&lt;=Notes!$B$4,"Student age (≤"&amp;Notes!$B$4&amp;")","Middle-aged ("&amp;(Notes!$B$4+1)&amp;"–"&amp;(Notes!$B$5-1)&amp;")")))</f>
        <v>Student age (≤29)</v>
      </c>
      <c r="H572" s="3" t="s">
        <v>45</v>
      </c>
      <c r="I572" s="3" t="s">
        <v>171</v>
      </c>
      <c r="J572" s="3" t="s">
        <v>47</v>
      </c>
      <c r="K572" s="3" t="s">
        <v>172</v>
      </c>
      <c r="L572" s="3" t="s">
        <v>61</v>
      </c>
      <c r="M572" s="3" t="s">
        <v>47</v>
      </c>
      <c r="N572" s="3" t="s">
        <v>62</v>
      </c>
      <c r="O572" s="3" t="s">
        <v>4665</v>
      </c>
      <c r="P572" s="3" t="n">
        <v>65</v>
      </c>
      <c r="Q572" s="3" t="s">
        <v>52</v>
      </c>
      <c r="R572" s="3" t="s">
        <v>4666</v>
      </c>
      <c r="S572" s="3" t="s">
        <v>4667</v>
      </c>
      <c r="T572" s="3"/>
      <c r="U572" s="3" t="s">
        <v>98</v>
      </c>
      <c r="V572" s="3" t="s">
        <v>4668</v>
      </c>
      <c r="W572" s="3" t="s">
        <v>4669</v>
      </c>
      <c r="X572" s="3" t="s">
        <v>4670</v>
      </c>
      <c r="Y572" s="3" t="n">
        <v>1</v>
      </c>
      <c r="Z572" s="3" t="n">
        <v>1</v>
      </c>
      <c r="AA572" s="3" t="n">
        <v>3</v>
      </c>
      <c r="AB572" s="3" t="n">
        <v>2</v>
      </c>
      <c r="AC572" s="3" t="n">
        <v>1</v>
      </c>
      <c r="AD572" s="3" t="n">
        <v>3</v>
      </c>
      <c r="AE572" s="3" t="s">
        <v>4671</v>
      </c>
      <c r="AF572" s="3"/>
      <c r="AG572" s="3" t="s">
        <v>4672</v>
      </c>
      <c r="AH572" s="3"/>
      <c r="AI572" s="3" t="s">
        <v>4673</v>
      </c>
      <c r="AJ572" s="3" t="s">
        <v>59</v>
      </c>
      <c r="AK572" s="3" t="s">
        <v>4674</v>
      </c>
      <c r="AL572" s="3"/>
      <c r="AM572" s="3" t="n">
        <v>4</v>
      </c>
      <c r="AN572" s="3"/>
      <c r="AO572" s="3" t="s">
        <v>59</v>
      </c>
      <c r="AP572" s="3"/>
      <c r="AQ572" s="3"/>
      <c r="AR572" s="3" t="s">
        <v>287</v>
      </c>
    </row>
    <row r="573" customFormat="false" ht="15" hidden="false" customHeight="true" outlineLevel="0" collapsed="false">
      <c r="A573" s="3" t="s">
        <v>4675</v>
      </c>
      <c r="B573" s="3" t="n">
        <v>7</v>
      </c>
      <c r="C573" s="3" t="n">
        <v>18</v>
      </c>
      <c r="D573" s="3"/>
      <c r="E573" s="4"/>
      <c r="F573" s="3" t="n">
        <v>21</v>
      </c>
      <c r="G573" s="3" t="str">
        <f aca="false">IF(F573="","",IF(F573&gt;=Notes!$B$5,"Elderly ("&amp;Notes!$B$5&amp;"+)",IF(F573&lt;=Notes!$B$4,"Student age (≤"&amp;Notes!$B$4&amp;")","Middle-aged ("&amp;(Notes!$B$4+1)&amp;"–"&amp;(Notes!$B$5-1)&amp;")")))</f>
        <v>Student age (≤29)</v>
      </c>
      <c r="H573" s="3" t="s">
        <v>83</v>
      </c>
      <c r="I573" s="3" t="s">
        <v>171</v>
      </c>
      <c r="J573" s="3" t="s">
        <v>47</v>
      </c>
      <c r="K573" s="3" t="s">
        <v>172</v>
      </c>
      <c r="L573" s="3" t="s">
        <v>1271</v>
      </c>
      <c r="M573" s="3" t="s">
        <v>47</v>
      </c>
      <c r="N573" s="3" t="s">
        <v>1272</v>
      </c>
      <c r="O573" s="3" t="s">
        <v>4676</v>
      </c>
      <c r="P573" s="3" t="n">
        <v>60</v>
      </c>
      <c r="Q573" s="3" t="s">
        <v>52</v>
      </c>
      <c r="R573" s="3" t="s">
        <v>4677</v>
      </c>
      <c r="S573" s="3" t="s">
        <v>4678</v>
      </c>
      <c r="T573" s="3"/>
      <c r="U573" s="3" t="s">
        <v>4679</v>
      </c>
      <c r="V573" s="3" t="s">
        <v>4680</v>
      </c>
      <c r="W573" s="3" t="s">
        <v>4681</v>
      </c>
      <c r="X573" s="3" t="s">
        <v>4682</v>
      </c>
      <c r="Y573" s="3" t="n">
        <v>1</v>
      </c>
      <c r="Z573" s="3" t="n">
        <v>3</v>
      </c>
      <c r="AA573" s="3" t="n">
        <v>3</v>
      </c>
      <c r="AB573" s="3" t="n">
        <v>1</v>
      </c>
      <c r="AC573" s="3" t="n">
        <v>2</v>
      </c>
      <c r="AD573" s="3" t="n">
        <v>3</v>
      </c>
      <c r="AE573" s="3" t="s">
        <v>4683</v>
      </c>
      <c r="AF573" s="3"/>
      <c r="AG573" s="3" t="s">
        <v>4684</v>
      </c>
      <c r="AH573" s="3"/>
      <c r="AI573" s="3" t="s">
        <v>4685</v>
      </c>
      <c r="AJ573" s="3"/>
      <c r="AK573" s="3" t="s">
        <v>4686</v>
      </c>
      <c r="AL573" s="3"/>
      <c r="AM573" s="3" t="n">
        <v>5</v>
      </c>
      <c r="AN573" s="3"/>
      <c r="AO573" s="3" t="s">
        <v>59</v>
      </c>
      <c r="AP573" s="3"/>
      <c r="AQ573" s="3"/>
      <c r="AR573" s="3" t="s">
        <v>287</v>
      </c>
    </row>
    <row r="574" customFormat="false" ht="15" hidden="false" customHeight="true" outlineLevel="0" collapsed="false">
      <c r="A574" s="3" t="s">
        <v>4687</v>
      </c>
      <c r="B574" s="3" t="n">
        <v>7</v>
      </c>
      <c r="C574" s="3" t="n">
        <v>19</v>
      </c>
      <c r="D574" s="3"/>
      <c r="E574" s="4"/>
      <c r="F574" s="3" t="n">
        <v>21</v>
      </c>
      <c r="G574" s="3" t="str">
        <f aca="false">IF(F574="","",IF(F574&gt;=Notes!$B$5,"Elderly ("&amp;Notes!$B$5&amp;"+)",IF(F574&lt;=Notes!$B$4,"Student age (≤"&amp;Notes!$B$4&amp;")","Middle-aged ("&amp;(Notes!$B$4+1)&amp;"–"&amp;(Notes!$B$5-1)&amp;")")))</f>
        <v>Student age (≤29)</v>
      </c>
      <c r="H574" s="3" t="s">
        <v>45</v>
      </c>
      <c r="I574" s="3" t="s">
        <v>3553</v>
      </c>
      <c r="J574" s="3" t="s">
        <v>437</v>
      </c>
      <c r="K574" s="3" t="s">
        <v>3554</v>
      </c>
      <c r="L574" s="3" t="s">
        <v>49</v>
      </c>
      <c r="M574" s="3" t="s">
        <v>47</v>
      </c>
      <c r="N574" s="3" t="s">
        <v>50</v>
      </c>
      <c r="O574" s="3" t="s">
        <v>4688</v>
      </c>
      <c r="P574" s="3" t="n">
        <v>30</v>
      </c>
      <c r="Q574" s="3" t="s">
        <v>117</v>
      </c>
      <c r="R574" s="3" t="s">
        <v>4689</v>
      </c>
      <c r="S574" s="3" t="s">
        <v>4690</v>
      </c>
      <c r="T574" s="3"/>
      <c r="U574" s="3" t="s">
        <v>895</v>
      </c>
      <c r="V574" s="3" t="s">
        <v>4691</v>
      </c>
      <c r="W574" s="3" t="s">
        <v>4692</v>
      </c>
      <c r="X574" s="3" t="s">
        <v>4693</v>
      </c>
      <c r="Y574" s="3" t="n">
        <v>1</v>
      </c>
      <c r="Z574" s="3" t="n">
        <v>3</v>
      </c>
      <c r="AA574" s="3" t="n">
        <v>3</v>
      </c>
      <c r="AB574" s="3" t="n">
        <v>3</v>
      </c>
      <c r="AC574" s="3" t="n">
        <v>2</v>
      </c>
      <c r="AD574" s="3" t="n">
        <v>1</v>
      </c>
      <c r="AE574" s="3" t="s">
        <v>4694</v>
      </c>
      <c r="AF574" s="3"/>
      <c r="AG574" s="3" t="s">
        <v>4695</v>
      </c>
      <c r="AH574" s="3"/>
      <c r="AI574" s="3" t="s">
        <v>4696</v>
      </c>
      <c r="AJ574" s="3"/>
      <c r="AK574" s="3" t="s">
        <v>4697</v>
      </c>
      <c r="AL574" s="3"/>
      <c r="AM574" s="3" t="n">
        <v>5</v>
      </c>
      <c r="AN574" s="3"/>
      <c r="AO574" s="3" t="s">
        <v>59</v>
      </c>
      <c r="AP574" s="3"/>
      <c r="AQ574" s="3"/>
      <c r="AR574" s="3" t="s">
        <v>287</v>
      </c>
    </row>
    <row r="575" customFormat="false" ht="15" hidden="false" customHeight="true" outlineLevel="0" collapsed="false">
      <c r="A575" s="3" t="s">
        <v>4698</v>
      </c>
      <c r="B575" s="3" t="n">
        <v>7</v>
      </c>
      <c r="C575" s="3" t="n">
        <v>20</v>
      </c>
      <c r="D575" s="3"/>
      <c r="E575" s="4"/>
      <c r="F575" s="3" t="n">
        <v>21</v>
      </c>
      <c r="G575" s="3" t="str">
        <f aca="false">IF(F575="","",IF(F575&gt;=Notes!$B$5,"Elderly ("&amp;Notes!$B$5&amp;"+)",IF(F575&lt;=Notes!$B$4,"Student age (≤"&amp;Notes!$B$4&amp;")","Middle-aged ("&amp;(Notes!$B$4+1)&amp;"–"&amp;(Notes!$B$5-1)&amp;")")))</f>
        <v>Student age (≤29)</v>
      </c>
      <c r="H575" s="3" t="s">
        <v>83</v>
      </c>
      <c r="I575" s="3" t="s">
        <v>1271</v>
      </c>
      <c r="J575" s="3" t="s">
        <v>47</v>
      </c>
      <c r="K575" s="3" t="s">
        <v>1272</v>
      </c>
      <c r="L575" s="3" t="s">
        <v>256</v>
      </c>
      <c r="M575" s="3" t="s">
        <v>47</v>
      </c>
      <c r="N575" s="3" t="s">
        <v>257</v>
      </c>
      <c r="O575" s="3" t="s">
        <v>4699</v>
      </c>
      <c r="P575" s="3" t="n">
        <v>15</v>
      </c>
      <c r="Q575" s="3" t="s">
        <v>74</v>
      </c>
      <c r="R575" s="3" t="s">
        <v>4700</v>
      </c>
      <c r="S575" s="3" t="s">
        <v>4701</v>
      </c>
      <c r="T575" s="3"/>
      <c r="U575" s="3" t="s">
        <v>4702</v>
      </c>
      <c r="V575" s="3" t="s">
        <v>4703</v>
      </c>
      <c r="W575" s="3" t="s">
        <v>4704</v>
      </c>
      <c r="X575" s="3" t="s">
        <v>4705</v>
      </c>
      <c r="Y575" s="3" t="n">
        <v>1</v>
      </c>
      <c r="Z575" s="3" t="n">
        <v>1</v>
      </c>
      <c r="AA575" s="3" t="n">
        <v>3</v>
      </c>
      <c r="AB575" s="3" t="n">
        <v>1</v>
      </c>
      <c r="AC575" s="3" t="n">
        <v>2</v>
      </c>
      <c r="AD575" s="3" t="n">
        <v>3</v>
      </c>
      <c r="AE575" s="3" t="s">
        <v>4706</v>
      </c>
      <c r="AF575" s="3"/>
      <c r="AG575" s="3" t="s">
        <v>4707</v>
      </c>
      <c r="AH575" s="3"/>
      <c r="AI575" s="3" t="s">
        <v>4708</v>
      </c>
      <c r="AJ575" s="3"/>
      <c r="AK575" s="3" t="s">
        <v>4709</v>
      </c>
      <c r="AL575" s="3"/>
      <c r="AM575" s="3" t="n">
        <v>5</v>
      </c>
      <c r="AN575" s="3"/>
      <c r="AO575" s="3" t="s">
        <v>59</v>
      </c>
      <c r="AP575" s="3"/>
      <c r="AQ575" s="3"/>
      <c r="AR575" s="3" t="s">
        <v>287</v>
      </c>
    </row>
    <row r="576" customFormat="false" ht="15" hidden="false" customHeight="true" outlineLevel="0" collapsed="false">
      <c r="A576" s="3" t="s">
        <v>4710</v>
      </c>
      <c r="B576" s="3" t="n">
        <v>7</v>
      </c>
      <c r="C576" s="3" t="n">
        <v>23</v>
      </c>
      <c r="D576" s="3"/>
      <c r="E576" s="4"/>
      <c r="F576" s="3" t="n">
        <v>19</v>
      </c>
      <c r="G576" s="3" t="str">
        <f aca="false">IF(F576="","",IF(F576&gt;=Notes!$B$5,"Elderly ("&amp;Notes!$B$5&amp;"+)",IF(F576&lt;=Notes!$B$4,"Student age (≤"&amp;Notes!$B$4&amp;")","Middle-aged ("&amp;(Notes!$B$4+1)&amp;"–"&amp;(Notes!$B$5-1)&amp;")")))</f>
        <v>Student age (≤29)</v>
      </c>
      <c r="H576" s="3" t="s">
        <v>45</v>
      </c>
      <c r="I576" s="3" t="s">
        <v>171</v>
      </c>
      <c r="J576" s="3" t="s">
        <v>47</v>
      </c>
      <c r="K576" s="3" t="s">
        <v>172</v>
      </c>
      <c r="L576" s="3" t="s">
        <v>49</v>
      </c>
      <c r="M576" s="3" t="s">
        <v>47</v>
      </c>
      <c r="N576" s="3" t="s">
        <v>50</v>
      </c>
      <c r="O576" s="3" t="s">
        <v>4711</v>
      </c>
      <c r="P576" s="3" t="n">
        <v>35</v>
      </c>
      <c r="Q576" s="3" t="s">
        <v>52</v>
      </c>
      <c r="R576" s="3" t="s">
        <v>4712</v>
      </c>
      <c r="S576" s="3" t="s">
        <v>4713</v>
      </c>
      <c r="T576" s="3"/>
      <c r="U576" s="3" t="s">
        <v>4714</v>
      </c>
      <c r="V576" s="3" t="s">
        <v>4715</v>
      </c>
      <c r="W576" s="3" t="s">
        <v>4716</v>
      </c>
      <c r="X576" s="3" t="s">
        <v>4717</v>
      </c>
      <c r="Y576" s="3" t="n">
        <v>3</v>
      </c>
      <c r="Z576" s="3" t="n">
        <v>1</v>
      </c>
      <c r="AA576" s="3" t="n">
        <v>1</v>
      </c>
      <c r="AB576" s="3" t="n">
        <v>3</v>
      </c>
      <c r="AC576" s="3" t="n">
        <v>1</v>
      </c>
      <c r="AD576" s="3" t="n">
        <v>2</v>
      </c>
      <c r="AE576" s="3" t="s">
        <v>4718</v>
      </c>
      <c r="AF576" s="3"/>
      <c r="AG576" s="3" t="s">
        <v>4719</v>
      </c>
      <c r="AH576" s="3"/>
      <c r="AI576" s="3" t="s">
        <v>4720</v>
      </c>
      <c r="AJ576" s="3" t="s">
        <v>59</v>
      </c>
      <c r="AK576" s="3" t="s">
        <v>4721</v>
      </c>
      <c r="AL576" s="3"/>
      <c r="AM576" s="3" t="n">
        <v>5</v>
      </c>
      <c r="AN576" s="3"/>
      <c r="AO576" s="3" t="s">
        <v>59</v>
      </c>
      <c r="AP576" s="3"/>
      <c r="AQ576" s="3" t="s">
        <v>4722</v>
      </c>
      <c r="AR576" s="3" t="s">
        <v>287</v>
      </c>
    </row>
    <row r="577" customFormat="false" ht="15" hidden="false" customHeight="true" outlineLevel="0" collapsed="false">
      <c r="A577" s="3" t="s">
        <v>4723</v>
      </c>
      <c r="B577" s="3" t="n">
        <v>7</v>
      </c>
      <c r="C577" s="3" t="n">
        <v>24</v>
      </c>
      <c r="D577" s="3"/>
      <c r="E577" s="4"/>
      <c r="F577" s="3" t="n">
        <v>19</v>
      </c>
      <c r="G577" s="3" t="str">
        <f aca="false">IF(F577="","",IF(F577&gt;=Notes!$B$5,"Elderly ("&amp;Notes!$B$5&amp;"+)",IF(F577&lt;=Notes!$B$4,"Student age (≤"&amp;Notes!$B$4&amp;")","Middle-aged ("&amp;(Notes!$B$4+1)&amp;"–"&amp;(Notes!$B$5-1)&amp;")")))</f>
        <v>Student age (≤29)</v>
      </c>
      <c r="H577" s="3" t="s">
        <v>83</v>
      </c>
      <c r="I577" s="3" t="s">
        <v>71</v>
      </c>
      <c r="J577" s="3" t="s">
        <v>47</v>
      </c>
      <c r="K577" s="3" t="s">
        <v>72</v>
      </c>
      <c r="L577" s="3" t="s">
        <v>71</v>
      </c>
      <c r="M577" s="3" t="s">
        <v>47</v>
      </c>
      <c r="N577" s="3" t="s">
        <v>72</v>
      </c>
      <c r="O577" s="3" t="s">
        <v>4724</v>
      </c>
      <c r="P577" s="3" t="n">
        <v>25</v>
      </c>
      <c r="Q577" s="3" t="s">
        <v>117</v>
      </c>
      <c r="R577" s="3" t="s">
        <v>4725</v>
      </c>
      <c r="S577" s="3" t="s">
        <v>4726</v>
      </c>
      <c r="T577" s="3"/>
      <c r="U577" s="3" t="s">
        <v>885</v>
      </c>
      <c r="V577" s="3" t="s">
        <v>4727</v>
      </c>
      <c r="W577" s="3" t="s">
        <v>4728</v>
      </c>
      <c r="X577" s="3" t="s">
        <v>4729</v>
      </c>
      <c r="Y577" s="3" t="n">
        <v>1</v>
      </c>
      <c r="Z577" s="3" t="n">
        <v>3</v>
      </c>
      <c r="AA577" s="3" t="n">
        <v>1</v>
      </c>
      <c r="AB577" s="3" t="n">
        <v>1</v>
      </c>
      <c r="AC577" s="3" t="n">
        <v>2</v>
      </c>
      <c r="AD577" s="3" t="n">
        <v>1</v>
      </c>
      <c r="AE577" s="3" t="s">
        <v>4730</v>
      </c>
      <c r="AF577" s="3"/>
      <c r="AG577" s="3" t="s">
        <v>4731</v>
      </c>
      <c r="AH577" s="3"/>
      <c r="AI577" s="3" t="s">
        <v>4732</v>
      </c>
      <c r="AJ577" s="3" t="s">
        <v>59</v>
      </c>
      <c r="AK577" s="3" t="s">
        <v>4733</v>
      </c>
      <c r="AL577" s="3"/>
      <c r="AM577" s="3" t="n">
        <v>5</v>
      </c>
      <c r="AN577" s="3"/>
      <c r="AO577" s="3" t="s">
        <v>59</v>
      </c>
      <c r="AP577" s="3"/>
      <c r="AQ577" s="3"/>
      <c r="AR577" s="3" t="s">
        <v>81</v>
      </c>
    </row>
    <row r="578" customFormat="false" ht="15" hidden="false" customHeight="true" outlineLevel="0" collapsed="false">
      <c r="A578" s="3" t="s">
        <v>4734</v>
      </c>
      <c r="B578" s="3" t="n">
        <v>7</v>
      </c>
      <c r="C578" s="3" t="n">
        <v>25</v>
      </c>
      <c r="D578" s="3"/>
      <c r="E578" s="4"/>
      <c r="F578" s="3" t="n">
        <v>18</v>
      </c>
      <c r="G578" s="3" t="str">
        <f aca="false">IF(F578="","",IF(F578&gt;=Notes!$B$5,"Elderly ("&amp;Notes!$B$5&amp;"+)",IF(F578&lt;=Notes!$B$4,"Student age (≤"&amp;Notes!$B$4&amp;")","Middle-aged ("&amp;(Notes!$B$4+1)&amp;"–"&amp;(Notes!$B$5-1)&amp;")")))</f>
        <v>Student age (≤29)</v>
      </c>
      <c r="H578" s="3" t="s">
        <v>45</v>
      </c>
      <c r="I578" s="3" t="s">
        <v>171</v>
      </c>
      <c r="J578" s="3" t="s">
        <v>47</v>
      </c>
      <c r="K578" s="3" t="s">
        <v>172</v>
      </c>
      <c r="L578" s="3" t="s">
        <v>114</v>
      </c>
      <c r="M578" s="3" t="s">
        <v>47</v>
      </c>
      <c r="N578" s="3" t="s">
        <v>115</v>
      </c>
      <c r="O578" s="3" t="s">
        <v>4735</v>
      </c>
      <c r="P578" s="3" t="n">
        <v>30</v>
      </c>
      <c r="Q578" s="3" t="s">
        <v>117</v>
      </c>
      <c r="R578" s="3" t="s">
        <v>4736</v>
      </c>
      <c r="S578" s="3" t="s">
        <v>4737</v>
      </c>
      <c r="T578" s="3"/>
      <c r="U578" s="3" t="s">
        <v>4738</v>
      </c>
      <c r="V578" s="3" t="s">
        <v>4739</v>
      </c>
      <c r="W578" s="3" t="s">
        <v>4740</v>
      </c>
      <c r="X578" s="3" t="s">
        <v>4741</v>
      </c>
      <c r="Y578" s="3" t="n">
        <v>1</v>
      </c>
      <c r="Z578" s="3" t="n">
        <v>1</v>
      </c>
      <c r="AA578" s="3" t="n">
        <v>3</v>
      </c>
      <c r="AB578" s="3" t="n">
        <v>2</v>
      </c>
      <c r="AC578" s="3" t="n">
        <v>3</v>
      </c>
      <c r="AD578" s="3" t="n">
        <v>1</v>
      </c>
      <c r="AE578" s="3" t="s">
        <v>4742</v>
      </c>
      <c r="AF578" s="3"/>
      <c r="AG578" s="3" t="s">
        <v>4743</v>
      </c>
      <c r="AH578" s="3"/>
      <c r="AI578" s="3" t="s">
        <v>4744</v>
      </c>
      <c r="AJ578" s="3"/>
      <c r="AK578" s="3" t="s">
        <v>4745</v>
      </c>
      <c r="AL578" s="3"/>
      <c r="AM578" s="3" t="n">
        <v>5</v>
      </c>
      <c r="AN578" s="3"/>
      <c r="AO578" s="3" t="s">
        <v>59</v>
      </c>
      <c r="AP578" s="3"/>
      <c r="AQ578" s="3"/>
      <c r="AR578" s="3" t="s">
        <v>287</v>
      </c>
    </row>
    <row r="579" customFormat="false" ht="15" hidden="false" customHeight="true" outlineLevel="0" collapsed="false">
      <c r="A579" s="3" t="s">
        <v>4746</v>
      </c>
      <c r="B579" s="3" t="n">
        <v>7</v>
      </c>
      <c r="C579" s="3" t="n">
        <v>26</v>
      </c>
      <c r="D579" s="3"/>
      <c r="E579" s="4"/>
      <c r="F579" s="3" t="n">
        <v>20</v>
      </c>
      <c r="G579" s="3" t="str">
        <f aca="false">IF(F579="","",IF(F579&gt;=Notes!$B$5,"Elderly ("&amp;Notes!$B$5&amp;"+)",IF(F579&lt;=Notes!$B$4,"Student age (≤"&amp;Notes!$B$4&amp;")","Middle-aged ("&amp;(Notes!$B$4+1)&amp;"–"&amp;(Notes!$B$5-1)&amp;")")))</f>
        <v>Student age (≤29)</v>
      </c>
      <c r="H579" s="3" t="s">
        <v>45</v>
      </c>
      <c r="I579" s="3"/>
      <c r="J579" s="3" t="s">
        <v>4651</v>
      </c>
      <c r="K579" s="3" t="s">
        <v>4651</v>
      </c>
      <c r="L579" s="3" t="s">
        <v>71</v>
      </c>
      <c r="M579" s="3" t="s">
        <v>47</v>
      </c>
      <c r="N579" s="3" t="s">
        <v>72</v>
      </c>
      <c r="O579" s="3" t="s">
        <v>4747</v>
      </c>
      <c r="P579" s="3" t="n">
        <v>20</v>
      </c>
      <c r="Q579" s="3" t="s">
        <v>95</v>
      </c>
      <c r="R579" s="3" t="s">
        <v>4748</v>
      </c>
      <c r="S579" s="3" t="s">
        <v>4749</v>
      </c>
      <c r="T579" s="3"/>
      <c r="U579" s="3" t="s">
        <v>4750</v>
      </c>
      <c r="V579" s="3" t="s">
        <v>4751</v>
      </c>
      <c r="W579" s="3" t="s">
        <v>4752</v>
      </c>
      <c r="X579" s="3" t="s">
        <v>4753</v>
      </c>
      <c r="Y579" s="3" t="n">
        <v>1</v>
      </c>
      <c r="Z579" s="3" t="n">
        <v>1</v>
      </c>
      <c r="AA579" s="3" t="n">
        <v>3</v>
      </c>
      <c r="AB579" s="3" t="n">
        <v>1</v>
      </c>
      <c r="AC579" s="3" t="n">
        <v>1</v>
      </c>
      <c r="AD579" s="3" t="n">
        <v>3</v>
      </c>
      <c r="AE579" s="3" t="s">
        <v>4754</v>
      </c>
      <c r="AF579" s="3"/>
      <c r="AG579" s="3" t="s">
        <v>4755</v>
      </c>
      <c r="AH579" s="3"/>
      <c r="AI579" s="3" t="s">
        <v>4756</v>
      </c>
      <c r="AJ579" s="3"/>
      <c r="AK579" s="3" t="s">
        <v>4757</v>
      </c>
      <c r="AL579" s="3"/>
      <c r="AM579" s="3" t="n">
        <v>5</v>
      </c>
      <c r="AN579" s="3"/>
      <c r="AO579" s="3" t="s">
        <v>59</v>
      </c>
      <c r="AP579" s="3"/>
      <c r="AQ579" s="3"/>
      <c r="AR579" s="3" t="s">
        <v>81</v>
      </c>
    </row>
    <row r="580" customFormat="false" ht="15" hidden="false" customHeight="true" outlineLevel="0" collapsed="false">
      <c r="A580" s="3" t="s">
        <v>4758</v>
      </c>
      <c r="B580" s="3" t="n">
        <v>7</v>
      </c>
      <c r="C580" s="3" t="n">
        <v>29</v>
      </c>
      <c r="D580" s="3"/>
      <c r="E580" s="4"/>
      <c r="F580" s="3" t="n">
        <v>19</v>
      </c>
      <c r="G580" s="3" t="str">
        <f aca="false">IF(F580="","",IF(F580&gt;=Notes!$B$5,"Elderly ("&amp;Notes!$B$5&amp;"+)",IF(F580&lt;=Notes!$B$4,"Student age (≤"&amp;Notes!$B$4&amp;")","Middle-aged ("&amp;(Notes!$B$4+1)&amp;"–"&amp;(Notes!$B$5-1)&amp;")")))</f>
        <v>Student age (≤29)</v>
      </c>
      <c r="H580" s="3" t="s">
        <v>83</v>
      </c>
      <c r="I580" s="3" t="s">
        <v>171</v>
      </c>
      <c r="J580" s="3" t="s">
        <v>47</v>
      </c>
      <c r="K580" s="3" t="s">
        <v>172</v>
      </c>
      <c r="L580" s="3" t="s">
        <v>171</v>
      </c>
      <c r="M580" s="3" t="s">
        <v>47</v>
      </c>
      <c r="N580" s="3" t="s">
        <v>172</v>
      </c>
      <c r="O580" s="3" t="s">
        <v>4759</v>
      </c>
      <c r="P580" s="3" t="n">
        <v>25</v>
      </c>
      <c r="Q580" s="3" t="s">
        <v>117</v>
      </c>
      <c r="R580" s="3" t="s">
        <v>4760</v>
      </c>
      <c r="S580" s="3" t="s">
        <v>4761</v>
      </c>
      <c r="T580" s="3"/>
      <c r="U580" s="3" t="s">
        <v>4762</v>
      </c>
      <c r="V580" s="3" t="s">
        <v>4763</v>
      </c>
      <c r="W580" s="3" t="s">
        <v>4764</v>
      </c>
      <c r="X580" s="3" t="s">
        <v>4765</v>
      </c>
      <c r="Y580" s="3" t="n">
        <v>1</v>
      </c>
      <c r="Z580" s="3" t="n">
        <v>1</v>
      </c>
      <c r="AA580" s="3" t="n">
        <v>3</v>
      </c>
      <c r="AB580" s="3" t="n">
        <v>2</v>
      </c>
      <c r="AC580" s="3" t="n">
        <v>1</v>
      </c>
      <c r="AD580" s="3" t="n">
        <v>3</v>
      </c>
      <c r="AE580" s="3" t="s">
        <v>4766</v>
      </c>
      <c r="AF580" s="3"/>
      <c r="AG580" s="3" t="s">
        <v>4767</v>
      </c>
      <c r="AH580" s="3"/>
      <c r="AI580" s="3" t="s">
        <v>4768</v>
      </c>
      <c r="AJ580" s="3" t="s">
        <v>59</v>
      </c>
      <c r="AK580" s="3" t="s">
        <v>4769</v>
      </c>
      <c r="AL580" s="3"/>
      <c r="AM580" s="3" t="n">
        <v>1</v>
      </c>
      <c r="AN580" s="3"/>
      <c r="AO580" s="3" t="s">
        <v>59</v>
      </c>
      <c r="AP580" s="3"/>
      <c r="AQ580" s="3"/>
      <c r="AR580" s="3" t="s">
        <v>287</v>
      </c>
    </row>
    <row r="581" customFormat="false" ht="15" hidden="false" customHeight="true" outlineLevel="0" collapsed="false">
      <c r="A581" s="3" t="s">
        <v>4770</v>
      </c>
      <c r="B581" s="3" t="n">
        <v>7</v>
      </c>
      <c r="C581" s="3" t="n">
        <v>30</v>
      </c>
      <c r="D581" s="3"/>
      <c r="E581" s="4"/>
      <c r="F581" s="3" t="n">
        <v>18</v>
      </c>
      <c r="G581" s="3" t="str">
        <f aca="false">IF(F581="","",IF(F581&gt;=Notes!$B$5,"Elderly ("&amp;Notes!$B$5&amp;"+)",IF(F581&lt;=Notes!$B$4,"Student age (≤"&amp;Notes!$B$4&amp;")","Middle-aged ("&amp;(Notes!$B$4+1)&amp;"–"&amp;(Notes!$B$5-1)&amp;")")))</f>
        <v>Student age (≤29)</v>
      </c>
      <c r="H581" s="3" t="s">
        <v>45</v>
      </c>
      <c r="I581" s="3" t="s">
        <v>171</v>
      </c>
      <c r="J581" s="3" t="s">
        <v>47</v>
      </c>
      <c r="K581" s="3" t="s">
        <v>172</v>
      </c>
      <c r="L581" s="3" t="s">
        <v>49</v>
      </c>
      <c r="M581" s="3" t="s">
        <v>47</v>
      </c>
      <c r="N581" s="3" t="s">
        <v>50</v>
      </c>
      <c r="O581" s="3" t="s">
        <v>4771</v>
      </c>
      <c r="P581" s="3" t="n">
        <v>30</v>
      </c>
      <c r="Q581" s="3" t="s">
        <v>117</v>
      </c>
      <c r="R581" s="3" t="s">
        <v>4772</v>
      </c>
      <c r="S581" s="3" t="s">
        <v>4773</v>
      </c>
      <c r="T581" s="3"/>
      <c r="U581" s="3" t="s">
        <v>4774</v>
      </c>
      <c r="V581" s="3" t="s">
        <v>4775</v>
      </c>
      <c r="W581" s="3" t="s">
        <v>4776</v>
      </c>
      <c r="X581" s="3" t="s">
        <v>4777</v>
      </c>
      <c r="Y581" s="3" t="n">
        <v>1</v>
      </c>
      <c r="Z581" s="3" t="n">
        <v>1</v>
      </c>
      <c r="AA581" s="3" t="n">
        <v>3</v>
      </c>
      <c r="AB581" s="3" t="n">
        <v>1</v>
      </c>
      <c r="AC581" s="3" t="n">
        <v>2</v>
      </c>
      <c r="AD581" s="3" t="n">
        <v>3</v>
      </c>
      <c r="AE581" s="3" t="s">
        <v>4778</v>
      </c>
      <c r="AF581" s="3"/>
      <c r="AG581" s="3" t="s">
        <v>4779</v>
      </c>
      <c r="AH581" s="3"/>
      <c r="AI581" s="3" t="s">
        <v>4780</v>
      </c>
      <c r="AJ581" s="3"/>
      <c r="AK581" s="3" t="s">
        <v>4781</v>
      </c>
      <c r="AL581" s="3"/>
      <c r="AM581" s="3" t="n">
        <v>5</v>
      </c>
      <c r="AN581" s="3"/>
      <c r="AO581" s="3" t="s">
        <v>59</v>
      </c>
      <c r="AP581" s="3"/>
      <c r="AQ581" s="3"/>
      <c r="AR581" s="3" t="s">
        <v>287</v>
      </c>
    </row>
    <row r="582" customFormat="false" ht="15" hidden="false" customHeight="true" outlineLevel="0" collapsed="false">
      <c r="A582" s="3" t="s">
        <v>4782</v>
      </c>
      <c r="B582" s="3" t="n">
        <v>7</v>
      </c>
      <c r="C582" s="3" t="n">
        <v>31</v>
      </c>
      <c r="D582" s="3"/>
      <c r="E582" s="4"/>
      <c r="F582" s="3" t="n">
        <v>20</v>
      </c>
      <c r="G582" s="3" t="str">
        <f aca="false">IF(F582="","",IF(F582&gt;=Notes!$B$5,"Elderly ("&amp;Notes!$B$5&amp;"+)",IF(F582&lt;=Notes!$B$4,"Student age (≤"&amp;Notes!$B$4&amp;")","Middle-aged ("&amp;(Notes!$B$4+1)&amp;"–"&amp;(Notes!$B$5-1)&amp;")")))</f>
        <v>Student age (≤29)</v>
      </c>
      <c r="H582" s="3" t="s">
        <v>83</v>
      </c>
      <c r="I582" s="3" t="s">
        <v>171</v>
      </c>
      <c r="J582" s="3" t="s">
        <v>47</v>
      </c>
      <c r="K582" s="3" t="s">
        <v>172</v>
      </c>
      <c r="L582" s="3" t="s">
        <v>171</v>
      </c>
      <c r="M582" s="3" t="s">
        <v>47</v>
      </c>
      <c r="N582" s="3" t="s">
        <v>172</v>
      </c>
      <c r="O582" s="3" t="s">
        <v>4783</v>
      </c>
      <c r="P582" s="3" t="n">
        <v>20</v>
      </c>
      <c r="Q582" s="3" t="s">
        <v>95</v>
      </c>
      <c r="R582" s="3" t="s">
        <v>4784</v>
      </c>
      <c r="S582" s="3" t="s">
        <v>4785</v>
      </c>
      <c r="T582" s="3"/>
      <c r="U582" s="3" t="s">
        <v>4786</v>
      </c>
      <c r="V582" s="3" t="s">
        <v>4787</v>
      </c>
      <c r="W582" s="3" t="s">
        <v>4788</v>
      </c>
      <c r="X582" s="3" t="s">
        <v>4789</v>
      </c>
      <c r="Y582" s="3" t="n">
        <v>1</v>
      </c>
      <c r="Z582" s="3" t="n">
        <v>1</v>
      </c>
      <c r="AA582" s="3" t="n">
        <v>3</v>
      </c>
      <c r="AB582" s="3" t="n">
        <v>1</v>
      </c>
      <c r="AC582" s="3" t="n">
        <v>2</v>
      </c>
      <c r="AD582" s="3" t="n">
        <v>3</v>
      </c>
      <c r="AE582" s="3" t="s">
        <v>4790</v>
      </c>
      <c r="AF582" s="3"/>
      <c r="AG582" s="3" t="s">
        <v>4791</v>
      </c>
      <c r="AH582" s="3"/>
      <c r="AI582" s="3" t="s">
        <v>4792</v>
      </c>
      <c r="AJ582" s="3"/>
      <c r="AK582" s="3" t="s">
        <v>4793</v>
      </c>
      <c r="AL582" s="3"/>
      <c r="AM582" s="3" t="n">
        <v>5</v>
      </c>
      <c r="AN582" s="3"/>
      <c r="AO582" s="3" t="s">
        <v>59</v>
      </c>
      <c r="AP582" s="3"/>
      <c r="AQ582" s="3"/>
      <c r="AR582" s="3" t="s">
        <v>287</v>
      </c>
    </row>
    <row r="583" customFormat="false" ht="15" hidden="false" customHeight="true" outlineLevel="0" collapsed="false">
      <c r="A583" s="3" t="s">
        <v>4794</v>
      </c>
      <c r="B583" s="3" t="n">
        <v>7</v>
      </c>
      <c r="C583" s="3" t="n">
        <v>32</v>
      </c>
      <c r="D583" s="3"/>
      <c r="E583" s="4"/>
      <c r="F583" s="3" t="n">
        <v>19</v>
      </c>
      <c r="G583" s="3" t="str">
        <f aca="false">IF(F583="","",IF(F583&gt;=Notes!$B$5,"Elderly ("&amp;Notes!$B$5&amp;"+)",IF(F583&lt;=Notes!$B$4,"Student age (≤"&amp;Notes!$B$4&amp;")","Middle-aged ("&amp;(Notes!$B$4+1)&amp;"–"&amp;(Notes!$B$5-1)&amp;")")))</f>
        <v>Student age (≤29)</v>
      </c>
      <c r="H583" s="3" t="s">
        <v>45</v>
      </c>
      <c r="I583" s="3" t="s">
        <v>544</v>
      </c>
      <c r="J583" s="3" t="s">
        <v>47</v>
      </c>
      <c r="K583" s="3" t="s">
        <v>545</v>
      </c>
      <c r="L583" s="3" t="s">
        <v>171</v>
      </c>
      <c r="M583" s="3" t="s">
        <v>47</v>
      </c>
      <c r="N583" s="3" t="s">
        <v>172</v>
      </c>
      <c r="O583" s="3" t="s">
        <v>4795</v>
      </c>
      <c r="P583" s="3" t="n">
        <v>20</v>
      </c>
      <c r="Q583" s="3" t="s">
        <v>95</v>
      </c>
      <c r="R583" s="3" t="s">
        <v>4796</v>
      </c>
      <c r="S583" s="3" t="s">
        <v>4797</v>
      </c>
      <c r="T583" s="3"/>
      <c r="U583" s="3" t="s">
        <v>4798</v>
      </c>
      <c r="V583" s="3" t="s">
        <v>4799</v>
      </c>
      <c r="W583" s="3" t="s">
        <v>4800</v>
      </c>
      <c r="X583" s="3" t="s">
        <v>4801</v>
      </c>
      <c r="Y583" s="3" t="n">
        <v>3</v>
      </c>
      <c r="Z583" s="3" t="n">
        <v>1</v>
      </c>
      <c r="AA583" s="3" t="n">
        <v>1</v>
      </c>
      <c r="AB583" s="3" t="n">
        <v>3</v>
      </c>
      <c r="AC583" s="3" t="n">
        <v>1</v>
      </c>
      <c r="AD583" s="3" t="n">
        <v>2</v>
      </c>
      <c r="AE583" s="3" t="s">
        <v>4802</v>
      </c>
      <c r="AF583" s="3"/>
      <c r="AG583" s="3" t="s">
        <v>4803</v>
      </c>
      <c r="AH583" s="3"/>
      <c r="AI583" s="3" t="s">
        <v>4804</v>
      </c>
      <c r="AJ583" s="3" t="s">
        <v>59</v>
      </c>
      <c r="AK583" s="3" t="s">
        <v>4805</v>
      </c>
      <c r="AL583" s="3"/>
      <c r="AM583" s="3" t="n">
        <v>5</v>
      </c>
      <c r="AN583" s="3"/>
      <c r="AO583" s="3" t="s">
        <v>59</v>
      </c>
      <c r="AP583" s="3"/>
      <c r="AQ583" s="3"/>
      <c r="AR583" s="3" t="s">
        <v>287</v>
      </c>
    </row>
    <row r="584" customFormat="false" ht="15" hidden="false" customHeight="true" outlineLevel="0" collapsed="false">
      <c r="A584" s="3" t="s">
        <v>4806</v>
      </c>
      <c r="B584" s="3" t="n">
        <v>7</v>
      </c>
      <c r="C584" s="3" t="n">
        <v>35</v>
      </c>
      <c r="D584" s="3"/>
      <c r="E584" s="4"/>
      <c r="F584" s="3" t="n">
        <v>21</v>
      </c>
      <c r="G584" s="3" t="str">
        <f aca="false">IF(F584="","",IF(F584&gt;=Notes!$B$5,"Elderly ("&amp;Notes!$B$5&amp;"+)",IF(F584&lt;=Notes!$B$4,"Student age (≤"&amp;Notes!$B$4&amp;")","Middle-aged ("&amp;(Notes!$B$4+1)&amp;"–"&amp;(Notes!$B$5-1)&amp;")")))</f>
        <v>Student age (≤29)</v>
      </c>
      <c r="H584" s="3" t="s">
        <v>45</v>
      </c>
      <c r="I584" s="3" t="s">
        <v>171</v>
      </c>
      <c r="J584" s="3" t="s">
        <v>47</v>
      </c>
      <c r="K584" s="3" t="s">
        <v>172</v>
      </c>
      <c r="L584" s="3" t="s">
        <v>171</v>
      </c>
      <c r="M584" s="3" t="s">
        <v>47</v>
      </c>
      <c r="N584" s="3" t="s">
        <v>172</v>
      </c>
      <c r="O584" s="3" t="s">
        <v>4807</v>
      </c>
      <c r="P584" s="3" t="n">
        <v>20</v>
      </c>
      <c r="Q584" s="3" t="s">
        <v>95</v>
      </c>
      <c r="R584" s="3" t="s">
        <v>4808</v>
      </c>
      <c r="S584" s="3" t="s">
        <v>4809</v>
      </c>
      <c r="T584" s="3"/>
      <c r="U584" s="3" t="s">
        <v>4810</v>
      </c>
      <c r="V584" s="3" t="s">
        <v>4811</v>
      </c>
      <c r="W584" s="3" t="s">
        <v>4812</v>
      </c>
      <c r="X584" s="3" t="s">
        <v>4813</v>
      </c>
      <c r="Y584" s="3" t="n">
        <v>1</v>
      </c>
      <c r="Z584" s="3" t="n">
        <v>1</v>
      </c>
      <c r="AA584" s="3" t="n">
        <v>3</v>
      </c>
      <c r="AB584" s="3" t="n">
        <v>3</v>
      </c>
      <c r="AC584" s="3" t="n">
        <v>1</v>
      </c>
      <c r="AD584" s="3" t="n">
        <v>2</v>
      </c>
      <c r="AE584" s="3" t="s">
        <v>4814</v>
      </c>
      <c r="AF584" s="3"/>
      <c r="AG584" s="3" t="s">
        <v>4815</v>
      </c>
      <c r="AH584" s="3"/>
      <c r="AI584" s="3" t="s">
        <v>4816</v>
      </c>
      <c r="AJ584" s="3" t="s">
        <v>59</v>
      </c>
      <c r="AK584" s="3" t="s">
        <v>4817</v>
      </c>
      <c r="AL584" s="3"/>
      <c r="AM584" s="3" t="n">
        <v>5</v>
      </c>
      <c r="AN584" s="3"/>
      <c r="AO584" s="3" t="s">
        <v>59</v>
      </c>
      <c r="AP584" s="3"/>
      <c r="AQ584" s="3"/>
      <c r="AR584" s="3" t="s">
        <v>287</v>
      </c>
    </row>
    <row r="585" customFormat="false" ht="15" hidden="false" customHeight="true" outlineLevel="0" collapsed="false">
      <c r="A585" s="3" t="s">
        <v>4818</v>
      </c>
      <c r="B585" s="3" t="n">
        <v>7</v>
      </c>
      <c r="C585" s="3" t="n">
        <v>39</v>
      </c>
      <c r="D585" s="3"/>
      <c r="E585" s="4"/>
      <c r="F585" s="3" t="n">
        <v>20</v>
      </c>
      <c r="G585" s="3" t="str">
        <f aca="false">IF(F585="","",IF(F585&gt;=Notes!$B$5,"Elderly ("&amp;Notes!$B$5&amp;"+)",IF(F585&lt;=Notes!$B$4,"Student age (≤"&amp;Notes!$B$4&amp;")","Middle-aged ("&amp;(Notes!$B$4+1)&amp;"–"&amp;(Notes!$B$5-1)&amp;")")))</f>
        <v>Student age (≤29)</v>
      </c>
      <c r="H585" s="3" t="s">
        <v>83</v>
      </c>
      <c r="I585" s="3" t="s">
        <v>171</v>
      </c>
      <c r="J585" s="3" t="s">
        <v>47</v>
      </c>
      <c r="K585" s="3" t="s">
        <v>172</v>
      </c>
      <c r="L585" s="3" t="s">
        <v>424</v>
      </c>
      <c r="M585" s="3" t="s">
        <v>47</v>
      </c>
      <c r="N585" s="3" t="s">
        <v>425</v>
      </c>
      <c r="O585" s="3" t="s">
        <v>4819</v>
      </c>
      <c r="P585" s="3" t="n">
        <v>40</v>
      </c>
      <c r="Q585" s="3" t="s">
        <v>52</v>
      </c>
      <c r="R585" s="3" t="s">
        <v>4820</v>
      </c>
      <c r="S585" s="3" t="s">
        <v>4821</v>
      </c>
      <c r="T585" s="3"/>
      <c r="U585" s="3" t="s">
        <v>4822</v>
      </c>
      <c r="V585" s="3" t="s">
        <v>4823</v>
      </c>
      <c r="W585" s="3" t="s">
        <v>4824</v>
      </c>
      <c r="X585" s="3" t="s">
        <v>4825</v>
      </c>
      <c r="Y585" s="3" t="n">
        <v>3</v>
      </c>
      <c r="Z585" s="3" t="n">
        <v>1</v>
      </c>
      <c r="AA585" s="3" t="n">
        <v>1</v>
      </c>
      <c r="AB585" s="3" t="n">
        <v>2</v>
      </c>
      <c r="AC585" s="3" t="n">
        <v>1</v>
      </c>
      <c r="AD585" s="3" t="n">
        <v>3</v>
      </c>
      <c r="AE585" s="3" t="s">
        <v>4826</v>
      </c>
      <c r="AF585" s="3"/>
      <c r="AG585" s="3" t="s">
        <v>4827</v>
      </c>
      <c r="AH585" s="3"/>
      <c r="AI585" s="3" t="s">
        <v>4828</v>
      </c>
      <c r="AJ585" s="3" t="s">
        <v>59</v>
      </c>
      <c r="AK585" s="3" t="s">
        <v>4829</v>
      </c>
      <c r="AL585" s="3"/>
      <c r="AM585" s="3" t="n">
        <v>5</v>
      </c>
      <c r="AN585" s="3"/>
      <c r="AO585" s="3" t="s">
        <v>59</v>
      </c>
      <c r="AP585" s="3"/>
      <c r="AQ585" s="3"/>
      <c r="AR585" s="3" t="s">
        <v>287</v>
      </c>
    </row>
    <row r="586" customFormat="false" ht="15" hidden="false" customHeight="true" outlineLevel="0" collapsed="false">
      <c r="A586" s="3" t="s">
        <v>4830</v>
      </c>
      <c r="B586" s="3" t="n">
        <v>7</v>
      </c>
      <c r="C586" s="3" t="n">
        <v>40</v>
      </c>
      <c r="D586" s="3"/>
      <c r="E586" s="4"/>
      <c r="F586" s="3" t="n">
        <v>21</v>
      </c>
      <c r="G586" s="3" t="str">
        <f aca="false">IF(F586="","",IF(F586&gt;=Notes!$B$5,"Elderly ("&amp;Notes!$B$5&amp;"+)",IF(F586&lt;=Notes!$B$4,"Student age (≤"&amp;Notes!$B$4&amp;")","Middle-aged ("&amp;(Notes!$B$4+1)&amp;"–"&amp;(Notes!$B$5-1)&amp;")")))</f>
        <v>Student age (≤29)</v>
      </c>
      <c r="H586" s="3" t="s">
        <v>45</v>
      </c>
      <c r="I586" s="3" t="s">
        <v>71</v>
      </c>
      <c r="J586" s="3" t="s">
        <v>47</v>
      </c>
      <c r="K586" s="3" t="s">
        <v>72</v>
      </c>
      <c r="L586" s="3" t="s">
        <v>49</v>
      </c>
      <c r="M586" s="3" t="s">
        <v>47</v>
      </c>
      <c r="N586" s="3" t="s">
        <v>50</v>
      </c>
      <c r="O586" s="3" t="s">
        <v>4831</v>
      </c>
      <c r="P586" s="3" t="n">
        <v>30</v>
      </c>
      <c r="Q586" s="3" t="s">
        <v>117</v>
      </c>
      <c r="R586" s="3" t="s">
        <v>4832</v>
      </c>
      <c r="S586" s="3" t="s">
        <v>4833</v>
      </c>
      <c r="T586" s="3"/>
      <c r="U586" s="3" t="s">
        <v>4834</v>
      </c>
      <c r="V586" s="3" t="s">
        <v>4835</v>
      </c>
      <c r="W586" s="3" t="s">
        <v>4836</v>
      </c>
      <c r="X586" s="3" t="s">
        <v>4837</v>
      </c>
      <c r="Y586" s="3" t="n">
        <v>1</v>
      </c>
      <c r="Z586" s="3" t="n">
        <v>3</v>
      </c>
      <c r="AA586" s="3" t="n">
        <v>1</v>
      </c>
      <c r="AB586" s="3" t="n">
        <v>1</v>
      </c>
      <c r="AC586" s="3" t="n">
        <v>3</v>
      </c>
      <c r="AD586" s="3" t="n">
        <v>2</v>
      </c>
      <c r="AE586" s="3" t="s">
        <v>4838</v>
      </c>
      <c r="AF586" s="3"/>
      <c r="AG586" s="3" t="s">
        <v>4839</v>
      </c>
      <c r="AH586" s="3"/>
      <c r="AI586" s="3" t="s">
        <v>4840</v>
      </c>
      <c r="AJ586" s="3" t="s">
        <v>59</v>
      </c>
      <c r="AK586" s="3" t="s">
        <v>4841</v>
      </c>
      <c r="AL586" s="3"/>
      <c r="AM586" s="3" t="n">
        <v>5</v>
      </c>
      <c r="AN586" s="3"/>
      <c r="AO586" s="3" t="s">
        <v>59</v>
      </c>
      <c r="AP586" s="3"/>
      <c r="AQ586" s="3"/>
      <c r="AR586" s="3" t="s">
        <v>287</v>
      </c>
    </row>
    <row r="587" customFormat="false" ht="15" hidden="false" customHeight="true" outlineLevel="0" collapsed="false">
      <c r="A587" s="3" t="s">
        <v>4842</v>
      </c>
      <c r="B587" s="3" t="n">
        <v>7</v>
      </c>
      <c r="C587" s="3" t="n">
        <v>41</v>
      </c>
      <c r="D587" s="3"/>
      <c r="E587" s="4"/>
      <c r="F587" s="3" t="n">
        <v>19</v>
      </c>
      <c r="G587" s="3" t="str">
        <f aca="false">IF(F587="","",IF(F587&gt;=Notes!$B$5,"Elderly ("&amp;Notes!$B$5&amp;"+)",IF(F587&lt;=Notes!$B$4,"Student age (≤"&amp;Notes!$B$4&amp;")","Middle-aged ("&amp;(Notes!$B$4+1)&amp;"–"&amp;(Notes!$B$5-1)&amp;")")))</f>
        <v>Student age (≤29)</v>
      </c>
      <c r="H587" s="3" t="s">
        <v>45</v>
      </c>
      <c r="I587" s="3"/>
      <c r="J587" s="3" t="s">
        <v>437</v>
      </c>
      <c r="K587" s="3" t="s">
        <v>437</v>
      </c>
      <c r="L587" s="3"/>
      <c r="M587" s="3" t="s">
        <v>47</v>
      </c>
      <c r="N587" s="3" t="s">
        <v>47</v>
      </c>
      <c r="O587" s="3" t="s">
        <v>4843</v>
      </c>
      <c r="P587" s="3" t="n">
        <v>15</v>
      </c>
      <c r="Q587" s="3" t="s">
        <v>74</v>
      </c>
      <c r="R587" s="3" t="s">
        <v>4844</v>
      </c>
      <c r="S587" s="3" t="s">
        <v>4845</v>
      </c>
      <c r="T587" s="3"/>
      <c r="U587" s="3" t="s">
        <v>4846</v>
      </c>
      <c r="V587" s="3" t="s">
        <v>4847</v>
      </c>
      <c r="W587" s="3" t="s">
        <v>4848</v>
      </c>
      <c r="X587" s="3" t="s">
        <v>4849</v>
      </c>
      <c r="Y587" s="3" t="n">
        <v>1</v>
      </c>
      <c r="Z587" s="3" t="n">
        <v>1</v>
      </c>
      <c r="AA587" s="3" t="n">
        <v>1</v>
      </c>
      <c r="AB587" s="3" t="n">
        <v>1</v>
      </c>
      <c r="AC587" s="3" t="n">
        <v>3</v>
      </c>
      <c r="AD587" s="3" t="n">
        <v>2</v>
      </c>
      <c r="AE587" s="3" t="s">
        <v>4850</v>
      </c>
      <c r="AF587" s="3"/>
      <c r="AG587" s="3" t="s">
        <v>4851</v>
      </c>
      <c r="AH587" s="3"/>
      <c r="AI587" s="3" t="s">
        <v>4852</v>
      </c>
      <c r="AJ587" s="3" t="s">
        <v>59</v>
      </c>
      <c r="AK587" s="3"/>
      <c r="AL587" s="3"/>
      <c r="AM587" s="3" t="n">
        <v>4</v>
      </c>
      <c r="AN587" s="3"/>
      <c r="AO587" s="3" t="s">
        <v>59</v>
      </c>
      <c r="AP587" s="3"/>
      <c r="AQ587" s="3"/>
      <c r="AR587" s="3" t="s">
        <v>287</v>
      </c>
    </row>
    <row r="588" customFormat="false" ht="15" hidden="false" customHeight="true" outlineLevel="0" collapsed="false">
      <c r="A588" s="3" t="s">
        <v>4853</v>
      </c>
      <c r="B588" s="3" t="n">
        <v>7</v>
      </c>
      <c r="C588" s="3" t="n">
        <v>42</v>
      </c>
      <c r="D588" s="3"/>
      <c r="E588" s="4"/>
      <c r="F588" s="3" t="n">
        <v>20</v>
      </c>
      <c r="G588" s="3" t="str">
        <f aca="false">IF(F588="","",IF(F588&gt;=Notes!$B$5,"Elderly ("&amp;Notes!$B$5&amp;"+)",IF(F588&lt;=Notes!$B$4,"Student age (≤"&amp;Notes!$B$4&amp;")","Middle-aged ("&amp;(Notes!$B$4+1)&amp;"–"&amp;(Notes!$B$5-1)&amp;")")))</f>
        <v>Student age (≤29)</v>
      </c>
      <c r="H588" s="3" t="s">
        <v>83</v>
      </c>
      <c r="I588" s="3" t="s">
        <v>171</v>
      </c>
      <c r="J588" s="3" t="s">
        <v>47</v>
      </c>
      <c r="K588" s="3" t="s">
        <v>172</v>
      </c>
      <c r="L588" s="3" t="s">
        <v>171</v>
      </c>
      <c r="M588" s="3" t="s">
        <v>47</v>
      </c>
      <c r="N588" s="3" t="s">
        <v>172</v>
      </c>
      <c r="O588" s="3" t="s">
        <v>4854</v>
      </c>
      <c r="P588" s="3" t="n">
        <v>20</v>
      </c>
      <c r="Q588" s="3" t="s">
        <v>95</v>
      </c>
      <c r="R588" s="3" t="s">
        <v>4855</v>
      </c>
      <c r="S588" s="3" t="s">
        <v>4856</v>
      </c>
      <c r="T588" s="3"/>
      <c r="U588" s="3" t="s">
        <v>4857</v>
      </c>
      <c r="V588" s="3" t="s">
        <v>4858</v>
      </c>
      <c r="W588" s="3" t="s">
        <v>4859</v>
      </c>
      <c r="X588" s="3" t="s">
        <v>4860</v>
      </c>
      <c r="Y588" s="3" t="n">
        <v>1</v>
      </c>
      <c r="Z588" s="3" t="n">
        <v>1</v>
      </c>
      <c r="AA588" s="3" t="n">
        <v>3</v>
      </c>
      <c r="AB588" s="3" t="n">
        <v>1</v>
      </c>
      <c r="AC588" s="3" t="n">
        <v>2</v>
      </c>
      <c r="AD588" s="3" t="n">
        <v>3</v>
      </c>
      <c r="AE588" s="3" t="s">
        <v>4861</v>
      </c>
      <c r="AF588" s="3"/>
      <c r="AG588" s="3" t="s">
        <v>4862</v>
      </c>
      <c r="AH588" s="3"/>
      <c r="AI588" s="3" t="s">
        <v>4863</v>
      </c>
      <c r="AJ588" s="3"/>
      <c r="AK588" s="3" t="s">
        <v>4864</v>
      </c>
      <c r="AL588" s="3"/>
      <c r="AM588" s="3" t="n">
        <v>5</v>
      </c>
      <c r="AN588" s="3"/>
      <c r="AO588" s="3" t="s">
        <v>59</v>
      </c>
      <c r="AP588" s="3"/>
      <c r="AQ588" s="3" t="s">
        <v>4865</v>
      </c>
      <c r="AR588" s="3" t="s">
        <v>287</v>
      </c>
    </row>
    <row r="589" customFormat="false" ht="15" hidden="false" customHeight="true" outlineLevel="0" collapsed="false">
      <c r="A589" s="3" t="s">
        <v>4866</v>
      </c>
      <c r="B589" s="3" t="n">
        <v>7</v>
      </c>
      <c r="C589" s="3" t="n">
        <v>43</v>
      </c>
      <c r="D589" s="3"/>
      <c r="E589" s="4"/>
      <c r="F589" s="3" t="n">
        <v>21</v>
      </c>
      <c r="G589" s="3" t="str">
        <f aca="false">IF(F589="","",IF(F589&gt;=Notes!$B$5,"Elderly ("&amp;Notes!$B$5&amp;"+)",IF(F589&lt;=Notes!$B$4,"Student age (≤"&amp;Notes!$B$4&amp;")","Middle-aged ("&amp;(Notes!$B$4+1)&amp;"–"&amp;(Notes!$B$5-1)&amp;")")))</f>
        <v>Student age (≤29)</v>
      </c>
      <c r="H589" s="3" t="s">
        <v>45</v>
      </c>
      <c r="I589" s="3" t="s">
        <v>4867</v>
      </c>
      <c r="J589" s="3" t="s">
        <v>47</v>
      </c>
      <c r="K589" s="3" t="s">
        <v>4868</v>
      </c>
      <c r="L589" s="3" t="s">
        <v>49</v>
      </c>
      <c r="M589" s="3" t="s">
        <v>47</v>
      </c>
      <c r="N589" s="3" t="s">
        <v>50</v>
      </c>
      <c r="O589" s="3" t="s">
        <v>4869</v>
      </c>
      <c r="P589" s="3" t="n">
        <v>30</v>
      </c>
      <c r="Q589" s="3" t="s">
        <v>117</v>
      </c>
      <c r="R589" s="3" t="s">
        <v>4870</v>
      </c>
      <c r="S589" s="3" t="s">
        <v>4871</v>
      </c>
      <c r="T589" s="3"/>
      <c r="U589" s="3" t="s">
        <v>442</v>
      </c>
      <c r="V589" s="3" t="s">
        <v>1125</v>
      </c>
      <c r="W589" s="3" t="s">
        <v>4872</v>
      </c>
      <c r="X589" s="3" t="s">
        <v>4873</v>
      </c>
      <c r="Y589" s="3" t="n">
        <v>3</v>
      </c>
      <c r="Z589" s="3" t="n">
        <v>1</v>
      </c>
      <c r="AA589" s="3" t="n">
        <v>3</v>
      </c>
      <c r="AB589" s="3" t="n">
        <v>2</v>
      </c>
      <c r="AC589" s="3" t="n">
        <v>1</v>
      </c>
      <c r="AD589" s="3" t="n">
        <v>3</v>
      </c>
      <c r="AE589" s="3" t="s">
        <v>4874</v>
      </c>
      <c r="AF589" s="3"/>
      <c r="AG589" s="3" t="s">
        <v>4875</v>
      </c>
      <c r="AH589" s="3"/>
      <c r="AI589" s="3" t="s">
        <v>4876</v>
      </c>
      <c r="AJ589" s="3"/>
      <c r="AK589" s="3" t="s">
        <v>4877</v>
      </c>
      <c r="AL589" s="3"/>
      <c r="AM589" s="3" t="n">
        <v>4</v>
      </c>
      <c r="AN589" s="3"/>
      <c r="AO589" s="3" t="s">
        <v>59</v>
      </c>
      <c r="AP589" s="3"/>
      <c r="AQ589" s="3"/>
      <c r="AR589" s="3" t="s">
        <v>287</v>
      </c>
    </row>
    <row r="590" customFormat="false" ht="15" hidden="false" customHeight="true" outlineLevel="0" collapsed="false">
      <c r="A590" s="3" t="s">
        <v>4878</v>
      </c>
      <c r="B590" s="3" t="n">
        <v>7</v>
      </c>
      <c r="C590" s="3" t="n">
        <v>44</v>
      </c>
      <c r="D590" s="3"/>
      <c r="E590" s="4"/>
      <c r="F590" s="3" t="n">
        <v>21</v>
      </c>
      <c r="G590" s="3" t="str">
        <f aca="false">IF(F590="","",IF(F590&gt;=Notes!$B$5,"Elderly ("&amp;Notes!$B$5&amp;"+)",IF(F590&lt;=Notes!$B$4,"Student age (≤"&amp;Notes!$B$4&amp;")","Middle-aged ("&amp;(Notes!$B$4+1)&amp;"–"&amp;(Notes!$B$5-1)&amp;")")))</f>
        <v>Student age (≤29)</v>
      </c>
      <c r="H590" s="3" t="s">
        <v>45</v>
      </c>
      <c r="I590" s="3" t="s">
        <v>71</v>
      </c>
      <c r="J590" s="3" t="s">
        <v>47</v>
      </c>
      <c r="K590" s="3" t="s">
        <v>72</v>
      </c>
      <c r="L590" s="3" t="s">
        <v>49</v>
      </c>
      <c r="M590" s="3" t="s">
        <v>47</v>
      </c>
      <c r="N590" s="3" t="s">
        <v>50</v>
      </c>
      <c r="O590" s="3" t="s">
        <v>4879</v>
      </c>
      <c r="P590" s="3" t="n">
        <v>30</v>
      </c>
      <c r="Q590" s="3" t="s">
        <v>117</v>
      </c>
      <c r="R590" s="3" t="s">
        <v>4880</v>
      </c>
      <c r="S590" s="3" t="s">
        <v>4881</v>
      </c>
      <c r="T590" s="3"/>
      <c r="U590" s="3" t="s">
        <v>4882</v>
      </c>
      <c r="V590" s="3" t="s">
        <v>4883</v>
      </c>
      <c r="W590" s="3" t="s">
        <v>4884</v>
      </c>
      <c r="X590" s="3" t="s">
        <v>4885</v>
      </c>
      <c r="Y590" s="3" t="n">
        <v>1</v>
      </c>
      <c r="Z590" s="3" t="n">
        <v>1</v>
      </c>
      <c r="AA590" s="3" t="n">
        <v>3</v>
      </c>
      <c r="AB590" s="3" t="n">
        <v>2</v>
      </c>
      <c r="AC590" s="3" t="n">
        <v>1</v>
      </c>
      <c r="AD590" s="3" t="n">
        <v>3</v>
      </c>
      <c r="AE590" s="3" t="s">
        <v>4886</v>
      </c>
      <c r="AF590" s="3"/>
      <c r="AG590" s="3" t="s">
        <v>4887</v>
      </c>
      <c r="AH590" s="3"/>
      <c r="AI590" s="3" t="s">
        <v>4888</v>
      </c>
      <c r="AJ590" s="3" t="s">
        <v>59</v>
      </c>
      <c r="AK590" s="3" t="s">
        <v>4889</v>
      </c>
      <c r="AL590" s="3"/>
      <c r="AM590" s="3" t="n">
        <v>4</v>
      </c>
      <c r="AN590" s="3"/>
      <c r="AO590" s="3" t="s">
        <v>59</v>
      </c>
      <c r="AP590" s="3"/>
      <c r="AQ590" s="3"/>
      <c r="AR590" s="3" t="s">
        <v>287</v>
      </c>
    </row>
    <row r="591" customFormat="false" ht="15" hidden="false" customHeight="true" outlineLevel="0" collapsed="false">
      <c r="A591" s="3" t="s">
        <v>4890</v>
      </c>
      <c r="B591" s="3" t="n">
        <v>7</v>
      </c>
      <c r="C591" s="3" t="n">
        <v>46</v>
      </c>
      <c r="D591" s="3"/>
      <c r="E591" s="4"/>
      <c r="F591" s="3" t="n">
        <v>19</v>
      </c>
      <c r="G591" s="3" t="str">
        <f aca="false">IF(F591="","",IF(F591&gt;=Notes!$B$5,"Elderly ("&amp;Notes!$B$5&amp;"+)",IF(F591&lt;=Notes!$B$4,"Student age (≤"&amp;Notes!$B$4&amp;")","Middle-aged ("&amp;(Notes!$B$4+1)&amp;"–"&amp;(Notes!$B$5-1)&amp;")")))</f>
        <v>Student age (≤29)</v>
      </c>
      <c r="H591" s="3" t="s">
        <v>83</v>
      </c>
      <c r="I591" s="3" t="s">
        <v>4867</v>
      </c>
      <c r="J591" s="3" t="s">
        <v>47</v>
      </c>
      <c r="K591" s="3" t="s">
        <v>4868</v>
      </c>
      <c r="L591" s="3" t="s">
        <v>127</v>
      </c>
      <c r="M591" s="3" t="s">
        <v>47</v>
      </c>
      <c r="N591" s="3" t="s">
        <v>128</v>
      </c>
      <c r="O591" s="3" t="s">
        <v>4891</v>
      </c>
      <c r="P591" s="3" t="n">
        <v>37</v>
      </c>
      <c r="Q591" s="3" t="s">
        <v>52</v>
      </c>
      <c r="R591" s="3" t="s">
        <v>4892</v>
      </c>
      <c r="S591" s="3" t="s">
        <v>4893</v>
      </c>
      <c r="T591" s="3"/>
      <c r="U591" s="3" t="s">
        <v>4894</v>
      </c>
      <c r="V591" s="3" t="s">
        <v>4895</v>
      </c>
      <c r="W591" s="3" t="s">
        <v>4896</v>
      </c>
      <c r="X591" s="3" t="s">
        <v>4897</v>
      </c>
      <c r="Y591" s="3" t="n">
        <v>1</v>
      </c>
      <c r="Z591" s="3" t="n">
        <v>1</v>
      </c>
      <c r="AA591" s="3" t="n">
        <v>3</v>
      </c>
      <c r="AB591" s="3" t="n">
        <v>1</v>
      </c>
      <c r="AC591" s="3" t="n">
        <v>2</v>
      </c>
      <c r="AD591" s="3" t="n">
        <v>3</v>
      </c>
      <c r="AE591" s="3" t="s">
        <v>4898</v>
      </c>
      <c r="AF591" s="3"/>
      <c r="AG591" s="3" t="s">
        <v>4899</v>
      </c>
      <c r="AH591" s="3"/>
      <c r="AI591" s="3" t="s">
        <v>4900</v>
      </c>
      <c r="AJ591" s="3"/>
      <c r="AK591" s="3" t="s">
        <v>4901</v>
      </c>
      <c r="AL591" s="3"/>
      <c r="AM591" s="3" t="n">
        <v>3</v>
      </c>
      <c r="AN591" s="3"/>
      <c r="AO591" s="3" t="s">
        <v>59</v>
      </c>
      <c r="AP591" s="3"/>
      <c r="AQ591" s="3"/>
      <c r="AR591" s="3" t="s">
        <v>287</v>
      </c>
    </row>
    <row r="592" customFormat="false" ht="15" hidden="false" customHeight="true" outlineLevel="0" collapsed="false">
      <c r="A592" s="3" t="s">
        <v>4902</v>
      </c>
      <c r="B592" s="3" t="n">
        <v>7</v>
      </c>
      <c r="C592" s="3" t="n">
        <v>47</v>
      </c>
      <c r="D592" s="3"/>
      <c r="E592" s="4"/>
      <c r="F592" s="3" t="n">
        <v>21</v>
      </c>
      <c r="G592" s="3" t="str">
        <f aca="false">IF(F592="","",IF(F592&gt;=Notes!$B$5,"Elderly ("&amp;Notes!$B$5&amp;"+)",IF(F592&lt;=Notes!$B$4,"Student age (≤"&amp;Notes!$B$4&amp;")","Middle-aged ("&amp;(Notes!$B$4+1)&amp;"–"&amp;(Notes!$B$5-1)&amp;")")))</f>
        <v>Student age (≤29)</v>
      </c>
      <c r="H592" s="3" t="s">
        <v>83</v>
      </c>
      <c r="I592" s="3" t="s">
        <v>159</v>
      </c>
      <c r="J592" s="3" t="s">
        <v>47</v>
      </c>
      <c r="K592" s="3" t="s">
        <v>160</v>
      </c>
      <c r="L592" s="3" t="s">
        <v>49</v>
      </c>
      <c r="M592" s="3" t="s">
        <v>47</v>
      </c>
      <c r="N592" s="3" t="s">
        <v>50</v>
      </c>
      <c r="O592" s="3" t="s">
        <v>4903</v>
      </c>
      <c r="P592" s="3" t="n">
        <v>20</v>
      </c>
      <c r="Q592" s="3" t="s">
        <v>95</v>
      </c>
      <c r="R592" s="3" t="s">
        <v>4904</v>
      </c>
      <c r="S592" s="3" t="s">
        <v>4905</v>
      </c>
      <c r="T592" s="3"/>
      <c r="U592" s="3" t="s">
        <v>4906</v>
      </c>
      <c r="V592" s="3" t="s">
        <v>4907</v>
      </c>
      <c r="W592" s="3" t="s">
        <v>4908</v>
      </c>
      <c r="X592" s="3" t="s">
        <v>4909</v>
      </c>
      <c r="Y592" s="3" t="n">
        <v>1</v>
      </c>
      <c r="Z592" s="3" t="n">
        <v>1</v>
      </c>
      <c r="AA592" s="3" t="n">
        <v>3</v>
      </c>
      <c r="AB592" s="3" t="n">
        <v>2</v>
      </c>
      <c r="AC592" s="3" t="n">
        <v>1</v>
      </c>
      <c r="AD592" s="3" t="n">
        <v>3</v>
      </c>
      <c r="AE592" s="3" t="s">
        <v>4910</v>
      </c>
      <c r="AF592" s="3"/>
      <c r="AG592" s="3" t="s">
        <v>4911</v>
      </c>
      <c r="AH592" s="3"/>
      <c r="AI592" s="3" t="s">
        <v>4912</v>
      </c>
      <c r="AJ592" s="3"/>
      <c r="AK592" s="3" t="s">
        <v>4913</v>
      </c>
      <c r="AL592" s="3"/>
      <c r="AM592" s="3" t="n">
        <v>5</v>
      </c>
      <c r="AN592" s="3"/>
      <c r="AO592" s="3" t="s">
        <v>59</v>
      </c>
      <c r="AP592" s="3"/>
      <c r="AQ592" s="3"/>
      <c r="AR592" s="3" t="s">
        <v>287</v>
      </c>
    </row>
    <row r="593" customFormat="false" ht="15" hidden="false" customHeight="true" outlineLevel="0" collapsed="false">
      <c r="A593" s="3" t="s">
        <v>4914</v>
      </c>
      <c r="B593" s="3" t="n">
        <v>7</v>
      </c>
      <c r="C593" s="3" t="n">
        <v>48</v>
      </c>
      <c r="D593" s="3"/>
      <c r="E593" s="4"/>
      <c r="F593" s="3" t="n">
        <v>19</v>
      </c>
      <c r="G593" s="3" t="str">
        <f aca="false">IF(F593="","",IF(F593&gt;=Notes!$B$5,"Elderly ("&amp;Notes!$B$5&amp;"+)",IF(F593&lt;=Notes!$B$4,"Student age (≤"&amp;Notes!$B$4&amp;")","Middle-aged ("&amp;(Notes!$B$4+1)&amp;"–"&amp;(Notes!$B$5-1)&amp;")")))</f>
        <v>Student age (≤29)</v>
      </c>
      <c r="H593" s="3" t="s">
        <v>45</v>
      </c>
      <c r="I593" s="3" t="s">
        <v>544</v>
      </c>
      <c r="J593" s="3" t="s">
        <v>47</v>
      </c>
      <c r="K593" s="3" t="s">
        <v>545</v>
      </c>
      <c r="L593" s="3" t="s">
        <v>171</v>
      </c>
      <c r="M593" s="3" t="s">
        <v>47</v>
      </c>
      <c r="N593" s="3" t="s">
        <v>172</v>
      </c>
      <c r="O593" s="3" t="s">
        <v>4915</v>
      </c>
      <c r="P593" s="3" t="n">
        <v>20</v>
      </c>
      <c r="Q593" s="3" t="s">
        <v>95</v>
      </c>
      <c r="R593" s="3" t="s">
        <v>4916</v>
      </c>
      <c r="S593" s="3" t="s">
        <v>4917</v>
      </c>
      <c r="T593" s="3"/>
      <c r="U593" s="3" t="s">
        <v>4918</v>
      </c>
      <c r="V593" s="3" t="s">
        <v>4919</v>
      </c>
      <c r="W593" s="3" t="s">
        <v>4920</v>
      </c>
      <c r="X593" s="3" t="s">
        <v>4921</v>
      </c>
      <c r="Y593" s="3" t="n">
        <v>3</v>
      </c>
      <c r="Z593" s="3" t="n">
        <v>1</v>
      </c>
      <c r="AA593" s="3" t="n">
        <v>1</v>
      </c>
      <c r="AB593" s="3" t="n">
        <v>3</v>
      </c>
      <c r="AC593" s="3" t="n">
        <v>1</v>
      </c>
      <c r="AD593" s="3" t="n">
        <v>2</v>
      </c>
      <c r="AE593" s="3" t="s">
        <v>4922</v>
      </c>
      <c r="AF593" s="3"/>
      <c r="AG593" s="3" t="s">
        <v>4923</v>
      </c>
      <c r="AH593" s="3"/>
      <c r="AI593" s="3" t="s">
        <v>4924</v>
      </c>
      <c r="AJ593" s="3"/>
      <c r="AK593" s="3" t="s">
        <v>4925</v>
      </c>
      <c r="AL593" s="3"/>
      <c r="AM593" s="3" t="n">
        <v>5</v>
      </c>
      <c r="AN593" s="3"/>
      <c r="AO593" s="3" t="s">
        <v>59</v>
      </c>
      <c r="AP593" s="3"/>
      <c r="AQ593" s="3" t="s">
        <v>4926</v>
      </c>
      <c r="AR593" s="3" t="s">
        <v>287</v>
      </c>
    </row>
    <row r="594" customFormat="false" ht="15" hidden="false" customHeight="true" outlineLevel="0" collapsed="false">
      <c r="A594" s="3" t="s">
        <v>4927</v>
      </c>
      <c r="B594" s="3" t="n">
        <v>7</v>
      </c>
      <c r="C594" s="3" t="n">
        <v>49</v>
      </c>
      <c r="D594" s="3"/>
      <c r="E594" s="4"/>
      <c r="F594" s="3" t="n">
        <v>19</v>
      </c>
      <c r="G594" s="3" t="str">
        <f aca="false">IF(F594="","",IF(F594&gt;=Notes!$B$5,"Elderly ("&amp;Notes!$B$5&amp;"+)",IF(F594&lt;=Notes!$B$4,"Student age (≤"&amp;Notes!$B$4&amp;")","Middle-aged ("&amp;(Notes!$B$4+1)&amp;"–"&amp;(Notes!$B$5-1)&amp;")")))</f>
        <v>Student age (≤29)</v>
      </c>
      <c r="H594" s="3" t="s">
        <v>45</v>
      </c>
      <c r="I594" s="3"/>
      <c r="J594" s="3" t="s">
        <v>437</v>
      </c>
      <c r="K594" s="3" t="s">
        <v>437</v>
      </c>
      <c r="L594" s="3"/>
      <c r="M594" s="3" t="s">
        <v>47</v>
      </c>
      <c r="N594" s="3" t="s">
        <v>47</v>
      </c>
      <c r="O594" s="3" t="s">
        <v>4928</v>
      </c>
      <c r="P594" s="3" t="n">
        <v>15</v>
      </c>
      <c r="Q594" s="3" t="s">
        <v>74</v>
      </c>
      <c r="R594" s="3" t="s">
        <v>4929</v>
      </c>
      <c r="S594" s="3" t="s">
        <v>4930</v>
      </c>
      <c r="T594" s="3"/>
      <c r="U594" s="3" t="s">
        <v>4931</v>
      </c>
      <c r="V594" s="3" t="s">
        <v>4932</v>
      </c>
      <c r="W594" s="3" t="s">
        <v>4933</v>
      </c>
      <c r="X594" s="3" t="s">
        <v>4934</v>
      </c>
      <c r="Y594" s="3" t="n">
        <v>1</v>
      </c>
      <c r="Z594" s="3" t="n">
        <v>1</v>
      </c>
      <c r="AA594" s="3" t="n">
        <v>1</v>
      </c>
      <c r="AB594" s="3" t="n">
        <v>1</v>
      </c>
      <c r="AC594" s="3" t="n">
        <v>3</v>
      </c>
      <c r="AD594" s="3" t="n">
        <v>2</v>
      </c>
      <c r="AE594" s="3" t="s">
        <v>4935</v>
      </c>
      <c r="AF594" s="3"/>
      <c r="AG594" s="3" t="s">
        <v>4936</v>
      </c>
      <c r="AH594" s="3"/>
      <c r="AI594" s="3" t="s">
        <v>4937</v>
      </c>
      <c r="AJ594" s="3"/>
      <c r="AK594" s="3" t="s">
        <v>4938</v>
      </c>
      <c r="AL594" s="3"/>
      <c r="AM594" s="3" t="n">
        <v>4</v>
      </c>
      <c r="AN594" s="3"/>
      <c r="AO594" s="3" t="s">
        <v>59</v>
      </c>
      <c r="AP594" s="3"/>
      <c r="AQ594" s="3" t="s">
        <v>4939</v>
      </c>
      <c r="AR594" s="3" t="s">
        <v>287</v>
      </c>
    </row>
    <row r="595" customFormat="false" ht="15" hidden="false" customHeight="true" outlineLevel="0" collapsed="false">
      <c r="A595" s="3" t="s">
        <v>4940</v>
      </c>
      <c r="B595" s="3" t="n">
        <v>7</v>
      </c>
      <c r="C595" s="3" t="n">
        <v>50</v>
      </c>
      <c r="D595" s="3"/>
      <c r="E595" s="4"/>
      <c r="F595" s="3" t="n">
        <v>21</v>
      </c>
      <c r="G595" s="3" t="str">
        <f aca="false">IF(F595="","",IF(F595&gt;=Notes!$B$5,"Elderly ("&amp;Notes!$B$5&amp;"+)",IF(F595&lt;=Notes!$B$4,"Student age (≤"&amp;Notes!$B$4&amp;")","Middle-aged ("&amp;(Notes!$B$4+1)&amp;"–"&amp;(Notes!$B$5-1)&amp;")")))</f>
        <v>Student age (≤29)</v>
      </c>
      <c r="H595" s="3" t="s">
        <v>45</v>
      </c>
      <c r="I595" s="3" t="s">
        <v>4867</v>
      </c>
      <c r="J595" s="3" t="s">
        <v>47</v>
      </c>
      <c r="K595" s="3" t="s">
        <v>4868</v>
      </c>
      <c r="L595" s="3" t="s">
        <v>49</v>
      </c>
      <c r="M595" s="3" t="s">
        <v>47</v>
      </c>
      <c r="N595" s="3" t="s">
        <v>50</v>
      </c>
      <c r="O595" s="3" t="s">
        <v>4941</v>
      </c>
      <c r="P595" s="3" t="n">
        <v>30</v>
      </c>
      <c r="Q595" s="3" t="s">
        <v>117</v>
      </c>
      <c r="R595" s="3" t="s">
        <v>4942</v>
      </c>
      <c r="S595" s="3" t="s">
        <v>4943</v>
      </c>
      <c r="T595" s="3"/>
      <c r="U595" s="3" t="s">
        <v>4944</v>
      </c>
      <c r="V595" s="3" t="s">
        <v>4945</v>
      </c>
      <c r="W595" s="3" t="s">
        <v>4946</v>
      </c>
      <c r="X595" s="3" t="s">
        <v>4947</v>
      </c>
      <c r="Y595" s="3" t="n">
        <v>3</v>
      </c>
      <c r="Z595" s="3" t="n">
        <v>1</v>
      </c>
      <c r="AA595" s="3" t="n">
        <v>3</v>
      </c>
      <c r="AB595" s="3" t="n">
        <v>2</v>
      </c>
      <c r="AC595" s="3" t="n">
        <v>1</v>
      </c>
      <c r="AD595" s="3" t="n">
        <v>3</v>
      </c>
      <c r="AE595" s="3" t="s">
        <v>4948</v>
      </c>
      <c r="AF595" s="3"/>
      <c r="AG595" s="3" t="s">
        <v>4949</v>
      </c>
      <c r="AH595" s="3"/>
      <c r="AI595" s="3" t="s">
        <v>4950</v>
      </c>
      <c r="AJ595" s="3"/>
      <c r="AK595" s="3" t="s">
        <v>4951</v>
      </c>
      <c r="AL595" s="3"/>
      <c r="AM595" s="3" t="n">
        <v>4</v>
      </c>
      <c r="AN595" s="3"/>
      <c r="AO595" s="3" t="s">
        <v>59</v>
      </c>
      <c r="AP595" s="3"/>
      <c r="AQ595" s="3" t="s">
        <v>4952</v>
      </c>
      <c r="AR595" s="3" t="s">
        <v>287</v>
      </c>
    </row>
    <row r="596" customFormat="false" ht="15" hidden="false" customHeight="true" outlineLevel="0" collapsed="false">
      <c r="A596" s="3" t="s">
        <v>4953</v>
      </c>
      <c r="B596" s="3" t="n">
        <v>7</v>
      </c>
      <c r="C596" s="3" t="n">
        <v>51</v>
      </c>
      <c r="D596" s="3"/>
      <c r="E596" s="4"/>
      <c r="F596" s="3" t="n">
        <v>22</v>
      </c>
      <c r="G596" s="3" t="str">
        <f aca="false">IF(F596="","",IF(F596&gt;=Notes!$B$5,"Elderly ("&amp;Notes!$B$5&amp;"+)",IF(F596&lt;=Notes!$B$4,"Student age (≤"&amp;Notes!$B$4&amp;")","Middle-aged ("&amp;(Notes!$B$4+1)&amp;"–"&amp;(Notes!$B$5-1)&amp;")")))</f>
        <v>Student age (≤29)</v>
      </c>
      <c r="H596" s="3" t="s">
        <v>83</v>
      </c>
      <c r="I596" s="3" t="s">
        <v>825</v>
      </c>
      <c r="J596" s="3" t="s">
        <v>47</v>
      </c>
      <c r="K596" s="3" t="s">
        <v>826</v>
      </c>
      <c r="L596" s="3" t="s">
        <v>92</v>
      </c>
      <c r="M596" s="3" t="s">
        <v>47</v>
      </c>
      <c r="N596" s="3" t="s">
        <v>93</v>
      </c>
      <c r="O596" s="3" t="s">
        <v>4954</v>
      </c>
      <c r="P596" s="3" t="n">
        <v>15</v>
      </c>
      <c r="Q596" s="3" t="s">
        <v>74</v>
      </c>
      <c r="R596" s="3" t="s">
        <v>4955</v>
      </c>
      <c r="S596" s="3" t="s">
        <v>4956</v>
      </c>
      <c r="T596" s="3"/>
      <c r="U596" s="3" t="s">
        <v>4957</v>
      </c>
      <c r="V596" s="3" t="s">
        <v>4958</v>
      </c>
      <c r="W596" s="3" t="s">
        <v>4959</v>
      </c>
      <c r="X596" s="3" t="s">
        <v>4960</v>
      </c>
      <c r="Y596" s="3" t="n">
        <v>3</v>
      </c>
      <c r="Z596" s="3" t="n">
        <v>1</v>
      </c>
      <c r="AA596" s="3" t="n">
        <v>1</v>
      </c>
      <c r="AB596" s="3" t="n">
        <v>2</v>
      </c>
      <c r="AC596" s="3" t="n">
        <v>3</v>
      </c>
      <c r="AD596" s="3" t="n">
        <v>1</v>
      </c>
      <c r="AE596" s="3" t="s">
        <v>4961</v>
      </c>
      <c r="AF596" s="3"/>
      <c r="AG596" s="3" t="s">
        <v>4635</v>
      </c>
      <c r="AH596" s="3"/>
      <c r="AI596" s="3" t="s">
        <v>4962</v>
      </c>
      <c r="AJ596" s="3"/>
      <c r="AK596" s="3" t="s">
        <v>4963</v>
      </c>
      <c r="AL596" s="3"/>
      <c r="AM596" s="3" t="n">
        <v>4</v>
      </c>
      <c r="AN596" s="3"/>
      <c r="AO596" s="3" t="s">
        <v>59</v>
      </c>
      <c r="AP596" s="3"/>
      <c r="AQ596" s="3"/>
      <c r="AR596" s="3" t="s">
        <v>287</v>
      </c>
    </row>
    <row r="597" customFormat="false" ht="15" hidden="false" customHeight="true" outlineLevel="0" collapsed="false">
      <c r="A597" s="3" t="s">
        <v>4964</v>
      </c>
      <c r="B597" s="3" t="n">
        <v>7</v>
      </c>
      <c r="C597" s="3" t="n">
        <v>52</v>
      </c>
      <c r="D597" s="3"/>
      <c r="E597" s="4"/>
      <c r="F597" s="3" t="n">
        <v>19</v>
      </c>
      <c r="G597" s="3" t="str">
        <f aca="false">IF(F597="","",IF(F597&gt;=Notes!$B$5,"Elderly ("&amp;Notes!$B$5&amp;"+)",IF(F597&lt;=Notes!$B$4,"Student age (≤"&amp;Notes!$B$4&amp;")","Middle-aged ("&amp;(Notes!$B$4+1)&amp;"–"&amp;(Notes!$B$5-1)&amp;")")))</f>
        <v>Student age (≤29)</v>
      </c>
      <c r="H597" s="3" t="s">
        <v>83</v>
      </c>
      <c r="I597" s="3" t="s">
        <v>4867</v>
      </c>
      <c r="J597" s="3" t="s">
        <v>47</v>
      </c>
      <c r="K597" s="3" t="s">
        <v>4868</v>
      </c>
      <c r="L597" s="3" t="s">
        <v>127</v>
      </c>
      <c r="M597" s="3" t="s">
        <v>47</v>
      </c>
      <c r="N597" s="3" t="s">
        <v>128</v>
      </c>
      <c r="O597" s="3" t="s">
        <v>4965</v>
      </c>
      <c r="P597" s="3" t="n">
        <v>37</v>
      </c>
      <c r="Q597" s="3" t="s">
        <v>52</v>
      </c>
      <c r="R597" s="3" t="s">
        <v>4966</v>
      </c>
      <c r="S597" s="3" t="s">
        <v>4967</v>
      </c>
      <c r="T597" s="3"/>
      <c r="U597" s="3" t="s">
        <v>4968</v>
      </c>
      <c r="V597" s="3" t="s">
        <v>4969</v>
      </c>
      <c r="W597" s="3" t="s">
        <v>4970</v>
      </c>
      <c r="X597" s="3" t="s">
        <v>4971</v>
      </c>
      <c r="Y597" s="3" t="n">
        <v>1</v>
      </c>
      <c r="Z597" s="3" t="n">
        <v>1</v>
      </c>
      <c r="AA597" s="3" t="n">
        <v>3</v>
      </c>
      <c r="AB597" s="3" t="n">
        <v>1</v>
      </c>
      <c r="AC597" s="3" t="n">
        <v>2</v>
      </c>
      <c r="AD597" s="3" t="n">
        <v>3</v>
      </c>
      <c r="AE597" s="3" t="s">
        <v>4972</v>
      </c>
      <c r="AF597" s="3"/>
      <c r="AG597" s="3" t="s">
        <v>4973</v>
      </c>
      <c r="AH597" s="3"/>
      <c r="AI597" s="3" t="s">
        <v>4974</v>
      </c>
      <c r="AJ597" s="3"/>
      <c r="AK597" s="3" t="s">
        <v>4975</v>
      </c>
      <c r="AL597" s="3"/>
      <c r="AM597" s="3" t="n">
        <v>3</v>
      </c>
      <c r="AN597" s="3"/>
      <c r="AO597" s="3"/>
      <c r="AP597" s="3"/>
      <c r="AQ597" s="3" t="s">
        <v>4976</v>
      </c>
      <c r="AR597" s="3" t="s">
        <v>287</v>
      </c>
    </row>
    <row r="598" customFormat="false" ht="15" hidden="false" customHeight="true" outlineLevel="0" collapsed="false">
      <c r="A598" s="3" t="s">
        <v>4977</v>
      </c>
      <c r="B598" s="3" t="n">
        <v>7</v>
      </c>
      <c r="C598" s="3" t="n">
        <v>53</v>
      </c>
      <c r="D598" s="3"/>
      <c r="E598" s="4"/>
      <c r="F598" s="3" t="n">
        <v>21</v>
      </c>
      <c r="G598" s="3" t="str">
        <f aca="false">IF(F598="","",IF(F598&gt;=Notes!$B$5,"Elderly ("&amp;Notes!$B$5&amp;"+)",IF(F598&lt;=Notes!$B$4,"Student age (≤"&amp;Notes!$B$4&amp;")","Middle-aged ("&amp;(Notes!$B$4+1)&amp;"–"&amp;(Notes!$B$5-1)&amp;")")))</f>
        <v>Student age (≤29)</v>
      </c>
      <c r="H598" s="3" t="s">
        <v>83</v>
      </c>
      <c r="I598" s="3" t="s">
        <v>159</v>
      </c>
      <c r="J598" s="3" t="s">
        <v>47</v>
      </c>
      <c r="K598" s="3" t="s">
        <v>160</v>
      </c>
      <c r="L598" s="3" t="s">
        <v>49</v>
      </c>
      <c r="M598" s="3" t="s">
        <v>47</v>
      </c>
      <c r="N598" s="3" t="s">
        <v>50</v>
      </c>
      <c r="O598" s="3" t="s">
        <v>4978</v>
      </c>
      <c r="P598" s="3" t="n">
        <v>20</v>
      </c>
      <c r="Q598" s="3" t="s">
        <v>95</v>
      </c>
      <c r="R598" s="3" t="s">
        <v>4979</v>
      </c>
      <c r="S598" s="3" t="s">
        <v>4980</v>
      </c>
      <c r="T598" s="3"/>
      <c r="U598" s="3" t="s">
        <v>4981</v>
      </c>
      <c r="V598" s="3" t="s">
        <v>4982</v>
      </c>
      <c r="W598" s="3" t="s">
        <v>4983</v>
      </c>
      <c r="X598" s="3" t="s">
        <v>4984</v>
      </c>
      <c r="Y598" s="3" t="n">
        <v>1</v>
      </c>
      <c r="Z598" s="3" t="n">
        <v>1</v>
      </c>
      <c r="AA598" s="3" t="n">
        <v>3</v>
      </c>
      <c r="AB598" s="3" t="n">
        <v>2</v>
      </c>
      <c r="AC598" s="3" t="n">
        <v>1</v>
      </c>
      <c r="AD598" s="3" t="n">
        <v>3</v>
      </c>
      <c r="AE598" s="3" t="s">
        <v>4985</v>
      </c>
      <c r="AF598" s="3"/>
      <c r="AG598" s="3" t="s">
        <v>4986</v>
      </c>
      <c r="AH598" s="3"/>
      <c r="AI598" s="3" t="s">
        <v>4987</v>
      </c>
      <c r="AJ598" s="3"/>
      <c r="AK598" s="3" t="s">
        <v>4988</v>
      </c>
      <c r="AL598" s="3"/>
      <c r="AM598" s="3" t="n">
        <v>5</v>
      </c>
      <c r="AN598" s="3"/>
      <c r="AO598" s="3" t="s">
        <v>59</v>
      </c>
      <c r="AP598" s="3"/>
      <c r="AQ598" s="3" t="s">
        <v>4989</v>
      </c>
      <c r="AR598" s="3" t="s">
        <v>287</v>
      </c>
    </row>
    <row r="599" customFormat="false" ht="15" hidden="false" customHeight="true" outlineLevel="0" collapsed="false">
      <c r="A599" s="3" t="s">
        <v>4990</v>
      </c>
      <c r="B599" s="3" t="n">
        <v>7</v>
      </c>
      <c r="C599" s="3" t="n">
        <v>54</v>
      </c>
      <c r="D599" s="3"/>
      <c r="E599" s="4"/>
      <c r="F599" s="3" t="n">
        <v>15</v>
      </c>
      <c r="G599" s="3" t="str">
        <f aca="false">IF(F599="","",IF(F599&gt;=Notes!$B$5,"Elderly ("&amp;Notes!$B$5&amp;"+)",IF(F599&lt;=Notes!$B$4,"Student age (≤"&amp;Notes!$B$4&amp;")","Middle-aged ("&amp;(Notes!$B$4+1)&amp;"–"&amp;(Notes!$B$5-1)&amp;")")))</f>
        <v>Student age (≤29)</v>
      </c>
      <c r="H599" s="3" t="s">
        <v>45</v>
      </c>
      <c r="I599" s="3" t="s">
        <v>4867</v>
      </c>
      <c r="J599" s="3" t="s">
        <v>47</v>
      </c>
      <c r="K599" s="3" t="s">
        <v>4868</v>
      </c>
      <c r="L599" s="3" t="s">
        <v>4867</v>
      </c>
      <c r="M599" s="3" t="s">
        <v>47</v>
      </c>
      <c r="N599" s="3" t="s">
        <v>4868</v>
      </c>
      <c r="O599" s="3" t="s">
        <v>4991</v>
      </c>
      <c r="P599" s="3" t="n">
        <v>21</v>
      </c>
      <c r="Q599" s="3" t="s">
        <v>117</v>
      </c>
      <c r="R599" s="3" t="s">
        <v>4992</v>
      </c>
      <c r="S599" s="3" t="s">
        <v>4993</v>
      </c>
      <c r="T599" s="3"/>
      <c r="U599" s="3" t="s">
        <v>4994</v>
      </c>
      <c r="V599" s="3" t="s">
        <v>4995</v>
      </c>
      <c r="W599" s="3" t="s">
        <v>59</v>
      </c>
      <c r="X599" s="3" t="s">
        <v>4996</v>
      </c>
      <c r="Y599" s="3" t="n">
        <v>3</v>
      </c>
      <c r="Z599" s="3" t="n">
        <v>1</v>
      </c>
      <c r="AA599" s="3" t="n">
        <v>3</v>
      </c>
      <c r="AB599" s="3" t="n">
        <v>2</v>
      </c>
      <c r="AC599" s="3" t="n">
        <v>1</v>
      </c>
      <c r="AD599" s="3" t="n">
        <v>3</v>
      </c>
      <c r="AE599" s="3" t="s">
        <v>4997</v>
      </c>
      <c r="AF599" s="3"/>
      <c r="AG599" s="3" t="s">
        <v>4998</v>
      </c>
      <c r="AH599" s="3"/>
      <c r="AI599" s="3" t="s">
        <v>4999</v>
      </c>
      <c r="AJ599" s="3" t="s">
        <v>59</v>
      </c>
      <c r="AK599" s="3"/>
      <c r="AL599" s="3"/>
      <c r="AM599" s="3" t="n">
        <v>3</v>
      </c>
      <c r="AN599" s="3"/>
      <c r="AO599" s="3" t="s">
        <v>59</v>
      </c>
      <c r="AP599" s="3"/>
      <c r="AQ599" s="3"/>
      <c r="AR599" s="3" t="s">
        <v>287</v>
      </c>
    </row>
    <row r="600" customFormat="false" ht="15" hidden="false" customHeight="true" outlineLevel="0" collapsed="false">
      <c r="A600" s="3" t="s">
        <v>5000</v>
      </c>
      <c r="B600" s="3" t="n">
        <v>7</v>
      </c>
      <c r="C600" s="3" t="n">
        <v>55</v>
      </c>
      <c r="D600" s="3"/>
      <c r="E600" s="4"/>
      <c r="F600" s="3" t="n">
        <v>23</v>
      </c>
      <c r="G600" s="3" t="str">
        <f aca="false">IF(F600="","",IF(F600&gt;=Notes!$B$5,"Elderly ("&amp;Notes!$B$5&amp;"+)",IF(F600&lt;=Notes!$B$4,"Student age (≤"&amp;Notes!$B$4&amp;")","Middle-aged ("&amp;(Notes!$B$4+1)&amp;"–"&amp;(Notes!$B$5-1)&amp;")")))</f>
        <v>Student age (≤29)</v>
      </c>
      <c r="H600" s="3" t="s">
        <v>83</v>
      </c>
      <c r="I600" s="3"/>
      <c r="J600" s="3" t="s">
        <v>453</v>
      </c>
      <c r="K600" s="3" t="s">
        <v>453</v>
      </c>
      <c r="L600" s="3"/>
      <c r="M600" s="3" t="s">
        <v>453</v>
      </c>
      <c r="N600" s="3" t="s">
        <v>453</v>
      </c>
      <c r="O600" s="3" t="s">
        <v>104</v>
      </c>
      <c r="P600" s="3" t="n">
        <v>15</v>
      </c>
      <c r="Q600" s="3" t="s">
        <v>74</v>
      </c>
      <c r="R600" s="3" t="s">
        <v>5001</v>
      </c>
      <c r="S600" s="3" t="s">
        <v>5002</v>
      </c>
      <c r="T600" s="3"/>
      <c r="U600" s="3" t="s">
        <v>5003</v>
      </c>
      <c r="V600" s="3" t="s">
        <v>5004</v>
      </c>
      <c r="W600" s="3" t="s">
        <v>5005</v>
      </c>
      <c r="X600" s="3" t="s">
        <v>5006</v>
      </c>
      <c r="Y600" s="3" t="n">
        <v>1</v>
      </c>
      <c r="Z600" s="3" t="n">
        <v>1</v>
      </c>
      <c r="AA600" s="3" t="n">
        <v>1</v>
      </c>
      <c r="AB600" s="3" t="n">
        <v>2</v>
      </c>
      <c r="AC600" s="3" t="n">
        <v>1</v>
      </c>
      <c r="AD600" s="3" t="n">
        <v>3</v>
      </c>
      <c r="AE600" s="3" t="s">
        <v>5007</v>
      </c>
      <c r="AF600" s="3"/>
      <c r="AG600" s="3" t="s">
        <v>5008</v>
      </c>
      <c r="AH600" s="3"/>
      <c r="AI600" s="3" t="s">
        <v>5008</v>
      </c>
      <c r="AJ600" s="3" t="s">
        <v>59</v>
      </c>
      <c r="AK600" s="3" t="s">
        <v>5009</v>
      </c>
      <c r="AL600" s="3"/>
      <c r="AM600" s="3" t="n">
        <v>3</v>
      </c>
      <c r="AN600" s="3"/>
      <c r="AO600" s="3" t="s">
        <v>59</v>
      </c>
      <c r="AP600" s="3"/>
      <c r="AQ600" s="3"/>
      <c r="AR600" s="3" t="s">
        <v>287</v>
      </c>
    </row>
    <row r="601" customFormat="false" ht="15" hidden="false" customHeight="true" outlineLevel="0" collapsed="false">
      <c r="A601" s="3" t="s">
        <v>5010</v>
      </c>
      <c r="B601" s="3" t="n">
        <v>7</v>
      </c>
      <c r="C601" s="3" t="n">
        <v>56</v>
      </c>
      <c r="D601" s="3"/>
      <c r="E601" s="4"/>
      <c r="F601" s="3" t="n">
        <v>20</v>
      </c>
      <c r="G601" s="3" t="str">
        <f aca="false">IF(F601="","",IF(F601&gt;=Notes!$B$5,"Elderly ("&amp;Notes!$B$5&amp;"+)",IF(F601&lt;=Notes!$B$4,"Student age (≤"&amp;Notes!$B$4&amp;")","Middle-aged ("&amp;(Notes!$B$4+1)&amp;"–"&amp;(Notes!$B$5-1)&amp;")")))</f>
        <v>Student age (≤29)</v>
      </c>
      <c r="H601" s="3" t="s">
        <v>45</v>
      </c>
      <c r="I601" s="3" t="s">
        <v>71</v>
      </c>
      <c r="J601" s="3" t="s">
        <v>47</v>
      </c>
      <c r="K601" s="3" t="s">
        <v>72</v>
      </c>
      <c r="L601" s="3" t="s">
        <v>49</v>
      </c>
      <c r="M601" s="3" t="s">
        <v>47</v>
      </c>
      <c r="N601" s="3" t="s">
        <v>50</v>
      </c>
      <c r="O601" s="3" t="s">
        <v>5011</v>
      </c>
      <c r="P601" s="3" t="n">
        <v>40</v>
      </c>
      <c r="Q601" s="3" t="s">
        <v>52</v>
      </c>
      <c r="R601" s="3" t="s">
        <v>5012</v>
      </c>
      <c r="S601" s="3" t="s">
        <v>5013</v>
      </c>
      <c r="T601" s="3"/>
      <c r="U601" s="3" t="s">
        <v>5014</v>
      </c>
      <c r="V601" s="3" t="s">
        <v>5015</v>
      </c>
      <c r="W601" s="3" t="s">
        <v>5016</v>
      </c>
      <c r="X601" s="3" t="s">
        <v>5017</v>
      </c>
      <c r="Y601" s="3" t="n">
        <v>1</v>
      </c>
      <c r="Z601" s="3" t="n">
        <v>1</v>
      </c>
      <c r="AA601" s="3" t="n">
        <v>3</v>
      </c>
      <c r="AB601" s="3" t="n">
        <v>2</v>
      </c>
      <c r="AC601" s="3" t="n">
        <v>1</v>
      </c>
      <c r="AD601" s="3" t="n">
        <v>3</v>
      </c>
      <c r="AE601" s="3" t="s">
        <v>5018</v>
      </c>
      <c r="AF601" s="3"/>
      <c r="AG601" s="3" t="s">
        <v>3184</v>
      </c>
      <c r="AH601" s="3"/>
      <c r="AI601" s="3" t="s">
        <v>5019</v>
      </c>
      <c r="AJ601" s="3"/>
      <c r="AK601" s="3" t="s">
        <v>5020</v>
      </c>
      <c r="AL601" s="3"/>
      <c r="AM601" s="3" t="n">
        <v>4</v>
      </c>
      <c r="AN601" s="3"/>
      <c r="AO601" s="3" t="s">
        <v>59</v>
      </c>
      <c r="AP601" s="3"/>
      <c r="AQ601" s="3"/>
      <c r="AR601" s="3" t="s">
        <v>287</v>
      </c>
    </row>
    <row r="602" customFormat="false" ht="15" hidden="false" customHeight="true" outlineLevel="0" collapsed="false">
      <c r="A602" s="3" t="s">
        <v>5021</v>
      </c>
      <c r="B602" s="3" t="n">
        <v>7</v>
      </c>
      <c r="C602" s="3" t="n">
        <v>57</v>
      </c>
      <c r="D602" s="3"/>
      <c r="E602" s="4"/>
      <c r="F602" s="3" t="n">
        <v>26</v>
      </c>
      <c r="G602" s="3" t="str">
        <f aca="false">IF(F602="","",IF(F602&gt;=Notes!$B$5,"Elderly ("&amp;Notes!$B$5&amp;"+)",IF(F602&lt;=Notes!$B$4,"Student age (≤"&amp;Notes!$B$4&amp;")","Middle-aged ("&amp;(Notes!$B$4+1)&amp;"–"&amp;(Notes!$B$5-1)&amp;")")))</f>
        <v>Student age (≤29)</v>
      </c>
      <c r="H602" s="3" t="s">
        <v>83</v>
      </c>
      <c r="I602" s="3" t="s">
        <v>171</v>
      </c>
      <c r="J602" s="3" t="s">
        <v>47</v>
      </c>
      <c r="K602" s="3" t="s">
        <v>172</v>
      </c>
      <c r="L602" s="3" t="s">
        <v>171</v>
      </c>
      <c r="M602" s="3" t="s">
        <v>47</v>
      </c>
      <c r="N602" s="3" t="s">
        <v>172</v>
      </c>
      <c r="O602" s="3" t="s">
        <v>5022</v>
      </c>
      <c r="P602" s="3" t="n">
        <v>20</v>
      </c>
      <c r="Q602" s="3" t="s">
        <v>95</v>
      </c>
      <c r="R602" s="3" t="s">
        <v>5023</v>
      </c>
      <c r="S602" s="3" t="s">
        <v>5024</v>
      </c>
      <c r="T602" s="3"/>
      <c r="U602" s="3" t="s">
        <v>98</v>
      </c>
      <c r="V602" s="3" t="s">
        <v>5025</v>
      </c>
      <c r="W602" s="3" t="s">
        <v>5026</v>
      </c>
      <c r="X602" s="3" t="s">
        <v>5027</v>
      </c>
      <c r="Y602" s="3" t="n">
        <v>1</v>
      </c>
      <c r="Z602" s="3" t="n">
        <v>3</v>
      </c>
      <c r="AA602" s="3" t="n">
        <v>1</v>
      </c>
      <c r="AB602" s="3" t="n">
        <v>1</v>
      </c>
      <c r="AC602" s="3" t="n">
        <v>2</v>
      </c>
      <c r="AD602" s="3" t="n">
        <v>3</v>
      </c>
      <c r="AE602" s="3" t="s">
        <v>5028</v>
      </c>
      <c r="AF602" s="3"/>
      <c r="AG602" s="3" t="s">
        <v>5029</v>
      </c>
      <c r="AH602" s="3"/>
      <c r="AI602" s="3" t="s">
        <v>5030</v>
      </c>
      <c r="AJ602" s="3"/>
      <c r="AK602" s="3" t="s">
        <v>5031</v>
      </c>
      <c r="AL602" s="3"/>
      <c r="AM602" s="3" t="n">
        <v>5</v>
      </c>
      <c r="AN602" s="3"/>
      <c r="AO602" s="3" t="s">
        <v>59</v>
      </c>
      <c r="AP602" s="3"/>
      <c r="AQ602" s="3"/>
      <c r="AR602" s="3" t="s">
        <v>287</v>
      </c>
    </row>
    <row r="603" customFormat="false" ht="15" hidden="false" customHeight="true" outlineLevel="0" collapsed="false">
      <c r="A603" s="3" t="s">
        <v>5032</v>
      </c>
      <c r="B603" s="3" t="n">
        <v>7</v>
      </c>
      <c r="C603" s="3" t="n">
        <v>58</v>
      </c>
      <c r="D603" s="3"/>
      <c r="E603" s="4"/>
      <c r="F603" s="3" t="n">
        <v>18</v>
      </c>
      <c r="G603" s="3" t="str">
        <f aca="false">IF(F603="","",IF(F603&gt;=Notes!$B$5,"Elderly ("&amp;Notes!$B$5&amp;"+)",IF(F603&lt;=Notes!$B$4,"Student age (≤"&amp;Notes!$B$4&amp;")","Middle-aged ("&amp;(Notes!$B$4+1)&amp;"–"&amp;(Notes!$B$5-1)&amp;")")))</f>
        <v>Student age (≤29)</v>
      </c>
      <c r="H603" s="3" t="s">
        <v>83</v>
      </c>
      <c r="I603" s="3" t="s">
        <v>171</v>
      </c>
      <c r="J603" s="3" t="s">
        <v>47</v>
      </c>
      <c r="K603" s="3" t="s">
        <v>172</v>
      </c>
      <c r="L603" s="3" t="s">
        <v>4867</v>
      </c>
      <c r="M603" s="3" t="s">
        <v>47</v>
      </c>
      <c r="N603" s="3" t="s">
        <v>4868</v>
      </c>
      <c r="O603" s="3" t="s">
        <v>5033</v>
      </c>
      <c r="P603" s="3" t="n">
        <v>15</v>
      </c>
      <c r="Q603" s="3" t="s">
        <v>74</v>
      </c>
      <c r="R603" s="3" t="s">
        <v>5034</v>
      </c>
      <c r="S603" s="3" t="s">
        <v>5035</v>
      </c>
      <c r="T603" s="3"/>
      <c r="U603" s="3" t="s">
        <v>5036</v>
      </c>
      <c r="V603" s="3" t="s">
        <v>5037</v>
      </c>
      <c r="W603" s="3" t="s">
        <v>5038</v>
      </c>
      <c r="X603" s="3" t="s">
        <v>5039</v>
      </c>
      <c r="Y603" s="3" t="n">
        <v>3</v>
      </c>
      <c r="Z603" s="3" t="n">
        <v>1</v>
      </c>
      <c r="AA603" s="3" t="n">
        <v>1</v>
      </c>
      <c r="AB603" s="3" t="n">
        <v>3</v>
      </c>
      <c r="AC603" s="3" t="n">
        <v>1</v>
      </c>
      <c r="AD603" s="3" t="n">
        <v>2</v>
      </c>
      <c r="AE603" s="3" t="s">
        <v>5040</v>
      </c>
      <c r="AF603" s="3"/>
      <c r="AG603" s="3" t="s">
        <v>5041</v>
      </c>
      <c r="AH603" s="3"/>
      <c r="AI603" s="3" t="s">
        <v>5042</v>
      </c>
      <c r="AJ603" s="3"/>
      <c r="AK603" s="3" t="s">
        <v>5043</v>
      </c>
      <c r="AL603" s="3"/>
      <c r="AM603" s="3" t="n">
        <v>3</v>
      </c>
      <c r="AN603" s="3"/>
      <c r="AO603" s="3" t="s">
        <v>59</v>
      </c>
      <c r="AP603" s="3"/>
      <c r="AQ603" s="3"/>
      <c r="AR603" s="3" t="s">
        <v>287</v>
      </c>
    </row>
    <row r="604" customFormat="false" ht="15" hidden="false" customHeight="true" outlineLevel="0" collapsed="false">
      <c r="A604" s="3" t="s">
        <v>5044</v>
      </c>
      <c r="B604" s="3" t="n">
        <v>7</v>
      </c>
      <c r="C604" s="3" t="n">
        <v>59</v>
      </c>
      <c r="D604" s="3"/>
      <c r="E604" s="4"/>
      <c r="F604" s="3" t="n">
        <v>26</v>
      </c>
      <c r="G604" s="3" t="str">
        <f aca="false">IF(F604="","",IF(F604&gt;=Notes!$B$5,"Elderly ("&amp;Notes!$B$5&amp;"+)",IF(F604&lt;=Notes!$B$4,"Student age (≤"&amp;Notes!$B$4&amp;")","Middle-aged ("&amp;(Notes!$B$4+1)&amp;"–"&amp;(Notes!$B$5-1)&amp;")")))</f>
        <v>Student age (≤29)</v>
      </c>
      <c r="H604" s="3" t="s">
        <v>83</v>
      </c>
      <c r="I604" s="3" t="s">
        <v>171</v>
      </c>
      <c r="J604" s="3" t="s">
        <v>47</v>
      </c>
      <c r="K604" s="3" t="s">
        <v>172</v>
      </c>
      <c r="L604" s="3" t="s">
        <v>171</v>
      </c>
      <c r="M604" s="3" t="s">
        <v>47</v>
      </c>
      <c r="N604" s="3" t="s">
        <v>172</v>
      </c>
      <c r="O604" s="3" t="s">
        <v>5045</v>
      </c>
      <c r="P604" s="3" t="n">
        <v>20</v>
      </c>
      <c r="Q604" s="3" t="s">
        <v>95</v>
      </c>
      <c r="R604" s="3" t="s">
        <v>5046</v>
      </c>
      <c r="S604" s="3" t="s">
        <v>5047</v>
      </c>
      <c r="T604" s="3"/>
      <c r="U604" s="3" t="s">
        <v>5048</v>
      </c>
      <c r="V604" s="3" t="s">
        <v>5049</v>
      </c>
      <c r="W604" s="3" t="s">
        <v>5050</v>
      </c>
      <c r="X604" s="3" t="s">
        <v>5051</v>
      </c>
      <c r="Y604" s="3" t="n">
        <v>1</v>
      </c>
      <c r="Z604" s="3" t="n">
        <v>3</v>
      </c>
      <c r="AA604" s="3" t="n">
        <v>1</v>
      </c>
      <c r="AB604" s="3" t="n">
        <v>1</v>
      </c>
      <c r="AC604" s="3" t="n">
        <v>2</v>
      </c>
      <c r="AD604" s="3" t="n">
        <v>3</v>
      </c>
      <c r="AE604" s="3" t="s">
        <v>5052</v>
      </c>
      <c r="AF604" s="3"/>
      <c r="AG604" s="3" t="s">
        <v>5053</v>
      </c>
      <c r="AH604" s="3"/>
      <c r="AI604" s="3" t="s">
        <v>5054</v>
      </c>
      <c r="AJ604" s="3"/>
      <c r="AK604" s="3" t="s">
        <v>5055</v>
      </c>
      <c r="AL604" s="3"/>
      <c r="AM604" s="3" t="n">
        <v>3</v>
      </c>
      <c r="AN604" s="3"/>
      <c r="AO604" s="3" t="s">
        <v>59</v>
      </c>
      <c r="AP604" s="3"/>
      <c r="AQ604" s="3" t="s">
        <v>5056</v>
      </c>
      <c r="AR604" s="3" t="s">
        <v>287</v>
      </c>
    </row>
    <row r="605" customFormat="false" ht="15" hidden="false" customHeight="true" outlineLevel="0" collapsed="false">
      <c r="A605" s="3" t="s">
        <v>5057</v>
      </c>
      <c r="B605" s="3" t="n">
        <v>7</v>
      </c>
      <c r="C605" s="3" t="n">
        <v>60</v>
      </c>
      <c r="D605" s="3"/>
      <c r="E605" s="4"/>
      <c r="F605" s="3" t="n">
        <v>57</v>
      </c>
      <c r="G605" s="3" t="str">
        <f aca="false">IF(F605="","",IF(F605&gt;=Notes!$B$5,"Elderly ("&amp;Notes!$B$5&amp;"+)",IF(F605&lt;=Notes!$B$4,"Student age (≤"&amp;Notes!$B$4&amp;")","Middle-aged ("&amp;(Notes!$B$4+1)&amp;"–"&amp;(Notes!$B$5-1)&amp;")")))</f>
        <v>Middle-aged (30–64)</v>
      </c>
      <c r="H605" s="3" t="s">
        <v>45</v>
      </c>
      <c r="I605" s="3" t="s">
        <v>825</v>
      </c>
      <c r="J605" s="3" t="s">
        <v>47</v>
      </c>
      <c r="K605" s="3" t="s">
        <v>826</v>
      </c>
      <c r="L605" s="3" t="s">
        <v>171</v>
      </c>
      <c r="M605" s="3" t="s">
        <v>47</v>
      </c>
      <c r="N605" s="3" t="s">
        <v>172</v>
      </c>
      <c r="O605" s="3" t="s">
        <v>5058</v>
      </c>
      <c r="P605" s="3" t="n">
        <v>20</v>
      </c>
      <c r="Q605" s="3" t="s">
        <v>95</v>
      </c>
      <c r="R605" s="3" t="s">
        <v>5059</v>
      </c>
      <c r="S605" s="3" t="s">
        <v>5060</v>
      </c>
      <c r="T605" s="3"/>
      <c r="U605" s="3" t="s">
        <v>5061</v>
      </c>
      <c r="V605" s="3" t="s">
        <v>5062</v>
      </c>
      <c r="W605" s="3" t="s">
        <v>5063</v>
      </c>
      <c r="X605" s="3" t="s">
        <v>5064</v>
      </c>
      <c r="Y605" s="3" t="n">
        <v>1</v>
      </c>
      <c r="Z605" s="3" t="n">
        <v>1</v>
      </c>
      <c r="AA605" s="3" t="n">
        <v>3</v>
      </c>
      <c r="AB605" s="3" t="n">
        <v>2</v>
      </c>
      <c r="AC605" s="3" t="n">
        <v>1</v>
      </c>
      <c r="AD605" s="3" t="n">
        <v>3</v>
      </c>
      <c r="AE605" s="3" t="s">
        <v>5065</v>
      </c>
      <c r="AF605" s="3"/>
      <c r="AG605" s="3" t="s">
        <v>5066</v>
      </c>
      <c r="AH605" s="3"/>
      <c r="AI605" s="3" t="s">
        <v>5067</v>
      </c>
      <c r="AJ605" s="3" t="s">
        <v>59</v>
      </c>
      <c r="AK605" s="3"/>
      <c r="AL605" s="3"/>
      <c r="AM605" s="3" t="n">
        <v>5</v>
      </c>
      <c r="AN605" s="3"/>
      <c r="AO605" s="3" t="s">
        <v>59</v>
      </c>
      <c r="AP605" s="3"/>
      <c r="AQ605" s="3"/>
      <c r="AR605" s="3" t="s">
        <v>287</v>
      </c>
    </row>
    <row r="606" customFormat="false" ht="15" hidden="false" customHeight="true" outlineLevel="0" collapsed="false">
      <c r="A606" s="3" t="s">
        <v>5068</v>
      </c>
      <c r="B606" s="3" t="n">
        <v>7</v>
      </c>
      <c r="C606" s="3" t="n">
        <v>63</v>
      </c>
      <c r="D606" s="3"/>
      <c r="E606" s="4"/>
      <c r="F606" s="3" t="n">
        <v>36</v>
      </c>
      <c r="G606" s="3" t="str">
        <f aca="false">IF(F606="","",IF(F606&gt;=Notes!$B$5,"Elderly ("&amp;Notes!$B$5&amp;"+)",IF(F606&lt;=Notes!$B$4,"Student age (≤"&amp;Notes!$B$4&amp;")","Middle-aged ("&amp;(Notes!$B$4+1)&amp;"–"&amp;(Notes!$B$5-1)&amp;")")))</f>
        <v>Middle-aged (30–64)</v>
      </c>
      <c r="H606" s="3" t="s">
        <v>45</v>
      </c>
      <c r="I606" s="3"/>
      <c r="J606" s="3" t="s">
        <v>437</v>
      </c>
      <c r="K606" s="3" t="s">
        <v>437</v>
      </c>
      <c r="L606" s="3" t="s">
        <v>4516</v>
      </c>
      <c r="M606" s="3" t="s">
        <v>47</v>
      </c>
      <c r="N606" s="3" t="s">
        <v>4517</v>
      </c>
      <c r="O606" s="3" t="s">
        <v>104</v>
      </c>
      <c r="P606" s="3" t="n">
        <v>30</v>
      </c>
      <c r="Q606" s="3" t="s">
        <v>117</v>
      </c>
      <c r="R606" s="3" t="s">
        <v>5069</v>
      </c>
      <c r="S606" s="3" t="s">
        <v>5070</v>
      </c>
      <c r="T606" s="3"/>
      <c r="U606" s="3" t="s">
        <v>5071</v>
      </c>
      <c r="V606" s="3" t="s">
        <v>5072</v>
      </c>
      <c r="W606" s="3" t="s">
        <v>5073</v>
      </c>
      <c r="X606" s="3" t="s">
        <v>5074</v>
      </c>
      <c r="Y606" s="3" t="n">
        <v>1</v>
      </c>
      <c r="Z606" s="3" t="n">
        <v>3</v>
      </c>
      <c r="AA606" s="3" t="n">
        <v>1</v>
      </c>
      <c r="AB606" s="3" t="n">
        <v>3</v>
      </c>
      <c r="AC606" s="3" t="n">
        <v>2</v>
      </c>
      <c r="AD606" s="3" t="n">
        <v>1</v>
      </c>
      <c r="AE606" s="3" t="s">
        <v>5075</v>
      </c>
      <c r="AF606" s="3"/>
      <c r="AG606" s="3" t="s">
        <v>5076</v>
      </c>
      <c r="AH606" s="3"/>
      <c r="AI606" s="3" t="s">
        <v>5077</v>
      </c>
      <c r="AJ606" s="3"/>
      <c r="AK606" s="3" t="s">
        <v>5078</v>
      </c>
      <c r="AL606" s="3"/>
      <c r="AM606" s="3" t="n">
        <v>5</v>
      </c>
      <c r="AN606" s="3"/>
      <c r="AO606" s="3" t="s">
        <v>59</v>
      </c>
      <c r="AP606" s="3"/>
      <c r="AQ606" s="3"/>
      <c r="AR606" s="3" t="s">
        <v>287</v>
      </c>
    </row>
    <row r="607" customFormat="false" ht="15" hidden="false" customHeight="true" outlineLevel="0" collapsed="false">
      <c r="A607" s="3" t="s">
        <v>5079</v>
      </c>
      <c r="B607" s="3" t="n">
        <v>7</v>
      </c>
      <c r="C607" s="3" t="n">
        <v>64</v>
      </c>
      <c r="D607" s="3"/>
      <c r="E607" s="4"/>
      <c r="F607" s="3" t="n">
        <v>19</v>
      </c>
      <c r="G607" s="3" t="str">
        <f aca="false">IF(F607="","",IF(F607&gt;=Notes!$B$5,"Elderly ("&amp;Notes!$B$5&amp;"+)",IF(F607&lt;=Notes!$B$4,"Student age (≤"&amp;Notes!$B$4&amp;")","Middle-aged ("&amp;(Notes!$B$4+1)&amp;"–"&amp;(Notes!$B$5-1)&amp;")")))</f>
        <v>Student age (≤29)</v>
      </c>
      <c r="H607" s="3" t="s">
        <v>45</v>
      </c>
      <c r="I607" s="3"/>
      <c r="J607" s="3" t="s">
        <v>437</v>
      </c>
      <c r="K607" s="3" t="s">
        <v>437</v>
      </c>
      <c r="L607" s="3"/>
      <c r="M607" s="3" t="s">
        <v>47</v>
      </c>
      <c r="N607" s="3" t="s">
        <v>47</v>
      </c>
      <c r="O607" s="3" t="s">
        <v>5080</v>
      </c>
      <c r="P607" s="3" t="n">
        <v>30</v>
      </c>
      <c r="Q607" s="3" t="s">
        <v>117</v>
      </c>
      <c r="R607" s="3" t="s">
        <v>5081</v>
      </c>
      <c r="S607" s="3" t="s">
        <v>5082</v>
      </c>
      <c r="T607" s="3"/>
      <c r="U607" s="3" t="s">
        <v>5083</v>
      </c>
      <c r="V607" s="3" t="s">
        <v>5084</v>
      </c>
      <c r="W607" s="3" t="s">
        <v>5085</v>
      </c>
      <c r="X607" s="3" t="s">
        <v>5086</v>
      </c>
      <c r="Y607" s="3" t="n">
        <v>3</v>
      </c>
      <c r="Z607" s="3" t="n">
        <v>1</v>
      </c>
      <c r="AA607" s="3" t="n">
        <v>1</v>
      </c>
      <c r="AB607" s="3" t="n">
        <v>2</v>
      </c>
      <c r="AC607" s="3" t="n">
        <v>1</v>
      </c>
      <c r="AD607" s="3" t="n">
        <v>1</v>
      </c>
      <c r="AE607" s="3" t="s">
        <v>5087</v>
      </c>
      <c r="AF607" s="3"/>
      <c r="AG607" s="3" t="s">
        <v>5088</v>
      </c>
      <c r="AH607" s="3"/>
      <c r="AI607" s="3" t="s">
        <v>5089</v>
      </c>
      <c r="AJ607" s="3"/>
      <c r="AK607" s="3" t="s">
        <v>5090</v>
      </c>
      <c r="AL607" s="3"/>
      <c r="AM607" s="3" t="n">
        <v>4</v>
      </c>
      <c r="AN607" s="3"/>
      <c r="AO607" s="3" t="s">
        <v>59</v>
      </c>
      <c r="AP607" s="3"/>
      <c r="AQ607" s="3"/>
      <c r="AR607" s="3" t="s">
        <v>81</v>
      </c>
    </row>
    <row r="608" customFormat="false" ht="15" hidden="false" customHeight="true" outlineLevel="0" collapsed="false">
      <c r="A608" s="3" t="s">
        <v>5091</v>
      </c>
      <c r="B608" s="3" t="n">
        <v>7</v>
      </c>
      <c r="C608" s="3" t="n">
        <v>65</v>
      </c>
      <c r="D608" s="3"/>
      <c r="E608" s="4"/>
      <c r="F608" s="3" t="n">
        <v>21</v>
      </c>
      <c r="G608" s="3" t="str">
        <f aca="false">IF(F608="","",IF(F608&gt;=Notes!$B$5,"Elderly ("&amp;Notes!$B$5&amp;"+)",IF(F608&lt;=Notes!$B$4,"Student age (≤"&amp;Notes!$B$4&amp;")","Middle-aged ("&amp;(Notes!$B$4+1)&amp;"–"&amp;(Notes!$B$5-1)&amp;")")))</f>
        <v>Student age (≤29)</v>
      </c>
      <c r="H608" s="3" t="s">
        <v>45</v>
      </c>
      <c r="I608" s="3"/>
      <c r="J608" s="3" t="s">
        <v>437</v>
      </c>
      <c r="K608" s="3" t="s">
        <v>437</v>
      </c>
      <c r="L608" s="3"/>
      <c r="M608" s="3" t="s">
        <v>47</v>
      </c>
      <c r="N608" s="3" t="s">
        <v>47</v>
      </c>
      <c r="O608" s="3" t="s">
        <v>5092</v>
      </c>
      <c r="P608" s="3" t="n">
        <v>37</v>
      </c>
      <c r="Q608" s="3" t="s">
        <v>52</v>
      </c>
      <c r="R608" s="3" t="s">
        <v>5093</v>
      </c>
      <c r="S608" s="3" t="s">
        <v>5094</v>
      </c>
      <c r="T608" s="3"/>
      <c r="U608" s="3" t="s">
        <v>5095</v>
      </c>
      <c r="V608" s="3" t="s">
        <v>5096</v>
      </c>
      <c r="W608" s="3" t="s">
        <v>5097</v>
      </c>
      <c r="X608" s="3" t="s">
        <v>5098</v>
      </c>
      <c r="Y608" s="3" t="n">
        <v>3</v>
      </c>
      <c r="Z608" s="3" t="n">
        <v>1</v>
      </c>
      <c r="AA608" s="3" t="n">
        <v>1</v>
      </c>
      <c r="AB608" s="3" t="n">
        <v>2</v>
      </c>
      <c r="AC608" s="3" t="n">
        <v>1</v>
      </c>
      <c r="AD608" s="3" t="n">
        <v>3</v>
      </c>
      <c r="AE608" s="3" t="s">
        <v>5099</v>
      </c>
      <c r="AF608" s="3"/>
      <c r="AG608" s="3" t="s">
        <v>5100</v>
      </c>
      <c r="AH608" s="3"/>
      <c r="AI608" s="3" t="s">
        <v>5101</v>
      </c>
      <c r="AJ608" s="3" t="s">
        <v>59</v>
      </c>
      <c r="AK608" s="3" t="s">
        <v>5102</v>
      </c>
      <c r="AL608" s="3"/>
      <c r="AM608" s="3" t="n">
        <v>5</v>
      </c>
      <c r="AN608" s="3"/>
      <c r="AO608" s="3" t="s">
        <v>59</v>
      </c>
      <c r="AP608" s="3"/>
      <c r="AQ608" s="3"/>
      <c r="AR608" s="3" t="s">
        <v>287</v>
      </c>
    </row>
    <row r="609" customFormat="false" ht="15" hidden="false" customHeight="true" outlineLevel="0" collapsed="false">
      <c r="A609" s="3" t="s">
        <v>5103</v>
      </c>
      <c r="B609" s="3" t="n">
        <v>7</v>
      </c>
      <c r="C609" s="3" t="n">
        <v>66</v>
      </c>
      <c r="D609" s="3"/>
      <c r="E609" s="4"/>
      <c r="F609" s="3" t="n">
        <v>21</v>
      </c>
      <c r="G609" s="3" t="str">
        <f aca="false">IF(F609="","",IF(F609&gt;=Notes!$B$5,"Elderly ("&amp;Notes!$B$5&amp;"+)",IF(F609&lt;=Notes!$B$4,"Student age (≤"&amp;Notes!$B$4&amp;")","Middle-aged ("&amp;(Notes!$B$4+1)&amp;"–"&amp;(Notes!$B$5-1)&amp;")")))</f>
        <v>Student age (≤29)</v>
      </c>
      <c r="H609" s="3" t="s">
        <v>45</v>
      </c>
      <c r="I609" s="3" t="s">
        <v>159</v>
      </c>
      <c r="J609" s="3" t="s">
        <v>47</v>
      </c>
      <c r="K609" s="3" t="s">
        <v>160</v>
      </c>
      <c r="L609" s="3" t="s">
        <v>49</v>
      </c>
      <c r="M609" s="3" t="s">
        <v>47</v>
      </c>
      <c r="N609" s="3" t="s">
        <v>50</v>
      </c>
      <c r="O609" s="3" t="s">
        <v>104</v>
      </c>
      <c r="P609" s="3" t="n">
        <v>30</v>
      </c>
      <c r="Q609" s="3" t="s">
        <v>117</v>
      </c>
      <c r="R609" s="3" t="s">
        <v>5104</v>
      </c>
      <c r="S609" s="3" t="s">
        <v>5105</v>
      </c>
      <c r="T609" s="3"/>
      <c r="U609" s="3" t="s">
        <v>5106</v>
      </c>
      <c r="V609" s="3" t="s">
        <v>5107</v>
      </c>
      <c r="W609" s="3" t="s">
        <v>5108</v>
      </c>
      <c r="X609" s="3" t="s">
        <v>5109</v>
      </c>
      <c r="Y609" s="3" t="n">
        <v>1</v>
      </c>
      <c r="Z609" s="3" t="n">
        <v>3</v>
      </c>
      <c r="AA609" s="3" t="n">
        <v>1</v>
      </c>
      <c r="AB609" s="3" t="n">
        <v>2</v>
      </c>
      <c r="AC609" s="3" t="n">
        <v>1</v>
      </c>
      <c r="AD609" s="3" t="n">
        <v>3</v>
      </c>
      <c r="AE609" s="3" t="s">
        <v>5110</v>
      </c>
      <c r="AF609" s="3"/>
      <c r="AG609" s="3" t="s">
        <v>5111</v>
      </c>
      <c r="AH609" s="3"/>
      <c r="AI609" s="3" t="s">
        <v>5112</v>
      </c>
      <c r="AJ609" s="3" t="s">
        <v>59</v>
      </c>
      <c r="AK609" s="3"/>
      <c r="AL609" s="3"/>
      <c r="AM609" s="3" t="n">
        <v>3</v>
      </c>
      <c r="AN609" s="3"/>
      <c r="AO609" s="3" t="s">
        <v>59</v>
      </c>
      <c r="AP609" s="3"/>
      <c r="AQ609" s="3"/>
      <c r="AR609" s="3" t="s">
        <v>287</v>
      </c>
    </row>
    <row r="610" customFormat="false" ht="15" hidden="false" customHeight="true" outlineLevel="0" collapsed="false">
      <c r="A610" s="3" t="s">
        <v>5113</v>
      </c>
      <c r="B610" s="3" t="n">
        <v>7</v>
      </c>
      <c r="C610" s="3" t="n">
        <v>67</v>
      </c>
      <c r="D610" s="3"/>
      <c r="E610" s="4"/>
      <c r="F610" s="3" t="n">
        <v>23</v>
      </c>
      <c r="G610" s="3" t="str">
        <f aca="false">IF(F610="","",IF(F610&gt;=Notes!$B$5,"Elderly ("&amp;Notes!$B$5&amp;"+)",IF(F610&lt;=Notes!$B$4,"Student age (≤"&amp;Notes!$B$4&amp;")","Middle-aged ("&amp;(Notes!$B$4+1)&amp;"–"&amp;(Notes!$B$5-1)&amp;")")))</f>
        <v>Student age (≤29)</v>
      </c>
      <c r="H610" s="3" t="s">
        <v>45</v>
      </c>
      <c r="I610" s="3"/>
      <c r="J610" s="3" t="s">
        <v>437</v>
      </c>
      <c r="K610" s="3" t="s">
        <v>437</v>
      </c>
      <c r="L610" s="3" t="s">
        <v>49</v>
      </c>
      <c r="M610" s="3" t="s">
        <v>47</v>
      </c>
      <c r="N610" s="3" t="s">
        <v>50</v>
      </c>
      <c r="O610" s="3" t="s">
        <v>5114</v>
      </c>
      <c r="P610" s="3" t="n">
        <v>25</v>
      </c>
      <c r="Q610" s="3" t="s">
        <v>117</v>
      </c>
      <c r="R610" s="3" t="s">
        <v>5115</v>
      </c>
      <c r="S610" s="3" t="s">
        <v>386</v>
      </c>
      <c r="T610" s="3"/>
      <c r="U610" s="3" t="s">
        <v>5116</v>
      </c>
      <c r="V610" s="3" t="s">
        <v>5117</v>
      </c>
      <c r="W610" s="3" t="s">
        <v>5118</v>
      </c>
      <c r="X610" s="3" t="s">
        <v>5119</v>
      </c>
      <c r="Y610" s="3" t="n">
        <v>1</v>
      </c>
      <c r="Z610" s="3" t="n">
        <v>1</v>
      </c>
      <c r="AA610" s="3" t="n">
        <v>3</v>
      </c>
      <c r="AB610" s="3" t="n">
        <v>1</v>
      </c>
      <c r="AC610" s="3" t="n">
        <v>2</v>
      </c>
      <c r="AD610" s="3" t="n">
        <v>3</v>
      </c>
      <c r="AE610" s="3" t="s">
        <v>5120</v>
      </c>
      <c r="AF610" s="3"/>
      <c r="AG610" s="3" t="s">
        <v>5121</v>
      </c>
      <c r="AH610" s="3"/>
      <c r="AI610" s="3" t="s">
        <v>5122</v>
      </c>
      <c r="AJ610" s="3"/>
      <c r="AK610" s="3" t="s">
        <v>5123</v>
      </c>
      <c r="AL610" s="3"/>
      <c r="AM610" s="3" t="n">
        <v>4</v>
      </c>
      <c r="AN610" s="3"/>
      <c r="AO610" s="3" t="s">
        <v>59</v>
      </c>
      <c r="AP610" s="3"/>
      <c r="AQ610" s="3"/>
      <c r="AR610" s="3" t="s">
        <v>287</v>
      </c>
    </row>
    <row r="611" customFormat="false" ht="15" hidden="false" customHeight="true" outlineLevel="0" collapsed="false">
      <c r="A611" s="3" t="s">
        <v>5124</v>
      </c>
      <c r="B611" s="3" t="n">
        <v>7</v>
      </c>
      <c r="C611" s="3" t="n">
        <v>68</v>
      </c>
      <c r="D611" s="3"/>
      <c r="E611" s="4"/>
      <c r="F611" s="3" t="n">
        <v>23</v>
      </c>
      <c r="G611" s="3" t="str">
        <f aca="false">IF(F611="","",IF(F611&gt;=Notes!$B$5,"Elderly ("&amp;Notes!$B$5&amp;"+)",IF(F611&lt;=Notes!$B$4,"Student age (≤"&amp;Notes!$B$4&amp;")","Middle-aged ("&amp;(Notes!$B$4+1)&amp;"–"&amp;(Notes!$B$5-1)&amp;")")))</f>
        <v>Student age (≤29)</v>
      </c>
      <c r="H611" s="3" t="s">
        <v>45</v>
      </c>
      <c r="I611" s="3"/>
      <c r="J611" s="3" t="s">
        <v>437</v>
      </c>
      <c r="K611" s="3" t="s">
        <v>437</v>
      </c>
      <c r="L611" s="3" t="s">
        <v>71</v>
      </c>
      <c r="M611" s="3" t="s">
        <v>47</v>
      </c>
      <c r="N611" s="3" t="s">
        <v>72</v>
      </c>
      <c r="O611" s="3" t="s">
        <v>5125</v>
      </c>
      <c r="P611" s="3" t="n">
        <v>15</v>
      </c>
      <c r="Q611" s="3" t="s">
        <v>74</v>
      </c>
      <c r="R611" s="3" t="s">
        <v>5126</v>
      </c>
      <c r="S611" s="3" t="s">
        <v>5127</v>
      </c>
      <c r="T611" s="3"/>
      <c r="U611" s="3" t="s">
        <v>5128</v>
      </c>
      <c r="V611" s="3" t="s">
        <v>5129</v>
      </c>
      <c r="W611" s="3" t="s">
        <v>5130</v>
      </c>
      <c r="X611" s="3" t="s">
        <v>5131</v>
      </c>
      <c r="Y611" s="3" t="n">
        <v>1</v>
      </c>
      <c r="Z611" s="3" t="n">
        <v>3</v>
      </c>
      <c r="AA611" s="3" t="n">
        <v>3</v>
      </c>
      <c r="AB611" s="3" t="n">
        <v>1</v>
      </c>
      <c r="AC611" s="3" t="n">
        <v>2</v>
      </c>
      <c r="AD611" s="3" t="n">
        <v>3</v>
      </c>
      <c r="AE611" s="3" t="s">
        <v>5132</v>
      </c>
      <c r="AF611" s="3"/>
      <c r="AG611" s="3" t="s">
        <v>5133</v>
      </c>
      <c r="AH611" s="3"/>
      <c r="AI611" s="3" t="s">
        <v>5134</v>
      </c>
      <c r="AJ611" s="3" t="s">
        <v>59</v>
      </c>
      <c r="AK611" s="3" t="s">
        <v>5135</v>
      </c>
      <c r="AL611" s="3"/>
      <c r="AM611" s="3" t="n">
        <v>5</v>
      </c>
      <c r="AN611" s="3"/>
      <c r="AO611" s="3" t="s">
        <v>59</v>
      </c>
      <c r="AP611" s="3"/>
      <c r="AQ611" s="3"/>
      <c r="AR611" s="3" t="s">
        <v>287</v>
      </c>
    </row>
    <row r="612" customFormat="false" ht="15" hidden="false" customHeight="true" outlineLevel="0" collapsed="false">
      <c r="A612" s="3" t="s">
        <v>5136</v>
      </c>
      <c r="B612" s="3" t="n">
        <v>7</v>
      </c>
      <c r="C612" s="3" t="n">
        <v>69</v>
      </c>
      <c r="D612" s="3"/>
      <c r="E612" s="4"/>
      <c r="F612" s="3" t="n">
        <v>21</v>
      </c>
      <c r="G612" s="3" t="str">
        <f aca="false">IF(F612="","",IF(F612&gt;=Notes!$B$5,"Elderly ("&amp;Notes!$B$5&amp;"+)",IF(F612&lt;=Notes!$B$4,"Student age (≤"&amp;Notes!$B$4&amp;")","Middle-aged ("&amp;(Notes!$B$4+1)&amp;"–"&amp;(Notes!$B$5-1)&amp;")")))</f>
        <v>Student age (≤29)</v>
      </c>
      <c r="H612" s="3" t="s">
        <v>45</v>
      </c>
      <c r="I612" s="3" t="s">
        <v>127</v>
      </c>
      <c r="J612" s="3" t="s">
        <v>47</v>
      </c>
      <c r="K612" s="3" t="s">
        <v>128</v>
      </c>
      <c r="L612" s="3" t="s">
        <v>49</v>
      </c>
      <c r="M612" s="3" t="s">
        <v>47</v>
      </c>
      <c r="N612" s="3" t="s">
        <v>50</v>
      </c>
      <c r="O612" s="3" t="s">
        <v>5137</v>
      </c>
      <c r="P612" s="3" t="n">
        <v>25</v>
      </c>
      <c r="Q612" s="3" t="s">
        <v>117</v>
      </c>
      <c r="R612" s="3" t="s">
        <v>1731</v>
      </c>
      <c r="S612" s="3" t="s">
        <v>5138</v>
      </c>
      <c r="T612" s="3"/>
      <c r="U612" s="3" t="s">
        <v>5139</v>
      </c>
      <c r="V612" s="3" t="s">
        <v>5140</v>
      </c>
      <c r="W612" s="3" t="s">
        <v>5141</v>
      </c>
      <c r="X612" s="3" t="s">
        <v>5142</v>
      </c>
      <c r="Y612" s="3" t="n">
        <v>1</v>
      </c>
      <c r="Z612" s="3" t="n">
        <v>3</v>
      </c>
      <c r="AA612" s="3" t="n">
        <v>3</v>
      </c>
      <c r="AB612" s="3" t="n">
        <v>2</v>
      </c>
      <c r="AC612" s="3" t="n">
        <v>1</v>
      </c>
      <c r="AD612" s="3" t="n">
        <v>3</v>
      </c>
      <c r="AE612" s="3" t="s">
        <v>5143</v>
      </c>
      <c r="AF612" s="3"/>
      <c r="AG612" s="3" t="s">
        <v>5144</v>
      </c>
      <c r="AH612" s="3"/>
      <c r="AI612" s="3" t="s">
        <v>5145</v>
      </c>
      <c r="AJ612" s="3" t="s">
        <v>59</v>
      </c>
      <c r="AK612" s="3" t="s">
        <v>5146</v>
      </c>
      <c r="AL612" s="3"/>
      <c r="AM612" s="3" t="n">
        <v>4</v>
      </c>
      <c r="AN612" s="3"/>
      <c r="AO612" s="3" t="s">
        <v>59</v>
      </c>
      <c r="AP612" s="3"/>
      <c r="AQ612" s="3"/>
      <c r="AR612" s="3" t="s">
        <v>287</v>
      </c>
    </row>
    <row r="613" customFormat="false" ht="15" hidden="false" customHeight="true" outlineLevel="0" collapsed="false">
      <c r="A613" s="3" t="s">
        <v>5147</v>
      </c>
      <c r="B613" s="3" t="n">
        <v>7</v>
      </c>
      <c r="C613" s="3" t="n">
        <v>70</v>
      </c>
      <c r="D613" s="3"/>
      <c r="E613" s="4"/>
      <c r="F613" s="3" t="n">
        <v>55</v>
      </c>
      <c r="G613" s="3" t="str">
        <f aca="false">IF(F613="","",IF(F613&gt;=Notes!$B$5,"Elderly ("&amp;Notes!$B$5&amp;"+)",IF(F613&lt;=Notes!$B$4,"Student age (≤"&amp;Notes!$B$4&amp;")","Middle-aged ("&amp;(Notes!$B$4+1)&amp;"–"&amp;(Notes!$B$5-1)&amp;")")))</f>
        <v>Middle-aged (30–64)</v>
      </c>
      <c r="H613" s="3" t="s">
        <v>45</v>
      </c>
      <c r="I613" s="3"/>
      <c r="J613" s="3" t="s">
        <v>437</v>
      </c>
      <c r="K613" s="3" t="s">
        <v>437</v>
      </c>
      <c r="L613" s="3"/>
      <c r="M613" s="3" t="s">
        <v>437</v>
      </c>
      <c r="N613" s="3" t="s">
        <v>437</v>
      </c>
      <c r="O613" s="3" t="s">
        <v>5148</v>
      </c>
      <c r="P613" s="3" t="n">
        <v>20</v>
      </c>
      <c r="Q613" s="3" t="s">
        <v>95</v>
      </c>
      <c r="R613" s="3" t="s">
        <v>5149</v>
      </c>
      <c r="S613" s="3" t="s">
        <v>5150</v>
      </c>
      <c r="T613" s="3"/>
      <c r="U613" s="3" t="s">
        <v>5151</v>
      </c>
      <c r="V613" s="3" t="s">
        <v>5152</v>
      </c>
      <c r="W613" s="3" t="s">
        <v>5153</v>
      </c>
      <c r="X613" s="3" t="s">
        <v>5154</v>
      </c>
      <c r="Y613" s="3" t="n">
        <v>2</v>
      </c>
      <c r="Z613" s="3" t="n">
        <v>1</v>
      </c>
      <c r="AA613" s="3" t="n">
        <v>3</v>
      </c>
      <c r="AB613" s="3" t="n">
        <v>1</v>
      </c>
      <c r="AC613" s="3" t="n">
        <v>2</v>
      </c>
      <c r="AD613" s="3" t="n">
        <v>3</v>
      </c>
      <c r="AE613" s="3" t="s">
        <v>5155</v>
      </c>
      <c r="AF613" s="3"/>
      <c r="AG613" s="3" t="s">
        <v>5156</v>
      </c>
      <c r="AH613" s="3"/>
      <c r="AI613" s="3" t="s">
        <v>5156</v>
      </c>
      <c r="AJ613" s="3"/>
      <c r="AK613" s="3" t="s">
        <v>5157</v>
      </c>
      <c r="AL613" s="3"/>
      <c r="AM613" s="3" t="n">
        <v>5</v>
      </c>
      <c r="AN613" s="3"/>
      <c r="AO613" s="3" t="s">
        <v>59</v>
      </c>
      <c r="AP613" s="3"/>
      <c r="AQ613" s="3"/>
      <c r="AR613" s="3"/>
    </row>
    <row r="614" customFormat="false" ht="15" hidden="false" customHeight="true" outlineLevel="0" collapsed="false">
      <c r="A614" s="3" t="s">
        <v>5158</v>
      </c>
      <c r="B614" s="3" t="n">
        <v>7</v>
      </c>
      <c r="C614" s="3" t="n">
        <v>71</v>
      </c>
      <c r="D614" s="3"/>
      <c r="E614" s="4"/>
      <c r="F614" s="3" t="n">
        <v>25</v>
      </c>
      <c r="G614" s="3" t="str">
        <f aca="false">IF(F614="","",IF(F614&gt;=Notes!$B$5,"Elderly ("&amp;Notes!$B$5&amp;"+)",IF(F614&lt;=Notes!$B$4,"Student age (≤"&amp;Notes!$B$4&amp;")","Middle-aged ("&amp;(Notes!$B$4+1)&amp;"–"&amp;(Notes!$B$5-1)&amp;")")))</f>
        <v>Student age (≤29)</v>
      </c>
      <c r="H614" s="3" t="s">
        <v>45</v>
      </c>
      <c r="I614" s="3" t="s">
        <v>71</v>
      </c>
      <c r="J614" s="3" t="s">
        <v>47</v>
      </c>
      <c r="K614" s="3" t="s">
        <v>72</v>
      </c>
      <c r="L614" s="3" t="s">
        <v>71</v>
      </c>
      <c r="M614" s="3" t="s">
        <v>47</v>
      </c>
      <c r="N614" s="3" t="s">
        <v>72</v>
      </c>
      <c r="O614" s="3" t="s">
        <v>129</v>
      </c>
      <c r="P614" s="3" t="n">
        <v>30</v>
      </c>
      <c r="Q614" s="3" t="s">
        <v>117</v>
      </c>
      <c r="R614" s="3" t="s">
        <v>5159</v>
      </c>
      <c r="S614" s="3" t="s">
        <v>5160</v>
      </c>
      <c r="T614" s="3"/>
      <c r="U614" s="3" t="s">
        <v>5161</v>
      </c>
      <c r="V614" s="3" t="s">
        <v>5162</v>
      </c>
      <c r="W614" s="3" t="s">
        <v>5163</v>
      </c>
      <c r="X614" s="3" t="s">
        <v>5164</v>
      </c>
      <c r="Y614" s="3" t="n">
        <v>2</v>
      </c>
      <c r="Z614" s="3" t="n">
        <v>1</v>
      </c>
      <c r="AA614" s="3" t="n">
        <v>2</v>
      </c>
      <c r="AB614" s="3" t="n">
        <v>2</v>
      </c>
      <c r="AC614" s="3" t="n">
        <v>1</v>
      </c>
      <c r="AD614" s="3" t="n">
        <v>3</v>
      </c>
      <c r="AE614" s="3" t="s">
        <v>5165</v>
      </c>
      <c r="AF614" s="3"/>
      <c r="AG614" s="3" t="s">
        <v>5166</v>
      </c>
      <c r="AH614" s="3"/>
      <c r="AI614" s="3" t="s">
        <v>5167</v>
      </c>
      <c r="AJ614" s="3"/>
      <c r="AK614" s="3" t="s">
        <v>5168</v>
      </c>
      <c r="AL614" s="3"/>
      <c r="AM614" s="3" t="n">
        <v>4</v>
      </c>
      <c r="AN614" s="3"/>
      <c r="AO614" s="3" t="s">
        <v>59</v>
      </c>
      <c r="AP614" s="3"/>
      <c r="AQ614" s="3"/>
      <c r="AR614" s="3" t="s">
        <v>287</v>
      </c>
    </row>
    <row r="615" customFormat="false" ht="15" hidden="false" customHeight="true" outlineLevel="0" collapsed="false">
      <c r="A615" s="3" t="s">
        <v>5169</v>
      </c>
      <c r="B615" s="3" t="n">
        <v>7</v>
      </c>
      <c r="C615" s="3" t="n">
        <v>72</v>
      </c>
      <c r="D615" s="3"/>
      <c r="E615" s="4"/>
      <c r="F615" s="3" t="n">
        <v>35</v>
      </c>
      <c r="G615" s="3" t="str">
        <f aca="false">IF(F615="","",IF(F615&gt;=Notes!$B$5,"Elderly ("&amp;Notes!$B$5&amp;"+)",IF(F615&lt;=Notes!$B$4,"Student age (≤"&amp;Notes!$B$4&amp;")","Middle-aged ("&amp;(Notes!$B$4+1)&amp;"–"&amp;(Notes!$B$5-1)&amp;")")))</f>
        <v>Middle-aged (30–64)</v>
      </c>
      <c r="H615" s="3" t="s">
        <v>83</v>
      </c>
      <c r="I615" s="3" t="s">
        <v>71</v>
      </c>
      <c r="J615" s="3" t="s">
        <v>47</v>
      </c>
      <c r="K615" s="3" t="s">
        <v>72</v>
      </c>
      <c r="L615" s="3" t="s">
        <v>71</v>
      </c>
      <c r="M615" s="3" t="s">
        <v>47</v>
      </c>
      <c r="N615" s="3" t="s">
        <v>72</v>
      </c>
      <c r="O615" s="3" t="s">
        <v>104</v>
      </c>
      <c r="P615" s="3" t="n">
        <v>32</v>
      </c>
      <c r="Q615" s="3" t="s">
        <v>52</v>
      </c>
      <c r="R615" s="3" t="s">
        <v>5170</v>
      </c>
      <c r="S615" s="3" t="s">
        <v>5171</v>
      </c>
      <c r="T615" s="3"/>
      <c r="U615" s="3" t="s">
        <v>5172</v>
      </c>
      <c r="V615" s="3" t="s">
        <v>5173</v>
      </c>
      <c r="W615" s="3" t="s">
        <v>5174</v>
      </c>
      <c r="X615" s="3" t="s">
        <v>5175</v>
      </c>
      <c r="Y615" s="3" t="n">
        <v>3</v>
      </c>
      <c r="Z615" s="3" t="n">
        <v>1</v>
      </c>
      <c r="AA615" s="3" t="n">
        <v>2</v>
      </c>
      <c r="AB615" s="3" t="n">
        <v>2</v>
      </c>
      <c r="AC615" s="3" t="n">
        <v>1</v>
      </c>
      <c r="AD615" s="3" t="n">
        <v>3</v>
      </c>
      <c r="AE615" s="3" t="s">
        <v>5176</v>
      </c>
      <c r="AF615" s="3"/>
      <c r="AG615" s="3" t="s">
        <v>5177</v>
      </c>
      <c r="AH615" s="3"/>
      <c r="AI615" s="3" t="s">
        <v>5178</v>
      </c>
      <c r="AJ615" s="3"/>
      <c r="AK615" s="3" t="s">
        <v>5179</v>
      </c>
      <c r="AL615" s="3"/>
      <c r="AM615" s="3" t="n">
        <v>5</v>
      </c>
      <c r="AN615" s="3"/>
      <c r="AO615" s="3" t="s">
        <v>59</v>
      </c>
      <c r="AP615" s="3"/>
      <c r="AQ615" s="3"/>
      <c r="AR615" s="3"/>
    </row>
    <row r="616" customFormat="false" ht="15" hidden="false" customHeight="true" outlineLevel="0" collapsed="false">
      <c r="A616" s="3" t="s">
        <v>5180</v>
      </c>
      <c r="B616" s="3" t="n">
        <v>7</v>
      </c>
      <c r="C616" s="3" t="n">
        <v>73</v>
      </c>
      <c r="D616" s="3"/>
      <c r="E616" s="4"/>
      <c r="F616" s="3" t="n">
        <v>21</v>
      </c>
      <c r="G616" s="3" t="str">
        <f aca="false">IF(F616="","",IF(F616&gt;=Notes!$B$5,"Elderly ("&amp;Notes!$B$5&amp;"+)",IF(F616&lt;=Notes!$B$4,"Student age (≤"&amp;Notes!$B$4&amp;")","Middle-aged ("&amp;(Notes!$B$4+1)&amp;"–"&amp;(Notes!$B$5-1)&amp;")")))</f>
        <v>Student age (≤29)</v>
      </c>
      <c r="H616" s="3" t="s">
        <v>83</v>
      </c>
      <c r="I616" s="3" t="s">
        <v>49</v>
      </c>
      <c r="J616" s="3" t="s">
        <v>47</v>
      </c>
      <c r="K616" s="3" t="s">
        <v>50</v>
      </c>
      <c r="L616" s="3" t="s">
        <v>49</v>
      </c>
      <c r="M616" s="3" t="s">
        <v>47</v>
      </c>
      <c r="N616" s="3" t="s">
        <v>50</v>
      </c>
      <c r="O616" s="3" t="s">
        <v>5181</v>
      </c>
      <c r="P616" s="3" t="n">
        <v>30</v>
      </c>
      <c r="Q616" s="3" t="s">
        <v>117</v>
      </c>
      <c r="R616" s="3" t="s">
        <v>5182</v>
      </c>
      <c r="S616" s="3" t="s">
        <v>5183</v>
      </c>
      <c r="T616" s="3"/>
      <c r="U616" s="3" t="s">
        <v>5184</v>
      </c>
      <c r="V616" s="3" t="s">
        <v>5185</v>
      </c>
      <c r="W616" s="3" t="s">
        <v>5186</v>
      </c>
      <c r="X616" s="3" t="s">
        <v>5187</v>
      </c>
      <c r="Y616" s="3" t="n">
        <v>1</v>
      </c>
      <c r="Z616" s="3" t="n">
        <v>3</v>
      </c>
      <c r="AA616" s="3" t="n">
        <v>2</v>
      </c>
      <c r="AB616" s="3" t="n">
        <v>1</v>
      </c>
      <c r="AC616" s="3" t="n">
        <v>3</v>
      </c>
      <c r="AD616" s="3" t="n">
        <v>2</v>
      </c>
      <c r="AE616" s="3" t="s">
        <v>5188</v>
      </c>
      <c r="AF616" s="3"/>
      <c r="AG616" s="3" t="s">
        <v>5189</v>
      </c>
      <c r="AH616" s="3"/>
      <c r="AI616" s="3" t="s">
        <v>5190</v>
      </c>
      <c r="AJ616" s="3"/>
      <c r="AK616" s="3" t="s">
        <v>5191</v>
      </c>
      <c r="AL616" s="3"/>
      <c r="AM616" s="3" t="n">
        <v>4</v>
      </c>
      <c r="AN616" s="3"/>
      <c r="AO616" s="3" t="s">
        <v>59</v>
      </c>
      <c r="AP616" s="3"/>
      <c r="AQ616" s="3"/>
      <c r="AR616" s="3"/>
    </row>
    <row r="617" customFormat="false" ht="15" hidden="false" customHeight="true" outlineLevel="0" collapsed="false">
      <c r="A617" s="3" t="s">
        <v>5192</v>
      </c>
      <c r="B617" s="3" t="n">
        <v>7</v>
      </c>
      <c r="C617" s="3" t="n">
        <v>74</v>
      </c>
      <c r="D617" s="3"/>
      <c r="E617" s="4"/>
      <c r="F617" s="3" t="n">
        <v>21</v>
      </c>
      <c r="G617" s="3" t="str">
        <f aca="false">IF(F617="","",IF(F617&gt;=Notes!$B$5,"Elderly ("&amp;Notes!$B$5&amp;"+)",IF(F617&lt;=Notes!$B$4,"Student age (≤"&amp;Notes!$B$4&amp;")","Middle-aged ("&amp;(Notes!$B$4+1)&amp;"–"&amp;(Notes!$B$5-1)&amp;")")))</f>
        <v>Student age (≤29)</v>
      </c>
      <c r="H617" s="3" t="s">
        <v>45</v>
      </c>
      <c r="I617" s="3" t="s">
        <v>49</v>
      </c>
      <c r="J617" s="3" t="s">
        <v>47</v>
      </c>
      <c r="K617" s="3" t="s">
        <v>50</v>
      </c>
      <c r="L617" s="3" t="s">
        <v>49</v>
      </c>
      <c r="M617" s="3" t="s">
        <v>47</v>
      </c>
      <c r="N617" s="3" t="s">
        <v>50</v>
      </c>
      <c r="O617" s="3" t="s">
        <v>5193</v>
      </c>
      <c r="P617" s="3" t="n">
        <v>30</v>
      </c>
      <c r="Q617" s="3" t="s">
        <v>117</v>
      </c>
      <c r="R617" s="3" t="s">
        <v>5194</v>
      </c>
      <c r="S617" s="3" t="s">
        <v>5195</v>
      </c>
      <c r="T617" s="3"/>
      <c r="U617" s="3" t="s">
        <v>5196</v>
      </c>
      <c r="V617" s="3" t="s">
        <v>5197</v>
      </c>
      <c r="W617" s="3" t="s">
        <v>5198</v>
      </c>
      <c r="X617" s="3" t="s">
        <v>5199</v>
      </c>
      <c r="Y617" s="3" t="n">
        <v>3</v>
      </c>
      <c r="Z617" s="3" t="n">
        <v>1</v>
      </c>
      <c r="AA617" s="3" t="n">
        <v>2</v>
      </c>
      <c r="AB617" s="3" t="n">
        <v>2</v>
      </c>
      <c r="AC617" s="3" t="n">
        <v>1</v>
      </c>
      <c r="AD617" s="3" t="n">
        <v>3</v>
      </c>
      <c r="AE617" s="3" t="s">
        <v>5200</v>
      </c>
      <c r="AF617" s="3"/>
      <c r="AG617" s="3" t="s">
        <v>5201</v>
      </c>
      <c r="AH617" s="3"/>
      <c r="AI617" s="3" t="s">
        <v>5202</v>
      </c>
      <c r="AJ617" s="3" t="s">
        <v>59</v>
      </c>
      <c r="AK617" s="3" t="s">
        <v>5203</v>
      </c>
      <c r="AL617" s="3"/>
      <c r="AM617" s="3" t="n">
        <v>4</v>
      </c>
      <c r="AN617" s="3"/>
      <c r="AO617" s="3" t="s">
        <v>59</v>
      </c>
      <c r="AP617" s="3"/>
      <c r="AQ617" s="3"/>
      <c r="AR617" s="3"/>
    </row>
    <row r="618" customFormat="false" ht="15" hidden="false" customHeight="true" outlineLevel="0" collapsed="false">
      <c r="A618" s="3" t="s">
        <v>5204</v>
      </c>
      <c r="B618" s="3" t="n">
        <v>7</v>
      </c>
      <c r="C618" s="3" t="n">
        <v>75</v>
      </c>
      <c r="D618" s="3"/>
      <c r="E618" s="4"/>
      <c r="F618" s="3" t="n">
        <v>21</v>
      </c>
      <c r="G618" s="3" t="str">
        <f aca="false">IF(F618="","",IF(F618&gt;=Notes!$B$5,"Elderly ("&amp;Notes!$B$5&amp;"+)",IF(F618&lt;=Notes!$B$4,"Student age (≤"&amp;Notes!$B$4&amp;")","Middle-aged ("&amp;(Notes!$B$4+1)&amp;"–"&amp;(Notes!$B$5-1)&amp;")")))</f>
        <v>Student age (≤29)</v>
      </c>
      <c r="H618" s="3" t="s">
        <v>45</v>
      </c>
      <c r="I618" s="3"/>
      <c r="J618" s="3" t="s">
        <v>47</v>
      </c>
      <c r="K618" s="3" t="s">
        <v>47</v>
      </c>
      <c r="L618" s="3"/>
      <c r="M618" s="3" t="s">
        <v>47</v>
      </c>
      <c r="N618" s="3" t="s">
        <v>47</v>
      </c>
      <c r="O618" s="3" t="s">
        <v>5205</v>
      </c>
      <c r="P618" s="3" t="n">
        <v>20</v>
      </c>
      <c r="Q618" s="3" t="s">
        <v>95</v>
      </c>
      <c r="R618" s="3" t="s">
        <v>5206</v>
      </c>
      <c r="S618" s="3" t="s">
        <v>5207</v>
      </c>
      <c r="T618" s="3"/>
      <c r="U618" s="3" t="s">
        <v>5208</v>
      </c>
      <c r="V618" s="3" t="s">
        <v>5015</v>
      </c>
      <c r="W618" s="3" t="s">
        <v>59</v>
      </c>
      <c r="X618" s="3" t="s">
        <v>5209</v>
      </c>
      <c r="Y618" s="3" t="n">
        <v>3</v>
      </c>
      <c r="Z618" s="3" t="n">
        <v>1</v>
      </c>
      <c r="AA618" s="3" t="n">
        <v>2</v>
      </c>
      <c r="AB618" s="3" t="n">
        <v>3</v>
      </c>
      <c r="AC618" s="3" t="n">
        <v>1</v>
      </c>
      <c r="AD618" s="3" t="n">
        <v>2</v>
      </c>
      <c r="AE618" s="3" t="s">
        <v>5210</v>
      </c>
      <c r="AF618" s="3"/>
      <c r="AG618" s="3" t="s">
        <v>5211</v>
      </c>
      <c r="AH618" s="3"/>
      <c r="AI618" s="3" t="s">
        <v>5212</v>
      </c>
      <c r="AJ618" s="3"/>
      <c r="AK618" s="3" t="s">
        <v>5213</v>
      </c>
      <c r="AL618" s="3"/>
      <c r="AM618" s="3" t="n">
        <v>5</v>
      </c>
      <c r="AN618" s="3"/>
      <c r="AO618" s="3" t="s">
        <v>59</v>
      </c>
      <c r="AP618" s="3"/>
      <c r="AQ618" s="3"/>
      <c r="AR618" s="3"/>
    </row>
    <row r="619" customFormat="false" ht="15" hidden="false" customHeight="true" outlineLevel="0" collapsed="false">
      <c r="A619" s="3" t="s">
        <v>5214</v>
      </c>
      <c r="B619" s="3" t="n">
        <v>7</v>
      </c>
      <c r="C619" s="3" t="n">
        <v>76</v>
      </c>
      <c r="D619" s="3"/>
      <c r="E619" s="4"/>
      <c r="F619" s="3" t="n">
        <v>21</v>
      </c>
      <c r="G619" s="3" t="str">
        <f aca="false">IF(F619="","",IF(F619&gt;=Notes!$B$5,"Elderly ("&amp;Notes!$B$5&amp;"+)",IF(F619&lt;=Notes!$B$4,"Student age (≤"&amp;Notes!$B$4&amp;")","Middle-aged ("&amp;(Notes!$B$4+1)&amp;"–"&amp;(Notes!$B$5-1)&amp;")")))</f>
        <v>Student age (≤29)</v>
      </c>
      <c r="H619" s="3" t="s">
        <v>45</v>
      </c>
      <c r="I619" s="3" t="s">
        <v>46</v>
      </c>
      <c r="J619" s="3" t="s">
        <v>47</v>
      </c>
      <c r="K619" s="3" t="s">
        <v>48</v>
      </c>
      <c r="L619" s="3" t="s">
        <v>49</v>
      </c>
      <c r="M619" s="3" t="s">
        <v>47</v>
      </c>
      <c r="N619" s="3" t="s">
        <v>50</v>
      </c>
      <c r="O619" s="3" t="s">
        <v>5215</v>
      </c>
      <c r="P619" s="3" t="n">
        <v>33</v>
      </c>
      <c r="Q619" s="3" t="s">
        <v>52</v>
      </c>
      <c r="R619" s="3" t="s">
        <v>5216</v>
      </c>
      <c r="S619" s="3" t="s">
        <v>5217</v>
      </c>
      <c r="T619" s="3"/>
      <c r="U619" s="3" t="s">
        <v>5218</v>
      </c>
      <c r="V619" s="3" t="s">
        <v>5219</v>
      </c>
      <c r="W619" s="3" t="s">
        <v>5220</v>
      </c>
      <c r="X619" s="3" t="s">
        <v>5221</v>
      </c>
      <c r="Y619" s="3" t="n">
        <v>2</v>
      </c>
      <c r="Z619" s="3" t="n">
        <v>1</v>
      </c>
      <c r="AA619" s="3" t="n">
        <v>3</v>
      </c>
      <c r="AB619" s="3" t="n">
        <v>3</v>
      </c>
      <c r="AC619" s="3" t="n">
        <v>1</v>
      </c>
      <c r="AD619" s="3" t="n">
        <v>2</v>
      </c>
      <c r="AE619" s="3" t="s">
        <v>5222</v>
      </c>
      <c r="AF619" s="3"/>
      <c r="AG619" s="3" t="s">
        <v>5223</v>
      </c>
      <c r="AH619" s="3"/>
      <c r="AI619" s="3" t="s">
        <v>5224</v>
      </c>
      <c r="AJ619" s="3" t="s">
        <v>59</v>
      </c>
      <c r="AK619" s="3" t="s">
        <v>5225</v>
      </c>
      <c r="AL619" s="3"/>
      <c r="AM619" s="3" t="n">
        <v>4</v>
      </c>
      <c r="AN619" s="3"/>
      <c r="AO619" s="3" t="s">
        <v>59</v>
      </c>
      <c r="AP619" s="3"/>
      <c r="AQ619" s="3"/>
      <c r="AR619" s="3"/>
    </row>
    <row r="620" customFormat="false" ht="15" hidden="false" customHeight="true" outlineLevel="0" collapsed="false">
      <c r="A620" s="3" t="s">
        <v>5226</v>
      </c>
      <c r="B620" s="3" t="n">
        <v>7</v>
      </c>
      <c r="C620" s="3" t="n">
        <v>77</v>
      </c>
      <c r="D620" s="3"/>
      <c r="E620" s="4"/>
      <c r="F620" s="3" t="n">
        <v>49</v>
      </c>
      <c r="G620" s="3" t="str">
        <f aca="false">IF(F620="","",IF(F620&gt;=Notes!$B$5,"Elderly ("&amp;Notes!$B$5&amp;"+)",IF(F620&lt;=Notes!$B$4,"Student age (≤"&amp;Notes!$B$4&amp;")","Middle-aged ("&amp;(Notes!$B$4+1)&amp;"–"&amp;(Notes!$B$5-1)&amp;")")))</f>
        <v>Middle-aged (30–64)</v>
      </c>
      <c r="H620" s="3" t="s">
        <v>45</v>
      </c>
      <c r="I620" s="3" t="s">
        <v>5227</v>
      </c>
      <c r="J620" s="3" t="s">
        <v>437</v>
      </c>
      <c r="K620" s="3" t="s">
        <v>5228</v>
      </c>
      <c r="L620" s="3" t="s">
        <v>171</v>
      </c>
      <c r="M620" s="3" t="s">
        <v>47</v>
      </c>
      <c r="N620" s="3" t="s">
        <v>172</v>
      </c>
      <c r="O620" s="3" t="s">
        <v>5229</v>
      </c>
      <c r="P620" s="3" t="n">
        <v>30</v>
      </c>
      <c r="Q620" s="3" t="s">
        <v>117</v>
      </c>
      <c r="R620" s="3" t="s">
        <v>5230</v>
      </c>
      <c r="S620" s="3" t="s">
        <v>5231</v>
      </c>
      <c r="T620" s="3"/>
      <c r="U620" s="3" t="s">
        <v>5232</v>
      </c>
      <c r="V620" s="3" t="s">
        <v>5233</v>
      </c>
      <c r="W620" s="3" t="s">
        <v>5234</v>
      </c>
      <c r="X620" s="3" t="s">
        <v>5235</v>
      </c>
      <c r="Y620" s="3" t="n">
        <v>2</v>
      </c>
      <c r="Z620" s="3" t="n">
        <v>3</v>
      </c>
      <c r="AA620" s="3" t="n">
        <v>1</v>
      </c>
      <c r="AB620" s="3" t="n">
        <v>3</v>
      </c>
      <c r="AC620" s="3" t="n">
        <v>2</v>
      </c>
      <c r="AD620" s="3" t="n">
        <v>1</v>
      </c>
      <c r="AE620" s="3" t="s">
        <v>5236</v>
      </c>
      <c r="AF620" s="3"/>
      <c r="AG620" s="3" t="s">
        <v>5237</v>
      </c>
      <c r="AH620" s="3"/>
      <c r="AI620" s="3" t="s">
        <v>5238</v>
      </c>
      <c r="AJ620" s="3"/>
      <c r="AK620" s="3" t="s">
        <v>5239</v>
      </c>
      <c r="AL620" s="3"/>
      <c r="AM620" s="3" t="n">
        <v>5</v>
      </c>
      <c r="AN620" s="3"/>
      <c r="AO620" s="3" t="s">
        <v>59</v>
      </c>
      <c r="AP620" s="3"/>
      <c r="AQ620" s="3"/>
      <c r="AR620" s="3"/>
    </row>
    <row r="621" customFormat="false" ht="15" hidden="false" customHeight="true" outlineLevel="0" collapsed="false">
      <c r="A621" s="3" t="s">
        <v>5240</v>
      </c>
      <c r="B621" s="3" t="n">
        <v>7</v>
      </c>
      <c r="C621" s="3" t="n">
        <v>78</v>
      </c>
      <c r="D621" s="3"/>
      <c r="E621" s="4"/>
      <c r="F621" s="3" t="n">
        <v>18</v>
      </c>
      <c r="G621" s="3" t="str">
        <f aca="false">IF(F621="","",IF(F621&gt;=Notes!$B$5,"Elderly ("&amp;Notes!$B$5&amp;"+)",IF(F621&lt;=Notes!$B$4,"Student age (≤"&amp;Notes!$B$4&amp;")","Middle-aged ("&amp;(Notes!$B$4+1)&amp;"–"&amp;(Notes!$B$5-1)&amp;")")))</f>
        <v>Student age (≤29)</v>
      </c>
      <c r="H621" s="3" t="s">
        <v>83</v>
      </c>
      <c r="I621" s="3" t="s">
        <v>71</v>
      </c>
      <c r="J621" s="3" t="s">
        <v>47</v>
      </c>
      <c r="K621" s="3" t="s">
        <v>72</v>
      </c>
      <c r="L621" s="3" t="s">
        <v>71</v>
      </c>
      <c r="M621" s="3" t="s">
        <v>47</v>
      </c>
      <c r="N621" s="3" t="s">
        <v>72</v>
      </c>
      <c r="O621" s="3" t="s">
        <v>5241</v>
      </c>
      <c r="P621" s="3" t="n">
        <v>20</v>
      </c>
      <c r="Q621" s="3" t="s">
        <v>95</v>
      </c>
      <c r="R621" s="3" t="s">
        <v>5242</v>
      </c>
      <c r="S621" s="3" t="s">
        <v>5243</v>
      </c>
      <c r="T621" s="3"/>
      <c r="U621" s="3" t="s">
        <v>5244</v>
      </c>
      <c r="V621" s="3" t="s">
        <v>5245</v>
      </c>
      <c r="W621" s="3" t="s">
        <v>5246</v>
      </c>
      <c r="X621" s="3" t="s">
        <v>5247</v>
      </c>
      <c r="Y621" s="3" t="n">
        <v>3</v>
      </c>
      <c r="Z621" s="3" t="n">
        <v>1</v>
      </c>
      <c r="AA621" s="3" t="n">
        <v>2</v>
      </c>
      <c r="AB621" s="3" t="n">
        <v>2</v>
      </c>
      <c r="AC621" s="3" t="n">
        <v>3</v>
      </c>
      <c r="AD621" s="3" t="n">
        <v>1</v>
      </c>
      <c r="AE621" s="3" t="s">
        <v>5248</v>
      </c>
      <c r="AF621" s="3"/>
      <c r="AG621" s="3" t="s">
        <v>5249</v>
      </c>
      <c r="AH621" s="3"/>
      <c r="AI621" s="3" t="s">
        <v>5250</v>
      </c>
      <c r="AJ621" s="3" t="s">
        <v>59</v>
      </c>
      <c r="AK621" s="3" t="s">
        <v>5251</v>
      </c>
      <c r="AL621" s="3"/>
      <c r="AM621" s="3" t="n">
        <v>4</v>
      </c>
      <c r="AN621" s="3"/>
      <c r="AO621" s="3" t="s">
        <v>59</v>
      </c>
      <c r="AP621" s="3"/>
      <c r="AQ621" s="3"/>
      <c r="AR621" s="3"/>
    </row>
    <row r="622" customFormat="false" ht="15" hidden="false" customHeight="true" outlineLevel="0" collapsed="false">
      <c r="A622" s="3" t="s">
        <v>5252</v>
      </c>
      <c r="B622" s="3" t="n">
        <v>7</v>
      </c>
      <c r="C622" s="3" t="n">
        <v>79</v>
      </c>
      <c r="D622" s="3"/>
      <c r="E622" s="4"/>
      <c r="F622" s="3" t="n">
        <v>51</v>
      </c>
      <c r="G622" s="3" t="str">
        <f aca="false">IF(F622="","",IF(F622&gt;=Notes!$B$5,"Elderly ("&amp;Notes!$B$5&amp;"+)",IF(F622&lt;=Notes!$B$4,"Student age (≤"&amp;Notes!$B$4&amp;")","Middle-aged ("&amp;(Notes!$B$4+1)&amp;"–"&amp;(Notes!$B$5-1)&amp;")")))</f>
        <v>Middle-aged (30–64)</v>
      </c>
      <c r="H622" s="3" t="s">
        <v>83</v>
      </c>
      <c r="I622" s="3"/>
      <c r="J622" s="3" t="s">
        <v>437</v>
      </c>
      <c r="K622" s="3" t="s">
        <v>437</v>
      </c>
      <c r="L622" s="3" t="s">
        <v>171</v>
      </c>
      <c r="M622" s="3" t="s">
        <v>47</v>
      </c>
      <c r="N622" s="3" t="s">
        <v>172</v>
      </c>
      <c r="O622" s="3" t="s">
        <v>5253</v>
      </c>
      <c r="P622" s="3" t="n">
        <v>15</v>
      </c>
      <c r="Q622" s="3" t="s">
        <v>74</v>
      </c>
      <c r="R622" s="3" t="s">
        <v>5254</v>
      </c>
      <c r="S622" s="3" t="s">
        <v>5255</v>
      </c>
      <c r="T622" s="3"/>
      <c r="U622" s="3" t="s">
        <v>5256</v>
      </c>
      <c r="V622" s="3" t="s">
        <v>5257</v>
      </c>
      <c r="W622" s="3" t="s">
        <v>5258</v>
      </c>
      <c r="X622" s="3" t="s">
        <v>5259</v>
      </c>
      <c r="Y622" s="3" t="n">
        <v>2</v>
      </c>
      <c r="Z622" s="3" t="n">
        <v>1</v>
      </c>
      <c r="AA622" s="3" t="n">
        <v>3</v>
      </c>
      <c r="AB622" s="3" t="n">
        <v>2</v>
      </c>
      <c r="AC622" s="3" t="n">
        <v>1</v>
      </c>
      <c r="AD622" s="3" t="n">
        <v>3</v>
      </c>
      <c r="AE622" s="3" t="s">
        <v>5260</v>
      </c>
      <c r="AF622" s="3"/>
      <c r="AG622" s="3" t="s">
        <v>2215</v>
      </c>
      <c r="AH622" s="3"/>
      <c r="AI622" s="3" t="s">
        <v>1845</v>
      </c>
      <c r="AJ622" s="3"/>
      <c r="AK622" s="3" t="s">
        <v>5261</v>
      </c>
      <c r="AL622" s="3"/>
      <c r="AM622" s="3" t="n">
        <v>5</v>
      </c>
      <c r="AN622" s="3"/>
      <c r="AO622" s="3" t="s">
        <v>59</v>
      </c>
      <c r="AP622" s="3"/>
      <c r="AQ622" s="3"/>
      <c r="AR622" s="3"/>
    </row>
    <row r="623" customFormat="false" ht="15" hidden="false" customHeight="true" outlineLevel="0" collapsed="false">
      <c r="A623" s="3" t="s">
        <v>5262</v>
      </c>
      <c r="B623" s="3" t="n">
        <v>7</v>
      </c>
      <c r="C623" s="3" t="n">
        <v>80</v>
      </c>
      <c r="D623" s="3"/>
      <c r="E623" s="4"/>
      <c r="F623" s="3" t="n">
        <v>23</v>
      </c>
      <c r="G623" s="3" t="str">
        <f aca="false">IF(F623="","",IF(F623&gt;=Notes!$B$5,"Elderly ("&amp;Notes!$B$5&amp;"+)",IF(F623&lt;=Notes!$B$4,"Student age (≤"&amp;Notes!$B$4&amp;")","Middle-aged ("&amp;(Notes!$B$4+1)&amp;"–"&amp;(Notes!$B$5-1)&amp;")")))</f>
        <v>Student age (≤29)</v>
      </c>
      <c r="H623" s="3" t="s">
        <v>45</v>
      </c>
      <c r="I623" s="3"/>
      <c r="J623" s="3" t="s">
        <v>437</v>
      </c>
      <c r="K623" s="3" t="s">
        <v>437</v>
      </c>
      <c r="L623" s="3"/>
      <c r="M623" s="3" t="s">
        <v>47</v>
      </c>
      <c r="N623" s="3" t="s">
        <v>47</v>
      </c>
      <c r="O623" s="3" t="s">
        <v>5263</v>
      </c>
      <c r="P623" s="3" t="n">
        <v>40</v>
      </c>
      <c r="Q623" s="3" t="s">
        <v>52</v>
      </c>
      <c r="R623" s="3" t="s">
        <v>5264</v>
      </c>
      <c r="S623" s="3" t="s">
        <v>5265</v>
      </c>
      <c r="T623" s="3"/>
      <c r="U623" s="3" t="s">
        <v>5266</v>
      </c>
      <c r="V623" s="3" t="s">
        <v>5267</v>
      </c>
      <c r="W623" s="3" t="s">
        <v>5268</v>
      </c>
      <c r="X623" s="3" t="s">
        <v>5269</v>
      </c>
      <c r="Y623" s="3" t="n">
        <v>1</v>
      </c>
      <c r="Z623" s="3" t="n">
        <v>2</v>
      </c>
      <c r="AA623" s="3" t="n">
        <v>3</v>
      </c>
      <c r="AB623" s="3" t="n">
        <v>2</v>
      </c>
      <c r="AC623" s="3" t="n">
        <v>1</v>
      </c>
      <c r="AD623" s="3" t="n">
        <v>3</v>
      </c>
      <c r="AE623" s="3" t="s">
        <v>5270</v>
      </c>
      <c r="AF623" s="3"/>
      <c r="AG623" s="3" t="s">
        <v>5271</v>
      </c>
      <c r="AH623" s="3"/>
      <c r="AI623" s="3" t="s">
        <v>5272</v>
      </c>
      <c r="AJ623" s="3"/>
      <c r="AK623" s="3" t="s">
        <v>5273</v>
      </c>
      <c r="AL623" s="3"/>
      <c r="AM623" s="3" t="n">
        <v>4</v>
      </c>
      <c r="AN623" s="3"/>
      <c r="AO623" s="3" t="s">
        <v>59</v>
      </c>
      <c r="AP623" s="3"/>
      <c r="AQ623" s="3"/>
      <c r="AR623" s="3"/>
    </row>
    <row r="624" customFormat="false" ht="15" hidden="false" customHeight="true" outlineLevel="0" collapsed="false">
      <c r="A624" s="3" t="s">
        <v>5274</v>
      </c>
      <c r="B624" s="3" t="n">
        <v>7</v>
      </c>
      <c r="C624" s="3" t="n">
        <v>81</v>
      </c>
      <c r="D624" s="3"/>
      <c r="E624" s="4"/>
      <c r="F624" s="3" t="n">
        <v>23</v>
      </c>
      <c r="G624" s="3" t="str">
        <f aca="false">IF(F624="","",IF(F624&gt;=Notes!$B$5,"Elderly ("&amp;Notes!$B$5&amp;"+)",IF(F624&lt;=Notes!$B$4,"Student age (≤"&amp;Notes!$B$4&amp;")","Middle-aged ("&amp;(Notes!$B$4+1)&amp;"–"&amp;(Notes!$B$5-1)&amp;")")))</f>
        <v>Student age (≤29)</v>
      </c>
      <c r="H624" s="3" t="s">
        <v>45</v>
      </c>
      <c r="I624" s="3"/>
      <c r="J624" s="3" t="s">
        <v>437</v>
      </c>
      <c r="K624" s="3" t="s">
        <v>437</v>
      </c>
      <c r="L624" s="3"/>
      <c r="M624" s="3" t="s">
        <v>47</v>
      </c>
      <c r="N624" s="3" t="s">
        <v>47</v>
      </c>
      <c r="O624" s="3" t="s">
        <v>5275</v>
      </c>
      <c r="P624" s="3" t="n">
        <v>30</v>
      </c>
      <c r="Q624" s="3" t="s">
        <v>117</v>
      </c>
      <c r="R624" s="3" t="s">
        <v>5276</v>
      </c>
      <c r="S624" s="3" t="s">
        <v>5277</v>
      </c>
      <c r="T624" s="3"/>
      <c r="U624" s="3" t="s">
        <v>5278</v>
      </c>
      <c r="V624" s="3" t="s">
        <v>5279</v>
      </c>
      <c r="W624" s="3" t="s">
        <v>5280</v>
      </c>
      <c r="X624" s="3" t="s">
        <v>5281</v>
      </c>
      <c r="Y624" s="3" t="n">
        <v>3</v>
      </c>
      <c r="Z624" s="3" t="n">
        <v>2</v>
      </c>
      <c r="AA624" s="3" t="n">
        <v>1</v>
      </c>
      <c r="AB624" s="3" t="n">
        <v>2</v>
      </c>
      <c r="AC624" s="3" t="n">
        <v>1</v>
      </c>
      <c r="AD624" s="3" t="n">
        <v>3</v>
      </c>
      <c r="AE624" s="3" t="s">
        <v>5282</v>
      </c>
      <c r="AF624" s="3"/>
      <c r="AG624" s="3" t="s">
        <v>5283</v>
      </c>
      <c r="AH624" s="3"/>
      <c r="AI624" s="3" t="s">
        <v>5284</v>
      </c>
      <c r="AJ624" s="3"/>
      <c r="AK624" s="3" t="s">
        <v>5285</v>
      </c>
      <c r="AL624" s="3"/>
      <c r="AM624" s="3" t="n">
        <v>4</v>
      </c>
      <c r="AN624" s="3"/>
      <c r="AO624" s="3" t="s">
        <v>59</v>
      </c>
      <c r="AP624" s="3"/>
      <c r="AQ624" s="3"/>
      <c r="AR624" s="3"/>
    </row>
    <row r="625" customFormat="false" ht="15" hidden="false" customHeight="true" outlineLevel="0" collapsed="false">
      <c r="A625" s="3" t="s">
        <v>5286</v>
      </c>
      <c r="B625" s="3" t="n">
        <v>7</v>
      </c>
      <c r="C625" s="3" t="n">
        <v>82</v>
      </c>
      <c r="D625" s="3"/>
      <c r="E625" s="4"/>
      <c r="F625" s="3" t="n">
        <v>54</v>
      </c>
      <c r="G625" s="3" t="str">
        <f aca="false">IF(F625="","",IF(F625&gt;=Notes!$B$5,"Elderly ("&amp;Notes!$B$5&amp;"+)",IF(F625&lt;=Notes!$B$4,"Student age (≤"&amp;Notes!$B$4&amp;")","Middle-aged ("&amp;(Notes!$B$4+1)&amp;"–"&amp;(Notes!$B$5-1)&amp;")")))</f>
        <v>Middle-aged (30–64)</v>
      </c>
      <c r="H625" s="3" t="s">
        <v>83</v>
      </c>
      <c r="I625" s="3"/>
      <c r="J625" s="3" t="s">
        <v>437</v>
      </c>
      <c r="K625" s="3" t="s">
        <v>437</v>
      </c>
      <c r="L625" s="3"/>
      <c r="M625" s="3" t="s">
        <v>437</v>
      </c>
      <c r="N625" s="3" t="s">
        <v>437</v>
      </c>
      <c r="O625" s="3" t="s">
        <v>5287</v>
      </c>
      <c r="P625" s="3" t="n">
        <v>40</v>
      </c>
      <c r="Q625" s="3" t="s">
        <v>52</v>
      </c>
      <c r="R625" s="3" t="s">
        <v>5288</v>
      </c>
      <c r="S625" s="3" t="s">
        <v>5289</v>
      </c>
      <c r="T625" s="3"/>
      <c r="U625" s="3" t="s">
        <v>5290</v>
      </c>
      <c r="V625" s="3" t="s">
        <v>5291</v>
      </c>
      <c r="W625" s="3" t="s">
        <v>5292</v>
      </c>
      <c r="X625" s="3" t="s">
        <v>5293</v>
      </c>
      <c r="Y625" s="3" t="n">
        <v>2</v>
      </c>
      <c r="Z625" s="3" t="n">
        <v>1</v>
      </c>
      <c r="AA625" s="3" t="n">
        <v>3</v>
      </c>
      <c r="AB625" s="3" t="n">
        <v>2</v>
      </c>
      <c r="AC625" s="3" t="n">
        <v>1</v>
      </c>
      <c r="AD625" s="3" t="n">
        <v>3</v>
      </c>
      <c r="AE625" s="3" t="s">
        <v>5294</v>
      </c>
      <c r="AF625" s="3"/>
      <c r="AG625" s="3" t="s">
        <v>5295</v>
      </c>
      <c r="AH625" s="3"/>
      <c r="AI625" s="3" t="s">
        <v>5296</v>
      </c>
      <c r="AJ625" s="3"/>
      <c r="AK625" s="3" t="s">
        <v>5297</v>
      </c>
      <c r="AL625" s="3"/>
      <c r="AM625" s="3" t="n">
        <v>4</v>
      </c>
      <c r="AN625" s="3"/>
      <c r="AO625" s="3" t="s">
        <v>59</v>
      </c>
      <c r="AP625" s="3"/>
      <c r="AQ625" s="3"/>
      <c r="AR625" s="3"/>
    </row>
    <row r="626" customFormat="false" ht="15" hidden="false" customHeight="true" outlineLevel="0" collapsed="false">
      <c r="A626" s="3" t="s">
        <v>5298</v>
      </c>
      <c r="B626" s="3" t="n">
        <v>7</v>
      </c>
      <c r="C626" s="3" t="n">
        <v>83</v>
      </c>
      <c r="D626" s="3"/>
      <c r="E626" s="4"/>
      <c r="F626" s="3" t="n">
        <v>15</v>
      </c>
      <c r="G626" s="3" t="str">
        <f aca="false">IF(F626="","",IF(F626&gt;=Notes!$B$5,"Elderly ("&amp;Notes!$B$5&amp;"+)",IF(F626&lt;=Notes!$B$4,"Student age (≤"&amp;Notes!$B$4&amp;")","Middle-aged ("&amp;(Notes!$B$4+1)&amp;"–"&amp;(Notes!$B$5-1)&amp;")")))</f>
        <v>Student age (≤29)</v>
      </c>
      <c r="H626" s="3" t="s">
        <v>83</v>
      </c>
      <c r="I626" s="3" t="s">
        <v>71</v>
      </c>
      <c r="J626" s="3" t="s">
        <v>47</v>
      </c>
      <c r="K626" s="3" t="s">
        <v>72</v>
      </c>
      <c r="L626" s="3" t="s">
        <v>71</v>
      </c>
      <c r="M626" s="3" t="s">
        <v>47</v>
      </c>
      <c r="N626" s="3" t="s">
        <v>72</v>
      </c>
      <c r="O626" s="3" t="s">
        <v>104</v>
      </c>
      <c r="P626" s="3" t="n">
        <v>40</v>
      </c>
      <c r="Q626" s="3" t="s">
        <v>52</v>
      </c>
      <c r="R626" s="3" t="s">
        <v>5299</v>
      </c>
      <c r="S626" s="3" t="s">
        <v>5300</v>
      </c>
      <c r="T626" s="3"/>
      <c r="U626" s="3" t="s">
        <v>98</v>
      </c>
      <c r="V626" s="3" t="s">
        <v>5301</v>
      </c>
      <c r="W626" s="3" t="s">
        <v>5302</v>
      </c>
      <c r="X626" s="3" t="s">
        <v>5303</v>
      </c>
      <c r="Y626" s="3" t="n">
        <v>3</v>
      </c>
      <c r="Z626" s="3" t="n">
        <v>1</v>
      </c>
      <c r="AA626" s="3" t="n">
        <v>2</v>
      </c>
      <c r="AB626" s="3" t="n">
        <v>3</v>
      </c>
      <c r="AC626" s="3" t="n">
        <v>2</v>
      </c>
      <c r="AD626" s="3" t="n">
        <v>1</v>
      </c>
      <c r="AE626" s="3" t="s">
        <v>5304</v>
      </c>
      <c r="AF626" s="3"/>
      <c r="AG626" s="3" t="s">
        <v>5305</v>
      </c>
      <c r="AH626" s="3"/>
      <c r="AI626" s="3" t="s">
        <v>5306</v>
      </c>
      <c r="AJ626" s="3"/>
      <c r="AK626" s="3" t="s">
        <v>5307</v>
      </c>
      <c r="AL626" s="3"/>
      <c r="AM626" s="3" t="n">
        <v>4</v>
      </c>
      <c r="AN626" s="3"/>
      <c r="AO626" s="3" t="s">
        <v>59</v>
      </c>
      <c r="AP626" s="3"/>
      <c r="AQ626" s="3"/>
      <c r="AR626" s="3"/>
    </row>
    <row r="627" customFormat="false" ht="15" hidden="false" customHeight="true" outlineLevel="0" collapsed="false">
      <c r="A627" s="3" t="s">
        <v>5308</v>
      </c>
      <c r="B627" s="3" t="n">
        <v>7</v>
      </c>
      <c r="C627" s="3" t="n">
        <v>84</v>
      </c>
      <c r="D627" s="3"/>
      <c r="E627" s="4"/>
      <c r="F627" s="3" t="n">
        <v>53</v>
      </c>
      <c r="G627" s="3" t="str">
        <f aca="false">IF(F627="","",IF(F627&gt;=Notes!$B$5,"Elderly ("&amp;Notes!$B$5&amp;"+)",IF(F627&lt;=Notes!$B$4,"Student age (≤"&amp;Notes!$B$4&amp;")","Middle-aged ("&amp;(Notes!$B$4+1)&amp;"–"&amp;(Notes!$B$5-1)&amp;")")))</f>
        <v>Middle-aged (30–64)</v>
      </c>
      <c r="H627" s="3" t="s">
        <v>45</v>
      </c>
      <c r="I627" s="3"/>
      <c r="J627" s="3" t="s">
        <v>5309</v>
      </c>
      <c r="K627" s="3" t="s">
        <v>5309</v>
      </c>
      <c r="L627" s="3" t="s">
        <v>71</v>
      </c>
      <c r="M627" s="3" t="s">
        <v>47</v>
      </c>
      <c r="N627" s="3" t="s">
        <v>72</v>
      </c>
      <c r="O627" s="3" t="s">
        <v>5310</v>
      </c>
      <c r="P627" s="3" t="n">
        <v>25</v>
      </c>
      <c r="Q627" s="3" t="s">
        <v>117</v>
      </c>
      <c r="R627" s="3" t="s">
        <v>5311</v>
      </c>
      <c r="S627" s="3" t="s">
        <v>5312</v>
      </c>
      <c r="T627" s="3"/>
      <c r="U627" s="3" t="s">
        <v>5313</v>
      </c>
      <c r="V627" s="3" t="s">
        <v>5314</v>
      </c>
      <c r="W627" s="3" t="s">
        <v>5315</v>
      </c>
      <c r="X627" s="3" t="s">
        <v>5316</v>
      </c>
      <c r="Y627" s="3" t="n">
        <v>1</v>
      </c>
      <c r="Z627" s="3" t="n">
        <v>3</v>
      </c>
      <c r="AA627" s="3" t="n">
        <v>2</v>
      </c>
      <c r="AB627" s="3" t="n">
        <v>2</v>
      </c>
      <c r="AC627" s="3" t="n">
        <v>1</v>
      </c>
      <c r="AD627" s="3" t="n">
        <v>3</v>
      </c>
      <c r="AE627" s="3" t="s">
        <v>5317</v>
      </c>
      <c r="AF627" s="3"/>
      <c r="AG627" s="3" t="s">
        <v>5318</v>
      </c>
      <c r="AH627" s="3"/>
      <c r="AI627" s="3" t="s">
        <v>5319</v>
      </c>
      <c r="AJ627" s="3"/>
      <c r="AK627" s="3" t="s">
        <v>5320</v>
      </c>
      <c r="AL627" s="3"/>
      <c r="AM627" s="3" t="n">
        <v>5</v>
      </c>
      <c r="AN627" s="3"/>
      <c r="AO627" s="3" t="s">
        <v>59</v>
      </c>
      <c r="AP627" s="3"/>
      <c r="AQ627" s="3"/>
      <c r="AR627" s="3"/>
    </row>
    <row r="628" customFormat="false" ht="15" hidden="false" customHeight="true" outlineLevel="0" collapsed="false">
      <c r="A628" s="3" t="s">
        <v>5321</v>
      </c>
      <c r="B628" s="3" t="n">
        <v>7</v>
      </c>
      <c r="C628" s="3" t="n">
        <v>85</v>
      </c>
      <c r="D628" s="3"/>
      <c r="E628" s="4"/>
      <c r="F628" s="3" t="n">
        <v>22</v>
      </c>
      <c r="G628" s="3" t="str">
        <f aca="false">IF(F628="","",IF(F628&gt;=Notes!$B$5,"Elderly ("&amp;Notes!$B$5&amp;"+)",IF(F628&lt;=Notes!$B$4,"Student age (≤"&amp;Notes!$B$4&amp;")","Middle-aged ("&amp;(Notes!$B$4+1)&amp;"–"&amp;(Notes!$B$5-1)&amp;")")))</f>
        <v>Student age (≤29)</v>
      </c>
      <c r="H628" s="3" t="s">
        <v>45</v>
      </c>
      <c r="I628" s="3" t="s">
        <v>902</v>
      </c>
      <c r="J628" s="3" t="s">
        <v>47</v>
      </c>
      <c r="K628" s="3" t="s">
        <v>903</v>
      </c>
      <c r="L628" s="3" t="s">
        <v>49</v>
      </c>
      <c r="M628" s="3" t="s">
        <v>47</v>
      </c>
      <c r="N628" s="3" t="s">
        <v>50</v>
      </c>
      <c r="O628" s="3" t="s">
        <v>5322</v>
      </c>
      <c r="P628" s="3" t="n">
        <v>25</v>
      </c>
      <c r="Q628" s="3" t="s">
        <v>117</v>
      </c>
      <c r="R628" s="3" t="s">
        <v>5323</v>
      </c>
      <c r="S628" s="3" t="s">
        <v>5324</v>
      </c>
      <c r="T628" s="3"/>
      <c r="U628" s="3" t="s">
        <v>5325</v>
      </c>
      <c r="V628" s="3" t="s">
        <v>5326</v>
      </c>
      <c r="W628" s="3" t="s">
        <v>5327</v>
      </c>
      <c r="X628" s="3" t="s">
        <v>5328</v>
      </c>
      <c r="Y628" s="3" t="n">
        <v>2</v>
      </c>
      <c r="Z628" s="3" t="n">
        <v>3</v>
      </c>
      <c r="AA628" s="3" t="n">
        <v>1</v>
      </c>
      <c r="AB628" s="3" t="n">
        <v>3</v>
      </c>
      <c r="AC628" s="3" t="n">
        <v>2</v>
      </c>
      <c r="AD628" s="3" t="n">
        <v>1</v>
      </c>
      <c r="AE628" s="3" t="s">
        <v>5329</v>
      </c>
      <c r="AF628" s="3"/>
      <c r="AG628" s="3" t="s">
        <v>5330</v>
      </c>
      <c r="AH628" s="3"/>
      <c r="AI628" s="3" t="s">
        <v>5331</v>
      </c>
      <c r="AJ628" s="3"/>
      <c r="AK628" s="3" t="s">
        <v>5332</v>
      </c>
      <c r="AL628" s="3"/>
      <c r="AM628" s="3" t="n">
        <v>4</v>
      </c>
      <c r="AN628" s="3"/>
      <c r="AO628" s="3" t="s">
        <v>59</v>
      </c>
      <c r="AP628" s="3"/>
      <c r="AQ628" s="3"/>
      <c r="AR628" s="3"/>
    </row>
    <row r="629" customFormat="false" ht="15" hidden="false" customHeight="true" outlineLevel="0" collapsed="false">
      <c r="A629" s="3" t="s">
        <v>5333</v>
      </c>
      <c r="B629" s="3" t="n">
        <v>7</v>
      </c>
      <c r="C629" s="3" t="n">
        <v>86</v>
      </c>
      <c r="D629" s="3"/>
      <c r="E629" s="4"/>
      <c r="F629" s="3" t="n">
        <v>21</v>
      </c>
      <c r="G629" s="3" t="str">
        <f aca="false">IF(F629="","",IF(F629&gt;=Notes!$B$5,"Elderly ("&amp;Notes!$B$5&amp;"+)",IF(F629&lt;=Notes!$B$4,"Student age (≤"&amp;Notes!$B$4&amp;")","Middle-aged ("&amp;(Notes!$B$4+1)&amp;"–"&amp;(Notes!$B$5-1)&amp;")")))</f>
        <v>Student age (≤29)</v>
      </c>
      <c r="H629" s="3" t="s">
        <v>83</v>
      </c>
      <c r="I629" s="3" t="s">
        <v>46</v>
      </c>
      <c r="J629" s="3" t="s">
        <v>47</v>
      </c>
      <c r="K629" s="3" t="s">
        <v>48</v>
      </c>
      <c r="L629" s="3" t="s">
        <v>49</v>
      </c>
      <c r="M629" s="3" t="s">
        <v>47</v>
      </c>
      <c r="N629" s="3" t="s">
        <v>50</v>
      </c>
      <c r="O629" s="3" t="s">
        <v>104</v>
      </c>
      <c r="P629" s="3" t="n">
        <v>20</v>
      </c>
      <c r="Q629" s="3" t="s">
        <v>95</v>
      </c>
      <c r="R629" s="3" t="s">
        <v>5159</v>
      </c>
      <c r="S629" s="3" t="s">
        <v>5334</v>
      </c>
      <c r="T629" s="3"/>
      <c r="U629" s="3" t="s">
        <v>5335</v>
      </c>
      <c r="V629" s="3" t="s">
        <v>5336</v>
      </c>
      <c r="W629" s="3" t="s">
        <v>5337</v>
      </c>
      <c r="X629" s="3" t="s">
        <v>5338</v>
      </c>
      <c r="Y629" s="3" t="n">
        <v>2</v>
      </c>
      <c r="Z629" s="3" t="n">
        <v>1</v>
      </c>
      <c r="AA629" s="3" t="n">
        <v>3</v>
      </c>
      <c r="AB629" s="3" t="n">
        <v>3</v>
      </c>
      <c r="AC629" s="3" t="n">
        <v>1</v>
      </c>
      <c r="AD629" s="3" t="n">
        <v>2</v>
      </c>
      <c r="AE629" s="3" t="s">
        <v>5339</v>
      </c>
      <c r="AF629" s="3"/>
      <c r="AG629" s="3" t="s">
        <v>5340</v>
      </c>
      <c r="AH629" s="3"/>
      <c r="AI629" s="3" t="s">
        <v>5341</v>
      </c>
      <c r="AJ629" s="3" t="s">
        <v>59</v>
      </c>
      <c r="AK629" s="3"/>
      <c r="AL629" s="3"/>
      <c r="AM629" s="3" t="n">
        <v>3</v>
      </c>
      <c r="AN629" s="3"/>
      <c r="AO629" s="3" t="s">
        <v>59</v>
      </c>
      <c r="AP629" s="3"/>
      <c r="AQ629" s="3"/>
      <c r="AR629" s="3"/>
    </row>
    <row r="630" customFormat="false" ht="15" hidden="false" customHeight="true" outlineLevel="0" collapsed="false">
      <c r="A630" s="3" t="s">
        <v>5342</v>
      </c>
      <c r="B630" s="3" t="n">
        <v>7</v>
      </c>
      <c r="C630" s="3" t="n">
        <v>87</v>
      </c>
      <c r="D630" s="3"/>
      <c r="E630" s="4"/>
      <c r="F630" s="3" t="n">
        <v>21</v>
      </c>
      <c r="G630" s="3" t="str">
        <f aca="false">IF(F630="","",IF(F630&gt;=Notes!$B$5,"Elderly ("&amp;Notes!$B$5&amp;"+)",IF(F630&lt;=Notes!$B$4,"Student age (≤"&amp;Notes!$B$4&amp;")","Middle-aged ("&amp;(Notes!$B$4+1)&amp;"–"&amp;(Notes!$B$5-1)&amp;")")))</f>
        <v>Student age (≤29)</v>
      </c>
      <c r="H630" s="3" t="s">
        <v>45</v>
      </c>
      <c r="I630" s="3" t="s">
        <v>2521</v>
      </c>
      <c r="J630" s="3" t="s">
        <v>47</v>
      </c>
      <c r="K630" s="3" t="s">
        <v>2522</v>
      </c>
      <c r="L630" s="3" t="s">
        <v>2521</v>
      </c>
      <c r="M630" s="3" t="s">
        <v>47</v>
      </c>
      <c r="N630" s="3" t="s">
        <v>2522</v>
      </c>
      <c r="O630" s="3" t="s">
        <v>5343</v>
      </c>
      <c r="P630" s="3" t="n">
        <v>20</v>
      </c>
      <c r="Q630" s="3" t="s">
        <v>95</v>
      </c>
      <c r="R630" s="3" t="s">
        <v>5344</v>
      </c>
      <c r="S630" s="3" t="s">
        <v>5345</v>
      </c>
      <c r="T630" s="3"/>
      <c r="U630" s="3" t="s">
        <v>5346</v>
      </c>
      <c r="V630" s="3" t="s">
        <v>5347</v>
      </c>
      <c r="W630" s="3" t="s">
        <v>5348</v>
      </c>
      <c r="X630" s="3" t="s">
        <v>5349</v>
      </c>
      <c r="Y630" s="3" t="n">
        <v>2</v>
      </c>
      <c r="Z630" s="3" t="n">
        <v>3</v>
      </c>
      <c r="AA630" s="3" t="n">
        <v>1</v>
      </c>
      <c r="AB630" s="3" t="n">
        <v>3</v>
      </c>
      <c r="AC630" s="3" t="n">
        <v>1</v>
      </c>
      <c r="AD630" s="3" t="n">
        <v>2</v>
      </c>
      <c r="AE630" s="3" t="s">
        <v>5350</v>
      </c>
      <c r="AF630" s="3"/>
      <c r="AG630" s="3" t="s">
        <v>5351</v>
      </c>
      <c r="AH630" s="3"/>
      <c r="AI630" s="3" t="s">
        <v>5352</v>
      </c>
      <c r="AJ630" s="3" t="s">
        <v>59</v>
      </c>
      <c r="AK630" s="3"/>
      <c r="AL630" s="3"/>
      <c r="AM630" s="3" t="n">
        <v>4</v>
      </c>
      <c r="AN630" s="3"/>
      <c r="AO630" s="3" t="s">
        <v>59</v>
      </c>
      <c r="AP630" s="3"/>
      <c r="AQ630" s="3"/>
      <c r="AR630" s="3"/>
    </row>
    <row r="631" customFormat="false" ht="15" hidden="false" customHeight="true" outlineLevel="0" collapsed="false">
      <c r="A631" s="3" t="s">
        <v>5353</v>
      </c>
      <c r="B631" s="3" t="n">
        <v>7</v>
      </c>
      <c r="C631" s="3" t="n">
        <v>88</v>
      </c>
      <c r="D631" s="3"/>
      <c r="E631" s="4"/>
      <c r="F631" s="3" t="n">
        <v>21</v>
      </c>
      <c r="G631" s="3" t="str">
        <f aca="false">IF(F631="","",IF(F631&gt;=Notes!$B$5,"Elderly ("&amp;Notes!$B$5&amp;"+)",IF(F631&lt;=Notes!$B$4,"Student age (≤"&amp;Notes!$B$4&amp;")","Middle-aged ("&amp;(Notes!$B$4+1)&amp;"–"&amp;(Notes!$B$5-1)&amp;")")))</f>
        <v>Student age (≤29)</v>
      </c>
      <c r="H631" s="3" t="s">
        <v>45</v>
      </c>
      <c r="I631" s="3" t="s">
        <v>4867</v>
      </c>
      <c r="J631" s="3" t="s">
        <v>47</v>
      </c>
      <c r="K631" s="3" t="s">
        <v>4868</v>
      </c>
      <c r="L631" s="3" t="s">
        <v>171</v>
      </c>
      <c r="M631" s="3" t="s">
        <v>47</v>
      </c>
      <c r="N631" s="3" t="s">
        <v>172</v>
      </c>
      <c r="O631" s="3" t="s">
        <v>5354</v>
      </c>
      <c r="P631" s="3" t="n">
        <v>33</v>
      </c>
      <c r="Q631" s="3" t="s">
        <v>52</v>
      </c>
      <c r="R631" s="3" t="s">
        <v>5120</v>
      </c>
      <c r="S631" s="3" t="s">
        <v>5355</v>
      </c>
      <c r="T631" s="3"/>
      <c r="U631" s="3" t="s">
        <v>5356</v>
      </c>
      <c r="V631" s="3" t="s">
        <v>5357</v>
      </c>
      <c r="W631" s="3" t="s">
        <v>5358</v>
      </c>
      <c r="X631" s="3" t="s">
        <v>5359</v>
      </c>
      <c r="Y631" s="3" t="n">
        <v>1</v>
      </c>
      <c r="Z631" s="3" t="n">
        <v>2</v>
      </c>
      <c r="AA631" s="3" t="n">
        <v>3</v>
      </c>
      <c r="AB631" s="3" t="n">
        <v>1</v>
      </c>
      <c r="AC631" s="3" t="n">
        <v>2</v>
      </c>
      <c r="AD631" s="3" t="n">
        <v>3</v>
      </c>
      <c r="AE631" s="3" t="s">
        <v>5360</v>
      </c>
      <c r="AF631" s="3"/>
      <c r="AG631" s="3" t="s">
        <v>5361</v>
      </c>
      <c r="AH631" s="3"/>
      <c r="AI631" s="3" t="s">
        <v>5362</v>
      </c>
      <c r="AJ631" s="3" t="s">
        <v>59</v>
      </c>
      <c r="AK631" s="3" t="s">
        <v>5363</v>
      </c>
      <c r="AL631" s="3"/>
      <c r="AM631" s="3" t="n">
        <v>3</v>
      </c>
      <c r="AN631" s="3"/>
      <c r="AO631" s="3" t="s">
        <v>59</v>
      </c>
      <c r="AP631" s="3"/>
      <c r="AQ631" s="3"/>
      <c r="AR631" s="3"/>
    </row>
    <row r="632" customFormat="false" ht="15" hidden="false" customHeight="true" outlineLevel="0" collapsed="false">
      <c r="A632" s="3" t="s">
        <v>5364</v>
      </c>
      <c r="B632" s="3" t="n">
        <v>7</v>
      </c>
      <c r="C632" s="3" t="n">
        <v>89</v>
      </c>
      <c r="D632" s="3"/>
      <c r="E632" s="4"/>
      <c r="F632" s="3" t="n">
        <v>23</v>
      </c>
      <c r="G632" s="3" t="str">
        <f aca="false">IF(F632="","",IF(F632&gt;=Notes!$B$5,"Elderly ("&amp;Notes!$B$5&amp;"+)",IF(F632&lt;=Notes!$B$4,"Student age (≤"&amp;Notes!$B$4&amp;")","Middle-aged ("&amp;(Notes!$B$4+1)&amp;"–"&amp;(Notes!$B$5-1)&amp;")")))</f>
        <v>Student age (≤29)</v>
      </c>
      <c r="H632" s="3" t="s">
        <v>45</v>
      </c>
      <c r="I632" s="3" t="s">
        <v>171</v>
      </c>
      <c r="J632" s="3" t="s">
        <v>47</v>
      </c>
      <c r="K632" s="3" t="s">
        <v>172</v>
      </c>
      <c r="L632" s="3" t="s">
        <v>5365</v>
      </c>
      <c r="M632" s="3" t="s">
        <v>47</v>
      </c>
      <c r="N632" s="3" t="s">
        <v>5366</v>
      </c>
      <c r="O632" s="3" t="s">
        <v>5367</v>
      </c>
      <c r="P632" s="3" t="n">
        <v>12</v>
      </c>
      <c r="Q632" s="3" t="s">
        <v>74</v>
      </c>
      <c r="R632" s="3" t="s">
        <v>5368</v>
      </c>
      <c r="S632" s="3" t="s">
        <v>5369</v>
      </c>
      <c r="T632" s="3"/>
      <c r="U632" s="3" t="s">
        <v>5370</v>
      </c>
      <c r="V632" s="3" t="s">
        <v>5371</v>
      </c>
      <c r="W632" s="3" t="s">
        <v>5372</v>
      </c>
      <c r="X632" s="3" t="s">
        <v>5373</v>
      </c>
      <c r="Y632" s="3" t="n">
        <v>1</v>
      </c>
      <c r="Z632" s="3" t="n">
        <v>2</v>
      </c>
      <c r="AA632" s="3" t="n">
        <v>3</v>
      </c>
      <c r="AB632" s="3" t="n">
        <v>2</v>
      </c>
      <c r="AC632" s="3" t="n">
        <v>1</v>
      </c>
      <c r="AD632" s="3" t="n">
        <v>3</v>
      </c>
      <c r="AE632" s="3" t="s">
        <v>5374</v>
      </c>
      <c r="AF632" s="3"/>
      <c r="AG632" s="3" t="s">
        <v>5361</v>
      </c>
      <c r="AH632" s="3"/>
      <c r="AI632" s="3" t="s">
        <v>5375</v>
      </c>
      <c r="AJ632" s="3"/>
      <c r="AK632" s="3" t="s">
        <v>5376</v>
      </c>
      <c r="AL632" s="3"/>
      <c r="AM632" s="3" t="n">
        <v>2</v>
      </c>
      <c r="AN632" s="3"/>
      <c r="AO632" s="3" t="s">
        <v>59</v>
      </c>
      <c r="AP632" s="3"/>
      <c r="AQ632" s="3"/>
      <c r="AR632" s="3"/>
    </row>
    <row r="633" customFormat="false" ht="15" hidden="false" customHeight="true" outlineLevel="0" collapsed="false">
      <c r="A633" s="3" t="s">
        <v>5377</v>
      </c>
      <c r="B633" s="3" t="n">
        <v>7</v>
      </c>
      <c r="C633" s="3" t="n">
        <v>90</v>
      </c>
      <c r="D633" s="3"/>
      <c r="E633" s="4"/>
      <c r="F633" s="3" t="n">
        <v>20</v>
      </c>
      <c r="G633" s="3" t="str">
        <f aca="false">IF(F633="","",IF(F633&gt;=Notes!$B$5,"Elderly ("&amp;Notes!$B$5&amp;"+)",IF(F633&lt;=Notes!$B$4,"Student age (≤"&amp;Notes!$B$4&amp;")","Middle-aged ("&amp;(Notes!$B$4+1)&amp;"–"&amp;(Notes!$B$5-1)&amp;")")))</f>
        <v>Student age (≤29)</v>
      </c>
      <c r="H633" s="3" t="s">
        <v>83</v>
      </c>
      <c r="I633" s="3" t="s">
        <v>71</v>
      </c>
      <c r="J633" s="3" t="s">
        <v>47</v>
      </c>
      <c r="K633" s="3" t="s">
        <v>72</v>
      </c>
      <c r="L633" s="3" t="s">
        <v>171</v>
      </c>
      <c r="M633" s="3" t="s">
        <v>47</v>
      </c>
      <c r="N633" s="3" t="s">
        <v>172</v>
      </c>
      <c r="O633" s="3" t="s">
        <v>5378</v>
      </c>
      <c r="P633" s="3" t="n">
        <v>15</v>
      </c>
      <c r="Q633" s="3" t="s">
        <v>74</v>
      </c>
      <c r="R633" s="3" t="s">
        <v>5379</v>
      </c>
      <c r="S633" s="3" t="s">
        <v>5380</v>
      </c>
      <c r="T633" s="3"/>
      <c r="U633" s="3" t="s">
        <v>5381</v>
      </c>
      <c r="V633" s="3" t="s">
        <v>5382</v>
      </c>
      <c r="W633" s="3" t="s">
        <v>5383</v>
      </c>
      <c r="X633" s="3" t="s">
        <v>5384</v>
      </c>
      <c r="Y633" s="3" t="n">
        <v>3</v>
      </c>
      <c r="Z633" s="3" t="n">
        <v>1</v>
      </c>
      <c r="AA633" s="3" t="n">
        <v>2</v>
      </c>
      <c r="AB633" s="3" t="n">
        <v>2</v>
      </c>
      <c r="AC633" s="3" t="n">
        <v>1</v>
      </c>
      <c r="AD633" s="3" t="n">
        <v>3</v>
      </c>
      <c r="AE633" s="3" t="s">
        <v>5385</v>
      </c>
      <c r="AF633" s="3"/>
      <c r="AG633" s="3" t="s">
        <v>5386</v>
      </c>
      <c r="AH633" s="3"/>
      <c r="AI633" s="3" t="s">
        <v>5387</v>
      </c>
      <c r="AJ633" s="3" t="s">
        <v>59</v>
      </c>
      <c r="AK633" s="3" t="s">
        <v>5388</v>
      </c>
      <c r="AL633" s="3"/>
      <c r="AM633" s="3" t="n">
        <v>5</v>
      </c>
      <c r="AN633" s="3"/>
      <c r="AO633" s="3" t="s">
        <v>59</v>
      </c>
      <c r="AP633" s="3"/>
      <c r="AQ633" s="3"/>
      <c r="AR633" s="3"/>
    </row>
    <row r="634" customFormat="false" ht="15" hidden="false" customHeight="true" outlineLevel="0" collapsed="false">
      <c r="A634" s="3" t="s">
        <v>5389</v>
      </c>
      <c r="B634" s="3" t="n">
        <v>7</v>
      </c>
      <c r="C634" s="3" t="n">
        <v>91</v>
      </c>
      <c r="D634" s="3"/>
      <c r="E634" s="4"/>
      <c r="F634" s="3" t="n">
        <v>28</v>
      </c>
      <c r="G634" s="3" t="str">
        <f aca="false">IF(F634="","",IF(F634&gt;=Notes!$B$5,"Elderly ("&amp;Notes!$B$5&amp;"+)",IF(F634&lt;=Notes!$B$4,"Student age (≤"&amp;Notes!$B$4&amp;")","Middle-aged ("&amp;(Notes!$B$4+1)&amp;"–"&amp;(Notes!$B$5-1)&amp;")")))</f>
        <v>Student age (≤29)</v>
      </c>
      <c r="H634" s="3" t="s">
        <v>45</v>
      </c>
      <c r="I634" s="3" t="s">
        <v>289</v>
      </c>
      <c r="J634" s="3" t="s">
        <v>47</v>
      </c>
      <c r="K634" s="3" t="s">
        <v>290</v>
      </c>
      <c r="L634" s="3" t="s">
        <v>71</v>
      </c>
      <c r="M634" s="3" t="s">
        <v>47</v>
      </c>
      <c r="N634" s="3" t="s">
        <v>72</v>
      </c>
      <c r="O634" s="3" t="s">
        <v>5390</v>
      </c>
      <c r="P634" s="3" t="n">
        <v>15</v>
      </c>
      <c r="Q634" s="3" t="s">
        <v>74</v>
      </c>
      <c r="R634" s="3" t="s">
        <v>5391</v>
      </c>
      <c r="S634" s="3" t="s">
        <v>5391</v>
      </c>
      <c r="T634" s="3"/>
      <c r="U634" s="3" t="s">
        <v>98</v>
      </c>
      <c r="V634" s="3" t="s">
        <v>5392</v>
      </c>
      <c r="W634" s="3" t="s">
        <v>2257</v>
      </c>
      <c r="X634" s="3" t="s">
        <v>5393</v>
      </c>
      <c r="Y634" s="3" t="n">
        <v>1</v>
      </c>
      <c r="Z634" s="3" t="n">
        <v>3</v>
      </c>
      <c r="AA634" s="3" t="n">
        <v>2</v>
      </c>
      <c r="AB634" s="3" t="n">
        <v>3</v>
      </c>
      <c r="AC634" s="3" t="n">
        <v>1</v>
      </c>
      <c r="AD634" s="3" t="n">
        <v>2</v>
      </c>
      <c r="AE634" s="3" t="s">
        <v>5394</v>
      </c>
      <c r="AF634" s="3"/>
      <c r="AG634" s="3" t="s">
        <v>5395</v>
      </c>
      <c r="AH634" s="3"/>
      <c r="AI634" s="3" t="s">
        <v>5396</v>
      </c>
      <c r="AJ634" s="3" t="s">
        <v>59</v>
      </c>
      <c r="AK634" s="3" t="s">
        <v>5397</v>
      </c>
      <c r="AL634" s="3"/>
      <c r="AM634" s="3" t="n">
        <v>3</v>
      </c>
      <c r="AN634" s="3"/>
      <c r="AO634" s="3" t="s">
        <v>59</v>
      </c>
      <c r="AP634" s="3"/>
      <c r="AQ634" s="3"/>
      <c r="AR634" s="3"/>
    </row>
    <row r="635" customFormat="false" ht="15" hidden="false" customHeight="true" outlineLevel="0" collapsed="false">
      <c r="A635" s="3" t="s">
        <v>5398</v>
      </c>
      <c r="B635" s="3" t="n">
        <v>7</v>
      </c>
      <c r="C635" s="3" t="n">
        <v>92</v>
      </c>
      <c r="D635" s="3"/>
      <c r="E635" s="4"/>
      <c r="F635" s="3" t="n">
        <v>23</v>
      </c>
      <c r="G635" s="3" t="str">
        <f aca="false">IF(F635="","",IF(F635&gt;=Notes!$B$5,"Elderly ("&amp;Notes!$B$5&amp;"+)",IF(F635&lt;=Notes!$B$4,"Student age (≤"&amp;Notes!$B$4&amp;")","Middle-aged ("&amp;(Notes!$B$4+1)&amp;"–"&amp;(Notes!$B$5-1)&amp;")")))</f>
        <v>Student age (≤29)</v>
      </c>
      <c r="H635" s="3" t="s">
        <v>83</v>
      </c>
      <c r="I635" s="3" t="s">
        <v>49</v>
      </c>
      <c r="J635" s="3" t="s">
        <v>47</v>
      </c>
      <c r="K635" s="3" t="s">
        <v>50</v>
      </c>
      <c r="L635" s="3" t="s">
        <v>49</v>
      </c>
      <c r="M635" s="3" t="s">
        <v>47</v>
      </c>
      <c r="N635" s="3" t="s">
        <v>50</v>
      </c>
      <c r="O635" s="3" t="s">
        <v>5399</v>
      </c>
      <c r="P635" s="3" t="n">
        <v>22</v>
      </c>
      <c r="Q635" s="3" t="s">
        <v>117</v>
      </c>
      <c r="R635" s="3" t="s">
        <v>5400</v>
      </c>
      <c r="S635" s="3" t="s">
        <v>5401</v>
      </c>
      <c r="T635" s="3"/>
      <c r="U635" s="3" t="s">
        <v>5402</v>
      </c>
      <c r="V635" s="3" t="s">
        <v>5403</v>
      </c>
      <c r="W635" s="3" t="s">
        <v>5404</v>
      </c>
      <c r="X635" s="3" t="s">
        <v>5405</v>
      </c>
      <c r="Y635" s="3" t="n">
        <v>3</v>
      </c>
      <c r="Z635" s="3" t="n">
        <v>2</v>
      </c>
      <c r="AA635" s="3" t="n">
        <v>1</v>
      </c>
      <c r="AB635" s="3" t="n">
        <v>3</v>
      </c>
      <c r="AC635" s="3" t="n">
        <v>2</v>
      </c>
      <c r="AD635" s="3" t="n">
        <v>1</v>
      </c>
      <c r="AE635" s="3" t="s">
        <v>5406</v>
      </c>
      <c r="AF635" s="3"/>
      <c r="AG635" s="3" t="s">
        <v>5407</v>
      </c>
      <c r="AH635" s="3"/>
      <c r="AI635" s="3" t="s">
        <v>1322</v>
      </c>
      <c r="AJ635" s="3" t="s">
        <v>59</v>
      </c>
      <c r="AK635" s="3"/>
      <c r="AL635" s="3"/>
      <c r="AM635" s="3" t="n">
        <v>5</v>
      </c>
      <c r="AN635" s="3"/>
      <c r="AO635" s="3" t="s">
        <v>59</v>
      </c>
      <c r="AP635" s="3"/>
      <c r="AQ635" s="3"/>
      <c r="AR635" s="3"/>
    </row>
    <row r="636" customFormat="false" ht="15" hidden="false" customHeight="true" outlineLevel="0" collapsed="false">
      <c r="A636" s="3" t="s">
        <v>5408</v>
      </c>
      <c r="B636" s="3" t="n">
        <v>7</v>
      </c>
      <c r="C636" s="3" t="n">
        <v>93</v>
      </c>
      <c r="D636" s="3"/>
      <c r="E636" s="4"/>
      <c r="F636" s="3" t="n">
        <v>19</v>
      </c>
      <c r="G636" s="3" t="str">
        <f aca="false">IF(F636="","",IF(F636&gt;=Notes!$B$5,"Elderly ("&amp;Notes!$B$5&amp;"+)",IF(F636&lt;=Notes!$B$4,"Student age (≤"&amp;Notes!$B$4&amp;")","Middle-aged ("&amp;(Notes!$B$4+1)&amp;"–"&amp;(Notes!$B$5-1)&amp;")")))</f>
        <v>Student age (≤29)</v>
      </c>
      <c r="H636" s="3" t="s">
        <v>45</v>
      </c>
      <c r="I636" s="3" t="s">
        <v>171</v>
      </c>
      <c r="J636" s="3" t="s">
        <v>47</v>
      </c>
      <c r="K636" s="3" t="s">
        <v>172</v>
      </c>
      <c r="L636" s="3" t="s">
        <v>171</v>
      </c>
      <c r="M636" s="3" t="s">
        <v>47</v>
      </c>
      <c r="N636" s="3" t="s">
        <v>172</v>
      </c>
      <c r="O636" s="3" t="s">
        <v>5409</v>
      </c>
      <c r="P636" s="3" t="n">
        <v>30</v>
      </c>
      <c r="Q636" s="3" t="s">
        <v>117</v>
      </c>
      <c r="R636" s="3" t="s">
        <v>5410</v>
      </c>
      <c r="S636" s="3" t="s">
        <v>5411</v>
      </c>
      <c r="T636" s="3"/>
      <c r="U636" s="3" t="s">
        <v>1390</v>
      </c>
      <c r="V636" s="3" t="s">
        <v>5412</v>
      </c>
      <c r="W636" s="3" t="s">
        <v>59</v>
      </c>
      <c r="X636" s="3" t="s">
        <v>5413</v>
      </c>
      <c r="Y636" s="3" t="n">
        <v>1</v>
      </c>
      <c r="Z636" s="3" t="n">
        <v>2</v>
      </c>
      <c r="AA636" s="3" t="n">
        <v>3</v>
      </c>
      <c r="AB636" s="3" t="n">
        <v>1</v>
      </c>
      <c r="AC636" s="3" t="n">
        <v>2</v>
      </c>
      <c r="AD636" s="3" t="n">
        <v>3</v>
      </c>
      <c r="AE636" s="3" t="s">
        <v>5414</v>
      </c>
      <c r="AF636" s="3"/>
      <c r="AG636" s="3" t="s">
        <v>5415</v>
      </c>
      <c r="AH636" s="3"/>
      <c r="AI636" s="3" t="s">
        <v>5416</v>
      </c>
      <c r="AJ636" s="3" t="s">
        <v>59</v>
      </c>
      <c r="AK636" s="3"/>
      <c r="AL636" s="3"/>
      <c r="AM636" s="3" t="n">
        <v>4</v>
      </c>
      <c r="AN636" s="3"/>
      <c r="AO636" s="3" t="s">
        <v>59</v>
      </c>
      <c r="AP636" s="3"/>
      <c r="AQ636" s="3"/>
      <c r="AR636" s="3"/>
    </row>
    <row r="637" customFormat="false" ht="15" hidden="false" customHeight="true" outlineLevel="0" collapsed="false">
      <c r="A637" s="3" t="s">
        <v>5417</v>
      </c>
      <c r="B637" s="3" t="n">
        <v>7</v>
      </c>
      <c r="C637" s="3" t="n">
        <v>94</v>
      </c>
      <c r="D637" s="3"/>
      <c r="E637" s="4"/>
      <c r="F637" s="3" t="n">
        <v>54</v>
      </c>
      <c r="G637" s="3" t="str">
        <f aca="false">IF(F637="","",IF(F637&gt;=Notes!$B$5,"Elderly ("&amp;Notes!$B$5&amp;"+)",IF(F637&lt;=Notes!$B$4,"Student age (≤"&amp;Notes!$B$4&amp;")","Middle-aged ("&amp;(Notes!$B$4+1)&amp;"–"&amp;(Notes!$B$5-1)&amp;")")))</f>
        <v>Middle-aged (30–64)</v>
      </c>
      <c r="H637" s="3" t="s">
        <v>45</v>
      </c>
      <c r="I637" s="3"/>
      <c r="J637" s="3" t="s">
        <v>47</v>
      </c>
      <c r="K637" s="3" t="s">
        <v>47</v>
      </c>
      <c r="L637" s="3" t="s">
        <v>49</v>
      </c>
      <c r="M637" s="3" t="s">
        <v>47</v>
      </c>
      <c r="N637" s="3" t="s">
        <v>50</v>
      </c>
      <c r="O637" s="3" t="s">
        <v>5418</v>
      </c>
      <c r="P637" s="3" t="n">
        <v>20</v>
      </c>
      <c r="Q637" s="3" t="s">
        <v>95</v>
      </c>
      <c r="R637" s="3" t="s">
        <v>5419</v>
      </c>
      <c r="S637" s="3" t="s">
        <v>5420</v>
      </c>
      <c r="T637" s="3"/>
      <c r="U637" s="3" t="s">
        <v>885</v>
      </c>
      <c r="V637" s="3" t="s">
        <v>5421</v>
      </c>
      <c r="W637" s="3" t="s">
        <v>5422</v>
      </c>
      <c r="X637" s="3" t="s">
        <v>5423</v>
      </c>
      <c r="Y637" s="3" t="n">
        <v>3</v>
      </c>
      <c r="Z637" s="3" t="n">
        <v>1</v>
      </c>
      <c r="AA637" s="3" t="n">
        <v>3</v>
      </c>
      <c r="AB637" s="3" t="n">
        <v>2</v>
      </c>
      <c r="AC637" s="3" t="n">
        <v>1</v>
      </c>
      <c r="AD637" s="3" t="n">
        <v>3</v>
      </c>
      <c r="AE637" s="3" t="s">
        <v>5424</v>
      </c>
      <c r="AF637" s="3"/>
      <c r="AG637" s="3" t="s">
        <v>5425</v>
      </c>
      <c r="AH637" s="3"/>
      <c r="AI637" s="3" t="s">
        <v>5426</v>
      </c>
      <c r="AJ637" s="3"/>
      <c r="AK637" s="3" t="s">
        <v>5427</v>
      </c>
      <c r="AL637" s="3"/>
      <c r="AM637" s="3" t="n">
        <v>4</v>
      </c>
      <c r="AN637" s="3"/>
      <c r="AO637" s="3" t="s">
        <v>59</v>
      </c>
      <c r="AP637" s="3"/>
      <c r="AQ637" s="3"/>
      <c r="AR637" s="3" t="s">
        <v>287</v>
      </c>
    </row>
    <row r="638" customFormat="false" ht="15" hidden="false" customHeight="true" outlineLevel="0" collapsed="false">
      <c r="A638" s="3" t="s">
        <v>5428</v>
      </c>
      <c r="B638" s="3" t="n">
        <v>7</v>
      </c>
      <c r="C638" s="3" t="n">
        <v>95</v>
      </c>
      <c r="D638" s="3"/>
      <c r="E638" s="4"/>
      <c r="F638" s="3" t="n">
        <v>22</v>
      </c>
      <c r="G638" s="3" t="str">
        <f aca="false">IF(F638="","",IF(F638&gt;=Notes!$B$5,"Elderly ("&amp;Notes!$B$5&amp;"+)",IF(F638&lt;=Notes!$B$4,"Student age (≤"&amp;Notes!$B$4&amp;")","Middle-aged ("&amp;(Notes!$B$4+1)&amp;"–"&amp;(Notes!$B$5-1)&amp;")")))</f>
        <v>Student age (≤29)</v>
      </c>
      <c r="H638" s="3" t="s">
        <v>83</v>
      </c>
      <c r="I638" s="3" t="s">
        <v>49</v>
      </c>
      <c r="J638" s="3" t="s">
        <v>47</v>
      </c>
      <c r="K638" s="3" t="s">
        <v>50</v>
      </c>
      <c r="L638" s="3" t="s">
        <v>49</v>
      </c>
      <c r="M638" s="3" t="s">
        <v>47</v>
      </c>
      <c r="N638" s="3" t="s">
        <v>50</v>
      </c>
      <c r="O638" s="3" t="s">
        <v>5429</v>
      </c>
      <c r="P638" s="3" t="n">
        <v>30</v>
      </c>
      <c r="Q638" s="3" t="s">
        <v>117</v>
      </c>
      <c r="R638" s="3" t="s">
        <v>5395</v>
      </c>
      <c r="S638" s="3" t="s">
        <v>5430</v>
      </c>
      <c r="T638" s="3"/>
      <c r="U638" s="3" t="s">
        <v>98</v>
      </c>
      <c r="V638" s="3" t="s">
        <v>5431</v>
      </c>
      <c r="W638" s="3" t="s">
        <v>5432</v>
      </c>
      <c r="X638" s="3" t="s">
        <v>5433</v>
      </c>
      <c r="Y638" s="3" t="n">
        <v>1</v>
      </c>
      <c r="Z638" s="3" t="n">
        <v>1</v>
      </c>
      <c r="AA638" s="3" t="n">
        <v>3</v>
      </c>
      <c r="AB638" s="3" t="n">
        <v>2</v>
      </c>
      <c r="AC638" s="3" t="n">
        <v>1</v>
      </c>
      <c r="AD638" s="3" t="n">
        <v>3</v>
      </c>
      <c r="AE638" s="3" t="s">
        <v>5434</v>
      </c>
      <c r="AF638" s="3"/>
      <c r="AG638" s="3" t="s">
        <v>5435</v>
      </c>
      <c r="AH638" s="3"/>
      <c r="AI638" s="3" t="s">
        <v>5436</v>
      </c>
      <c r="AJ638" s="3" t="s">
        <v>59</v>
      </c>
      <c r="AK638" s="3" t="s">
        <v>5437</v>
      </c>
      <c r="AL638" s="3"/>
      <c r="AM638" s="3" t="n">
        <v>3</v>
      </c>
      <c r="AN638" s="3"/>
      <c r="AO638" s="3" t="s">
        <v>59</v>
      </c>
      <c r="AP638" s="3"/>
      <c r="AQ638" s="3"/>
      <c r="AR638" s="3" t="s">
        <v>287</v>
      </c>
    </row>
    <row r="639" customFormat="false" ht="15" hidden="false" customHeight="true" outlineLevel="0" collapsed="false">
      <c r="A639" s="3" t="s">
        <v>5438</v>
      </c>
      <c r="B639" s="3" t="n">
        <v>7</v>
      </c>
      <c r="C639" s="3" t="n">
        <v>98</v>
      </c>
      <c r="D639" s="3"/>
      <c r="E639" s="4"/>
      <c r="F639" s="3" t="n">
        <v>20</v>
      </c>
      <c r="G639" s="3" t="str">
        <f aca="false">IF(F639="","",IF(F639&gt;=Notes!$B$5,"Elderly ("&amp;Notes!$B$5&amp;"+)",IF(F639&lt;=Notes!$B$4,"Student age (≤"&amp;Notes!$B$4&amp;")","Middle-aged ("&amp;(Notes!$B$4+1)&amp;"–"&amp;(Notes!$B$5-1)&amp;")")))</f>
        <v>Student age (≤29)</v>
      </c>
      <c r="H639" s="3" t="s">
        <v>45</v>
      </c>
      <c r="I639" s="3" t="s">
        <v>837</v>
      </c>
      <c r="J639" s="3" t="s">
        <v>47</v>
      </c>
      <c r="K639" s="3" t="s">
        <v>838</v>
      </c>
      <c r="L639" s="3" t="s">
        <v>49</v>
      </c>
      <c r="M639" s="3" t="s">
        <v>47</v>
      </c>
      <c r="N639" s="3" t="s">
        <v>50</v>
      </c>
      <c r="O639" s="3" t="s">
        <v>5439</v>
      </c>
      <c r="P639" s="3" t="n">
        <v>20</v>
      </c>
      <c r="Q639" s="3" t="s">
        <v>95</v>
      </c>
      <c r="R639" s="3" t="s">
        <v>5440</v>
      </c>
      <c r="S639" s="3" t="s">
        <v>5441</v>
      </c>
      <c r="T639" s="3"/>
      <c r="U639" s="3" t="s">
        <v>895</v>
      </c>
      <c r="V639" s="3" t="s">
        <v>5442</v>
      </c>
      <c r="W639" s="3" t="s">
        <v>5443</v>
      </c>
      <c r="X639" s="3" t="s">
        <v>5444</v>
      </c>
      <c r="Y639" s="3" t="n">
        <v>1</v>
      </c>
      <c r="Z639" s="3" t="n">
        <v>1</v>
      </c>
      <c r="AA639" s="3" t="n">
        <v>3</v>
      </c>
      <c r="AB639" s="3" t="n">
        <v>2</v>
      </c>
      <c r="AC639" s="3" t="n">
        <v>3</v>
      </c>
      <c r="AD639" s="3" t="n">
        <v>1</v>
      </c>
      <c r="AE639" s="3" t="s">
        <v>5445</v>
      </c>
      <c r="AF639" s="3"/>
      <c r="AG639" s="3" t="s">
        <v>5446</v>
      </c>
      <c r="AH639" s="3"/>
      <c r="AI639" s="3" t="s">
        <v>5447</v>
      </c>
      <c r="AJ639" s="3" t="s">
        <v>59</v>
      </c>
      <c r="AK639" s="3"/>
      <c r="AL639" s="3"/>
      <c r="AM639" s="3" t="n">
        <v>4</v>
      </c>
      <c r="AN639" s="3"/>
      <c r="AO639" s="3" t="s">
        <v>59</v>
      </c>
      <c r="AP639" s="3"/>
      <c r="AQ639" s="3"/>
      <c r="AR639" s="3" t="s">
        <v>287</v>
      </c>
    </row>
    <row r="640" customFormat="false" ht="15" hidden="false" customHeight="true" outlineLevel="0" collapsed="false">
      <c r="A640" s="3" t="s">
        <v>5448</v>
      </c>
      <c r="B640" s="3" t="n">
        <v>7</v>
      </c>
      <c r="C640" s="3" t="n">
        <v>99</v>
      </c>
      <c r="D640" s="3"/>
      <c r="E640" s="4"/>
      <c r="F640" s="3" t="n">
        <v>21</v>
      </c>
      <c r="G640" s="3" t="str">
        <f aca="false">IF(F640="","",IF(F640&gt;=Notes!$B$5,"Elderly ("&amp;Notes!$B$5&amp;"+)",IF(F640&lt;=Notes!$B$4,"Student age (≤"&amp;Notes!$B$4&amp;")","Middle-aged ("&amp;(Notes!$B$4+1)&amp;"–"&amp;(Notes!$B$5-1)&amp;")")))</f>
        <v>Student age (≤29)</v>
      </c>
      <c r="H640" s="3" t="s">
        <v>45</v>
      </c>
      <c r="I640" s="3" t="s">
        <v>171</v>
      </c>
      <c r="J640" s="3" t="s">
        <v>47</v>
      </c>
      <c r="K640" s="3" t="s">
        <v>172</v>
      </c>
      <c r="L640" s="3" t="s">
        <v>171</v>
      </c>
      <c r="M640" s="3" t="s">
        <v>47</v>
      </c>
      <c r="N640" s="3" t="s">
        <v>172</v>
      </c>
      <c r="O640" s="3" t="s">
        <v>5449</v>
      </c>
      <c r="P640" s="3" t="n">
        <v>40</v>
      </c>
      <c r="Q640" s="3" t="s">
        <v>52</v>
      </c>
      <c r="R640" s="3" t="s">
        <v>5450</v>
      </c>
      <c r="S640" s="3" t="s">
        <v>5451</v>
      </c>
      <c r="T640" s="3"/>
      <c r="U640" s="3" t="s">
        <v>5452</v>
      </c>
      <c r="V640" s="3" t="s">
        <v>5453</v>
      </c>
      <c r="W640" s="3" t="s">
        <v>5454</v>
      </c>
      <c r="X640" s="3" t="s">
        <v>5455</v>
      </c>
      <c r="Y640" s="3" t="n">
        <v>3</v>
      </c>
      <c r="Z640" s="3" t="n">
        <v>1</v>
      </c>
      <c r="AA640" s="3" t="n">
        <v>3</v>
      </c>
      <c r="AB640" s="3" t="n">
        <v>2</v>
      </c>
      <c r="AC640" s="3" t="n">
        <v>3</v>
      </c>
      <c r="AD640" s="3" t="n">
        <v>1</v>
      </c>
      <c r="AE640" s="3" t="s">
        <v>5456</v>
      </c>
      <c r="AF640" s="3"/>
      <c r="AG640" s="3" t="s">
        <v>5019</v>
      </c>
      <c r="AH640" s="3"/>
      <c r="AI640" s="3" t="s">
        <v>5457</v>
      </c>
      <c r="AJ640" s="3"/>
      <c r="AK640" s="3" t="s">
        <v>5458</v>
      </c>
      <c r="AL640" s="3"/>
      <c r="AM640" s="3" t="n">
        <v>4</v>
      </c>
      <c r="AN640" s="3"/>
      <c r="AO640" s="3" t="s">
        <v>59</v>
      </c>
      <c r="AP640" s="3"/>
      <c r="AQ640" s="3"/>
      <c r="AR640" s="3" t="s">
        <v>287</v>
      </c>
    </row>
    <row r="641" customFormat="false" ht="15" hidden="false" customHeight="true" outlineLevel="0" collapsed="false">
      <c r="A641" s="3" t="s">
        <v>5459</v>
      </c>
      <c r="B641" s="3" t="n">
        <v>7</v>
      </c>
      <c r="C641" s="3" t="n">
        <v>100</v>
      </c>
      <c r="D641" s="3"/>
      <c r="E641" s="4"/>
      <c r="F641" s="3" t="n">
        <v>55</v>
      </c>
      <c r="G641" s="3" t="str">
        <f aca="false">IF(F641="","",IF(F641&gt;=Notes!$B$5,"Elderly ("&amp;Notes!$B$5&amp;"+)",IF(F641&lt;=Notes!$B$4,"Student age (≤"&amp;Notes!$B$4&amp;")","Middle-aged ("&amp;(Notes!$B$4+1)&amp;"–"&amp;(Notes!$B$5-1)&amp;")")))</f>
        <v>Middle-aged (30–64)</v>
      </c>
      <c r="H641" s="3" t="s">
        <v>83</v>
      </c>
      <c r="I641" s="3"/>
      <c r="J641" s="3" t="s">
        <v>437</v>
      </c>
      <c r="K641" s="3" t="s">
        <v>437</v>
      </c>
      <c r="L641" s="3"/>
      <c r="M641" s="3" t="s">
        <v>47</v>
      </c>
      <c r="N641" s="3" t="s">
        <v>47</v>
      </c>
      <c r="O641" s="3" t="s">
        <v>5460</v>
      </c>
      <c r="P641" s="3" t="n">
        <v>25</v>
      </c>
      <c r="Q641" s="3" t="s">
        <v>117</v>
      </c>
      <c r="R641" s="3" t="s">
        <v>5461</v>
      </c>
      <c r="S641" s="3" t="s">
        <v>5462</v>
      </c>
      <c r="T641" s="3"/>
      <c r="U641" s="3" t="s">
        <v>5463</v>
      </c>
      <c r="V641" s="3" t="s">
        <v>5464</v>
      </c>
      <c r="W641" s="3" t="s">
        <v>5465</v>
      </c>
      <c r="X641" s="3" t="s">
        <v>5466</v>
      </c>
      <c r="Y641" s="3" t="n">
        <v>1</v>
      </c>
      <c r="Z641" s="3" t="n">
        <v>1</v>
      </c>
      <c r="AA641" s="3" t="n">
        <v>1</v>
      </c>
      <c r="AB641" s="3" t="n">
        <v>1</v>
      </c>
      <c r="AC641" s="3" t="n">
        <v>3</v>
      </c>
      <c r="AD641" s="3" t="n">
        <v>2</v>
      </c>
      <c r="AE641" s="3" t="s">
        <v>5467</v>
      </c>
      <c r="AF641" s="3"/>
      <c r="AG641" s="3" t="s">
        <v>5468</v>
      </c>
      <c r="AH641" s="3"/>
      <c r="AI641" s="3" t="s">
        <v>5469</v>
      </c>
      <c r="AJ641" s="3" t="s">
        <v>98</v>
      </c>
      <c r="AK641" s="3"/>
      <c r="AL641" s="3"/>
      <c r="AM641" s="3" t="n">
        <v>4</v>
      </c>
      <c r="AN641" s="3"/>
      <c r="AO641" s="3" t="s">
        <v>59</v>
      </c>
      <c r="AP641" s="3"/>
      <c r="AQ641" s="3"/>
      <c r="AR641" s="3" t="s">
        <v>287</v>
      </c>
    </row>
    <row r="642" customFormat="false" ht="15" hidden="false" customHeight="true" outlineLevel="0" collapsed="false">
      <c r="A642" s="3" t="s">
        <v>5470</v>
      </c>
      <c r="B642" s="3" t="n">
        <v>7</v>
      </c>
      <c r="C642" s="3" t="n">
        <v>101</v>
      </c>
      <c r="D642" s="3"/>
      <c r="E642" s="4"/>
      <c r="F642" s="3" t="n">
        <v>22</v>
      </c>
      <c r="G642" s="3" t="str">
        <f aca="false">IF(F642="","",IF(F642&gt;=Notes!$B$5,"Elderly ("&amp;Notes!$B$5&amp;"+)",IF(F642&lt;=Notes!$B$4,"Student age (≤"&amp;Notes!$B$4&amp;")","Middle-aged ("&amp;(Notes!$B$4+1)&amp;"–"&amp;(Notes!$B$5-1)&amp;")")))</f>
        <v>Student age (≤29)</v>
      </c>
      <c r="H642" s="3" t="s">
        <v>83</v>
      </c>
      <c r="I642" s="3" t="s">
        <v>49</v>
      </c>
      <c r="J642" s="3" t="s">
        <v>47</v>
      </c>
      <c r="K642" s="3" t="s">
        <v>50</v>
      </c>
      <c r="L642" s="3" t="s">
        <v>49</v>
      </c>
      <c r="M642" s="3" t="s">
        <v>47</v>
      </c>
      <c r="N642" s="3" t="s">
        <v>50</v>
      </c>
      <c r="O642" s="3" t="s">
        <v>5471</v>
      </c>
      <c r="P642" s="3" t="n">
        <v>30</v>
      </c>
      <c r="Q642" s="3" t="s">
        <v>117</v>
      </c>
      <c r="R642" s="3" t="s">
        <v>5472</v>
      </c>
      <c r="S642" s="3" t="s">
        <v>5473</v>
      </c>
      <c r="T642" s="3"/>
      <c r="U642" s="3" t="s">
        <v>5474</v>
      </c>
      <c r="V642" s="3" t="s">
        <v>5475</v>
      </c>
      <c r="W642" s="3" t="s">
        <v>5476</v>
      </c>
      <c r="X642" s="3" t="s">
        <v>5477</v>
      </c>
      <c r="Y642" s="3" t="n">
        <v>1</v>
      </c>
      <c r="Z642" s="3" t="n">
        <v>1</v>
      </c>
      <c r="AA642" s="3" t="n">
        <v>3</v>
      </c>
      <c r="AB642" s="3" t="n">
        <v>2</v>
      </c>
      <c r="AC642" s="3" t="n">
        <v>1</v>
      </c>
      <c r="AD642" s="3" t="n">
        <v>3</v>
      </c>
      <c r="AE642" s="3" t="s">
        <v>5478</v>
      </c>
      <c r="AF642" s="3"/>
      <c r="AG642" s="3" t="s">
        <v>5479</v>
      </c>
      <c r="AH642" s="3"/>
      <c r="AI642" s="3" t="s">
        <v>5480</v>
      </c>
      <c r="AJ642" s="3"/>
      <c r="AK642" s="3" t="s">
        <v>5481</v>
      </c>
      <c r="AL642" s="3"/>
      <c r="AM642" s="3" t="n">
        <v>3</v>
      </c>
      <c r="AN642" s="3"/>
      <c r="AO642" s="3" t="s">
        <v>59</v>
      </c>
      <c r="AP642" s="3"/>
      <c r="AQ642" s="3" t="s">
        <v>5482</v>
      </c>
      <c r="AR642" s="3" t="s">
        <v>287</v>
      </c>
    </row>
    <row r="643" customFormat="false" ht="15" hidden="false" customHeight="true" outlineLevel="0" collapsed="false">
      <c r="A643" s="3" t="s">
        <v>5483</v>
      </c>
      <c r="B643" s="3" t="n">
        <v>7</v>
      </c>
      <c r="C643" s="3" t="n">
        <v>102</v>
      </c>
      <c r="D643" s="3"/>
      <c r="E643" s="4"/>
      <c r="F643" s="3" t="n">
        <v>21</v>
      </c>
      <c r="G643" s="3" t="str">
        <f aca="false">IF(F643="","",IF(F643&gt;=Notes!$B$5,"Elderly ("&amp;Notes!$B$5&amp;"+)",IF(F643&lt;=Notes!$B$4,"Student age (≤"&amp;Notes!$B$4&amp;")","Middle-aged ("&amp;(Notes!$B$4+1)&amp;"–"&amp;(Notes!$B$5-1)&amp;")")))</f>
        <v>Student age (≤29)</v>
      </c>
      <c r="H643" s="3" t="s">
        <v>45</v>
      </c>
      <c r="I643" s="3" t="s">
        <v>171</v>
      </c>
      <c r="J643" s="3" t="s">
        <v>47</v>
      </c>
      <c r="K643" s="3" t="s">
        <v>172</v>
      </c>
      <c r="L643" s="3" t="s">
        <v>171</v>
      </c>
      <c r="M643" s="3" t="s">
        <v>47</v>
      </c>
      <c r="N643" s="3" t="s">
        <v>172</v>
      </c>
      <c r="O643" s="3" t="s">
        <v>5484</v>
      </c>
      <c r="P643" s="3" t="n">
        <v>40</v>
      </c>
      <c r="Q643" s="3" t="s">
        <v>52</v>
      </c>
      <c r="R643" s="3" t="s">
        <v>5485</v>
      </c>
      <c r="S643" s="3" t="s">
        <v>5486</v>
      </c>
      <c r="T643" s="3"/>
      <c r="U643" s="3" t="s">
        <v>5487</v>
      </c>
      <c r="V643" s="3" t="s">
        <v>5488</v>
      </c>
      <c r="W643" s="3" t="s">
        <v>5489</v>
      </c>
      <c r="X643" s="3" t="s">
        <v>5490</v>
      </c>
      <c r="Y643" s="3" t="n">
        <v>3</v>
      </c>
      <c r="Z643" s="3" t="n">
        <v>1</v>
      </c>
      <c r="AA643" s="3" t="n">
        <v>3</v>
      </c>
      <c r="AB643" s="3" t="n">
        <v>2</v>
      </c>
      <c r="AC643" s="3" t="n">
        <v>3</v>
      </c>
      <c r="AD643" s="3" t="n">
        <v>1</v>
      </c>
      <c r="AE643" s="3" t="s">
        <v>5491</v>
      </c>
      <c r="AF643" s="3"/>
      <c r="AG643" s="3" t="s">
        <v>5492</v>
      </c>
      <c r="AH643" s="3"/>
      <c r="AI643" s="3" t="s">
        <v>5493</v>
      </c>
      <c r="AJ643" s="3"/>
      <c r="AK643" s="3" t="s">
        <v>5494</v>
      </c>
      <c r="AL643" s="3"/>
      <c r="AM643" s="3" t="n">
        <v>4</v>
      </c>
      <c r="AN643" s="3"/>
      <c r="AO643" s="3" t="s">
        <v>59</v>
      </c>
      <c r="AP643" s="3"/>
      <c r="AQ643" s="3" t="s">
        <v>5495</v>
      </c>
      <c r="AR643" s="3" t="s">
        <v>287</v>
      </c>
    </row>
    <row r="644" customFormat="false" ht="15" hidden="false" customHeight="true" outlineLevel="0" collapsed="false">
      <c r="A644" s="3" t="s">
        <v>5496</v>
      </c>
      <c r="B644" s="3" t="n">
        <v>7</v>
      </c>
      <c r="C644" s="3" t="n">
        <v>103</v>
      </c>
      <c r="D644" s="3"/>
      <c r="E644" s="4"/>
      <c r="F644" s="3" t="n">
        <v>55</v>
      </c>
      <c r="G644" s="3" t="str">
        <f aca="false">IF(F644="","",IF(F644&gt;=Notes!$B$5,"Elderly ("&amp;Notes!$B$5&amp;"+)",IF(F644&lt;=Notes!$B$4,"Student age (≤"&amp;Notes!$B$4&amp;")","Middle-aged ("&amp;(Notes!$B$4+1)&amp;"–"&amp;(Notes!$B$5-1)&amp;")")))</f>
        <v>Middle-aged (30–64)</v>
      </c>
      <c r="H644" s="3" t="s">
        <v>83</v>
      </c>
      <c r="I644" s="3"/>
      <c r="J644" s="3" t="s">
        <v>437</v>
      </c>
      <c r="K644" s="3" t="s">
        <v>437</v>
      </c>
      <c r="L644" s="3"/>
      <c r="M644" s="3" t="s">
        <v>47</v>
      </c>
      <c r="N644" s="3" t="s">
        <v>47</v>
      </c>
      <c r="O644" s="3" t="s">
        <v>5497</v>
      </c>
      <c r="P644" s="3" t="n">
        <v>25</v>
      </c>
      <c r="Q644" s="3" t="s">
        <v>117</v>
      </c>
      <c r="R644" s="3" t="s">
        <v>5498</v>
      </c>
      <c r="S644" s="3" t="s">
        <v>5499</v>
      </c>
      <c r="T644" s="3"/>
      <c r="U644" s="3" t="s">
        <v>5500</v>
      </c>
      <c r="V644" s="3" t="s">
        <v>5501</v>
      </c>
      <c r="W644" s="3" t="s">
        <v>5502</v>
      </c>
      <c r="X644" s="3" t="s">
        <v>5503</v>
      </c>
      <c r="Y644" s="3" t="n">
        <v>1</v>
      </c>
      <c r="Z644" s="3" t="n">
        <v>1</v>
      </c>
      <c r="AA644" s="3" t="n">
        <v>1</v>
      </c>
      <c r="AB644" s="3" t="n">
        <v>1</v>
      </c>
      <c r="AC644" s="3" t="n">
        <v>3</v>
      </c>
      <c r="AD644" s="3" t="n">
        <v>2</v>
      </c>
      <c r="AE644" s="3" t="s">
        <v>5504</v>
      </c>
      <c r="AF644" s="3"/>
      <c r="AG644" s="3" t="s">
        <v>5505</v>
      </c>
      <c r="AH644" s="3"/>
      <c r="AI644" s="3" t="s">
        <v>5506</v>
      </c>
      <c r="AJ644" s="3"/>
      <c r="AK644" s="3" t="s">
        <v>5507</v>
      </c>
      <c r="AL644" s="3"/>
      <c r="AM644" s="3" t="n">
        <v>4</v>
      </c>
      <c r="AN644" s="3"/>
      <c r="AO644" s="3" t="s">
        <v>59</v>
      </c>
      <c r="AP644" s="3"/>
      <c r="AQ644" s="3" t="s">
        <v>5508</v>
      </c>
      <c r="AR644" s="3" t="s">
        <v>287</v>
      </c>
    </row>
    <row r="645" customFormat="false" ht="15" hidden="false" customHeight="true" outlineLevel="0" collapsed="false">
      <c r="A645" s="3" t="s">
        <v>5509</v>
      </c>
      <c r="B645" s="3" t="n">
        <v>7</v>
      </c>
      <c r="C645" s="3" t="n">
        <v>104</v>
      </c>
      <c r="D645" s="3"/>
      <c r="E645" s="4"/>
      <c r="F645" s="3" t="n">
        <v>52</v>
      </c>
      <c r="G645" s="3" t="str">
        <f aca="false">IF(F645="","",IF(F645&gt;=Notes!$B$5,"Elderly ("&amp;Notes!$B$5&amp;"+)",IF(F645&lt;=Notes!$B$4,"Student age (≤"&amp;Notes!$B$4&amp;")","Middle-aged ("&amp;(Notes!$B$4+1)&amp;"–"&amp;(Notes!$B$5-1)&amp;")")))</f>
        <v>Middle-aged (30–64)</v>
      </c>
      <c r="H645" s="3" t="s">
        <v>45</v>
      </c>
      <c r="I645" s="3"/>
      <c r="J645" s="3" t="s">
        <v>437</v>
      </c>
      <c r="K645" s="3" t="s">
        <v>437</v>
      </c>
      <c r="L645" s="3" t="s">
        <v>71</v>
      </c>
      <c r="M645" s="3" t="s">
        <v>47</v>
      </c>
      <c r="N645" s="3" t="s">
        <v>72</v>
      </c>
      <c r="O645" s="3" t="s">
        <v>5510</v>
      </c>
      <c r="P645" s="3" t="n">
        <v>20</v>
      </c>
      <c r="Q645" s="3" t="s">
        <v>95</v>
      </c>
      <c r="R645" s="3" t="s">
        <v>5511</v>
      </c>
      <c r="S645" s="3" t="s">
        <v>5512</v>
      </c>
      <c r="T645" s="3"/>
      <c r="U645" s="3" t="s">
        <v>59</v>
      </c>
      <c r="V645" s="3" t="s">
        <v>5513</v>
      </c>
      <c r="W645" s="3" t="s">
        <v>5514</v>
      </c>
      <c r="X645" s="3" t="s">
        <v>5515</v>
      </c>
      <c r="Y645" s="3" t="n">
        <v>1</v>
      </c>
      <c r="Z645" s="3" t="n">
        <v>1</v>
      </c>
      <c r="AA645" s="3" t="n">
        <v>1</v>
      </c>
      <c r="AB645" s="3" t="n">
        <v>1</v>
      </c>
      <c r="AC645" s="3" t="n">
        <v>2</v>
      </c>
      <c r="AD645" s="3" t="n">
        <v>3</v>
      </c>
      <c r="AE645" s="3" t="s">
        <v>5516</v>
      </c>
      <c r="AF645" s="3"/>
      <c r="AG645" s="3" t="s">
        <v>5517</v>
      </c>
      <c r="AH645" s="3"/>
      <c r="AI645" s="3" t="s">
        <v>5019</v>
      </c>
      <c r="AJ645" s="3" t="s">
        <v>59</v>
      </c>
      <c r="AK645" s="3"/>
      <c r="AL645" s="3"/>
      <c r="AM645" s="3" t="n">
        <v>4</v>
      </c>
      <c r="AN645" s="3"/>
      <c r="AO645" s="3" t="s">
        <v>59</v>
      </c>
      <c r="AP645" s="3"/>
      <c r="AQ645" s="3"/>
      <c r="AR645" s="3" t="s">
        <v>287</v>
      </c>
    </row>
    <row r="646" customFormat="false" ht="15" hidden="false" customHeight="true" outlineLevel="0" collapsed="false">
      <c r="A646" s="3" t="s">
        <v>5518</v>
      </c>
      <c r="B646" s="3" t="n">
        <v>7</v>
      </c>
      <c r="C646" s="3" t="n">
        <v>105</v>
      </c>
      <c r="D646" s="3"/>
      <c r="E646" s="4"/>
      <c r="F646" s="3" t="n">
        <v>52</v>
      </c>
      <c r="G646" s="3" t="str">
        <f aca="false">IF(F646="","",IF(F646&gt;=Notes!$B$5,"Elderly ("&amp;Notes!$B$5&amp;"+)",IF(F646&lt;=Notes!$B$4,"Student age (≤"&amp;Notes!$B$4&amp;")","Middle-aged ("&amp;(Notes!$B$4+1)&amp;"–"&amp;(Notes!$B$5-1)&amp;")")))</f>
        <v>Middle-aged (30–64)</v>
      </c>
      <c r="H646" s="3" t="s">
        <v>45</v>
      </c>
      <c r="I646" s="3"/>
      <c r="J646" s="3" t="s">
        <v>437</v>
      </c>
      <c r="K646" s="3" t="s">
        <v>437</v>
      </c>
      <c r="L646" s="3" t="s">
        <v>71</v>
      </c>
      <c r="M646" s="3" t="s">
        <v>47</v>
      </c>
      <c r="N646" s="3" t="s">
        <v>72</v>
      </c>
      <c r="O646" s="3" t="s">
        <v>5519</v>
      </c>
      <c r="P646" s="3" t="n">
        <v>20</v>
      </c>
      <c r="Q646" s="3" t="s">
        <v>95</v>
      </c>
      <c r="R646" s="3" t="s">
        <v>5520</v>
      </c>
      <c r="S646" s="3" t="s">
        <v>5521</v>
      </c>
      <c r="T646" s="3"/>
      <c r="U646" s="3" t="s">
        <v>5522</v>
      </c>
      <c r="V646" s="3" t="s">
        <v>5523</v>
      </c>
      <c r="W646" s="3" t="s">
        <v>5524</v>
      </c>
      <c r="X646" s="3" t="s">
        <v>5525</v>
      </c>
      <c r="Y646" s="3" t="n">
        <v>1</v>
      </c>
      <c r="Z646" s="3" t="n">
        <v>1</v>
      </c>
      <c r="AA646" s="3" t="n">
        <v>1</v>
      </c>
      <c r="AB646" s="3" t="n">
        <v>1</v>
      </c>
      <c r="AC646" s="3" t="n">
        <v>2</v>
      </c>
      <c r="AD646" s="3" t="n">
        <v>3</v>
      </c>
      <c r="AE646" s="3" t="s">
        <v>5526</v>
      </c>
      <c r="AF646" s="3"/>
      <c r="AG646" s="3" t="s">
        <v>5527</v>
      </c>
      <c r="AH646" s="3"/>
      <c r="AI646" s="3" t="s">
        <v>5528</v>
      </c>
      <c r="AJ646" s="3"/>
      <c r="AK646" s="3" t="s">
        <v>5529</v>
      </c>
      <c r="AL646" s="3"/>
      <c r="AM646" s="3" t="n">
        <v>4</v>
      </c>
      <c r="AN646" s="3"/>
      <c r="AO646" s="3" t="s">
        <v>59</v>
      </c>
      <c r="AP646" s="3"/>
      <c r="AQ646" s="3" t="s">
        <v>5530</v>
      </c>
      <c r="AR646" s="3" t="s">
        <v>287</v>
      </c>
    </row>
    <row r="647" customFormat="false" ht="15" hidden="false" customHeight="true" outlineLevel="0" collapsed="false">
      <c r="A647" s="3" t="s">
        <v>5531</v>
      </c>
      <c r="B647" s="3" t="n">
        <v>7</v>
      </c>
      <c r="C647" s="3" t="n">
        <v>106</v>
      </c>
      <c r="D647" s="3"/>
      <c r="E647" s="4"/>
      <c r="F647" s="3" t="n">
        <v>22</v>
      </c>
      <c r="G647" s="3" t="str">
        <f aca="false">IF(F647="","",IF(F647&gt;=Notes!$B$5,"Elderly ("&amp;Notes!$B$5&amp;"+)",IF(F647&lt;=Notes!$B$4,"Student age (≤"&amp;Notes!$B$4&amp;")","Middle-aged ("&amp;(Notes!$B$4+1)&amp;"–"&amp;(Notes!$B$5-1)&amp;")")))</f>
        <v>Student age (≤29)</v>
      </c>
      <c r="H647" s="3" t="s">
        <v>83</v>
      </c>
      <c r="I647" s="3" t="s">
        <v>532</v>
      </c>
      <c r="J647" s="3" t="s">
        <v>47</v>
      </c>
      <c r="K647" s="3" t="s">
        <v>533</v>
      </c>
      <c r="L647" s="3"/>
      <c r="M647" s="3" t="s">
        <v>3277</v>
      </c>
      <c r="N647" s="3" t="s">
        <v>3277</v>
      </c>
      <c r="O647" s="3" t="s">
        <v>5532</v>
      </c>
      <c r="P647" s="3" t="n">
        <v>30</v>
      </c>
      <c r="Q647" s="3" t="s">
        <v>117</v>
      </c>
      <c r="R647" s="3" t="s">
        <v>547</v>
      </c>
      <c r="S647" s="3" t="s">
        <v>5533</v>
      </c>
      <c r="T647" s="3"/>
      <c r="U647" s="3" t="s">
        <v>5534</v>
      </c>
      <c r="V647" s="3" t="s">
        <v>5535</v>
      </c>
      <c r="W647" s="3" t="s">
        <v>5536</v>
      </c>
      <c r="X647" s="3" t="s">
        <v>5537</v>
      </c>
      <c r="Y647" s="3" t="n">
        <v>3</v>
      </c>
      <c r="Z647" s="3" t="n">
        <v>1</v>
      </c>
      <c r="AA647" s="3" t="n">
        <v>3</v>
      </c>
      <c r="AB647" s="3" t="n">
        <v>2</v>
      </c>
      <c r="AC647" s="3" t="n">
        <v>1</v>
      </c>
      <c r="AD647" s="3" t="n">
        <v>3</v>
      </c>
      <c r="AE647" s="3" t="s">
        <v>5538</v>
      </c>
      <c r="AF647" s="3"/>
      <c r="AG647" s="3" t="s">
        <v>5539</v>
      </c>
      <c r="AH647" s="3"/>
      <c r="AI647" s="3" t="s">
        <v>5540</v>
      </c>
      <c r="AJ647" s="3"/>
      <c r="AK647" s="3" t="s">
        <v>5541</v>
      </c>
      <c r="AL647" s="3"/>
      <c r="AM647" s="3" t="n">
        <v>4</v>
      </c>
      <c r="AN647" s="3"/>
      <c r="AO647" s="3" t="s">
        <v>59</v>
      </c>
      <c r="AP647" s="3"/>
      <c r="AQ647" s="3"/>
      <c r="AR647" s="3" t="s">
        <v>287</v>
      </c>
    </row>
    <row r="648" customFormat="false" ht="15" hidden="false" customHeight="true" outlineLevel="0" collapsed="false">
      <c r="A648" s="3" t="s">
        <v>5542</v>
      </c>
      <c r="B648" s="3" t="n">
        <v>7</v>
      </c>
      <c r="C648" s="3" t="n">
        <v>107</v>
      </c>
      <c r="D648" s="3"/>
      <c r="E648" s="4"/>
      <c r="F648" s="3" t="n">
        <v>22</v>
      </c>
      <c r="G648" s="3" t="str">
        <f aca="false">IF(F648="","",IF(F648&gt;=Notes!$B$5,"Elderly ("&amp;Notes!$B$5&amp;"+)",IF(F648&lt;=Notes!$B$4,"Student age (≤"&amp;Notes!$B$4&amp;")","Middle-aged ("&amp;(Notes!$B$4+1)&amp;"–"&amp;(Notes!$B$5-1)&amp;")")))</f>
        <v>Student age (≤29)</v>
      </c>
      <c r="H648" s="3" t="s">
        <v>83</v>
      </c>
      <c r="I648" s="3" t="s">
        <v>544</v>
      </c>
      <c r="J648" s="3" t="s">
        <v>47</v>
      </c>
      <c r="K648" s="3" t="s">
        <v>545</v>
      </c>
      <c r="L648" s="3" t="s">
        <v>49</v>
      </c>
      <c r="M648" s="3" t="s">
        <v>47</v>
      </c>
      <c r="N648" s="3" t="s">
        <v>50</v>
      </c>
      <c r="O648" s="3" t="s">
        <v>5543</v>
      </c>
      <c r="P648" s="3" t="n">
        <v>20</v>
      </c>
      <c r="Q648" s="3" t="s">
        <v>95</v>
      </c>
      <c r="R648" s="3" t="s">
        <v>5544</v>
      </c>
      <c r="S648" s="3" t="s">
        <v>5545</v>
      </c>
      <c r="T648" s="3"/>
      <c r="U648" s="3" t="s">
        <v>5546</v>
      </c>
      <c r="V648" s="3" t="s">
        <v>5547</v>
      </c>
      <c r="W648" s="3" t="s">
        <v>5548</v>
      </c>
      <c r="X648" s="3" t="s">
        <v>5549</v>
      </c>
      <c r="Y648" s="3" t="n">
        <v>1</v>
      </c>
      <c r="Z648" s="3" t="n">
        <v>3</v>
      </c>
      <c r="AA648" s="3" t="n">
        <v>3</v>
      </c>
      <c r="AB648" s="3" t="n">
        <v>1</v>
      </c>
      <c r="AC648" s="3" t="n">
        <v>2</v>
      </c>
      <c r="AD648" s="3" t="n">
        <v>3</v>
      </c>
      <c r="AE648" s="3" t="s">
        <v>5550</v>
      </c>
      <c r="AF648" s="3"/>
      <c r="AG648" s="3" t="s">
        <v>5551</v>
      </c>
      <c r="AH648" s="3"/>
      <c r="AI648" s="3" t="s">
        <v>5552</v>
      </c>
      <c r="AJ648" s="3"/>
      <c r="AK648" s="3" t="s">
        <v>5553</v>
      </c>
      <c r="AL648" s="3"/>
      <c r="AM648" s="3" t="n">
        <v>5</v>
      </c>
      <c r="AN648" s="3"/>
      <c r="AO648" s="3" t="s">
        <v>59</v>
      </c>
      <c r="AP648" s="3"/>
      <c r="AQ648" s="3" t="s">
        <v>5554</v>
      </c>
      <c r="AR648" s="3" t="s">
        <v>287</v>
      </c>
    </row>
    <row r="649" customFormat="false" ht="15" hidden="false" customHeight="true" outlineLevel="0" collapsed="false">
      <c r="A649" s="3" t="s">
        <v>5555</v>
      </c>
      <c r="B649" s="3" t="n">
        <v>7</v>
      </c>
      <c r="C649" s="3" t="n">
        <v>108</v>
      </c>
      <c r="D649" s="3"/>
      <c r="E649" s="4"/>
      <c r="F649" s="3" t="n">
        <v>22</v>
      </c>
      <c r="G649" s="3" t="str">
        <f aca="false">IF(F649="","",IF(F649&gt;=Notes!$B$5,"Elderly ("&amp;Notes!$B$5&amp;"+)",IF(F649&lt;=Notes!$B$4,"Student age (≤"&amp;Notes!$B$4&amp;")","Middle-aged ("&amp;(Notes!$B$4+1)&amp;"–"&amp;(Notes!$B$5-1)&amp;")")))</f>
        <v>Student age (≤29)</v>
      </c>
      <c r="H649" s="3" t="s">
        <v>83</v>
      </c>
      <c r="I649" s="3" t="s">
        <v>544</v>
      </c>
      <c r="J649" s="3" t="s">
        <v>47</v>
      </c>
      <c r="K649" s="3" t="s">
        <v>545</v>
      </c>
      <c r="L649" s="3" t="s">
        <v>49</v>
      </c>
      <c r="M649" s="3" t="s">
        <v>47</v>
      </c>
      <c r="N649" s="3" t="s">
        <v>50</v>
      </c>
      <c r="O649" s="3" t="s">
        <v>5556</v>
      </c>
      <c r="P649" s="3" t="n">
        <v>20</v>
      </c>
      <c r="Q649" s="3" t="s">
        <v>95</v>
      </c>
      <c r="R649" s="3" t="s">
        <v>5557</v>
      </c>
      <c r="S649" s="3" t="s">
        <v>5558</v>
      </c>
      <c r="T649" s="3"/>
      <c r="U649" s="3" t="s">
        <v>5559</v>
      </c>
      <c r="V649" s="3" t="s">
        <v>5560</v>
      </c>
      <c r="W649" s="3" t="s">
        <v>5561</v>
      </c>
      <c r="X649" s="3" t="s">
        <v>5562</v>
      </c>
      <c r="Y649" s="3" t="n">
        <v>1</v>
      </c>
      <c r="Z649" s="3" t="n">
        <v>3</v>
      </c>
      <c r="AA649" s="3" t="n">
        <v>3</v>
      </c>
      <c r="AB649" s="3" t="n">
        <v>1</v>
      </c>
      <c r="AC649" s="3" t="n">
        <v>2</v>
      </c>
      <c r="AD649" s="3" t="n">
        <v>3</v>
      </c>
      <c r="AE649" s="3" t="s">
        <v>5563</v>
      </c>
      <c r="AF649" s="3"/>
      <c r="AG649" s="3" t="s">
        <v>5564</v>
      </c>
      <c r="AH649" s="3"/>
      <c r="AI649" s="3" t="s">
        <v>5565</v>
      </c>
      <c r="AJ649" s="3" t="s">
        <v>59</v>
      </c>
      <c r="AK649" s="3" t="s">
        <v>5566</v>
      </c>
      <c r="AL649" s="3"/>
      <c r="AM649" s="3" t="n">
        <v>5</v>
      </c>
      <c r="AN649" s="3"/>
      <c r="AO649" s="3" t="s">
        <v>59</v>
      </c>
      <c r="AP649" s="3"/>
      <c r="AQ649" s="3"/>
      <c r="AR649" s="3" t="s">
        <v>287</v>
      </c>
    </row>
    <row r="650" customFormat="false" ht="15" hidden="false" customHeight="true" outlineLevel="0" collapsed="false">
      <c r="A650" s="3" t="s">
        <v>5567</v>
      </c>
      <c r="B650" s="3" t="n">
        <v>7</v>
      </c>
      <c r="C650" s="3" t="n">
        <v>109</v>
      </c>
      <c r="D650" s="3"/>
      <c r="E650" s="4"/>
      <c r="F650" s="3" t="n">
        <v>18</v>
      </c>
      <c r="G650" s="3" t="str">
        <f aca="false">IF(F650="","",IF(F650&gt;=Notes!$B$5,"Elderly ("&amp;Notes!$B$5&amp;"+)",IF(F650&lt;=Notes!$B$4,"Student age (≤"&amp;Notes!$B$4&amp;")","Middle-aged ("&amp;(Notes!$B$4+1)&amp;"–"&amp;(Notes!$B$5-1)&amp;")")))</f>
        <v>Student age (≤29)</v>
      </c>
      <c r="H650" s="3" t="s">
        <v>45</v>
      </c>
      <c r="I650" s="3" t="s">
        <v>4867</v>
      </c>
      <c r="J650" s="3" t="s">
        <v>47</v>
      </c>
      <c r="K650" s="3" t="s">
        <v>4868</v>
      </c>
      <c r="L650" s="3" t="s">
        <v>127</v>
      </c>
      <c r="M650" s="3" t="s">
        <v>47</v>
      </c>
      <c r="N650" s="3" t="s">
        <v>128</v>
      </c>
      <c r="O650" s="3" t="s">
        <v>5568</v>
      </c>
      <c r="P650" s="3" t="n">
        <v>20</v>
      </c>
      <c r="Q650" s="3" t="s">
        <v>95</v>
      </c>
      <c r="R650" s="3" t="s">
        <v>5569</v>
      </c>
      <c r="S650" s="3" t="s">
        <v>5570</v>
      </c>
      <c r="T650" s="3"/>
      <c r="U650" s="3" t="s">
        <v>5571</v>
      </c>
      <c r="V650" s="3" t="s">
        <v>5572</v>
      </c>
      <c r="W650" s="3" t="s">
        <v>5573</v>
      </c>
      <c r="X650" s="3" t="s">
        <v>5574</v>
      </c>
      <c r="Y650" s="3" t="n">
        <v>3</v>
      </c>
      <c r="Z650" s="3" t="n">
        <v>2</v>
      </c>
      <c r="AA650" s="3" t="n">
        <v>1</v>
      </c>
      <c r="AB650" s="3" t="n">
        <v>2</v>
      </c>
      <c r="AC650" s="3" t="n">
        <v>3</v>
      </c>
      <c r="AD650" s="3" t="n">
        <v>1</v>
      </c>
      <c r="AE650" s="3" t="s">
        <v>5575</v>
      </c>
      <c r="AF650" s="3"/>
      <c r="AG650" s="3" t="s">
        <v>5576</v>
      </c>
      <c r="AH650" s="3"/>
      <c r="AI650" s="3" t="s">
        <v>5577</v>
      </c>
      <c r="AJ650" s="3"/>
      <c r="AK650" s="3" t="s">
        <v>5578</v>
      </c>
      <c r="AL650" s="3"/>
      <c r="AM650" s="3" t="n">
        <v>4</v>
      </c>
      <c r="AN650" s="3"/>
      <c r="AO650" s="3" t="s">
        <v>59</v>
      </c>
      <c r="AP650" s="3"/>
      <c r="AQ650" s="3" t="s">
        <v>5579</v>
      </c>
      <c r="AR650" s="3"/>
    </row>
    <row r="651" customFormat="false" ht="15" hidden="false" customHeight="true" outlineLevel="0" collapsed="false">
      <c r="A651" s="3" t="s">
        <v>5580</v>
      </c>
      <c r="B651" s="3" t="n">
        <v>7</v>
      </c>
      <c r="C651" s="3" t="n">
        <v>110</v>
      </c>
      <c r="D651" s="3"/>
      <c r="E651" s="4"/>
      <c r="F651" s="3" t="n">
        <v>18</v>
      </c>
      <c r="G651" s="3" t="str">
        <f aca="false">IF(F651="","",IF(F651&gt;=Notes!$B$5,"Elderly ("&amp;Notes!$B$5&amp;"+)",IF(F651&lt;=Notes!$B$4,"Student age (≤"&amp;Notes!$B$4&amp;")","Middle-aged ("&amp;(Notes!$B$4+1)&amp;"–"&amp;(Notes!$B$5-1)&amp;")")))</f>
        <v>Student age (≤29)</v>
      </c>
      <c r="H651" s="3" t="s">
        <v>83</v>
      </c>
      <c r="I651" s="3"/>
      <c r="J651" s="3" t="s">
        <v>437</v>
      </c>
      <c r="K651" s="3" t="s">
        <v>437</v>
      </c>
      <c r="L651" s="3" t="s">
        <v>71</v>
      </c>
      <c r="M651" s="3" t="s">
        <v>47</v>
      </c>
      <c r="N651" s="3" t="s">
        <v>72</v>
      </c>
      <c r="O651" s="3" t="s">
        <v>5581</v>
      </c>
      <c r="P651" s="3" t="n">
        <v>20</v>
      </c>
      <c r="Q651" s="3" t="s">
        <v>95</v>
      </c>
      <c r="R651" s="3" t="s">
        <v>5582</v>
      </c>
      <c r="S651" s="3" t="s">
        <v>5583</v>
      </c>
      <c r="T651" s="3"/>
      <c r="U651" s="3" t="s">
        <v>5584</v>
      </c>
      <c r="V651" s="3" t="s">
        <v>5585</v>
      </c>
      <c r="W651" s="3" t="s">
        <v>5586</v>
      </c>
      <c r="X651" s="3" t="s">
        <v>5587</v>
      </c>
      <c r="Y651" s="3" t="n">
        <v>2</v>
      </c>
      <c r="Z651" s="3" t="n">
        <v>3</v>
      </c>
      <c r="AA651" s="3" t="n">
        <v>1</v>
      </c>
      <c r="AB651" s="3" t="n">
        <v>3</v>
      </c>
      <c r="AC651" s="3" t="n">
        <v>1</v>
      </c>
      <c r="AD651" s="3" t="n">
        <v>2</v>
      </c>
      <c r="AE651" s="3" t="s">
        <v>5588</v>
      </c>
      <c r="AF651" s="3"/>
      <c r="AG651" s="3" t="s">
        <v>5589</v>
      </c>
      <c r="AH651" s="3"/>
      <c r="AI651" s="3" t="s">
        <v>5590</v>
      </c>
      <c r="AJ651" s="3"/>
      <c r="AK651" s="3" t="s">
        <v>5591</v>
      </c>
      <c r="AL651" s="3"/>
      <c r="AM651" s="3" t="n">
        <v>5</v>
      </c>
      <c r="AN651" s="3"/>
      <c r="AO651" s="3" t="s">
        <v>59</v>
      </c>
      <c r="AP651" s="3"/>
      <c r="AQ651" s="3" t="s">
        <v>5592</v>
      </c>
      <c r="AR651" s="3"/>
    </row>
    <row r="652" customFormat="false" ht="15" hidden="false" customHeight="true" outlineLevel="0" collapsed="false">
      <c r="A652" s="3" t="s">
        <v>5593</v>
      </c>
      <c r="B652" s="3" t="n">
        <v>7</v>
      </c>
      <c r="C652" s="3" t="n">
        <v>111</v>
      </c>
      <c r="D652" s="3"/>
      <c r="E652" s="4"/>
      <c r="F652" s="3" t="n">
        <v>23</v>
      </c>
      <c r="G652" s="3" t="str">
        <f aca="false">IF(F652="","",IF(F652&gt;=Notes!$B$5,"Elderly ("&amp;Notes!$B$5&amp;"+)",IF(F652&lt;=Notes!$B$4,"Student age (≤"&amp;Notes!$B$4&amp;")","Middle-aged ("&amp;(Notes!$B$4+1)&amp;"–"&amp;(Notes!$B$5-1)&amp;")")))</f>
        <v>Student age (≤29)</v>
      </c>
      <c r="H652" s="3" t="s">
        <v>45</v>
      </c>
      <c r="I652" s="3" t="s">
        <v>71</v>
      </c>
      <c r="J652" s="3" t="s">
        <v>47</v>
      </c>
      <c r="K652" s="3" t="s">
        <v>72</v>
      </c>
      <c r="L652" s="3" t="s">
        <v>71</v>
      </c>
      <c r="M652" s="3" t="s">
        <v>47</v>
      </c>
      <c r="N652" s="3" t="s">
        <v>72</v>
      </c>
      <c r="O652" s="3" t="s">
        <v>5594</v>
      </c>
      <c r="P652" s="3" t="n">
        <v>25</v>
      </c>
      <c r="Q652" s="3" t="s">
        <v>117</v>
      </c>
      <c r="R652" s="3" t="s">
        <v>5595</v>
      </c>
      <c r="S652" s="3" t="s">
        <v>5596</v>
      </c>
      <c r="T652" s="3"/>
      <c r="U652" s="3" t="s">
        <v>5597</v>
      </c>
      <c r="V652" s="3" t="s">
        <v>5598</v>
      </c>
      <c r="W652" s="3" t="s">
        <v>5599</v>
      </c>
      <c r="X652" s="3" t="s">
        <v>5600</v>
      </c>
      <c r="Y652" s="3" t="n">
        <v>3</v>
      </c>
      <c r="Z652" s="3" t="n">
        <v>1</v>
      </c>
      <c r="AA652" s="3" t="n">
        <v>3</v>
      </c>
      <c r="AB652" s="3" t="n">
        <v>2</v>
      </c>
      <c r="AC652" s="3" t="n">
        <v>1</v>
      </c>
      <c r="AD652" s="3" t="n">
        <v>3</v>
      </c>
      <c r="AE652" s="3" t="s">
        <v>5601</v>
      </c>
      <c r="AF652" s="3"/>
      <c r="AG652" s="3" t="s">
        <v>5602</v>
      </c>
      <c r="AH652" s="3"/>
      <c r="AI652" s="3" t="s">
        <v>5603</v>
      </c>
      <c r="AJ652" s="3"/>
      <c r="AK652" s="3" t="s">
        <v>5604</v>
      </c>
      <c r="AL652" s="3"/>
      <c r="AM652" s="3" t="n">
        <v>3</v>
      </c>
      <c r="AN652" s="3"/>
      <c r="AO652" s="3" t="s">
        <v>59</v>
      </c>
      <c r="AP652" s="3"/>
      <c r="AQ652" s="3"/>
      <c r="AR652" s="3" t="s">
        <v>287</v>
      </c>
    </row>
    <row r="653" customFormat="false" ht="15" hidden="false" customHeight="true" outlineLevel="0" collapsed="false">
      <c r="A653" s="3" t="s">
        <v>5605</v>
      </c>
      <c r="B653" s="3" t="n">
        <v>7</v>
      </c>
      <c r="C653" s="3" t="n">
        <v>112</v>
      </c>
      <c r="D653" s="3"/>
      <c r="E653" s="4"/>
      <c r="F653" s="3" t="n">
        <v>22</v>
      </c>
      <c r="G653" s="3" t="str">
        <f aca="false">IF(F653="","",IF(F653&gt;=Notes!$B$5,"Elderly ("&amp;Notes!$B$5&amp;"+)",IF(F653&lt;=Notes!$B$4,"Student age (≤"&amp;Notes!$B$4&amp;")","Middle-aged ("&amp;(Notes!$B$4+1)&amp;"–"&amp;(Notes!$B$5-1)&amp;")")))</f>
        <v>Student age (≤29)</v>
      </c>
      <c r="H653" s="3" t="s">
        <v>45</v>
      </c>
      <c r="I653" s="3"/>
      <c r="J653" s="3" t="s">
        <v>5309</v>
      </c>
      <c r="K653" s="3" t="s">
        <v>5309</v>
      </c>
      <c r="L653" s="3" t="s">
        <v>114</v>
      </c>
      <c r="M653" s="3" t="s">
        <v>47</v>
      </c>
      <c r="N653" s="3" t="s">
        <v>115</v>
      </c>
      <c r="O653" s="3" t="s">
        <v>5606</v>
      </c>
      <c r="P653" s="3" t="n">
        <v>30</v>
      </c>
      <c r="Q653" s="3" t="s">
        <v>117</v>
      </c>
      <c r="R653" s="3" t="s">
        <v>5607</v>
      </c>
      <c r="S653" s="3" t="s">
        <v>5608</v>
      </c>
      <c r="T653" s="3"/>
      <c r="U653" s="3" t="s">
        <v>98</v>
      </c>
      <c r="V653" s="3" t="s">
        <v>5609</v>
      </c>
      <c r="W653" s="3" t="s">
        <v>5610</v>
      </c>
      <c r="X653" s="3" t="s">
        <v>5611</v>
      </c>
      <c r="Y653" s="3" t="n">
        <v>1</v>
      </c>
      <c r="Z653" s="3" t="n">
        <v>1</v>
      </c>
      <c r="AA653" s="3" t="n">
        <v>3</v>
      </c>
      <c r="AB653" s="3" t="n">
        <v>2</v>
      </c>
      <c r="AC653" s="3" t="n">
        <v>1</v>
      </c>
      <c r="AD653" s="3" t="n">
        <v>3</v>
      </c>
      <c r="AE653" s="3" t="s">
        <v>5612</v>
      </c>
      <c r="AF653" s="3"/>
      <c r="AG653" s="3" t="s">
        <v>5613</v>
      </c>
      <c r="AH653" s="3"/>
      <c r="AI653" s="3" t="s">
        <v>5614</v>
      </c>
      <c r="AJ653" s="3"/>
      <c r="AK653" s="3" t="s">
        <v>5615</v>
      </c>
      <c r="AL653" s="3"/>
      <c r="AM653" s="3" t="n">
        <v>3</v>
      </c>
      <c r="AN653" s="3"/>
      <c r="AO653" s="3" t="s">
        <v>59</v>
      </c>
      <c r="AP653" s="3"/>
      <c r="AQ653" s="3"/>
      <c r="AR653" s="3" t="s">
        <v>287</v>
      </c>
    </row>
    <row r="654" customFormat="false" ht="15" hidden="false" customHeight="true" outlineLevel="0" collapsed="false">
      <c r="A654" s="3" t="s">
        <v>5616</v>
      </c>
      <c r="B654" s="3" t="n">
        <v>7</v>
      </c>
      <c r="C654" s="3" t="n">
        <v>113</v>
      </c>
      <c r="D654" s="3"/>
      <c r="E654" s="4"/>
      <c r="F654" s="3" t="n">
        <v>22</v>
      </c>
      <c r="G654" s="3" t="str">
        <f aca="false">IF(F654="","",IF(F654&gt;=Notes!$B$5,"Elderly ("&amp;Notes!$B$5&amp;"+)",IF(F654&lt;=Notes!$B$4,"Student age (≤"&amp;Notes!$B$4&amp;")","Middle-aged ("&amp;(Notes!$B$4+1)&amp;"–"&amp;(Notes!$B$5-1)&amp;")")))</f>
        <v>Student age (≤29)</v>
      </c>
      <c r="H654" s="3" t="s">
        <v>45</v>
      </c>
      <c r="I654" s="3"/>
      <c r="J654" s="3" t="s">
        <v>437</v>
      </c>
      <c r="K654" s="3" t="s">
        <v>437</v>
      </c>
      <c r="L654" s="3"/>
      <c r="M654" s="3" t="s">
        <v>47</v>
      </c>
      <c r="N654" s="3" t="s">
        <v>47</v>
      </c>
      <c r="O654" s="3" t="s">
        <v>5617</v>
      </c>
      <c r="P654" s="3" t="n">
        <v>20</v>
      </c>
      <c r="Q654" s="3" t="s">
        <v>95</v>
      </c>
      <c r="R654" s="3" t="s">
        <v>5618</v>
      </c>
      <c r="S654" s="3" t="s">
        <v>5619</v>
      </c>
      <c r="T654" s="3"/>
      <c r="U654" s="3" t="s">
        <v>98</v>
      </c>
      <c r="V654" s="3" t="s">
        <v>5620</v>
      </c>
      <c r="W654" s="3" t="s">
        <v>5621</v>
      </c>
      <c r="X654" s="3" t="s">
        <v>5622</v>
      </c>
      <c r="Y654" s="3" t="n">
        <v>1</v>
      </c>
      <c r="Z654" s="3" t="n">
        <v>1</v>
      </c>
      <c r="AA654" s="3" t="n">
        <v>3</v>
      </c>
      <c r="AB654" s="3" t="n">
        <v>1</v>
      </c>
      <c r="AC654" s="3" t="n">
        <v>2</v>
      </c>
      <c r="AD654" s="3" t="n">
        <v>3</v>
      </c>
      <c r="AE654" s="3" t="s">
        <v>5623</v>
      </c>
      <c r="AF654" s="3"/>
      <c r="AG654" s="3" t="s">
        <v>5624</v>
      </c>
      <c r="AH654" s="3"/>
      <c r="AI654" s="3" t="s">
        <v>5625</v>
      </c>
      <c r="AJ654" s="3"/>
      <c r="AK654" s="3" t="s">
        <v>5626</v>
      </c>
      <c r="AL654" s="3"/>
      <c r="AM654" s="3" t="n">
        <v>2</v>
      </c>
      <c r="AN654" s="3"/>
      <c r="AO654" s="3" t="s">
        <v>59</v>
      </c>
      <c r="AP654" s="3"/>
      <c r="AQ654" s="3"/>
      <c r="AR654" s="3" t="s">
        <v>287</v>
      </c>
    </row>
    <row r="655" customFormat="false" ht="15" hidden="false" customHeight="true" outlineLevel="0" collapsed="false">
      <c r="A655" s="3" t="s">
        <v>5627</v>
      </c>
      <c r="B655" s="3" t="n">
        <v>7</v>
      </c>
      <c r="C655" s="3" t="n">
        <v>114</v>
      </c>
      <c r="D655" s="3"/>
      <c r="E655" s="4"/>
      <c r="F655" s="3" t="n">
        <v>25</v>
      </c>
      <c r="G655" s="3" t="str">
        <f aca="false">IF(F655="","",IF(F655&gt;=Notes!$B$5,"Elderly ("&amp;Notes!$B$5&amp;"+)",IF(F655&lt;=Notes!$B$4,"Student age (≤"&amp;Notes!$B$4&amp;")","Middle-aged ("&amp;(Notes!$B$4+1)&amp;"–"&amp;(Notes!$B$5-1)&amp;")")))</f>
        <v>Student age (≤29)</v>
      </c>
      <c r="H655" s="3" t="s">
        <v>45</v>
      </c>
      <c r="I655" s="3"/>
      <c r="J655" s="3" t="s">
        <v>437</v>
      </c>
      <c r="K655" s="3" t="s">
        <v>437</v>
      </c>
      <c r="L655" s="3" t="s">
        <v>71</v>
      </c>
      <c r="M655" s="3" t="s">
        <v>47</v>
      </c>
      <c r="N655" s="3" t="s">
        <v>72</v>
      </c>
      <c r="O655" s="3" t="s">
        <v>5628</v>
      </c>
      <c r="P655" s="3" t="n">
        <v>20</v>
      </c>
      <c r="Q655" s="3" t="s">
        <v>95</v>
      </c>
      <c r="R655" s="3" t="s">
        <v>5629</v>
      </c>
      <c r="S655" s="3" t="s">
        <v>5630</v>
      </c>
      <c r="T655" s="3"/>
      <c r="U655" s="3" t="s">
        <v>5631</v>
      </c>
      <c r="V655" s="3" t="s">
        <v>5632</v>
      </c>
      <c r="W655" s="3" t="s">
        <v>5633</v>
      </c>
      <c r="X655" s="3" t="s">
        <v>5634</v>
      </c>
      <c r="Y655" s="3" t="n">
        <v>1</v>
      </c>
      <c r="Z655" s="3" t="n">
        <v>1</v>
      </c>
      <c r="AA655" s="3" t="n">
        <v>1</v>
      </c>
      <c r="AB655" s="3" t="n">
        <v>2</v>
      </c>
      <c r="AC655" s="3" t="n">
        <v>1</v>
      </c>
      <c r="AD655" s="3" t="n">
        <v>3</v>
      </c>
      <c r="AE655" s="3" t="s">
        <v>5635</v>
      </c>
      <c r="AF655" s="3"/>
      <c r="AG655" s="3" t="s">
        <v>5636</v>
      </c>
      <c r="AH655" s="3"/>
      <c r="AI655" s="3" t="s">
        <v>5636</v>
      </c>
      <c r="AJ655" s="3" t="s">
        <v>59</v>
      </c>
      <c r="AK655" s="3" t="s">
        <v>5637</v>
      </c>
      <c r="AL655" s="3"/>
      <c r="AM655" s="3" t="n">
        <v>5</v>
      </c>
      <c r="AN655" s="3"/>
      <c r="AO655" s="3" t="s">
        <v>59</v>
      </c>
      <c r="AP655" s="3"/>
      <c r="AQ655" s="3"/>
      <c r="AR655" s="3" t="s">
        <v>287</v>
      </c>
    </row>
    <row r="656" customFormat="false" ht="15" hidden="false" customHeight="true" outlineLevel="0" collapsed="false">
      <c r="A656" s="3" t="s">
        <v>5638</v>
      </c>
      <c r="B656" s="3" t="n">
        <v>7</v>
      </c>
      <c r="C656" s="3" t="n">
        <v>115</v>
      </c>
      <c r="D656" s="3"/>
      <c r="E656" s="4"/>
      <c r="F656" s="3" t="n">
        <v>24</v>
      </c>
      <c r="G656" s="3" t="str">
        <f aca="false">IF(F656="","",IF(F656&gt;=Notes!$B$5,"Elderly ("&amp;Notes!$B$5&amp;"+)",IF(F656&lt;=Notes!$B$4,"Student age (≤"&amp;Notes!$B$4&amp;")","Middle-aged ("&amp;(Notes!$B$4+1)&amp;"–"&amp;(Notes!$B$5-1)&amp;")")))</f>
        <v>Student age (≤29)</v>
      </c>
      <c r="H656" s="3" t="s">
        <v>45</v>
      </c>
      <c r="I656" s="3"/>
      <c r="J656" s="3" t="s">
        <v>437</v>
      </c>
      <c r="K656" s="3" t="s">
        <v>437</v>
      </c>
      <c r="L656" s="3"/>
      <c r="M656" s="3" t="s">
        <v>47</v>
      </c>
      <c r="N656" s="3" t="s">
        <v>47</v>
      </c>
      <c r="O656" s="3" t="s">
        <v>5639</v>
      </c>
      <c r="P656" s="3" t="n">
        <v>40</v>
      </c>
      <c r="Q656" s="3" t="s">
        <v>52</v>
      </c>
      <c r="R656" s="3" t="s">
        <v>5640</v>
      </c>
      <c r="S656" s="3" t="s">
        <v>5641</v>
      </c>
      <c r="T656" s="3"/>
      <c r="U656" s="3" t="s">
        <v>5642</v>
      </c>
      <c r="V656" s="3" t="s">
        <v>5643</v>
      </c>
      <c r="W656" s="3" t="s">
        <v>5644</v>
      </c>
      <c r="X656" s="3" t="s">
        <v>5645</v>
      </c>
      <c r="Y656" s="3" t="n">
        <v>1</v>
      </c>
      <c r="Z656" s="3" t="n">
        <v>1</v>
      </c>
      <c r="AA656" s="3" t="n">
        <v>3</v>
      </c>
      <c r="AB656" s="3" t="n">
        <v>2</v>
      </c>
      <c r="AC656" s="3" t="n">
        <v>1</v>
      </c>
      <c r="AD656" s="3" t="n">
        <v>3</v>
      </c>
      <c r="AE656" s="3" t="s">
        <v>5646</v>
      </c>
      <c r="AF656" s="3"/>
      <c r="AG656" s="3" t="s">
        <v>5295</v>
      </c>
      <c r="AH656" s="3"/>
      <c r="AI656" s="3" t="s">
        <v>5647</v>
      </c>
      <c r="AJ656" s="3"/>
      <c r="AK656" s="3" t="s">
        <v>5648</v>
      </c>
      <c r="AL656" s="3"/>
      <c r="AM656" s="3" t="n">
        <v>4</v>
      </c>
      <c r="AN656" s="3"/>
      <c r="AO656" s="3" t="s">
        <v>59</v>
      </c>
      <c r="AP656" s="3"/>
      <c r="AQ656" s="3"/>
      <c r="AR656" s="3" t="s">
        <v>287</v>
      </c>
    </row>
    <row r="657" customFormat="false" ht="15" hidden="false" customHeight="true" outlineLevel="0" collapsed="false">
      <c r="A657" s="3" t="s">
        <v>5649</v>
      </c>
      <c r="B657" s="3" t="n">
        <v>8</v>
      </c>
      <c r="C657" s="3" t="n">
        <v>2</v>
      </c>
      <c r="D657" s="3"/>
      <c r="E657" s="4"/>
      <c r="F657" s="3" t="n">
        <v>22</v>
      </c>
      <c r="G657" s="3" t="str">
        <f aca="false">IF(F657="","",IF(F657&gt;=Notes!$B$5,"Elderly ("&amp;Notes!$B$5&amp;"+)",IF(F657&lt;=Notes!$B$4,"Student age (≤"&amp;Notes!$B$4&amp;")","Middle-aged ("&amp;(Notes!$B$4+1)&amp;"–"&amp;(Notes!$B$5-1)&amp;")")))</f>
        <v>Student age (≤29)</v>
      </c>
      <c r="H657" s="3" t="s">
        <v>83</v>
      </c>
      <c r="I657" s="3" t="s">
        <v>92</v>
      </c>
      <c r="J657" s="3" t="s">
        <v>47</v>
      </c>
      <c r="K657" s="3" t="s">
        <v>93</v>
      </c>
      <c r="L657" s="3" t="s">
        <v>92</v>
      </c>
      <c r="M657" s="3" t="s">
        <v>47</v>
      </c>
      <c r="N657" s="3" t="s">
        <v>93</v>
      </c>
      <c r="O657" s="3" t="s">
        <v>5650</v>
      </c>
      <c r="P657" s="3" t="n">
        <v>20</v>
      </c>
      <c r="Q657" s="3" t="s">
        <v>95</v>
      </c>
      <c r="R657" s="3" t="s">
        <v>5651</v>
      </c>
      <c r="S657" s="3" t="s">
        <v>5652</v>
      </c>
      <c r="T657" s="3"/>
      <c r="U657" s="3" t="s">
        <v>59</v>
      </c>
      <c r="V657" s="3" t="s">
        <v>5653</v>
      </c>
      <c r="W657" s="3" t="s">
        <v>5654</v>
      </c>
      <c r="X657" s="3" t="s">
        <v>5655</v>
      </c>
      <c r="Y657" s="3" t="n">
        <v>2</v>
      </c>
      <c r="Z657" s="3" t="n">
        <v>1</v>
      </c>
      <c r="AA657" s="3" t="n">
        <v>3</v>
      </c>
      <c r="AB657" s="3" t="n">
        <v>2</v>
      </c>
      <c r="AC657" s="3" t="n">
        <v>1</v>
      </c>
      <c r="AD657" s="3" t="n">
        <v>3</v>
      </c>
      <c r="AE657" s="3" t="s">
        <v>5656</v>
      </c>
      <c r="AF657" s="3" t="s">
        <v>860</v>
      </c>
      <c r="AG657" s="3" t="s">
        <v>5657</v>
      </c>
      <c r="AH657" s="3" t="s">
        <v>846</v>
      </c>
      <c r="AI657" s="3" t="s">
        <v>5658</v>
      </c>
      <c r="AJ657" s="3" t="s">
        <v>59</v>
      </c>
      <c r="AK657" s="3"/>
      <c r="AL657" s="3" t="s">
        <v>59</v>
      </c>
      <c r="AM657" s="3"/>
      <c r="AN657" s="3"/>
      <c r="AO657" s="3" t="s">
        <v>59</v>
      </c>
      <c r="AP657" s="3"/>
      <c r="AQ657" s="3"/>
      <c r="AR657" s="3"/>
    </row>
    <row r="658" customFormat="false" ht="15" hidden="false" customHeight="true" outlineLevel="0" collapsed="false">
      <c r="A658" s="3" t="s">
        <v>5659</v>
      </c>
      <c r="B658" s="3" t="n">
        <v>8</v>
      </c>
      <c r="C658" s="3" t="n">
        <v>3</v>
      </c>
      <c r="D658" s="3"/>
      <c r="E658" s="4"/>
      <c r="F658" s="3" t="n">
        <v>27</v>
      </c>
      <c r="G658" s="3" t="str">
        <f aca="false">IF(F658="","",IF(F658&gt;=Notes!$B$5,"Elderly ("&amp;Notes!$B$5&amp;"+)",IF(F658&lt;=Notes!$B$4,"Student age (≤"&amp;Notes!$B$4&amp;")","Middle-aged ("&amp;(Notes!$B$4+1)&amp;"–"&amp;(Notes!$B$5-1)&amp;")")))</f>
        <v>Student age (≤29)</v>
      </c>
      <c r="H658" s="3" t="s">
        <v>83</v>
      </c>
      <c r="I658" s="3"/>
      <c r="J658" s="3" t="s">
        <v>3947</v>
      </c>
      <c r="K658" s="3" t="s">
        <v>3947</v>
      </c>
      <c r="L658" s="3" t="s">
        <v>49</v>
      </c>
      <c r="M658" s="3" t="s">
        <v>47</v>
      </c>
      <c r="N658" s="3" t="s">
        <v>50</v>
      </c>
      <c r="O658" s="3" t="s">
        <v>5660</v>
      </c>
      <c r="P658" s="3" t="n">
        <v>30</v>
      </c>
      <c r="Q658" s="3" t="s">
        <v>117</v>
      </c>
      <c r="R658" s="3" t="s">
        <v>5661</v>
      </c>
      <c r="S658" s="3" t="s">
        <v>5662</v>
      </c>
      <c r="T658" s="3"/>
      <c r="U658" s="3" t="s">
        <v>5663</v>
      </c>
      <c r="V658" s="3" t="s">
        <v>5664</v>
      </c>
      <c r="W658" s="3" t="s">
        <v>5665</v>
      </c>
      <c r="X658" s="3" t="s">
        <v>5666</v>
      </c>
      <c r="Y658" s="3" t="n">
        <v>1</v>
      </c>
      <c r="Z658" s="3" t="n">
        <v>2</v>
      </c>
      <c r="AA658" s="3" t="n">
        <v>3</v>
      </c>
      <c r="AB658" s="3" t="n">
        <v>2</v>
      </c>
      <c r="AC658" s="3" t="n">
        <v>1</v>
      </c>
      <c r="AD658" s="3" t="n">
        <v>3</v>
      </c>
      <c r="AE658" s="3" t="s">
        <v>5667</v>
      </c>
      <c r="AF658" s="3" t="s">
        <v>847</v>
      </c>
      <c r="AG658" s="3" t="s">
        <v>5668</v>
      </c>
      <c r="AH658" s="3" t="s">
        <v>846</v>
      </c>
      <c r="AI658" s="3" t="s">
        <v>5669</v>
      </c>
      <c r="AJ658" s="3" t="s">
        <v>59</v>
      </c>
      <c r="AK658" s="3" t="s">
        <v>5670</v>
      </c>
      <c r="AL658" s="3" t="s">
        <v>59</v>
      </c>
      <c r="AM658" s="3"/>
      <c r="AN658" s="3"/>
      <c r="AO658" s="3" t="s">
        <v>59</v>
      </c>
      <c r="AP658" s="3"/>
      <c r="AQ658" s="3"/>
      <c r="AR658" s="3"/>
    </row>
    <row r="659" customFormat="false" ht="15" hidden="false" customHeight="true" outlineLevel="0" collapsed="false">
      <c r="A659" s="3" t="s">
        <v>5671</v>
      </c>
      <c r="B659" s="3" t="n">
        <v>8</v>
      </c>
      <c r="C659" s="3" t="n">
        <v>4</v>
      </c>
      <c r="D659" s="3"/>
      <c r="E659" s="4"/>
      <c r="F659" s="3" t="n">
        <v>20</v>
      </c>
      <c r="G659" s="3" t="str">
        <f aca="false">IF(F659="","",IF(F659&gt;=Notes!$B$5,"Elderly ("&amp;Notes!$B$5&amp;"+)",IF(F659&lt;=Notes!$B$4,"Student age (≤"&amp;Notes!$B$4&amp;")","Middle-aged ("&amp;(Notes!$B$4+1)&amp;"–"&amp;(Notes!$B$5-1)&amp;")")))</f>
        <v>Student age (≤29)</v>
      </c>
      <c r="H659" s="3" t="s">
        <v>45</v>
      </c>
      <c r="I659" s="3" t="s">
        <v>49</v>
      </c>
      <c r="J659" s="3" t="s">
        <v>47</v>
      </c>
      <c r="K659" s="3" t="s">
        <v>50</v>
      </c>
      <c r="L659" s="3" t="s">
        <v>49</v>
      </c>
      <c r="M659" s="3" t="s">
        <v>47</v>
      </c>
      <c r="N659" s="3" t="s">
        <v>50</v>
      </c>
      <c r="O659" s="3" t="s">
        <v>5672</v>
      </c>
      <c r="P659" s="3" t="n">
        <v>20</v>
      </c>
      <c r="Q659" s="3" t="s">
        <v>95</v>
      </c>
      <c r="R659" s="3" t="s">
        <v>5673</v>
      </c>
      <c r="S659" s="3" t="s">
        <v>5674</v>
      </c>
      <c r="T659" s="3"/>
      <c r="U659" s="3" t="s">
        <v>5675</v>
      </c>
      <c r="V659" s="3" t="s">
        <v>5676</v>
      </c>
      <c r="W659" s="3" t="s">
        <v>5677</v>
      </c>
      <c r="X659" s="3" t="s">
        <v>5678</v>
      </c>
      <c r="Y659" s="3" t="n">
        <v>3</v>
      </c>
      <c r="Z659" s="3" t="n">
        <v>2</v>
      </c>
      <c r="AA659" s="3" t="n">
        <v>1</v>
      </c>
      <c r="AB659" s="3" t="n">
        <v>1</v>
      </c>
      <c r="AC659" s="3" t="n">
        <v>2</v>
      </c>
      <c r="AD659" s="3" t="n">
        <v>3</v>
      </c>
      <c r="AE659" s="3" t="s">
        <v>5679</v>
      </c>
      <c r="AF659" s="3" t="s">
        <v>846</v>
      </c>
      <c r="AG659" s="3" t="s">
        <v>5680</v>
      </c>
      <c r="AH659" s="3" t="s">
        <v>860</v>
      </c>
      <c r="AI659" s="3" t="s">
        <v>5681</v>
      </c>
      <c r="AJ659" s="3" t="s">
        <v>1625</v>
      </c>
      <c r="AK659" s="3" t="s">
        <v>5682</v>
      </c>
      <c r="AL659" s="3" t="s">
        <v>59</v>
      </c>
      <c r="AM659" s="3"/>
      <c r="AN659" s="3"/>
      <c r="AO659" s="3" t="s">
        <v>59</v>
      </c>
      <c r="AP659" s="3"/>
      <c r="AQ659" s="3"/>
      <c r="AR659" s="3"/>
    </row>
    <row r="660" customFormat="false" ht="15" hidden="false" customHeight="true" outlineLevel="0" collapsed="false">
      <c r="A660" s="3" t="s">
        <v>5683</v>
      </c>
      <c r="B660" s="3" t="n">
        <v>8</v>
      </c>
      <c r="C660" s="3" t="n">
        <v>5</v>
      </c>
      <c r="D660" s="3"/>
      <c r="E660" s="4"/>
      <c r="F660" s="3" t="n">
        <v>21</v>
      </c>
      <c r="G660" s="3" t="str">
        <f aca="false">IF(F660="","",IF(F660&gt;=Notes!$B$5,"Elderly ("&amp;Notes!$B$5&amp;"+)",IF(F660&lt;=Notes!$B$4,"Student age (≤"&amp;Notes!$B$4&amp;")","Middle-aged ("&amp;(Notes!$B$4+1)&amp;"–"&amp;(Notes!$B$5-1)&amp;")")))</f>
        <v>Student age (≤29)</v>
      </c>
      <c r="H660" s="3" t="s">
        <v>83</v>
      </c>
      <c r="I660" s="3" t="s">
        <v>49</v>
      </c>
      <c r="J660" s="3" t="s">
        <v>47</v>
      </c>
      <c r="K660" s="3" t="s">
        <v>50</v>
      </c>
      <c r="L660" s="3" t="s">
        <v>49</v>
      </c>
      <c r="M660" s="3" t="s">
        <v>47</v>
      </c>
      <c r="N660" s="3" t="s">
        <v>50</v>
      </c>
      <c r="O660" s="3" t="s">
        <v>104</v>
      </c>
      <c r="P660" s="3" t="n">
        <v>20</v>
      </c>
      <c r="Q660" s="3" t="s">
        <v>95</v>
      </c>
      <c r="R660" s="3" t="s">
        <v>5684</v>
      </c>
      <c r="S660" s="3" t="s">
        <v>5685</v>
      </c>
      <c r="T660" s="3"/>
      <c r="U660" s="3" t="s">
        <v>5686</v>
      </c>
      <c r="V660" s="3" t="s">
        <v>5687</v>
      </c>
      <c r="W660" s="3" t="s">
        <v>5688</v>
      </c>
      <c r="X660" s="3" t="s">
        <v>5689</v>
      </c>
      <c r="Y660" s="3" t="n">
        <v>2</v>
      </c>
      <c r="Z660" s="3" t="n">
        <v>1</v>
      </c>
      <c r="AA660" s="3" t="n">
        <v>3</v>
      </c>
      <c r="AB660" s="3" t="n">
        <v>2</v>
      </c>
      <c r="AC660" s="3" t="n">
        <v>1</v>
      </c>
      <c r="AD660" s="3" t="n">
        <v>3</v>
      </c>
      <c r="AE660" s="3" t="s">
        <v>5690</v>
      </c>
      <c r="AF660" s="3" t="s">
        <v>847</v>
      </c>
      <c r="AG660" s="3" t="s">
        <v>5691</v>
      </c>
      <c r="AH660" s="3" t="s">
        <v>846</v>
      </c>
      <c r="AI660" s="3" t="s">
        <v>5692</v>
      </c>
      <c r="AJ660" s="3" t="s">
        <v>59</v>
      </c>
      <c r="AK660" s="3" t="s">
        <v>5693</v>
      </c>
      <c r="AL660" s="3" t="s">
        <v>59</v>
      </c>
      <c r="AM660" s="3"/>
      <c r="AN660" s="3"/>
      <c r="AO660" s="3" t="s">
        <v>59</v>
      </c>
      <c r="AP660" s="3"/>
      <c r="AQ660" s="3"/>
      <c r="AR660" s="3"/>
    </row>
    <row r="661" customFormat="false" ht="15" hidden="false" customHeight="true" outlineLevel="0" collapsed="false">
      <c r="A661" s="3" t="s">
        <v>5694</v>
      </c>
      <c r="B661" s="3" t="n">
        <v>8</v>
      </c>
      <c r="C661" s="3" t="n">
        <v>6</v>
      </c>
      <c r="D661" s="3"/>
      <c r="E661" s="4"/>
      <c r="F661" s="3" t="n">
        <v>21</v>
      </c>
      <c r="G661" s="3" t="str">
        <f aca="false">IF(F661="","",IF(F661&gt;=Notes!$B$5,"Elderly ("&amp;Notes!$B$5&amp;"+)",IF(F661&lt;=Notes!$B$4,"Student age (≤"&amp;Notes!$B$4&amp;")","Middle-aged ("&amp;(Notes!$B$4+1)&amp;"–"&amp;(Notes!$B$5-1)&amp;")")))</f>
        <v>Student age (≤29)</v>
      </c>
      <c r="H661" s="3" t="s">
        <v>45</v>
      </c>
      <c r="I661" s="3" t="s">
        <v>825</v>
      </c>
      <c r="J661" s="3" t="s">
        <v>47</v>
      </c>
      <c r="K661" s="3" t="s">
        <v>826</v>
      </c>
      <c r="L661" s="3" t="s">
        <v>49</v>
      </c>
      <c r="M661" s="3" t="s">
        <v>47</v>
      </c>
      <c r="N661" s="3" t="s">
        <v>50</v>
      </c>
      <c r="O661" s="3" t="s">
        <v>5695</v>
      </c>
      <c r="P661" s="3" t="n">
        <v>50</v>
      </c>
      <c r="Q661" s="3" t="s">
        <v>52</v>
      </c>
      <c r="R661" s="3" t="s">
        <v>5696</v>
      </c>
      <c r="S661" s="3" t="s">
        <v>5697</v>
      </c>
      <c r="T661" s="3"/>
      <c r="U661" s="3" t="s">
        <v>5698</v>
      </c>
      <c r="V661" s="3" t="s">
        <v>5699</v>
      </c>
      <c r="W661" s="3" t="s">
        <v>5700</v>
      </c>
      <c r="X661" s="3" t="s">
        <v>5701</v>
      </c>
      <c r="Y661" s="3" t="n">
        <v>1</v>
      </c>
      <c r="Z661" s="3" t="n">
        <v>2</v>
      </c>
      <c r="AA661" s="3" t="n">
        <v>3</v>
      </c>
      <c r="AB661" s="3" t="n">
        <v>2</v>
      </c>
      <c r="AC661" s="3" t="n">
        <v>1</v>
      </c>
      <c r="AD661" s="3" t="n">
        <v>3</v>
      </c>
      <c r="AE661" s="3" t="s">
        <v>5702</v>
      </c>
      <c r="AF661" s="3" t="s">
        <v>846</v>
      </c>
      <c r="AG661" s="3" t="s">
        <v>5703</v>
      </c>
      <c r="AH661" s="3" t="s">
        <v>846</v>
      </c>
      <c r="AI661" s="3" t="s">
        <v>5704</v>
      </c>
      <c r="AJ661" s="3"/>
      <c r="AK661" s="3" t="s">
        <v>5705</v>
      </c>
      <c r="AL661" s="3" t="s">
        <v>59</v>
      </c>
      <c r="AM661" s="3"/>
      <c r="AN661" s="3"/>
      <c r="AO661" s="3" t="s">
        <v>59</v>
      </c>
      <c r="AP661" s="3"/>
      <c r="AQ661" s="3"/>
      <c r="AR661" s="3"/>
    </row>
    <row r="662" customFormat="false" ht="15" hidden="false" customHeight="true" outlineLevel="0" collapsed="false">
      <c r="A662" s="3" t="s">
        <v>5706</v>
      </c>
      <c r="B662" s="3" t="n">
        <v>8</v>
      </c>
      <c r="C662" s="3" t="n">
        <v>9</v>
      </c>
      <c r="D662" s="3"/>
      <c r="E662" s="4"/>
      <c r="F662" s="3" t="n">
        <v>22</v>
      </c>
      <c r="G662" s="3" t="str">
        <f aca="false">IF(F662="","",IF(F662&gt;=Notes!$B$5,"Elderly ("&amp;Notes!$B$5&amp;"+)",IF(F662&lt;=Notes!$B$4,"Student age (≤"&amp;Notes!$B$4&amp;")","Middle-aged ("&amp;(Notes!$B$4+1)&amp;"–"&amp;(Notes!$B$5-1)&amp;")")))</f>
        <v>Student age (≤29)</v>
      </c>
      <c r="H662" s="3" t="s">
        <v>83</v>
      </c>
      <c r="I662" s="3"/>
      <c r="J662" s="3" t="s">
        <v>1025</v>
      </c>
      <c r="K662" s="3" t="s">
        <v>1025</v>
      </c>
      <c r="L662" s="3" t="s">
        <v>49</v>
      </c>
      <c r="M662" s="3" t="s">
        <v>47</v>
      </c>
      <c r="N662" s="3" t="s">
        <v>50</v>
      </c>
      <c r="O662" s="3" t="s">
        <v>5707</v>
      </c>
      <c r="P662" s="3" t="n">
        <v>30</v>
      </c>
      <c r="Q662" s="3" t="s">
        <v>117</v>
      </c>
      <c r="R662" s="3" t="s">
        <v>5708</v>
      </c>
      <c r="S662" s="3" t="s">
        <v>5709</v>
      </c>
      <c r="T662" s="3"/>
      <c r="U662" s="3" t="s">
        <v>5710</v>
      </c>
      <c r="V662" s="3" t="s">
        <v>5711</v>
      </c>
      <c r="W662" s="3" t="s">
        <v>5712</v>
      </c>
      <c r="X662" s="3" t="s">
        <v>5713</v>
      </c>
      <c r="Y662" s="3" t="n">
        <v>1</v>
      </c>
      <c r="Z662" s="3" t="n">
        <v>3</v>
      </c>
      <c r="AA662" s="3" t="n">
        <v>2</v>
      </c>
      <c r="AB662" s="3" t="n">
        <v>1</v>
      </c>
      <c r="AC662" s="3" t="n">
        <v>2</v>
      </c>
      <c r="AD662" s="3" t="n">
        <v>3</v>
      </c>
      <c r="AE662" s="3" t="s">
        <v>5714</v>
      </c>
      <c r="AF662" s="3" t="s">
        <v>846</v>
      </c>
      <c r="AG662" s="3" t="s">
        <v>5715</v>
      </c>
      <c r="AH662" s="3" t="s">
        <v>860</v>
      </c>
      <c r="AI662" s="3" t="s">
        <v>5716</v>
      </c>
      <c r="AJ662" s="3" t="s">
        <v>59</v>
      </c>
      <c r="AK662" s="3" t="s">
        <v>5717</v>
      </c>
      <c r="AL662" s="3" t="s">
        <v>59</v>
      </c>
      <c r="AM662" s="3"/>
      <c r="AN662" s="3"/>
      <c r="AO662" s="3" t="s">
        <v>59</v>
      </c>
      <c r="AP662" s="3"/>
      <c r="AQ662" s="3"/>
      <c r="AR662" s="3"/>
    </row>
    <row r="663" customFormat="false" ht="15" hidden="false" customHeight="true" outlineLevel="0" collapsed="false">
      <c r="A663" s="3" t="s">
        <v>5718</v>
      </c>
      <c r="B663" s="3" t="n">
        <v>8</v>
      </c>
      <c r="C663" s="3" t="n">
        <v>10</v>
      </c>
      <c r="D663" s="3"/>
      <c r="E663" s="4"/>
      <c r="F663" s="3" t="n">
        <v>22</v>
      </c>
      <c r="G663" s="3" t="str">
        <f aca="false">IF(F663="","",IF(F663&gt;=Notes!$B$5,"Elderly ("&amp;Notes!$B$5&amp;"+)",IF(F663&lt;=Notes!$B$4,"Student age (≤"&amp;Notes!$B$4&amp;")","Middle-aged ("&amp;(Notes!$B$4+1)&amp;"–"&amp;(Notes!$B$5-1)&amp;")")))</f>
        <v>Student age (≤29)</v>
      </c>
      <c r="H663" s="3" t="s">
        <v>45</v>
      </c>
      <c r="I663" s="3"/>
      <c r="J663" s="3" t="s">
        <v>1025</v>
      </c>
      <c r="K663" s="3" t="s">
        <v>1025</v>
      </c>
      <c r="L663" s="3" t="s">
        <v>49</v>
      </c>
      <c r="M663" s="3" t="s">
        <v>47</v>
      </c>
      <c r="N663" s="3" t="s">
        <v>50</v>
      </c>
      <c r="O663" s="3" t="s">
        <v>5719</v>
      </c>
      <c r="P663" s="3" t="n">
        <v>8</v>
      </c>
      <c r="Q663" s="3" t="s">
        <v>74</v>
      </c>
      <c r="R663" s="3" t="s">
        <v>5720</v>
      </c>
      <c r="S663" s="3" t="s">
        <v>5721</v>
      </c>
      <c r="T663" s="3"/>
      <c r="U663" s="3" t="s">
        <v>2242</v>
      </c>
      <c r="V663" s="3" t="s">
        <v>5722</v>
      </c>
      <c r="W663" s="3" t="s">
        <v>5723</v>
      </c>
      <c r="X663" s="3" t="s">
        <v>5724</v>
      </c>
      <c r="Y663" s="3" t="n">
        <v>2</v>
      </c>
      <c r="Z663" s="3" t="n">
        <v>1</v>
      </c>
      <c r="AA663" s="3" t="n">
        <v>3</v>
      </c>
      <c r="AB663" s="3" t="n">
        <v>3</v>
      </c>
      <c r="AC663" s="3" t="n">
        <v>1</v>
      </c>
      <c r="AD663" s="3" t="n">
        <v>2</v>
      </c>
      <c r="AE663" s="3" t="s">
        <v>5725</v>
      </c>
      <c r="AF663" s="3" t="s">
        <v>847</v>
      </c>
      <c r="AG663" s="3" t="s">
        <v>5726</v>
      </c>
      <c r="AH663" s="3" t="s">
        <v>846</v>
      </c>
      <c r="AI663" s="3" t="s">
        <v>5727</v>
      </c>
      <c r="AJ663" s="3" t="s">
        <v>59</v>
      </c>
      <c r="AK663" s="3" t="s">
        <v>5728</v>
      </c>
      <c r="AL663" s="3" t="s">
        <v>59</v>
      </c>
      <c r="AM663" s="3"/>
      <c r="AN663" s="3"/>
      <c r="AO663" s="3" t="s">
        <v>59</v>
      </c>
      <c r="AP663" s="3"/>
      <c r="AQ663" s="3"/>
      <c r="AR663" s="3"/>
    </row>
    <row r="664" customFormat="false" ht="15" hidden="false" customHeight="true" outlineLevel="0" collapsed="false">
      <c r="A664" s="3" t="s">
        <v>5729</v>
      </c>
      <c r="B664" s="3" t="n">
        <v>8</v>
      </c>
      <c r="C664" s="3" t="n">
        <v>11</v>
      </c>
      <c r="D664" s="3"/>
      <c r="E664" s="4"/>
      <c r="F664" s="3" t="n">
        <v>21</v>
      </c>
      <c r="G664" s="3" t="str">
        <f aca="false">IF(F664="","",IF(F664&gt;=Notes!$B$5,"Elderly ("&amp;Notes!$B$5&amp;"+)",IF(F664&lt;=Notes!$B$4,"Student age (≤"&amp;Notes!$B$4&amp;")","Middle-aged ("&amp;(Notes!$B$4+1)&amp;"–"&amp;(Notes!$B$5-1)&amp;")")))</f>
        <v>Student age (≤29)</v>
      </c>
      <c r="H664" s="3" t="s">
        <v>83</v>
      </c>
      <c r="I664" s="3" t="s">
        <v>256</v>
      </c>
      <c r="J664" s="3" t="s">
        <v>47</v>
      </c>
      <c r="K664" s="3" t="s">
        <v>257</v>
      </c>
      <c r="L664" s="3" t="s">
        <v>5730</v>
      </c>
      <c r="M664" s="3" t="s">
        <v>47</v>
      </c>
      <c r="N664" s="3" t="s">
        <v>5731</v>
      </c>
      <c r="O664" s="3" t="s">
        <v>5732</v>
      </c>
      <c r="P664" s="3" t="n">
        <v>35</v>
      </c>
      <c r="Q664" s="3" t="s">
        <v>52</v>
      </c>
      <c r="R664" s="3" t="s">
        <v>5733</v>
      </c>
      <c r="S664" s="3" t="s">
        <v>5734</v>
      </c>
      <c r="T664" s="3"/>
      <c r="U664" s="3" t="s">
        <v>5735</v>
      </c>
      <c r="V664" s="3" t="s">
        <v>5736</v>
      </c>
      <c r="W664" s="3" t="s">
        <v>59</v>
      </c>
      <c r="X664" s="3" t="s">
        <v>5737</v>
      </c>
      <c r="Y664" s="3" t="n">
        <v>2</v>
      </c>
      <c r="Z664" s="3" t="n">
        <v>1</v>
      </c>
      <c r="AA664" s="3" t="n">
        <v>3</v>
      </c>
      <c r="AB664" s="3" t="n">
        <v>1</v>
      </c>
      <c r="AC664" s="3" t="n">
        <v>2</v>
      </c>
      <c r="AD664" s="3" t="n">
        <v>3</v>
      </c>
      <c r="AE664" s="3" t="s">
        <v>5738</v>
      </c>
      <c r="AF664" s="3" t="s">
        <v>846</v>
      </c>
      <c r="AG664" s="3" t="s">
        <v>5739</v>
      </c>
      <c r="AH664" s="3" t="s">
        <v>846</v>
      </c>
      <c r="AI664" s="3" t="s">
        <v>5740</v>
      </c>
      <c r="AJ664" s="3" t="s">
        <v>59</v>
      </c>
      <c r="AK664" s="3"/>
      <c r="AL664" s="3" t="s">
        <v>59</v>
      </c>
      <c r="AM664" s="3"/>
      <c r="AN664" s="3"/>
      <c r="AO664" s="3" t="s">
        <v>59</v>
      </c>
      <c r="AP664" s="3"/>
      <c r="AQ664" s="3"/>
      <c r="AR664" s="3"/>
    </row>
    <row r="665" customFormat="false" ht="15" hidden="false" customHeight="true" outlineLevel="0" collapsed="false">
      <c r="A665" s="3" t="s">
        <v>5741</v>
      </c>
      <c r="B665" s="3" t="n">
        <v>8</v>
      </c>
      <c r="C665" s="3" t="n">
        <v>12</v>
      </c>
      <c r="D665" s="3"/>
      <c r="E665" s="4"/>
      <c r="F665" s="3" t="n">
        <v>20</v>
      </c>
      <c r="G665" s="3" t="str">
        <f aca="false">IF(F665="","",IF(F665&gt;=Notes!$B$5,"Elderly ("&amp;Notes!$B$5&amp;"+)",IF(F665&lt;=Notes!$B$4,"Student age (≤"&amp;Notes!$B$4&amp;")","Middle-aged ("&amp;(Notes!$B$4+1)&amp;"–"&amp;(Notes!$B$5-1)&amp;")")))</f>
        <v>Student age (≤29)</v>
      </c>
      <c r="H665" s="3" t="s">
        <v>45</v>
      </c>
      <c r="I665" s="3" t="s">
        <v>825</v>
      </c>
      <c r="J665" s="3" t="s">
        <v>47</v>
      </c>
      <c r="K665" s="3" t="s">
        <v>826</v>
      </c>
      <c r="L665" s="3" t="s">
        <v>49</v>
      </c>
      <c r="M665" s="3" t="s">
        <v>47</v>
      </c>
      <c r="N665" s="3" t="s">
        <v>50</v>
      </c>
      <c r="O665" s="3" t="s">
        <v>5742</v>
      </c>
      <c r="P665" s="3" t="n">
        <v>10</v>
      </c>
      <c r="Q665" s="3" t="s">
        <v>74</v>
      </c>
      <c r="R665" s="3" t="s">
        <v>5743</v>
      </c>
      <c r="S665" s="3" t="s">
        <v>5744</v>
      </c>
      <c r="T665" s="3"/>
      <c r="U665" s="3" t="s">
        <v>5745</v>
      </c>
      <c r="V665" s="3" t="s">
        <v>5746</v>
      </c>
      <c r="W665" s="3" t="s">
        <v>5747</v>
      </c>
      <c r="X665" s="3" t="s">
        <v>5748</v>
      </c>
      <c r="Y665" s="3" t="n">
        <v>2</v>
      </c>
      <c r="Z665" s="3" t="n">
        <v>1</v>
      </c>
      <c r="AA665" s="3" t="n">
        <v>3</v>
      </c>
      <c r="AB665" s="3" t="n">
        <v>2</v>
      </c>
      <c r="AC665" s="3" t="n">
        <v>1</v>
      </c>
      <c r="AD665" s="3" t="n">
        <v>3</v>
      </c>
      <c r="AE665" s="3" t="s">
        <v>5749</v>
      </c>
      <c r="AF665" s="3" t="s">
        <v>860</v>
      </c>
      <c r="AG665" s="3" t="s">
        <v>5750</v>
      </c>
      <c r="AH665" s="3" t="s">
        <v>847</v>
      </c>
      <c r="AI665" s="3" t="s">
        <v>5751</v>
      </c>
      <c r="AJ665" s="3"/>
      <c r="AK665" s="3" t="s">
        <v>5752</v>
      </c>
      <c r="AL665" s="3" t="s">
        <v>59</v>
      </c>
      <c r="AM665" s="3"/>
      <c r="AN665" s="3"/>
      <c r="AO665" s="3" t="s">
        <v>59</v>
      </c>
      <c r="AP665" s="3"/>
      <c r="AQ665" s="3"/>
      <c r="AR665" s="3"/>
    </row>
    <row r="666" customFormat="false" ht="15" hidden="false" customHeight="true" outlineLevel="0" collapsed="false">
      <c r="A666" s="3" t="s">
        <v>5753</v>
      </c>
      <c r="B666" s="3" t="n">
        <v>8</v>
      </c>
      <c r="C666" s="3" t="n">
        <v>13</v>
      </c>
      <c r="D666" s="3"/>
      <c r="E666" s="4"/>
      <c r="F666" s="3" t="n">
        <v>21</v>
      </c>
      <c r="G666" s="3" t="str">
        <f aca="false">IF(F666="","",IF(F666&gt;=Notes!$B$5,"Elderly ("&amp;Notes!$B$5&amp;"+)",IF(F666&lt;=Notes!$B$4,"Student age (≤"&amp;Notes!$B$4&amp;")","Middle-aged ("&amp;(Notes!$B$4+1)&amp;"–"&amp;(Notes!$B$5-1)&amp;")")))</f>
        <v>Student age (≤29)</v>
      </c>
      <c r="H666" s="3" t="s">
        <v>45</v>
      </c>
      <c r="I666" s="3" t="s">
        <v>71</v>
      </c>
      <c r="J666" s="3" t="s">
        <v>47</v>
      </c>
      <c r="K666" s="3" t="s">
        <v>72</v>
      </c>
      <c r="L666" s="3" t="s">
        <v>49</v>
      </c>
      <c r="M666" s="3" t="s">
        <v>47</v>
      </c>
      <c r="N666" s="3" t="s">
        <v>50</v>
      </c>
      <c r="O666" s="3" t="s">
        <v>104</v>
      </c>
      <c r="P666" s="3" t="n">
        <v>20</v>
      </c>
      <c r="Q666" s="3" t="s">
        <v>95</v>
      </c>
      <c r="R666" s="3" t="s">
        <v>5754</v>
      </c>
      <c r="S666" s="3" t="s">
        <v>5755</v>
      </c>
      <c r="T666" s="3"/>
      <c r="U666" s="3" t="s">
        <v>5756</v>
      </c>
      <c r="V666" s="3" t="s">
        <v>5757</v>
      </c>
      <c r="W666" s="3" t="s">
        <v>5758</v>
      </c>
      <c r="X666" s="3" t="s">
        <v>5759</v>
      </c>
      <c r="Y666" s="3" t="n">
        <v>1</v>
      </c>
      <c r="Z666" s="3" t="n">
        <v>2</v>
      </c>
      <c r="AA666" s="3" t="n">
        <v>3</v>
      </c>
      <c r="AB666" s="3" t="n">
        <v>2</v>
      </c>
      <c r="AC666" s="3" t="n">
        <v>1</v>
      </c>
      <c r="AD666" s="3" t="n">
        <v>3</v>
      </c>
      <c r="AE666" s="3" t="s">
        <v>5760</v>
      </c>
      <c r="AF666" s="3" t="s">
        <v>860</v>
      </c>
      <c r="AG666" s="3" t="s">
        <v>5761</v>
      </c>
      <c r="AH666" s="3" t="s">
        <v>846</v>
      </c>
      <c r="AI666" s="3" t="s">
        <v>5762</v>
      </c>
      <c r="AJ666" s="3"/>
      <c r="AK666" s="3" t="s">
        <v>5763</v>
      </c>
      <c r="AL666" s="3" t="s">
        <v>59</v>
      </c>
      <c r="AM666" s="3"/>
      <c r="AN666" s="3"/>
      <c r="AO666" s="3" t="s">
        <v>59</v>
      </c>
      <c r="AP666" s="3"/>
      <c r="AQ666" s="3"/>
      <c r="AR666" s="3"/>
    </row>
    <row r="667" customFormat="false" ht="15" hidden="false" customHeight="true" outlineLevel="0" collapsed="false">
      <c r="A667" s="3" t="s">
        <v>5764</v>
      </c>
      <c r="B667" s="3" t="n">
        <v>8</v>
      </c>
      <c r="C667" s="3" t="n">
        <v>14</v>
      </c>
      <c r="D667" s="3"/>
      <c r="E667" s="4"/>
      <c r="F667" s="3" t="n">
        <v>20</v>
      </c>
      <c r="G667" s="3" t="str">
        <f aca="false">IF(F667="","",IF(F667&gt;=Notes!$B$5,"Elderly ("&amp;Notes!$B$5&amp;"+)",IF(F667&lt;=Notes!$B$4,"Student age (≤"&amp;Notes!$B$4&amp;")","Middle-aged ("&amp;(Notes!$B$4+1)&amp;"–"&amp;(Notes!$B$5-1)&amp;")")))</f>
        <v>Student age (≤29)</v>
      </c>
      <c r="H667" s="3" t="s">
        <v>45</v>
      </c>
      <c r="I667" s="3"/>
      <c r="J667" s="3" t="s">
        <v>437</v>
      </c>
      <c r="K667" s="3" t="s">
        <v>437</v>
      </c>
      <c r="L667" s="3" t="s">
        <v>159</v>
      </c>
      <c r="M667" s="3" t="s">
        <v>47</v>
      </c>
      <c r="N667" s="3" t="s">
        <v>160</v>
      </c>
      <c r="O667" s="3" t="s">
        <v>311</v>
      </c>
      <c r="P667" s="3" t="n">
        <v>20</v>
      </c>
      <c r="Q667" s="3" t="s">
        <v>95</v>
      </c>
      <c r="R667" s="3" t="s">
        <v>3245</v>
      </c>
      <c r="S667" s="3" t="s">
        <v>5765</v>
      </c>
      <c r="T667" s="3"/>
      <c r="U667" s="3" t="s">
        <v>895</v>
      </c>
      <c r="V667" s="3" t="s">
        <v>5766</v>
      </c>
      <c r="W667" s="3" t="s">
        <v>5767</v>
      </c>
      <c r="X667" s="3" t="s">
        <v>5768</v>
      </c>
      <c r="Y667" s="3" t="n">
        <v>1</v>
      </c>
      <c r="Z667" s="3" t="n">
        <v>3</v>
      </c>
      <c r="AA667" s="3" t="n">
        <v>2</v>
      </c>
      <c r="AB667" s="3" t="n">
        <v>1</v>
      </c>
      <c r="AC667" s="3" t="n">
        <v>3</v>
      </c>
      <c r="AD667" s="3" t="n">
        <v>2</v>
      </c>
      <c r="AE667" s="3" t="s">
        <v>3183</v>
      </c>
      <c r="AF667" s="3" t="s">
        <v>846</v>
      </c>
      <c r="AG667" s="3" t="s">
        <v>5769</v>
      </c>
      <c r="AH667" s="3" t="s">
        <v>860</v>
      </c>
      <c r="AI667" s="3" t="s">
        <v>5770</v>
      </c>
      <c r="AJ667" s="3" t="s">
        <v>59</v>
      </c>
      <c r="AK667" s="3"/>
      <c r="AL667" s="3" t="s">
        <v>98</v>
      </c>
      <c r="AM667" s="3"/>
      <c r="AN667" s="3"/>
      <c r="AO667" s="3" t="s">
        <v>59</v>
      </c>
      <c r="AP667" s="3"/>
      <c r="AQ667" s="3"/>
      <c r="AR667" s="3"/>
    </row>
    <row r="668" customFormat="false" ht="15" hidden="false" customHeight="true" outlineLevel="0" collapsed="false">
      <c r="A668" s="3" t="s">
        <v>5771</v>
      </c>
      <c r="B668" s="3" t="n">
        <v>8</v>
      </c>
      <c r="C668" s="3" t="n">
        <v>17</v>
      </c>
      <c r="D668" s="3"/>
      <c r="E668" s="4"/>
      <c r="F668" s="3" t="n">
        <v>22</v>
      </c>
      <c r="G668" s="3" t="str">
        <f aca="false">IF(F668="","",IF(F668&gt;=Notes!$B$5,"Elderly ("&amp;Notes!$B$5&amp;"+)",IF(F668&lt;=Notes!$B$4,"Student age (≤"&amp;Notes!$B$4&amp;")","Middle-aged ("&amp;(Notes!$B$4+1)&amp;"–"&amp;(Notes!$B$5-1)&amp;")")))</f>
        <v>Student age (≤29)</v>
      </c>
      <c r="H668" s="3" t="s">
        <v>83</v>
      </c>
      <c r="I668" s="3" t="s">
        <v>49</v>
      </c>
      <c r="J668" s="3" t="s">
        <v>47</v>
      </c>
      <c r="K668" s="3" t="s">
        <v>50</v>
      </c>
      <c r="L668" s="3" t="s">
        <v>49</v>
      </c>
      <c r="M668" s="3" t="s">
        <v>47</v>
      </c>
      <c r="N668" s="3" t="s">
        <v>50</v>
      </c>
      <c r="O668" s="3" t="s">
        <v>5772</v>
      </c>
      <c r="P668" s="3" t="n">
        <v>30</v>
      </c>
      <c r="Q668" s="3" t="s">
        <v>117</v>
      </c>
      <c r="R668" s="3" t="s">
        <v>5773</v>
      </c>
      <c r="S668" s="3" t="s">
        <v>5774</v>
      </c>
      <c r="T668" s="3"/>
      <c r="U668" s="3" t="s">
        <v>5775</v>
      </c>
      <c r="V668" s="3" t="s">
        <v>5776</v>
      </c>
      <c r="W668" s="3" t="s">
        <v>5777</v>
      </c>
      <c r="X668" s="3" t="s">
        <v>5778</v>
      </c>
      <c r="Y668" s="3" t="n">
        <v>1</v>
      </c>
      <c r="Z668" s="3" t="n">
        <v>2</v>
      </c>
      <c r="AA668" s="3" t="n">
        <v>3</v>
      </c>
      <c r="AB668" s="3" t="n">
        <v>2</v>
      </c>
      <c r="AC668" s="3" t="n">
        <v>1</v>
      </c>
      <c r="AD668" s="3" t="n">
        <v>3</v>
      </c>
      <c r="AE668" s="3" t="s">
        <v>5779</v>
      </c>
      <c r="AF668" s="3" t="s">
        <v>860</v>
      </c>
      <c r="AG668" s="3" t="s">
        <v>5780</v>
      </c>
      <c r="AH668" s="3" t="s">
        <v>847</v>
      </c>
      <c r="AI668" s="3" t="s">
        <v>5781</v>
      </c>
      <c r="AJ668" s="3" t="s">
        <v>59</v>
      </c>
      <c r="AK668" s="3" t="s">
        <v>5782</v>
      </c>
      <c r="AL668" s="3" t="s">
        <v>59</v>
      </c>
      <c r="AM668" s="3"/>
      <c r="AN668" s="3"/>
      <c r="AO668" s="3" t="s">
        <v>59</v>
      </c>
      <c r="AP668" s="3"/>
      <c r="AQ668" s="3"/>
      <c r="AR668" s="3"/>
    </row>
    <row r="669" customFormat="false" ht="15" hidden="false" customHeight="true" outlineLevel="0" collapsed="false">
      <c r="A669" s="3" t="s">
        <v>5783</v>
      </c>
      <c r="B669" s="3" t="n">
        <v>8</v>
      </c>
      <c r="C669" s="3" t="n">
        <v>18</v>
      </c>
      <c r="D669" s="3"/>
      <c r="E669" s="4"/>
      <c r="F669" s="3" t="n">
        <v>21</v>
      </c>
      <c r="G669" s="3" t="str">
        <f aca="false">IF(F669="","",IF(F669&gt;=Notes!$B$5,"Elderly ("&amp;Notes!$B$5&amp;"+)",IF(F669&lt;=Notes!$B$4,"Student age (≤"&amp;Notes!$B$4&amp;")","Middle-aged ("&amp;(Notes!$B$4+1)&amp;"–"&amp;(Notes!$B$5-1)&amp;")")))</f>
        <v>Student age (≤29)</v>
      </c>
      <c r="H669" s="3" t="s">
        <v>45</v>
      </c>
      <c r="I669" s="3" t="s">
        <v>71</v>
      </c>
      <c r="J669" s="3" t="s">
        <v>47</v>
      </c>
      <c r="K669" s="3" t="s">
        <v>72</v>
      </c>
      <c r="L669" s="3" t="s">
        <v>49</v>
      </c>
      <c r="M669" s="3" t="s">
        <v>47</v>
      </c>
      <c r="N669" s="3" t="s">
        <v>50</v>
      </c>
      <c r="O669" s="3" t="s">
        <v>5784</v>
      </c>
      <c r="P669" s="3" t="n">
        <v>20</v>
      </c>
      <c r="Q669" s="3" t="s">
        <v>95</v>
      </c>
      <c r="R669" s="3" t="s">
        <v>5785</v>
      </c>
      <c r="S669" s="3" t="s">
        <v>5786</v>
      </c>
      <c r="T669" s="3"/>
      <c r="U669" s="3" t="s">
        <v>5787</v>
      </c>
      <c r="V669" s="3" t="s">
        <v>5788</v>
      </c>
      <c r="W669" s="3" t="s">
        <v>5789</v>
      </c>
      <c r="X669" s="3" t="s">
        <v>5790</v>
      </c>
      <c r="Y669" s="3" t="n">
        <v>2</v>
      </c>
      <c r="Z669" s="3" t="n">
        <v>1</v>
      </c>
      <c r="AA669" s="3" t="n">
        <v>3</v>
      </c>
      <c r="AB669" s="3" t="n">
        <v>1</v>
      </c>
      <c r="AC669" s="3" t="n">
        <v>3</v>
      </c>
      <c r="AD669" s="3" t="n">
        <v>2</v>
      </c>
      <c r="AE669" s="3" t="s">
        <v>5791</v>
      </c>
      <c r="AF669" s="3" t="s">
        <v>847</v>
      </c>
      <c r="AG669" s="3" t="s">
        <v>5792</v>
      </c>
      <c r="AH669" s="3" t="s">
        <v>860</v>
      </c>
      <c r="AI669" s="3" t="s">
        <v>5793</v>
      </c>
      <c r="AJ669" s="3" t="s">
        <v>59</v>
      </c>
      <c r="AK669" s="3" t="s">
        <v>5794</v>
      </c>
      <c r="AL669" s="3" t="s">
        <v>98</v>
      </c>
      <c r="AM669" s="3"/>
      <c r="AN669" s="3"/>
      <c r="AO669" s="3" t="s">
        <v>59</v>
      </c>
      <c r="AP669" s="3"/>
      <c r="AQ669" s="3"/>
      <c r="AR669" s="3"/>
    </row>
    <row r="670" customFormat="false" ht="15" hidden="false" customHeight="true" outlineLevel="0" collapsed="false">
      <c r="A670" s="3" t="s">
        <v>5795</v>
      </c>
      <c r="B670" s="3" t="n">
        <v>8</v>
      </c>
      <c r="C670" s="3" t="n">
        <v>19</v>
      </c>
      <c r="D670" s="3"/>
      <c r="E670" s="4"/>
      <c r="F670" s="3" t="n">
        <v>21</v>
      </c>
      <c r="G670" s="3" t="str">
        <f aca="false">IF(F670="","",IF(F670&gt;=Notes!$B$5,"Elderly ("&amp;Notes!$B$5&amp;"+)",IF(F670&lt;=Notes!$B$4,"Student age (≤"&amp;Notes!$B$4&amp;")","Middle-aged ("&amp;(Notes!$B$4+1)&amp;"–"&amp;(Notes!$B$5-1)&amp;")")))</f>
        <v>Student age (≤29)</v>
      </c>
      <c r="H670" s="3" t="s">
        <v>45</v>
      </c>
      <c r="I670" s="3" t="s">
        <v>49</v>
      </c>
      <c r="J670" s="3" t="s">
        <v>47</v>
      </c>
      <c r="K670" s="3" t="s">
        <v>50</v>
      </c>
      <c r="L670" s="3" t="s">
        <v>49</v>
      </c>
      <c r="M670" s="3" t="s">
        <v>47</v>
      </c>
      <c r="N670" s="3" t="s">
        <v>50</v>
      </c>
      <c r="O670" s="3" t="s">
        <v>104</v>
      </c>
      <c r="P670" s="3" t="n">
        <v>30</v>
      </c>
      <c r="Q670" s="3" t="s">
        <v>117</v>
      </c>
      <c r="R670" s="3" t="s">
        <v>5796</v>
      </c>
      <c r="S670" s="3" t="s">
        <v>5797</v>
      </c>
      <c r="T670" s="3"/>
      <c r="U670" s="3" t="s">
        <v>3898</v>
      </c>
      <c r="V670" s="3" t="s">
        <v>5798</v>
      </c>
      <c r="W670" s="3" t="s">
        <v>5799</v>
      </c>
      <c r="X670" s="3" t="s">
        <v>5800</v>
      </c>
      <c r="Y670" s="3" t="n">
        <v>3</v>
      </c>
      <c r="Z670" s="3" t="n">
        <v>1</v>
      </c>
      <c r="AA670" s="3" t="n">
        <v>2</v>
      </c>
      <c r="AB670" s="3" t="n">
        <v>3</v>
      </c>
      <c r="AC670" s="3" t="n">
        <v>1</v>
      </c>
      <c r="AD670" s="3" t="n">
        <v>2</v>
      </c>
      <c r="AE670" s="3" t="s">
        <v>5801</v>
      </c>
      <c r="AF670" s="3" t="s">
        <v>846</v>
      </c>
      <c r="AG670" s="3" t="s">
        <v>5802</v>
      </c>
      <c r="AH670" s="3" t="s">
        <v>846</v>
      </c>
      <c r="AI670" s="3" t="s">
        <v>1360</v>
      </c>
      <c r="AJ670" s="3" t="s">
        <v>59</v>
      </c>
      <c r="AK670" s="3"/>
      <c r="AL670" s="3" t="s">
        <v>59</v>
      </c>
      <c r="AM670" s="3"/>
      <c r="AN670" s="3"/>
      <c r="AO670" s="3" t="s">
        <v>59</v>
      </c>
      <c r="AP670" s="3"/>
      <c r="AQ670" s="3"/>
      <c r="AR670" s="3"/>
    </row>
    <row r="671" customFormat="false" ht="15" hidden="false" customHeight="true" outlineLevel="0" collapsed="false">
      <c r="A671" s="3" t="s">
        <v>5803</v>
      </c>
      <c r="B671" s="3" t="n">
        <v>8</v>
      </c>
      <c r="C671" s="3" t="n">
        <v>20</v>
      </c>
      <c r="D671" s="3"/>
      <c r="E671" s="4"/>
      <c r="F671" s="3" t="n">
        <v>23</v>
      </c>
      <c r="G671" s="3" t="str">
        <f aca="false">IF(F671="","",IF(F671&gt;=Notes!$B$5,"Elderly ("&amp;Notes!$B$5&amp;"+)",IF(F671&lt;=Notes!$B$4,"Student age (≤"&amp;Notes!$B$4&amp;")","Middle-aged ("&amp;(Notes!$B$4+1)&amp;"–"&amp;(Notes!$B$5-1)&amp;")")))</f>
        <v>Student age (≤29)</v>
      </c>
      <c r="H671" s="3" t="s">
        <v>45</v>
      </c>
      <c r="I671" s="3" t="s">
        <v>49</v>
      </c>
      <c r="J671" s="3" t="s">
        <v>47</v>
      </c>
      <c r="K671" s="3" t="s">
        <v>50</v>
      </c>
      <c r="L671" s="3" t="s">
        <v>49</v>
      </c>
      <c r="M671" s="3" t="s">
        <v>47</v>
      </c>
      <c r="N671" s="3" t="s">
        <v>50</v>
      </c>
      <c r="O671" s="3" t="s">
        <v>5804</v>
      </c>
      <c r="P671" s="3" t="n">
        <v>50</v>
      </c>
      <c r="Q671" s="3" t="s">
        <v>52</v>
      </c>
      <c r="R671" s="3" t="s">
        <v>5805</v>
      </c>
      <c r="S671" s="3" t="s">
        <v>5806</v>
      </c>
      <c r="T671" s="3"/>
      <c r="U671" s="3" t="s">
        <v>5807</v>
      </c>
      <c r="V671" s="3" t="s">
        <v>5808</v>
      </c>
      <c r="W671" s="3" t="s">
        <v>5809</v>
      </c>
      <c r="X671" s="3" t="s">
        <v>5810</v>
      </c>
      <c r="Y671" s="3" t="n">
        <v>3</v>
      </c>
      <c r="Z671" s="3" t="n">
        <v>2</v>
      </c>
      <c r="AA671" s="3" t="n">
        <v>1</v>
      </c>
      <c r="AB671" s="3" t="n">
        <v>2</v>
      </c>
      <c r="AC671" s="3" t="n">
        <v>3</v>
      </c>
      <c r="AD671" s="3" t="n">
        <v>1</v>
      </c>
      <c r="AE671" s="3" t="s">
        <v>5811</v>
      </c>
      <c r="AF671" s="3" t="s">
        <v>846</v>
      </c>
      <c r="AG671" s="3" t="s">
        <v>5812</v>
      </c>
      <c r="AH671" s="3" t="s">
        <v>847</v>
      </c>
      <c r="AI671" s="3" t="s">
        <v>5813</v>
      </c>
      <c r="AJ671" s="3" t="s">
        <v>59</v>
      </c>
      <c r="AK671" s="3" t="s">
        <v>5814</v>
      </c>
      <c r="AL671" s="3" t="s">
        <v>59</v>
      </c>
      <c r="AM671" s="3"/>
      <c r="AN671" s="3"/>
      <c r="AO671" s="3" t="s">
        <v>59</v>
      </c>
      <c r="AP671" s="3"/>
      <c r="AQ671" s="3"/>
      <c r="AR671" s="3"/>
    </row>
    <row r="672" customFormat="false" ht="15" hidden="false" customHeight="true" outlineLevel="0" collapsed="false">
      <c r="A672" s="3" t="s">
        <v>5815</v>
      </c>
      <c r="B672" s="3" t="n">
        <v>8</v>
      </c>
      <c r="C672" s="3" t="n">
        <v>21</v>
      </c>
      <c r="D672" s="3"/>
      <c r="E672" s="4"/>
      <c r="F672" s="3" t="n">
        <v>19</v>
      </c>
      <c r="G672" s="3" t="str">
        <f aca="false">IF(F672="","",IF(F672&gt;=Notes!$B$5,"Elderly ("&amp;Notes!$B$5&amp;"+)",IF(F672&lt;=Notes!$B$4,"Student age (≤"&amp;Notes!$B$4&amp;")","Middle-aged ("&amp;(Notes!$B$4+1)&amp;"–"&amp;(Notes!$B$5-1)&amp;")")))</f>
        <v>Student age (≤29)</v>
      </c>
      <c r="H672" s="3" t="s">
        <v>83</v>
      </c>
      <c r="I672" s="3" t="s">
        <v>159</v>
      </c>
      <c r="J672" s="3" t="s">
        <v>47</v>
      </c>
      <c r="K672" s="3" t="s">
        <v>160</v>
      </c>
      <c r="L672" s="3" t="s">
        <v>159</v>
      </c>
      <c r="M672" s="3" t="s">
        <v>47</v>
      </c>
      <c r="N672" s="3" t="s">
        <v>160</v>
      </c>
      <c r="O672" s="3" t="s">
        <v>5816</v>
      </c>
      <c r="P672" s="3" t="n">
        <v>20</v>
      </c>
      <c r="Q672" s="3" t="s">
        <v>95</v>
      </c>
      <c r="R672" s="3" t="s">
        <v>5817</v>
      </c>
      <c r="S672" s="3" t="s">
        <v>5818</v>
      </c>
      <c r="T672" s="3"/>
      <c r="U672" s="3" t="s">
        <v>5819</v>
      </c>
      <c r="V672" s="3" t="s">
        <v>5820</v>
      </c>
      <c r="W672" s="3" t="s">
        <v>5821</v>
      </c>
      <c r="X672" s="3" t="s">
        <v>5822</v>
      </c>
      <c r="Y672" s="3" t="n">
        <v>3</v>
      </c>
      <c r="Z672" s="3" t="n">
        <v>2</v>
      </c>
      <c r="AA672" s="3" t="n">
        <v>1</v>
      </c>
      <c r="AB672" s="3" t="n">
        <v>3</v>
      </c>
      <c r="AC672" s="3" t="n">
        <v>1</v>
      </c>
      <c r="AD672" s="3" t="n">
        <v>2</v>
      </c>
      <c r="AE672" s="3" t="s">
        <v>5823</v>
      </c>
      <c r="AF672" s="3" t="s">
        <v>846</v>
      </c>
      <c r="AG672" s="3" t="s">
        <v>5824</v>
      </c>
      <c r="AH672" s="3" t="s">
        <v>846</v>
      </c>
      <c r="AI672" s="3" t="s">
        <v>5825</v>
      </c>
      <c r="AJ672" s="3" t="s">
        <v>59</v>
      </c>
      <c r="AK672" s="3" t="s">
        <v>5826</v>
      </c>
      <c r="AL672" s="3" t="s">
        <v>59</v>
      </c>
      <c r="AM672" s="3"/>
      <c r="AN672" s="3"/>
      <c r="AO672" s="3" t="s">
        <v>59</v>
      </c>
      <c r="AP672" s="3"/>
      <c r="AQ672" s="3"/>
      <c r="AR672" s="3"/>
    </row>
    <row r="673" customFormat="false" ht="15" hidden="false" customHeight="true" outlineLevel="0" collapsed="false">
      <c r="A673" s="3" t="s">
        <v>5827</v>
      </c>
      <c r="B673" s="3" t="n">
        <v>8</v>
      </c>
      <c r="C673" s="3" t="n">
        <v>22</v>
      </c>
      <c r="D673" s="3"/>
      <c r="E673" s="4"/>
      <c r="F673" s="3" t="n">
        <v>18</v>
      </c>
      <c r="G673" s="3" t="str">
        <f aca="false">IF(F673="","",IF(F673&gt;=Notes!$B$5,"Elderly ("&amp;Notes!$B$5&amp;"+)",IF(F673&lt;=Notes!$B$4,"Student age (≤"&amp;Notes!$B$4&amp;")","Middle-aged ("&amp;(Notes!$B$4+1)&amp;"–"&amp;(Notes!$B$5-1)&amp;")")))</f>
        <v>Student age (≤29)</v>
      </c>
      <c r="H673" s="3" t="s">
        <v>83</v>
      </c>
      <c r="I673" s="3" t="s">
        <v>171</v>
      </c>
      <c r="J673" s="3" t="s">
        <v>47</v>
      </c>
      <c r="K673" s="3" t="s">
        <v>172</v>
      </c>
      <c r="L673" s="3" t="s">
        <v>171</v>
      </c>
      <c r="M673" s="3" t="s">
        <v>47</v>
      </c>
      <c r="N673" s="3" t="s">
        <v>172</v>
      </c>
      <c r="O673" s="3" t="s">
        <v>5828</v>
      </c>
      <c r="P673" s="3" t="n">
        <v>15</v>
      </c>
      <c r="Q673" s="3" t="s">
        <v>74</v>
      </c>
      <c r="R673" s="3" t="s">
        <v>5829</v>
      </c>
      <c r="S673" s="3" t="s">
        <v>5829</v>
      </c>
      <c r="T673" s="3"/>
      <c r="U673" s="3" t="s">
        <v>5830</v>
      </c>
      <c r="V673" s="3" t="s">
        <v>5831</v>
      </c>
      <c r="W673" s="3" t="s">
        <v>895</v>
      </c>
      <c r="X673" s="3" t="s">
        <v>5832</v>
      </c>
      <c r="Y673" s="3" t="n">
        <v>3</v>
      </c>
      <c r="Z673" s="3" t="n">
        <v>1</v>
      </c>
      <c r="AA673" s="3" t="n">
        <v>2</v>
      </c>
      <c r="AB673" s="3" t="n">
        <v>1</v>
      </c>
      <c r="AC673" s="3" t="n">
        <v>3</v>
      </c>
      <c r="AD673" s="3" t="n">
        <v>2</v>
      </c>
      <c r="AE673" s="3" t="s">
        <v>5833</v>
      </c>
      <c r="AF673" s="3" t="s">
        <v>847</v>
      </c>
      <c r="AG673" s="3" t="s">
        <v>5833</v>
      </c>
      <c r="AH673" s="3" t="s">
        <v>846</v>
      </c>
      <c r="AI673" s="3" t="s">
        <v>5834</v>
      </c>
      <c r="AJ673" s="3" t="s">
        <v>59</v>
      </c>
      <c r="AK673" s="3"/>
      <c r="AL673" s="3" t="s">
        <v>59</v>
      </c>
      <c r="AM673" s="3"/>
      <c r="AN673" s="3"/>
      <c r="AO673" s="3" t="s">
        <v>59</v>
      </c>
      <c r="AP673" s="3"/>
      <c r="AQ673" s="3"/>
      <c r="AR673" s="3"/>
    </row>
    <row r="674" customFormat="false" ht="15" hidden="false" customHeight="true" outlineLevel="0" collapsed="false">
      <c r="A674" s="3" t="s">
        <v>5835</v>
      </c>
      <c r="B674" s="3" t="n">
        <v>8</v>
      </c>
      <c r="C674" s="3" t="n">
        <v>23</v>
      </c>
      <c r="D674" s="3"/>
      <c r="E674" s="4"/>
      <c r="F674" s="3" t="n">
        <v>20</v>
      </c>
      <c r="G674" s="3" t="str">
        <f aca="false">IF(F674="","",IF(F674&gt;=Notes!$B$5,"Elderly ("&amp;Notes!$B$5&amp;"+)",IF(F674&lt;=Notes!$B$4,"Student age (≤"&amp;Notes!$B$4&amp;")","Middle-aged ("&amp;(Notes!$B$4+1)&amp;"–"&amp;(Notes!$B$5-1)&amp;")")))</f>
        <v>Student age (≤29)</v>
      </c>
      <c r="H674" s="3" t="s">
        <v>83</v>
      </c>
      <c r="I674" s="3"/>
      <c r="J674" s="3" t="s">
        <v>437</v>
      </c>
      <c r="K674" s="3" t="s">
        <v>437</v>
      </c>
      <c r="L674" s="3" t="s">
        <v>71</v>
      </c>
      <c r="M674" s="3" t="s">
        <v>47</v>
      </c>
      <c r="N674" s="3" t="s">
        <v>72</v>
      </c>
      <c r="O674" s="3" t="s">
        <v>5836</v>
      </c>
      <c r="P674" s="3" t="n">
        <v>35</v>
      </c>
      <c r="Q674" s="3" t="s">
        <v>52</v>
      </c>
      <c r="R674" s="3" t="s">
        <v>5837</v>
      </c>
      <c r="S674" s="3" t="s">
        <v>5838</v>
      </c>
      <c r="T674" s="3"/>
      <c r="U674" s="3" t="s">
        <v>5839</v>
      </c>
      <c r="V674" s="3" t="s">
        <v>5840</v>
      </c>
      <c r="W674" s="3" t="s">
        <v>5841</v>
      </c>
      <c r="X674" s="3" t="s">
        <v>5842</v>
      </c>
      <c r="Y674" s="3" t="n">
        <v>1</v>
      </c>
      <c r="Z674" s="3" t="n">
        <v>3</v>
      </c>
      <c r="AA674" s="3" t="n">
        <v>2</v>
      </c>
      <c r="AB674" s="3" t="n">
        <v>1</v>
      </c>
      <c r="AC674" s="3" t="n">
        <v>3</v>
      </c>
      <c r="AD674" s="3" t="n">
        <v>2</v>
      </c>
      <c r="AE674" s="3" t="s">
        <v>5843</v>
      </c>
      <c r="AF674" s="3" t="s">
        <v>846</v>
      </c>
      <c r="AG674" s="3" t="s">
        <v>5844</v>
      </c>
      <c r="AH674" s="3" t="s">
        <v>846</v>
      </c>
      <c r="AI674" s="3" t="s">
        <v>5845</v>
      </c>
      <c r="AJ674" s="3" t="s">
        <v>98</v>
      </c>
      <c r="AK674" s="3"/>
      <c r="AL674" s="3" t="s">
        <v>59</v>
      </c>
      <c r="AM674" s="3"/>
      <c r="AN674" s="3"/>
      <c r="AO674" s="3" t="s">
        <v>59</v>
      </c>
      <c r="AP674" s="3"/>
      <c r="AQ674" s="3"/>
      <c r="AR674" s="3"/>
    </row>
    <row r="675" customFormat="false" ht="15" hidden="false" customHeight="true" outlineLevel="0" collapsed="false">
      <c r="A675" s="3" t="s">
        <v>5846</v>
      </c>
      <c r="B675" s="3" t="n">
        <v>8</v>
      </c>
      <c r="C675" s="3" t="n">
        <v>24</v>
      </c>
      <c r="D675" s="3"/>
      <c r="E675" s="4"/>
      <c r="F675" s="3" t="n">
        <v>21</v>
      </c>
      <c r="G675" s="3" t="str">
        <f aca="false">IF(F675="","",IF(F675&gt;=Notes!$B$5,"Elderly ("&amp;Notes!$B$5&amp;"+)",IF(F675&lt;=Notes!$B$4,"Student age (≤"&amp;Notes!$B$4&amp;")","Middle-aged ("&amp;(Notes!$B$4+1)&amp;"–"&amp;(Notes!$B$5-1)&amp;")")))</f>
        <v>Student age (≤29)</v>
      </c>
      <c r="H675" s="3" t="s">
        <v>83</v>
      </c>
      <c r="I675" s="3" t="s">
        <v>71</v>
      </c>
      <c r="J675" s="3" t="s">
        <v>47</v>
      </c>
      <c r="K675" s="3" t="s">
        <v>72</v>
      </c>
      <c r="L675" s="3" t="s">
        <v>49</v>
      </c>
      <c r="M675" s="3" t="s">
        <v>47</v>
      </c>
      <c r="N675" s="3" t="s">
        <v>50</v>
      </c>
      <c r="O675" s="3" t="s">
        <v>5847</v>
      </c>
      <c r="P675" s="3" t="n">
        <v>35</v>
      </c>
      <c r="Q675" s="3" t="s">
        <v>52</v>
      </c>
      <c r="R675" s="3" t="s">
        <v>5848</v>
      </c>
      <c r="S675" s="3" t="s">
        <v>5849</v>
      </c>
      <c r="T675" s="3"/>
      <c r="U675" s="3" t="s">
        <v>5850</v>
      </c>
      <c r="V675" s="3" t="s">
        <v>5851</v>
      </c>
      <c r="W675" s="3" t="s">
        <v>5852</v>
      </c>
      <c r="X675" s="3" t="s">
        <v>5853</v>
      </c>
      <c r="Y675" s="3" t="n">
        <v>2</v>
      </c>
      <c r="Z675" s="3" t="n">
        <v>1</v>
      </c>
      <c r="AA675" s="3" t="n">
        <v>3</v>
      </c>
      <c r="AB675" s="3" t="n">
        <v>3</v>
      </c>
      <c r="AC675" s="3" t="n">
        <v>2</v>
      </c>
      <c r="AD675" s="3" t="n">
        <v>1</v>
      </c>
      <c r="AE675" s="3" t="s">
        <v>5854</v>
      </c>
      <c r="AF675" s="3" t="s">
        <v>846</v>
      </c>
      <c r="AG675" s="3" t="s">
        <v>5855</v>
      </c>
      <c r="AH675" s="3" t="s">
        <v>846</v>
      </c>
      <c r="AI675" s="3" t="s">
        <v>5856</v>
      </c>
      <c r="AJ675" s="3"/>
      <c r="AK675" s="3" t="s">
        <v>5857</v>
      </c>
      <c r="AL675" s="3" t="s">
        <v>98</v>
      </c>
      <c r="AM675" s="3"/>
      <c r="AN675" s="3"/>
      <c r="AO675" s="3" t="s">
        <v>59</v>
      </c>
      <c r="AP675" s="3"/>
      <c r="AQ675" s="3"/>
      <c r="AR675" s="3"/>
    </row>
    <row r="676" customFormat="false" ht="15" hidden="false" customHeight="true" outlineLevel="0" collapsed="false">
      <c r="A676" s="3" t="s">
        <v>5858</v>
      </c>
      <c r="B676" s="3" t="n">
        <v>8</v>
      </c>
      <c r="C676" s="3" t="n">
        <v>25</v>
      </c>
      <c r="D676" s="3"/>
      <c r="E676" s="4"/>
      <c r="F676" s="3" t="n">
        <v>60</v>
      </c>
      <c r="G676" s="3" t="str">
        <f aca="false">IF(F676="","",IF(F676&gt;=Notes!$B$5,"Elderly ("&amp;Notes!$B$5&amp;"+)",IF(F676&lt;=Notes!$B$4,"Student age (≤"&amp;Notes!$B$4&amp;")","Middle-aged ("&amp;(Notes!$B$4+1)&amp;"–"&amp;(Notes!$B$5-1)&amp;")")))</f>
        <v>Middle-aged (30–64)</v>
      </c>
      <c r="H676" s="3" t="s">
        <v>83</v>
      </c>
      <c r="I676" s="3"/>
      <c r="J676" s="3" t="s">
        <v>437</v>
      </c>
      <c r="K676" s="3" t="s">
        <v>437</v>
      </c>
      <c r="L676" s="3" t="s">
        <v>46</v>
      </c>
      <c r="M676" s="3" t="s">
        <v>47</v>
      </c>
      <c r="N676" s="3" t="s">
        <v>48</v>
      </c>
      <c r="O676" s="3" t="s">
        <v>5859</v>
      </c>
      <c r="P676" s="3" t="n">
        <v>18</v>
      </c>
      <c r="Q676" s="3" t="s">
        <v>95</v>
      </c>
      <c r="R676" s="3" t="s">
        <v>5860</v>
      </c>
      <c r="S676" s="3" t="s">
        <v>5861</v>
      </c>
      <c r="T676" s="3"/>
      <c r="U676" s="3" t="s">
        <v>5862</v>
      </c>
      <c r="V676" s="3" t="s">
        <v>5863</v>
      </c>
      <c r="W676" s="3" t="s">
        <v>5864</v>
      </c>
      <c r="X676" s="3" t="s">
        <v>5865</v>
      </c>
      <c r="Y676" s="3" t="n">
        <v>3</v>
      </c>
      <c r="Z676" s="3" t="n">
        <v>1</v>
      </c>
      <c r="AA676" s="3" t="n">
        <v>2</v>
      </c>
      <c r="AB676" s="3" t="n">
        <v>3</v>
      </c>
      <c r="AC676" s="3" t="n">
        <v>1</v>
      </c>
      <c r="AD676" s="3" t="n">
        <v>2</v>
      </c>
      <c r="AE676" s="3" t="s">
        <v>5866</v>
      </c>
      <c r="AF676" s="3" t="s">
        <v>847</v>
      </c>
      <c r="AG676" s="3" t="s">
        <v>5867</v>
      </c>
      <c r="AH676" s="3" t="s">
        <v>860</v>
      </c>
      <c r="AI676" s="3" t="s">
        <v>5868</v>
      </c>
      <c r="AJ676" s="3" t="s">
        <v>59</v>
      </c>
      <c r="AK676" s="3"/>
      <c r="AL676" s="3" t="s">
        <v>98</v>
      </c>
      <c r="AM676" s="3"/>
      <c r="AN676" s="3"/>
      <c r="AO676" s="3" t="s">
        <v>98</v>
      </c>
      <c r="AP676" s="3"/>
      <c r="AQ676" s="3"/>
      <c r="AR676" s="3"/>
    </row>
    <row r="677" customFormat="false" ht="15" hidden="false" customHeight="true" outlineLevel="0" collapsed="false">
      <c r="A677" s="3" t="s">
        <v>5869</v>
      </c>
      <c r="B677" s="3" t="n">
        <v>8</v>
      </c>
      <c r="C677" s="3" t="n">
        <v>26</v>
      </c>
      <c r="D677" s="3"/>
      <c r="E677" s="4"/>
      <c r="F677" s="3" t="n">
        <v>23</v>
      </c>
      <c r="G677" s="3" t="str">
        <f aca="false">IF(F677="","",IF(F677&gt;=Notes!$B$5,"Elderly ("&amp;Notes!$B$5&amp;"+)",IF(F677&lt;=Notes!$B$4,"Student age (≤"&amp;Notes!$B$4&amp;")","Middle-aged ("&amp;(Notes!$B$4+1)&amp;"–"&amp;(Notes!$B$5-1)&amp;")")))</f>
        <v>Student age (≤29)</v>
      </c>
      <c r="H677" s="3" t="s">
        <v>83</v>
      </c>
      <c r="I677" s="3" t="s">
        <v>1363</v>
      </c>
      <c r="J677" s="3" t="s">
        <v>47</v>
      </c>
      <c r="K677" s="3" t="s">
        <v>1364</v>
      </c>
      <c r="L677" s="3" t="s">
        <v>49</v>
      </c>
      <c r="M677" s="3" t="s">
        <v>47</v>
      </c>
      <c r="N677" s="3" t="s">
        <v>50</v>
      </c>
      <c r="O677" s="3" t="s">
        <v>5870</v>
      </c>
      <c r="P677" s="3" t="n">
        <v>30</v>
      </c>
      <c r="Q677" s="3" t="s">
        <v>117</v>
      </c>
      <c r="R677" s="3" t="s">
        <v>5871</v>
      </c>
      <c r="S677" s="3" t="s">
        <v>5872</v>
      </c>
      <c r="T677" s="3"/>
      <c r="U677" s="3" t="s">
        <v>98</v>
      </c>
      <c r="V677" s="3" t="s">
        <v>5873</v>
      </c>
      <c r="W677" s="3" t="s">
        <v>59</v>
      </c>
      <c r="X677" s="3" t="s">
        <v>5874</v>
      </c>
      <c r="Y677" s="3" t="n">
        <v>3</v>
      </c>
      <c r="Z677" s="3" t="n">
        <v>2</v>
      </c>
      <c r="AA677" s="3" t="n">
        <v>1</v>
      </c>
      <c r="AB677" s="3" t="n">
        <v>3</v>
      </c>
      <c r="AC677" s="3" t="n">
        <v>1</v>
      </c>
      <c r="AD677" s="3" t="n">
        <v>2</v>
      </c>
      <c r="AE677" s="3" t="s">
        <v>5875</v>
      </c>
      <c r="AF677" s="3" t="s">
        <v>846</v>
      </c>
      <c r="AG677" s="3" t="s">
        <v>5876</v>
      </c>
      <c r="AH677" s="3" t="s">
        <v>860</v>
      </c>
      <c r="AI677" s="3" t="s">
        <v>5877</v>
      </c>
      <c r="AJ677" s="3" t="s">
        <v>59</v>
      </c>
      <c r="AK677" s="3" t="s">
        <v>5878</v>
      </c>
      <c r="AL677" s="3" t="s">
        <v>59</v>
      </c>
      <c r="AM677" s="3"/>
      <c r="AN677" s="3"/>
      <c r="AO677" s="3" t="s">
        <v>59</v>
      </c>
      <c r="AP677" s="3"/>
      <c r="AQ677" s="3"/>
      <c r="AR677" s="3"/>
    </row>
    <row r="678" customFormat="false" ht="15" hidden="false" customHeight="true" outlineLevel="0" collapsed="false">
      <c r="A678" s="3" t="s">
        <v>5879</v>
      </c>
      <c r="B678" s="3" t="n">
        <v>8</v>
      </c>
      <c r="C678" s="3" t="n">
        <v>27</v>
      </c>
      <c r="D678" s="3"/>
      <c r="E678" s="4"/>
      <c r="F678" s="3" t="n">
        <v>55</v>
      </c>
      <c r="G678" s="3" t="str">
        <f aca="false">IF(F678="","",IF(F678&gt;=Notes!$B$5,"Elderly ("&amp;Notes!$B$5&amp;"+)",IF(F678&lt;=Notes!$B$4,"Student age (≤"&amp;Notes!$B$4&amp;")","Middle-aged ("&amp;(Notes!$B$4+1)&amp;"–"&amp;(Notes!$B$5-1)&amp;")")))</f>
        <v>Middle-aged (30–64)</v>
      </c>
      <c r="H678" s="3" t="s">
        <v>83</v>
      </c>
      <c r="I678" s="3" t="s">
        <v>159</v>
      </c>
      <c r="J678" s="3" t="s">
        <v>47</v>
      </c>
      <c r="K678" s="3" t="s">
        <v>160</v>
      </c>
      <c r="L678" s="3" t="s">
        <v>49</v>
      </c>
      <c r="M678" s="3" t="s">
        <v>47</v>
      </c>
      <c r="N678" s="3" t="s">
        <v>50</v>
      </c>
      <c r="O678" s="3" t="s">
        <v>5880</v>
      </c>
      <c r="P678" s="3" t="n">
        <v>22</v>
      </c>
      <c r="Q678" s="3" t="s">
        <v>117</v>
      </c>
      <c r="R678" s="3" t="s">
        <v>2062</v>
      </c>
      <c r="S678" s="3" t="s">
        <v>5881</v>
      </c>
      <c r="T678" s="3"/>
      <c r="U678" s="3" t="s">
        <v>5882</v>
      </c>
      <c r="V678" s="3" t="s">
        <v>5883</v>
      </c>
      <c r="W678" s="3" t="s">
        <v>5884</v>
      </c>
      <c r="X678" s="3" t="s">
        <v>5885</v>
      </c>
      <c r="Y678" s="3" t="n">
        <v>3</v>
      </c>
      <c r="Z678" s="3" t="n">
        <v>1</v>
      </c>
      <c r="AA678" s="3" t="n">
        <v>2</v>
      </c>
      <c r="AB678" s="3" t="n">
        <v>3</v>
      </c>
      <c r="AC678" s="3" t="n">
        <v>1</v>
      </c>
      <c r="AD678" s="3" t="n">
        <v>2</v>
      </c>
      <c r="AE678" s="3" t="s">
        <v>5886</v>
      </c>
      <c r="AF678" s="3" t="s">
        <v>847</v>
      </c>
      <c r="AG678" s="3" t="s">
        <v>5887</v>
      </c>
      <c r="AH678" s="3" t="s">
        <v>847</v>
      </c>
      <c r="AI678" s="3" t="s">
        <v>5888</v>
      </c>
      <c r="AJ678" s="3"/>
      <c r="AK678" s="3" t="s">
        <v>5889</v>
      </c>
      <c r="AL678" s="3" t="s">
        <v>59</v>
      </c>
      <c r="AM678" s="3"/>
      <c r="AN678" s="3"/>
      <c r="AO678" s="3" t="s">
        <v>59</v>
      </c>
      <c r="AP678" s="3"/>
      <c r="AQ678" s="3"/>
      <c r="AR678" s="3"/>
    </row>
    <row r="679" customFormat="false" ht="15" hidden="false" customHeight="true" outlineLevel="0" collapsed="false">
      <c r="A679" s="3" t="s">
        <v>5890</v>
      </c>
      <c r="B679" s="3" t="n">
        <v>8</v>
      </c>
      <c r="C679" s="3" t="n">
        <v>28</v>
      </c>
      <c r="D679" s="3"/>
      <c r="E679" s="4"/>
      <c r="F679" s="3" t="n">
        <v>21</v>
      </c>
      <c r="G679" s="3" t="str">
        <f aca="false">IF(F679="","",IF(F679&gt;=Notes!$B$5,"Elderly ("&amp;Notes!$B$5&amp;"+)",IF(F679&lt;=Notes!$B$4,"Student age (≤"&amp;Notes!$B$4&amp;")","Middle-aged ("&amp;(Notes!$B$4+1)&amp;"–"&amp;(Notes!$B$5-1)&amp;")")))</f>
        <v>Student age (≤29)</v>
      </c>
      <c r="H679" s="3" t="s">
        <v>45</v>
      </c>
      <c r="I679" s="3" t="s">
        <v>289</v>
      </c>
      <c r="J679" s="3" t="s">
        <v>47</v>
      </c>
      <c r="K679" s="3" t="s">
        <v>290</v>
      </c>
      <c r="L679" s="3" t="s">
        <v>49</v>
      </c>
      <c r="M679" s="3" t="s">
        <v>47</v>
      </c>
      <c r="N679" s="3" t="s">
        <v>50</v>
      </c>
      <c r="O679" s="3" t="s">
        <v>5891</v>
      </c>
      <c r="P679" s="3" t="n">
        <v>66</v>
      </c>
      <c r="Q679" s="3" t="s">
        <v>52</v>
      </c>
      <c r="R679" s="3" t="s">
        <v>5892</v>
      </c>
      <c r="S679" s="3" t="s">
        <v>5893</v>
      </c>
      <c r="T679" s="3"/>
      <c r="U679" s="3" t="s">
        <v>5894</v>
      </c>
      <c r="V679" s="3" t="s">
        <v>5895</v>
      </c>
      <c r="W679" s="3" t="s">
        <v>5896</v>
      </c>
      <c r="X679" s="3" t="s">
        <v>5897</v>
      </c>
      <c r="Y679" s="3" t="n">
        <v>2</v>
      </c>
      <c r="Z679" s="3" t="n">
        <v>1</v>
      </c>
      <c r="AA679" s="3" t="n">
        <v>3</v>
      </c>
      <c r="AB679" s="3" t="n">
        <v>2</v>
      </c>
      <c r="AC679" s="3" t="n">
        <v>1</v>
      </c>
      <c r="AD679" s="3" t="n">
        <v>3</v>
      </c>
      <c r="AE679" s="3" t="s">
        <v>5898</v>
      </c>
      <c r="AF679" s="3" t="s">
        <v>847</v>
      </c>
      <c r="AG679" s="3" t="s">
        <v>5899</v>
      </c>
      <c r="AH679" s="3" t="s">
        <v>860</v>
      </c>
      <c r="AI679" s="3" t="s">
        <v>5900</v>
      </c>
      <c r="AJ679" s="3"/>
      <c r="AK679" s="3" t="s">
        <v>5901</v>
      </c>
      <c r="AL679" s="3" t="s">
        <v>98</v>
      </c>
      <c r="AM679" s="3"/>
      <c r="AN679" s="3"/>
      <c r="AO679" s="3" t="s">
        <v>59</v>
      </c>
      <c r="AP679" s="3"/>
      <c r="AQ679" s="3"/>
      <c r="AR679" s="3"/>
    </row>
    <row r="680" customFormat="false" ht="15" hidden="false" customHeight="true" outlineLevel="0" collapsed="false">
      <c r="A680" s="3" t="s">
        <v>5902</v>
      </c>
      <c r="B680" s="3" t="n">
        <v>8</v>
      </c>
      <c r="C680" s="3" t="n">
        <v>29</v>
      </c>
      <c r="D680" s="3"/>
      <c r="E680" s="4"/>
      <c r="F680" s="3" t="n">
        <v>19</v>
      </c>
      <c r="G680" s="3" t="str">
        <f aca="false">IF(F680="","",IF(F680&gt;=Notes!$B$5,"Elderly ("&amp;Notes!$B$5&amp;"+)",IF(F680&lt;=Notes!$B$4,"Student age (≤"&amp;Notes!$B$4&amp;")","Middle-aged ("&amp;(Notes!$B$4+1)&amp;"–"&amp;(Notes!$B$5-1)&amp;")")))</f>
        <v>Student age (≤29)</v>
      </c>
      <c r="H680" s="3" t="s">
        <v>45</v>
      </c>
      <c r="I680" s="3" t="s">
        <v>71</v>
      </c>
      <c r="J680" s="3" t="s">
        <v>47</v>
      </c>
      <c r="K680" s="3" t="s">
        <v>72</v>
      </c>
      <c r="L680" s="3" t="s">
        <v>49</v>
      </c>
      <c r="M680" s="3" t="s">
        <v>47</v>
      </c>
      <c r="N680" s="3" t="s">
        <v>50</v>
      </c>
      <c r="O680" s="3" t="s">
        <v>5903</v>
      </c>
      <c r="P680" s="3" t="n">
        <v>68</v>
      </c>
      <c r="Q680" s="3" t="s">
        <v>52</v>
      </c>
      <c r="R680" s="3" t="s">
        <v>5904</v>
      </c>
      <c r="S680" s="3" t="s">
        <v>5905</v>
      </c>
      <c r="T680" s="3"/>
      <c r="U680" s="3" t="s">
        <v>5906</v>
      </c>
      <c r="V680" s="3" t="s">
        <v>5907</v>
      </c>
      <c r="W680" s="3" t="s">
        <v>5908</v>
      </c>
      <c r="X680" s="3" t="s">
        <v>5909</v>
      </c>
      <c r="Y680" s="3" t="n">
        <v>2</v>
      </c>
      <c r="Z680" s="3" t="n">
        <v>1</v>
      </c>
      <c r="AA680" s="3" t="n">
        <v>3</v>
      </c>
      <c r="AB680" s="3" t="n">
        <v>1</v>
      </c>
      <c r="AC680" s="3" t="n">
        <v>2</v>
      </c>
      <c r="AD680" s="3" t="n">
        <v>3</v>
      </c>
      <c r="AE680" s="3" t="s">
        <v>5910</v>
      </c>
      <c r="AF680" s="3" t="s">
        <v>860</v>
      </c>
      <c r="AG680" s="3" t="s">
        <v>5911</v>
      </c>
      <c r="AH680" s="3" t="s">
        <v>846</v>
      </c>
      <c r="AI680" s="3" t="s">
        <v>5912</v>
      </c>
      <c r="AJ680" s="3" t="s">
        <v>59</v>
      </c>
      <c r="AK680" s="3" t="s">
        <v>5913</v>
      </c>
      <c r="AL680" s="3" t="s">
        <v>59</v>
      </c>
      <c r="AM680" s="3"/>
      <c r="AN680" s="3"/>
      <c r="AO680" s="3" t="s">
        <v>59</v>
      </c>
      <c r="AP680" s="3"/>
      <c r="AQ680" s="3"/>
      <c r="AR680" s="3"/>
    </row>
    <row r="681" customFormat="false" ht="15" hidden="false" customHeight="true" outlineLevel="0" collapsed="false">
      <c r="A681" s="3" t="s">
        <v>5914</v>
      </c>
      <c r="B681" s="3" t="n">
        <v>8</v>
      </c>
      <c r="C681" s="3" t="n">
        <v>30</v>
      </c>
      <c r="D681" s="3"/>
      <c r="E681" s="4"/>
      <c r="F681" s="3" t="n">
        <v>19</v>
      </c>
      <c r="G681" s="3" t="str">
        <f aca="false">IF(F681="","",IF(F681&gt;=Notes!$B$5,"Elderly ("&amp;Notes!$B$5&amp;"+)",IF(F681&lt;=Notes!$B$4,"Student age (≤"&amp;Notes!$B$4&amp;")","Middle-aged ("&amp;(Notes!$B$4+1)&amp;"–"&amp;(Notes!$B$5-1)&amp;")")))</f>
        <v>Student age (≤29)</v>
      </c>
      <c r="H681" s="3" t="s">
        <v>83</v>
      </c>
      <c r="I681" s="3" t="s">
        <v>71</v>
      </c>
      <c r="J681" s="3" t="s">
        <v>47</v>
      </c>
      <c r="K681" s="3" t="s">
        <v>72</v>
      </c>
      <c r="L681" s="3" t="s">
        <v>49</v>
      </c>
      <c r="M681" s="3" t="s">
        <v>47</v>
      </c>
      <c r="N681" s="3" t="s">
        <v>50</v>
      </c>
      <c r="O681" s="3" t="s">
        <v>104</v>
      </c>
      <c r="P681" s="3" t="n">
        <v>30</v>
      </c>
      <c r="Q681" s="3" t="s">
        <v>117</v>
      </c>
      <c r="R681" s="3" t="s">
        <v>5915</v>
      </c>
      <c r="S681" s="3" t="s">
        <v>5916</v>
      </c>
      <c r="T681" s="3"/>
      <c r="U681" s="3" t="s">
        <v>98</v>
      </c>
      <c r="V681" s="3" t="s">
        <v>5917</v>
      </c>
      <c r="W681" s="3" t="s">
        <v>5918</v>
      </c>
      <c r="X681" s="3" t="s">
        <v>5919</v>
      </c>
      <c r="Y681" s="3" t="n">
        <v>1</v>
      </c>
      <c r="Z681" s="3" t="n">
        <v>2</v>
      </c>
      <c r="AA681" s="3" t="n">
        <v>3</v>
      </c>
      <c r="AB681" s="3" t="n">
        <v>1</v>
      </c>
      <c r="AC681" s="3" t="n">
        <v>2</v>
      </c>
      <c r="AD681" s="3" t="n">
        <v>3</v>
      </c>
      <c r="AE681" s="3" t="s">
        <v>5920</v>
      </c>
      <c r="AF681" s="3" t="s">
        <v>847</v>
      </c>
      <c r="AG681" s="3" t="s">
        <v>5921</v>
      </c>
      <c r="AH681" s="3" t="s">
        <v>860</v>
      </c>
      <c r="AI681" s="3" t="s">
        <v>1859</v>
      </c>
      <c r="AJ681" s="3" t="s">
        <v>59</v>
      </c>
      <c r="AK681" s="3"/>
      <c r="AL681" s="3" t="s">
        <v>98</v>
      </c>
      <c r="AM681" s="3"/>
      <c r="AN681" s="3"/>
      <c r="AO681" s="3" t="s">
        <v>59</v>
      </c>
      <c r="AP681" s="3"/>
      <c r="AQ681" s="3"/>
      <c r="AR681" s="3"/>
    </row>
    <row r="682" customFormat="false" ht="15" hidden="false" customHeight="true" outlineLevel="0" collapsed="false">
      <c r="A682" s="3" t="s">
        <v>5922</v>
      </c>
      <c r="B682" s="3" t="n">
        <v>8</v>
      </c>
      <c r="C682" s="3" t="n">
        <v>31</v>
      </c>
      <c r="D682" s="3"/>
      <c r="E682" s="4"/>
      <c r="F682" s="3" t="n">
        <v>19</v>
      </c>
      <c r="G682" s="3" t="str">
        <f aca="false">IF(F682="","",IF(F682&gt;=Notes!$B$5,"Elderly ("&amp;Notes!$B$5&amp;"+)",IF(F682&lt;=Notes!$B$4,"Student age (≤"&amp;Notes!$B$4&amp;")","Middle-aged ("&amp;(Notes!$B$4+1)&amp;"–"&amp;(Notes!$B$5-1)&amp;")")))</f>
        <v>Student age (≤29)</v>
      </c>
      <c r="H682" s="3" t="s">
        <v>83</v>
      </c>
      <c r="I682" s="3" t="s">
        <v>2521</v>
      </c>
      <c r="J682" s="3" t="s">
        <v>47</v>
      </c>
      <c r="K682" s="3" t="s">
        <v>2522</v>
      </c>
      <c r="L682" s="3" t="s">
        <v>49</v>
      </c>
      <c r="M682" s="3" t="s">
        <v>47</v>
      </c>
      <c r="N682" s="3" t="s">
        <v>50</v>
      </c>
      <c r="O682" s="3" t="s">
        <v>5923</v>
      </c>
      <c r="P682" s="3" t="n">
        <v>20</v>
      </c>
      <c r="Q682" s="3" t="s">
        <v>95</v>
      </c>
      <c r="R682" s="3" t="s">
        <v>5924</v>
      </c>
      <c r="S682" s="3" t="s">
        <v>5925</v>
      </c>
      <c r="T682" s="3"/>
      <c r="U682" s="3" t="s">
        <v>885</v>
      </c>
      <c r="V682" s="3" t="s">
        <v>5926</v>
      </c>
      <c r="W682" s="3" t="s">
        <v>5927</v>
      </c>
      <c r="X682" s="3" t="s">
        <v>5928</v>
      </c>
      <c r="Y682" s="3" t="n">
        <v>3</v>
      </c>
      <c r="Z682" s="3" t="n">
        <v>2</v>
      </c>
      <c r="AA682" s="3" t="n">
        <v>1</v>
      </c>
      <c r="AB682" s="3" t="n">
        <v>3</v>
      </c>
      <c r="AC682" s="3" t="n">
        <v>1</v>
      </c>
      <c r="AD682" s="3" t="n">
        <v>2</v>
      </c>
      <c r="AE682" s="3" t="s">
        <v>5929</v>
      </c>
      <c r="AF682" s="3" t="s">
        <v>846</v>
      </c>
      <c r="AG682" s="3" t="s">
        <v>5930</v>
      </c>
      <c r="AH682" s="3" t="s">
        <v>846</v>
      </c>
      <c r="AI682" s="3" t="s">
        <v>5931</v>
      </c>
      <c r="AJ682" s="3"/>
      <c r="AK682" s="3" t="s">
        <v>5932</v>
      </c>
      <c r="AL682" s="3" t="s">
        <v>59</v>
      </c>
      <c r="AM682" s="3"/>
      <c r="AN682" s="3"/>
      <c r="AO682" s="3" t="s">
        <v>59</v>
      </c>
      <c r="AP682" s="3"/>
      <c r="AQ682" s="3"/>
      <c r="AR682" s="3"/>
    </row>
    <row r="683" customFormat="false" ht="15" hidden="false" customHeight="true" outlineLevel="0" collapsed="false">
      <c r="A683" s="3" t="s">
        <v>5933</v>
      </c>
      <c r="B683" s="3" t="n">
        <v>8</v>
      </c>
      <c r="C683" s="3" t="n">
        <v>32</v>
      </c>
      <c r="D683" s="3"/>
      <c r="E683" s="4"/>
      <c r="F683" s="3" t="n">
        <v>18</v>
      </c>
      <c r="G683" s="3" t="str">
        <f aca="false">IF(F683="","",IF(F683&gt;=Notes!$B$5,"Elderly ("&amp;Notes!$B$5&amp;"+)",IF(F683&lt;=Notes!$B$4,"Student age (≤"&amp;Notes!$B$4&amp;")","Middle-aged ("&amp;(Notes!$B$4+1)&amp;"–"&amp;(Notes!$B$5-1)&amp;")")))</f>
        <v>Student age (≤29)</v>
      </c>
      <c r="H683" s="3" t="s">
        <v>83</v>
      </c>
      <c r="I683" s="3"/>
      <c r="J683" s="3" t="s">
        <v>5934</v>
      </c>
      <c r="K683" s="3" t="s">
        <v>5934</v>
      </c>
      <c r="L683" s="3" t="s">
        <v>825</v>
      </c>
      <c r="M683" s="3" t="s">
        <v>47</v>
      </c>
      <c r="N683" s="3" t="s">
        <v>826</v>
      </c>
      <c r="O683" s="3" t="s">
        <v>5935</v>
      </c>
      <c r="P683" s="3" t="n">
        <v>10</v>
      </c>
      <c r="Q683" s="3" t="s">
        <v>74</v>
      </c>
      <c r="R683" s="3" t="s">
        <v>5936</v>
      </c>
      <c r="S683" s="3" t="s">
        <v>5937</v>
      </c>
      <c r="T683" s="3"/>
      <c r="U683" s="3" t="s">
        <v>5938</v>
      </c>
      <c r="V683" s="3" t="s">
        <v>5939</v>
      </c>
      <c r="W683" s="3" t="s">
        <v>5940</v>
      </c>
      <c r="X683" s="3" t="s">
        <v>5941</v>
      </c>
      <c r="Y683" s="3" t="n">
        <v>1</v>
      </c>
      <c r="Z683" s="3" t="n">
        <v>2</v>
      </c>
      <c r="AA683" s="3" t="n">
        <v>3</v>
      </c>
      <c r="AB683" s="3" t="n">
        <v>1</v>
      </c>
      <c r="AC683" s="3" t="n">
        <v>2</v>
      </c>
      <c r="AD683" s="3" t="n">
        <v>3</v>
      </c>
      <c r="AE683" s="3" t="s">
        <v>5942</v>
      </c>
      <c r="AF683" s="3" t="s">
        <v>847</v>
      </c>
      <c r="AG683" s="3" t="s">
        <v>5943</v>
      </c>
      <c r="AH683" s="3" t="s">
        <v>846</v>
      </c>
      <c r="AI683" s="3" t="s">
        <v>5944</v>
      </c>
      <c r="AJ683" s="3" t="s">
        <v>59</v>
      </c>
      <c r="AK683" s="3" t="s">
        <v>5945</v>
      </c>
      <c r="AL683" s="3" t="s">
        <v>59</v>
      </c>
      <c r="AM683" s="3"/>
      <c r="AN683" s="3"/>
      <c r="AO683" s="3" t="s">
        <v>59</v>
      </c>
      <c r="AP683" s="3"/>
      <c r="AQ683" s="3"/>
      <c r="AR683" s="3"/>
    </row>
    <row r="684" customFormat="false" ht="15" hidden="false" customHeight="true" outlineLevel="0" collapsed="false">
      <c r="A684" s="3" t="s">
        <v>5946</v>
      </c>
      <c r="B684" s="3" t="n">
        <v>8</v>
      </c>
      <c r="C684" s="3" t="n">
        <v>33</v>
      </c>
      <c r="D684" s="3"/>
      <c r="E684" s="4"/>
      <c r="F684" s="3" t="n">
        <v>20</v>
      </c>
      <c r="G684" s="3" t="str">
        <f aca="false">IF(F684="","",IF(F684&gt;=Notes!$B$5,"Elderly ("&amp;Notes!$B$5&amp;"+)",IF(F684&lt;=Notes!$B$4,"Student age (≤"&amp;Notes!$B$4&amp;")","Middle-aged ("&amp;(Notes!$B$4+1)&amp;"–"&amp;(Notes!$B$5-1)&amp;")")))</f>
        <v>Student age (≤29)</v>
      </c>
      <c r="H684" s="3" t="s">
        <v>45</v>
      </c>
      <c r="I684" s="3" t="s">
        <v>321</v>
      </c>
      <c r="J684" s="3" t="s">
        <v>47</v>
      </c>
      <c r="K684" s="3" t="s">
        <v>322</v>
      </c>
      <c r="L684" s="3" t="s">
        <v>49</v>
      </c>
      <c r="M684" s="3" t="s">
        <v>47</v>
      </c>
      <c r="N684" s="3" t="s">
        <v>50</v>
      </c>
      <c r="O684" s="3" t="s">
        <v>1055</v>
      </c>
      <c r="P684" s="3" t="n">
        <v>15</v>
      </c>
      <c r="Q684" s="3" t="s">
        <v>74</v>
      </c>
      <c r="R684" s="3" t="s">
        <v>5947</v>
      </c>
      <c r="S684" s="3" t="s">
        <v>5948</v>
      </c>
      <c r="T684" s="3"/>
      <c r="U684" s="3" t="s">
        <v>5949</v>
      </c>
      <c r="V684" s="3" t="s">
        <v>5950</v>
      </c>
      <c r="W684" s="3" t="s">
        <v>5951</v>
      </c>
      <c r="X684" s="3" t="s">
        <v>5952</v>
      </c>
      <c r="Y684" s="3" t="n">
        <v>1</v>
      </c>
      <c r="Z684" s="3" t="n">
        <v>2</v>
      </c>
      <c r="AA684" s="3" t="n">
        <v>3</v>
      </c>
      <c r="AB684" s="3" t="n">
        <v>1</v>
      </c>
      <c r="AC684" s="3" t="n">
        <v>2</v>
      </c>
      <c r="AD684" s="3" t="n">
        <v>3</v>
      </c>
      <c r="AE684" s="3" t="s">
        <v>5953</v>
      </c>
      <c r="AF684" s="3" t="s">
        <v>860</v>
      </c>
      <c r="AG684" s="3" t="s">
        <v>5954</v>
      </c>
      <c r="AH684" s="3" t="s">
        <v>846</v>
      </c>
      <c r="AI684" s="3" t="s">
        <v>5955</v>
      </c>
      <c r="AJ684" s="3"/>
      <c r="AK684" s="3" t="s">
        <v>5956</v>
      </c>
      <c r="AL684" s="3" t="s">
        <v>59</v>
      </c>
      <c r="AM684" s="3"/>
      <c r="AN684" s="3"/>
      <c r="AO684" s="3" t="s">
        <v>59</v>
      </c>
      <c r="AP684" s="3"/>
      <c r="AQ684" s="3"/>
      <c r="AR684" s="3"/>
    </row>
    <row r="685" customFormat="false" ht="15" hidden="false" customHeight="true" outlineLevel="0" collapsed="false">
      <c r="A685" s="3" t="s">
        <v>5957</v>
      </c>
      <c r="B685" s="3" t="n">
        <v>8</v>
      </c>
      <c r="C685" s="3" t="n">
        <v>34</v>
      </c>
      <c r="D685" s="3"/>
      <c r="E685" s="4"/>
      <c r="F685" s="3" t="n">
        <v>20</v>
      </c>
      <c r="G685" s="3" t="str">
        <f aca="false">IF(F685="","",IF(F685&gt;=Notes!$B$5,"Elderly ("&amp;Notes!$B$5&amp;"+)",IF(F685&lt;=Notes!$B$4,"Student age (≤"&amp;Notes!$B$4&amp;")","Middle-aged ("&amp;(Notes!$B$4+1)&amp;"–"&amp;(Notes!$B$5-1)&amp;")")))</f>
        <v>Student age (≤29)</v>
      </c>
      <c r="H685" s="3" t="s">
        <v>83</v>
      </c>
      <c r="I685" s="3"/>
      <c r="J685" s="3" t="s">
        <v>437</v>
      </c>
      <c r="K685" s="3" t="s">
        <v>437</v>
      </c>
      <c r="L685" s="3" t="s">
        <v>46</v>
      </c>
      <c r="M685" s="3" t="s">
        <v>47</v>
      </c>
      <c r="N685" s="3" t="s">
        <v>48</v>
      </c>
      <c r="O685" s="3" t="s">
        <v>104</v>
      </c>
      <c r="P685" s="3" t="n">
        <v>25</v>
      </c>
      <c r="Q685" s="3" t="s">
        <v>117</v>
      </c>
      <c r="R685" s="3" t="s">
        <v>5958</v>
      </c>
      <c r="S685" s="3" t="s">
        <v>1366</v>
      </c>
      <c r="T685" s="3"/>
      <c r="U685" s="3" t="s">
        <v>5959</v>
      </c>
      <c r="V685" s="3" t="s">
        <v>5960</v>
      </c>
      <c r="W685" s="3" t="s">
        <v>5961</v>
      </c>
      <c r="X685" s="3" t="s">
        <v>5962</v>
      </c>
      <c r="Y685" s="3" t="n">
        <v>2</v>
      </c>
      <c r="Z685" s="3" t="n">
        <v>3</v>
      </c>
      <c r="AA685" s="3" t="n">
        <v>1</v>
      </c>
      <c r="AB685" s="3" t="n">
        <v>3</v>
      </c>
      <c r="AC685" s="3" t="n">
        <v>2</v>
      </c>
      <c r="AD685" s="3" t="n">
        <v>1</v>
      </c>
      <c r="AE685" s="3" t="s">
        <v>5963</v>
      </c>
      <c r="AF685" s="3" t="s">
        <v>846</v>
      </c>
      <c r="AG685" s="3" t="s">
        <v>5964</v>
      </c>
      <c r="AH685" s="3" t="s">
        <v>847</v>
      </c>
      <c r="AI685" s="3" t="s">
        <v>5965</v>
      </c>
      <c r="AJ685" s="3" t="s">
        <v>59</v>
      </c>
      <c r="AK685" s="3" t="s">
        <v>5966</v>
      </c>
      <c r="AL685" s="3" t="s">
        <v>59</v>
      </c>
      <c r="AM685" s="3"/>
      <c r="AN685" s="3"/>
      <c r="AO685" s="3" t="s">
        <v>59</v>
      </c>
      <c r="AP685" s="3"/>
      <c r="AQ685" s="3"/>
      <c r="AR685" s="3"/>
    </row>
    <row r="686" customFormat="false" ht="15" hidden="false" customHeight="true" outlineLevel="0" collapsed="false">
      <c r="A686" s="3" t="s">
        <v>5967</v>
      </c>
      <c r="B686" s="3" t="n">
        <v>8</v>
      </c>
      <c r="C686" s="3" t="n">
        <v>35</v>
      </c>
      <c r="D686" s="3"/>
      <c r="E686" s="4"/>
      <c r="F686" s="3" t="n">
        <v>21</v>
      </c>
      <c r="G686" s="3" t="str">
        <f aca="false">IF(F686="","",IF(F686&gt;=Notes!$B$5,"Elderly ("&amp;Notes!$B$5&amp;"+)",IF(F686&lt;=Notes!$B$4,"Student age (≤"&amp;Notes!$B$4&amp;")","Middle-aged ("&amp;(Notes!$B$4+1)&amp;"–"&amp;(Notes!$B$5-1)&amp;")")))</f>
        <v>Student age (≤29)</v>
      </c>
      <c r="H686" s="3" t="s">
        <v>45</v>
      </c>
      <c r="I686" s="3" t="s">
        <v>321</v>
      </c>
      <c r="J686" s="3" t="s">
        <v>47</v>
      </c>
      <c r="K686" s="3" t="s">
        <v>322</v>
      </c>
      <c r="L686" s="3" t="s">
        <v>49</v>
      </c>
      <c r="M686" s="3" t="s">
        <v>47</v>
      </c>
      <c r="N686" s="3" t="s">
        <v>50</v>
      </c>
      <c r="O686" s="3" t="s">
        <v>5968</v>
      </c>
      <c r="P686" s="3" t="n">
        <v>40</v>
      </c>
      <c r="Q686" s="3" t="s">
        <v>52</v>
      </c>
      <c r="R686" s="3" t="s">
        <v>5969</v>
      </c>
      <c r="S686" s="3" t="s">
        <v>5970</v>
      </c>
      <c r="T686" s="3"/>
      <c r="U686" s="3" t="s">
        <v>5971</v>
      </c>
      <c r="V686" s="3" t="s">
        <v>5972</v>
      </c>
      <c r="W686" s="3" t="s">
        <v>5973</v>
      </c>
      <c r="X686" s="3" t="s">
        <v>5974</v>
      </c>
      <c r="Y686" s="3" t="n">
        <v>1</v>
      </c>
      <c r="Z686" s="3" t="n">
        <v>2</v>
      </c>
      <c r="AA686" s="3" t="n">
        <v>3</v>
      </c>
      <c r="AB686" s="3" t="n">
        <v>2</v>
      </c>
      <c r="AC686" s="3" t="n">
        <v>1</v>
      </c>
      <c r="AD686" s="3" t="n">
        <v>3</v>
      </c>
      <c r="AE686" s="3" t="s">
        <v>5975</v>
      </c>
      <c r="AF686" s="3" t="s">
        <v>847</v>
      </c>
      <c r="AG686" s="3" t="s">
        <v>5976</v>
      </c>
      <c r="AH686" s="3" t="s">
        <v>846</v>
      </c>
      <c r="AI686" s="3" t="s">
        <v>5977</v>
      </c>
      <c r="AJ686" s="3"/>
      <c r="AK686" s="3" t="s">
        <v>5978</v>
      </c>
      <c r="AL686" s="3" t="s">
        <v>59</v>
      </c>
      <c r="AM686" s="3"/>
      <c r="AN686" s="3"/>
      <c r="AO686" s="3" t="s">
        <v>59</v>
      </c>
      <c r="AP686" s="3"/>
      <c r="AQ686" s="3"/>
      <c r="AR686" s="3"/>
    </row>
    <row r="687" customFormat="false" ht="15" hidden="false" customHeight="true" outlineLevel="0" collapsed="false">
      <c r="A687" s="3" t="s">
        <v>5979</v>
      </c>
      <c r="B687" s="3" t="n">
        <v>8</v>
      </c>
      <c r="C687" s="3" t="n">
        <v>36</v>
      </c>
      <c r="D687" s="3"/>
      <c r="E687" s="4"/>
      <c r="F687" s="3" t="n">
        <v>18</v>
      </c>
      <c r="G687" s="3" t="str">
        <f aca="false">IF(F687="","",IF(F687&gt;=Notes!$B$5,"Elderly ("&amp;Notes!$B$5&amp;"+)",IF(F687&lt;=Notes!$B$4,"Student age (≤"&amp;Notes!$B$4&amp;")","Middle-aged ("&amp;(Notes!$B$4+1)&amp;"–"&amp;(Notes!$B$5-1)&amp;")")))</f>
        <v>Student age (≤29)</v>
      </c>
      <c r="H687" s="3" t="s">
        <v>45</v>
      </c>
      <c r="I687" s="3"/>
      <c r="J687" s="3" t="s">
        <v>5980</v>
      </c>
      <c r="K687" s="3" t="s">
        <v>5980</v>
      </c>
      <c r="L687" s="3" t="s">
        <v>46</v>
      </c>
      <c r="M687" s="3" t="s">
        <v>47</v>
      </c>
      <c r="N687" s="3" t="s">
        <v>48</v>
      </c>
      <c r="O687" s="3" t="s">
        <v>5981</v>
      </c>
      <c r="P687" s="3" t="n">
        <v>30</v>
      </c>
      <c r="Q687" s="3" t="s">
        <v>117</v>
      </c>
      <c r="R687" s="3" t="s">
        <v>5982</v>
      </c>
      <c r="S687" s="3" t="s">
        <v>5983</v>
      </c>
      <c r="T687" s="3"/>
      <c r="U687" s="3" t="s">
        <v>5984</v>
      </c>
      <c r="V687" s="3" t="s">
        <v>5985</v>
      </c>
      <c r="W687" s="3" t="s">
        <v>5986</v>
      </c>
      <c r="X687" s="3" t="s">
        <v>5987</v>
      </c>
      <c r="Y687" s="3" t="n">
        <v>2</v>
      </c>
      <c r="Z687" s="3" t="n">
        <v>1</v>
      </c>
      <c r="AA687" s="3" t="n">
        <v>3</v>
      </c>
      <c r="AB687" s="3" t="n">
        <v>3</v>
      </c>
      <c r="AC687" s="3" t="n">
        <v>1</v>
      </c>
      <c r="AD687" s="3" t="n">
        <v>2</v>
      </c>
      <c r="AE687" s="3" t="s">
        <v>5988</v>
      </c>
      <c r="AF687" s="3" t="s">
        <v>847</v>
      </c>
      <c r="AG687" s="3" t="s">
        <v>5989</v>
      </c>
      <c r="AH687" s="3" t="s">
        <v>846</v>
      </c>
      <c r="AI687" s="3" t="s">
        <v>5990</v>
      </c>
      <c r="AJ687" s="3"/>
      <c r="AK687" s="3" t="s">
        <v>5991</v>
      </c>
      <c r="AL687" s="3" t="s">
        <v>59</v>
      </c>
      <c r="AM687" s="3"/>
      <c r="AN687" s="3"/>
      <c r="AO687" s="3" t="s">
        <v>59</v>
      </c>
      <c r="AP687" s="3"/>
      <c r="AQ687" s="3"/>
      <c r="AR687" s="3"/>
    </row>
    <row r="688" customFormat="false" ht="15" hidden="false" customHeight="true" outlineLevel="0" collapsed="false">
      <c r="A688" s="3" t="s">
        <v>5992</v>
      </c>
      <c r="B688" s="3" t="n">
        <v>8</v>
      </c>
      <c r="C688" s="3" t="n">
        <v>37</v>
      </c>
      <c r="D688" s="3"/>
      <c r="E688" s="4"/>
      <c r="F688" s="3" t="n">
        <v>24</v>
      </c>
      <c r="G688" s="3" t="str">
        <f aca="false">IF(F688="","",IF(F688&gt;=Notes!$B$5,"Elderly ("&amp;Notes!$B$5&amp;"+)",IF(F688&lt;=Notes!$B$4,"Student age (≤"&amp;Notes!$B$4&amp;")","Middle-aged ("&amp;(Notes!$B$4+1)&amp;"–"&amp;(Notes!$B$5-1)&amp;")")))</f>
        <v>Student age (≤29)</v>
      </c>
      <c r="H688" s="3" t="s">
        <v>45</v>
      </c>
      <c r="I688" s="3" t="s">
        <v>71</v>
      </c>
      <c r="J688" s="3" t="s">
        <v>47</v>
      </c>
      <c r="K688" s="3" t="s">
        <v>72</v>
      </c>
      <c r="L688" s="3" t="s">
        <v>61</v>
      </c>
      <c r="M688" s="3" t="s">
        <v>47</v>
      </c>
      <c r="N688" s="3" t="s">
        <v>62</v>
      </c>
      <c r="O688" s="3" t="s">
        <v>104</v>
      </c>
      <c r="P688" s="3" t="n">
        <v>65</v>
      </c>
      <c r="Q688" s="3" t="s">
        <v>52</v>
      </c>
      <c r="R688" s="3" t="s">
        <v>5993</v>
      </c>
      <c r="S688" s="3" t="s">
        <v>5994</v>
      </c>
      <c r="T688" s="3"/>
      <c r="U688" s="3" t="s">
        <v>5995</v>
      </c>
      <c r="V688" s="3" t="s">
        <v>5996</v>
      </c>
      <c r="W688" s="3" t="s">
        <v>5997</v>
      </c>
      <c r="X688" s="3" t="s">
        <v>5998</v>
      </c>
      <c r="Y688" s="3" t="n">
        <v>1</v>
      </c>
      <c r="Z688" s="3" t="n">
        <v>2</v>
      </c>
      <c r="AA688" s="3" t="n">
        <v>3</v>
      </c>
      <c r="AB688" s="3" t="n">
        <v>1</v>
      </c>
      <c r="AC688" s="3" t="n">
        <v>2</v>
      </c>
      <c r="AD688" s="3" t="n">
        <v>3</v>
      </c>
      <c r="AE688" s="3" t="s">
        <v>5999</v>
      </c>
      <c r="AF688" s="3" t="s">
        <v>860</v>
      </c>
      <c r="AG688" s="3" t="s">
        <v>6000</v>
      </c>
      <c r="AH688" s="3" t="s">
        <v>846</v>
      </c>
      <c r="AI688" s="3" t="s">
        <v>6001</v>
      </c>
      <c r="AJ688" s="3"/>
      <c r="AK688" s="3" t="s">
        <v>6002</v>
      </c>
      <c r="AL688" s="3" t="s">
        <v>59</v>
      </c>
      <c r="AM688" s="3"/>
      <c r="AN688" s="3"/>
      <c r="AO688" s="3" t="s">
        <v>59</v>
      </c>
      <c r="AP688" s="3"/>
      <c r="AQ688" s="3"/>
      <c r="AR688" s="3"/>
    </row>
    <row r="689" customFormat="false" ht="15" hidden="false" customHeight="true" outlineLevel="0" collapsed="false">
      <c r="A689" s="3" t="s">
        <v>6003</v>
      </c>
      <c r="B689" s="3" t="n">
        <v>8</v>
      </c>
      <c r="C689" s="3" t="n">
        <v>38</v>
      </c>
      <c r="D689" s="3"/>
      <c r="E689" s="4"/>
      <c r="F689" s="3" t="n">
        <v>24</v>
      </c>
      <c r="G689" s="3" t="str">
        <f aca="false">IF(F689="","",IF(F689&gt;=Notes!$B$5,"Elderly ("&amp;Notes!$B$5&amp;"+)",IF(F689&lt;=Notes!$B$4,"Student age (≤"&amp;Notes!$B$4&amp;")","Middle-aged ("&amp;(Notes!$B$4+1)&amp;"–"&amp;(Notes!$B$5-1)&amp;")")))</f>
        <v>Student age (≤29)</v>
      </c>
      <c r="H689" s="3" t="s">
        <v>45</v>
      </c>
      <c r="I689" s="3" t="s">
        <v>171</v>
      </c>
      <c r="J689" s="3" t="s">
        <v>47</v>
      </c>
      <c r="K689" s="3" t="s">
        <v>172</v>
      </c>
      <c r="L689" s="3" t="s">
        <v>171</v>
      </c>
      <c r="M689" s="3" t="s">
        <v>47</v>
      </c>
      <c r="N689" s="3" t="s">
        <v>172</v>
      </c>
      <c r="O689" s="3" t="s">
        <v>6004</v>
      </c>
      <c r="P689" s="3" t="n">
        <v>30</v>
      </c>
      <c r="Q689" s="3" t="s">
        <v>117</v>
      </c>
      <c r="R689" s="3" t="s">
        <v>893</v>
      </c>
      <c r="S689" s="3" t="s">
        <v>6005</v>
      </c>
      <c r="T689" s="3"/>
      <c r="U689" s="3" t="s">
        <v>885</v>
      </c>
      <c r="V689" s="3" t="s">
        <v>6006</v>
      </c>
      <c r="W689" s="3" t="s">
        <v>6007</v>
      </c>
      <c r="X689" s="3" t="s">
        <v>6008</v>
      </c>
      <c r="Y689" s="3" t="n">
        <v>2</v>
      </c>
      <c r="Z689" s="3" t="n">
        <v>3</v>
      </c>
      <c r="AA689" s="3" t="n">
        <v>1</v>
      </c>
      <c r="AB689" s="3" t="n">
        <v>2</v>
      </c>
      <c r="AC689" s="3" t="n">
        <v>3</v>
      </c>
      <c r="AD689" s="3" t="n">
        <v>1</v>
      </c>
      <c r="AE689" s="3" t="s">
        <v>6009</v>
      </c>
      <c r="AF689" s="3" t="s">
        <v>860</v>
      </c>
      <c r="AG689" s="3" t="s">
        <v>6010</v>
      </c>
      <c r="AH689" s="3" t="s">
        <v>860</v>
      </c>
      <c r="AI689" s="3" t="s">
        <v>6011</v>
      </c>
      <c r="AJ689" s="3" t="s">
        <v>59</v>
      </c>
      <c r="AK689" s="3"/>
      <c r="AL689" s="3" t="s">
        <v>59</v>
      </c>
      <c r="AM689" s="3"/>
      <c r="AN689" s="3"/>
      <c r="AO689" s="3" t="s">
        <v>59</v>
      </c>
      <c r="AP689" s="3"/>
      <c r="AQ689" s="3"/>
      <c r="AR689" s="3"/>
    </row>
    <row r="690" customFormat="false" ht="15" hidden="false" customHeight="true" outlineLevel="0" collapsed="false">
      <c r="A690" s="3" t="s">
        <v>6012</v>
      </c>
      <c r="B690" s="3" t="n">
        <v>8</v>
      </c>
      <c r="C690" s="3" t="n">
        <v>39</v>
      </c>
      <c r="D690" s="3"/>
      <c r="E690" s="4"/>
      <c r="F690" s="3" t="n">
        <v>24</v>
      </c>
      <c r="G690" s="3" t="str">
        <f aca="false">IF(F690="","",IF(F690&gt;=Notes!$B$5,"Elderly ("&amp;Notes!$B$5&amp;"+)",IF(F690&lt;=Notes!$B$4,"Student age (≤"&amp;Notes!$B$4&amp;")","Middle-aged ("&amp;(Notes!$B$4+1)&amp;"–"&amp;(Notes!$B$5-1)&amp;")")))</f>
        <v>Student age (≤29)</v>
      </c>
      <c r="H690" s="3" t="s">
        <v>45</v>
      </c>
      <c r="I690" s="3" t="s">
        <v>159</v>
      </c>
      <c r="J690" s="3" t="s">
        <v>47</v>
      </c>
      <c r="K690" s="3" t="s">
        <v>160</v>
      </c>
      <c r="L690" s="3" t="s">
        <v>159</v>
      </c>
      <c r="M690" s="3" t="s">
        <v>47</v>
      </c>
      <c r="N690" s="3" t="s">
        <v>160</v>
      </c>
      <c r="O690" s="3" t="s">
        <v>6013</v>
      </c>
      <c r="P690" s="3" t="n">
        <v>30</v>
      </c>
      <c r="Q690" s="3" t="s">
        <v>117</v>
      </c>
      <c r="R690" s="3" t="s">
        <v>6014</v>
      </c>
      <c r="S690" s="3" t="s">
        <v>6015</v>
      </c>
      <c r="T690" s="3"/>
      <c r="U690" s="3" t="s">
        <v>6016</v>
      </c>
      <c r="V690" s="3" t="s">
        <v>6017</v>
      </c>
      <c r="W690" s="3" t="s">
        <v>6018</v>
      </c>
      <c r="X690" s="3" t="s">
        <v>6019</v>
      </c>
      <c r="Y690" s="3" t="n">
        <v>2</v>
      </c>
      <c r="Z690" s="3" t="n">
        <v>3</v>
      </c>
      <c r="AA690" s="3" t="n">
        <v>1</v>
      </c>
      <c r="AB690" s="3" t="n">
        <v>3</v>
      </c>
      <c r="AC690" s="3" t="n">
        <v>2</v>
      </c>
      <c r="AD690" s="3" t="n">
        <v>1</v>
      </c>
      <c r="AE690" s="3" t="s">
        <v>6020</v>
      </c>
      <c r="AF690" s="3" t="s">
        <v>846</v>
      </c>
      <c r="AG690" s="3" t="s">
        <v>6021</v>
      </c>
      <c r="AH690" s="3" t="s">
        <v>846</v>
      </c>
      <c r="AI690" s="3" t="s">
        <v>6022</v>
      </c>
      <c r="AJ690" s="3" t="s">
        <v>59</v>
      </c>
      <c r="AK690" s="3" t="s">
        <v>6023</v>
      </c>
      <c r="AL690" s="3" t="s">
        <v>59</v>
      </c>
      <c r="AM690" s="3"/>
      <c r="AN690" s="3"/>
      <c r="AO690" s="3" t="s">
        <v>59</v>
      </c>
      <c r="AP690" s="3"/>
      <c r="AQ690" s="3"/>
      <c r="AR690" s="3"/>
    </row>
    <row r="691" customFormat="false" ht="15" hidden="false" customHeight="true" outlineLevel="0" collapsed="false">
      <c r="A691" s="3" t="s">
        <v>6024</v>
      </c>
      <c r="B691" s="3" t="n">
        <v>8</v>
      </c>
      <c r="C691" s="3" t="n">
        <v>40</v>
      </c>
      <c r="D691" s="3"/>
      <c r="E691" s="4"/>
      <c r="F691" s="3" t="n">
        <v>23</v>
      </c>
      <c r="G691" s="3" t="str">
        <f aca="false">IF(F691="","",IF(F691&gt;=Notes!$B$5,"Elderly ("&amp;Notes!$B$5&amp;"+)",IF(F691&lt;=Notes!$B$4,"Student age (≤"&amp;Notes!$B$4&amp;")","Middle-aged ("&amp;(Notes!$B$4+1)&amp;"–"&amp;(Notes!$B$5-1)&amp;")")))</f>
        <v>Student age (≤29)</v>
      </c>
      <c r="H691" s="3" t="s">
        <v>45</v>
      </c>
      <c r="I691" s="3" t="s">
        <v>71</v>
      </c>
      <c r="J691" s="3" t="s">
        <v>47</v>
      </c>
      <c r="K691" s="3" t="s">
        <v>72</v>
      </c>
      <c r="L691" s="3" t="s">
        <v>49</v>
      </c>
      <c r="M691" s="3" t="s">
        <v>47</v>
      </c>
      <c r="N691" s="3" t="s">
        <v>50</v>
      </c>
      <c r="O691" s="3" t="s">
        <v>6025</v>
      </c>
      <c r="P691" s="3" t="n">
        <v>8</v>
      </c>
      <c r="Q691" s="3" t="s">
        <v>74</v>
      </c>
      <c r="R691" s="3" t="s">
        <v>6026</v>
      </c>
      <c r="S691" s="3" t="s">
        <v>2124</v>
      </c>
      <c r="T691" s="3"/>
      <c r="U691" s="3" t="s">
        <v>6027</v>
      </c>
      <c r="V691" s="3" t="s">
        <v>6028</v>
      </c>
      <c r="W691" s="3" t="s">
        <v>6029</v>
      </c>
      <c r="X691" s="3" t="s">
        <v>6030</v>
      </c>
      <c r="Y691" s="3" t="n">
        <v>1</v>
      </c>
      <c r="Z691" s="3" t="n">
        <v>2</v>
      </c>
      <c r="AA691" s="3" t="n">
        <v>3</v>
      </c>
      <c r="AB691" s="3" t="n">
        <v>1</v>
      </c>
      <c r="AC691" s="3" t="n">
        <v>2</v>
      </c>
      <c r="AD691" s="3" t="n">
        <v>3</v>
      </c>
      <c r="AE691" s="3" t="s">
        <v>6031</v>
      </c>
      <c r="AF691" s="3" t="s">
        <v>860</v>
      </c>
      <c r="AG691" s="3" t="s">
        <v>6032</v>
      </c>
      <c r="AH691" s="3" t="s">
        <v>847</v>
      </c>
      <c r="AI691" s="3" t="s">
        <v>6033</v>
      </c>
      <c r="AJ691" s="3" t="s">
        <v>59</v>
      </c>
      <c r="AK691" s="3" t="s">
        <v>6034</v>
      </c>
      <c r="AL691" s="3" t="s">
        <v>59</v>
      </c>
      <c r="AM691" s="3"/>
      <c r="AN691" s="3"/>
      <c r="AO691" s="3" t="s">
        <v>59</v>
      </c>
      <c r="AP691" s="3"/>
      <c r="AQ691" s="3"/>
      <c r="AR691" s="3"/>
    </row>
    <row r="692" customFormat="false" ht="15" hidden="false" customHeight="true" outlineLevel="0" collapsed="false">
      <c r="A692" s="3" t="s">
        <v>6035</v>
      </c>
      <c r="B692" s="3" t="n">
        <v>8</v>
      </c>
      <c r="C692" s="3" t="n">
        <v>41</v>
      </c>
      <c r="D692" s="3"/>
      <c r="E692" s="4"/>
      <c r="F692" s="3" t="n">
        <v>23</v>
      </c>
      <c r="G692" s="3" t="str">
        <f aca="false">IF(F692="","",IF(F692&gt;=Notes!$B$5,"Elderly ("&amp;Notes!$B$5&amp;"+)",IF(F692&lt;=Notes!$B$4,"Student age (≤"&amp;Notes!$B$4&amp;")","Middle-aged ("&amp;(Notes!$B$4+1)&amp;"–"&amp;(Notes!$B$5-1)&amp;")")))</f>
        <v>Student age (≤29)</v>
      </c>
      <c r="H692" s="3" t="s">
        <v>45</v>
      </c>
      <c r="I692" s="3"/>
      <c r="J692" s="3" t="s">
        <v>1025</v>
      </c>
      <c r="K692" s="3" t="s">
        <v>1025</v>
      </c>
      <c r="L692" s="3" t="s">
        <v>344</v>
      </c>
      <c r="M692" s="3" t="s">
        <v>47</v>
      </c>
      <c r="N692" s="3" t="s">
        <v>345</v>
      </c>
      <c r="O692" s="3" t="s">
        <v>6036</v>
      </c>
      <c r="P692" s="3" t="n">
        <v>12</v>
      </c>
      <c r="Q692" s="3" t="s">
        <v>74</v>
      </c>
      <c r="R692" s="3" t="s">
        <v>2886</v>
      </c>
      <c r="S692" s="3" t="s">
        <v>6037</v>
      </c>
      <c r="T692" s="3"/>
      <c r="U692" s="3" t="s">
        <v>6038</v>
      </c>
      <c r="V692" s="3" t="s">
        <v>6039</v>
      </c>
      <c r="W692" s="3" t="s">
        <v>6040</v>
      </c>
      <c r="X692" s="3" t="s">
        <v>6041</v>
      </c>
      <c r="Y692" s="3" t="n">
        <v>1</v>
      </c>
      <c r="Z692" s="3" t="n">
        <v>2</v>
      </c>
      <c r="AA692" s="3" t="n">
        <v>3</v>
      </c>
      <c r="AB692" s="3" t="n">
        <v>2</v>
      </c>
      <c r="AC692" s="3" t="n">
        <v>1</v>
      </c>
      <c r="AD692" s="3" t="n">
        <v>3</v>
      </c>
      <c r="AE692" s="3" t="s">
        <v>6042</v>
      </c>
      <c r="AF692" s="3" t="s">
        <v>860</v>
      </c>
      <c r="AG692" s="3" t="s">
        <v>6043</v>
      </c>
      <c r="AH692" s="3" t="s">
        <v>846</v>
      </c>
      <c r="AI692" s="3" t="s">
        <v>6044</v>
      </c>
      <c r="AJ692" s="3" t="s">
        <v>59</v>
      </c>
      <c r="AK692" s="3"/>
      <c r="AL692" s="3" t="s">
        <v>59</v>
      </c>
      <c r="AM692" s="3"/>
      <c r="AN692" s="3"/>
      <c r="AO692" s="3" t="s">
        <v>59</v>
      </c>
      <c r="AP692" s="3"/>
      <c r="AQ692" s="3"/>
      <c r="AR692" s="3"/>
    </row>
    <row r="693" customFormat="false" ht="15" hidden="false" customHeight="true" outlineLevel="0" collapsed="false">
      <c r="A693" s="3" t="s">
        <v>6045</v>
      </c>
      <c r="B693" s="3" t="n">
        <v>8</v>
      </c>
      <c r="C693" s="3" t="n">
        <v>42</v>
      </c>
      <c r="D693" s="3"/>
      <c r="E693" s="4"/>
      <c r="F693" s="3" t="n">
        <v>24</v>
      </c>
      <c r="G693" s="3" t="str">
        <f aca="false">IF(F693="","",IF(F693&gt;=Notes!$B$5,"Elderly ("&amp;Notes!$B$5&amp;"+)",IF(F693&lt;=Notes!$B$4,"Student age (≤"&amp;Notes!$B$4&amp;")","Middle-aged ("&amp;(Notes!$B$4+1)&amp;"–"&amp;(Notes!$B$5-1)&amp;")")))</f>
        <v>Student age (≤29)</v>
      </c>
      <c r="H693" s="3" t="s">
        <v>45</v>
      </c>
      <c r="I693" s="3" t="s">
        <v>61</v>
      </c>
      <c r="J693" s="3" t="s">
        <v>47</v>
      </c>
      <c r="K693" s="3" t="s">
        <v>62</v>
      </c>
      <c r="L693" s="3" t="s">
        <v>49</v>
      </c>
      <c r="M693" s="3" t="s">
        <v>47</v>
      </c>
      <c r="N693" s="3" t="s">
        <v>50</v>
      </c>
      <c r="O693" s="3" t="s">
        <v>6046</v>
      </c>
      <c r="P693" s="3" t="n">
        <v>50</v>
      </c>
      <c r="Q693" s="3" t="s">
        <v>52</v>
      </c>
      <c r="R693" s="3" t="s">
        <v>6047</v>
      </c>
      <c r="S693" s="3" t="s">
        <v>6048</v>
      </c>
      <c r="T693" s="3"/>
      <c r="U693" s="3" t="s">
        <v>6049</v>
      </c>
      <c r="V693" s="3" t="s">
        <v>6050</v>
      </c>
      <c r="W693" s="3" t="s">
        <v>6051</v>
      </c>
      <c r="X693" s="3" t="s">
        <v>6052</v>
      </c>
      <c r="Y693" s="3" t="n">
        <v>1</v>
      </c>
      <c r="Z693" s="3" t="n">
        <v>3</v>
      </c>
      <c r="AA693" s="3" t="n">
        <v>2</v>
      </c>
      <c r="AB693" s="3" t="n">
        <v>1</v>
      </c>
      <c r="AC693" s="3" t="n">
        <v>3</v>
      </c>
      <c r="AD693" s="3" t="n">
        <v>2</v>
      </c>
      <c r="AE693" s="3" t="s">
        <v>6053</v>
      </c>
      <c r="AF693" s="3" t="s">
        <v>860</v>
      </c>
      <c r="AG693" s="3" t="s">
        <v>6054</v>
      </c>
      <c r="AH693" s="3" t="s">
        <v>846</v>
      </c>
      <c r="AI693" s="3" t="s">
        <v>6055</v>
      </c>
      <c r="AJ693" s="3" t="s">
        <v>59</v>
      </c>
      <c r="AK693" s="3"/>
      <c r="AL693" s="3" t="s">
        <v>59</v>
      </c>
      <c r="AM693" s="3"/>
      <c r="AN693" s="3"/>
      <c r="AO693" s="3" t="s">
        <v>59</v>
      </c>
      <c r="AP693" s="3"/>
      <c r="AQ693" s="3"/>
      <c r="AR693" s="3"/>
    </row>
    <row r="694" customFormat="false" ht="15" hidden="false" customHeight="true" outlineLevel="0" collapsed="false">
      <c r="A694" s="3" t="s">
        <v>6056</v>
      </c>
      <c r="B694" s="3" t="n">
        <v>8</v>
      </c>
      <c r="C694" s="3" t="n">
        <v>45</v>
      </c>
      <c r="D694" s="3"/>
      <c r="E694" s="4"/>
      <c r="F694" s="3" t="n">
        <v>21</v>
      </c>
      <c r="G694" s="3" t="str">
        <f aca="false">IF(F694="","",IF(F694&gt;=Notes!$B$5,"Elderly ("&amp;Notes!$B$5&amp;"+)",IF(F694&lt;=Notes!$B$4,"Student age (≤"&amp;Notes!$B$4&amp;")","Middle-aged ("&amp;(Notes!$B$4+1)&amp;"–"&amp;(Notes!$B$5-1)&amp;")")))</f>
        <v>Student age (≤29)</v>
      </c>
      <c r="H694" s="3" t="s">
        <v>45</v>
      </c>
      <c r="I694" s="3" t="s">
        <v>321</v>
      </c>
      <c r="J694" s="3" t="s">
        <v>47</v>
      </c>
      <c r="K694" s="3" t="s">
        <v>322</v>
      </c>
      <c r="L694" s="3" t="s">
        <v>49</v>
      </c>
      <c r="M694" s="3" t="s">
        <v>47</v>
      </c>
      <c r="N694" s="3" t="s">
        <v>50</v>
      </c>
      <c r="O694" s="3" t="s">
        <v>6057</v>
      </c>
      <c r="P694" s="3" t="n">
        <v>18</v>
      </c>
      <c r="Q694" s="3" t="s">
        <v>95</v>
      </c>
      <c r="R694" s="3" t="s">
        <v>6058</v>
      </c>
      <c r="S694" s="3" t="s">
        <v>6059</v>
      </c>
      <c r="T694" s="3"/>
      <c r="U694" s="3" t="s">
        <v>6060</v>
      </c>
      <c r="V694" s="3" t="s">
        <v>6061</v>
      </c>
      <c r="W694" s="3" t="s">
        <v>6062</v>
      </c>
      <c r="X694" s="3" t="s">
        <v>6063</v>
      </c>
      <c r="Y694" s="3" t="n">
        <v>3</v>
      </c>
      <c r="Z694" s="3" t="n">
        <v>1</v>
      </c>
      <c r="AA694" s="3" t="n">
        <v>2</v>
      </c>
      <c r="AB694" s="3" t="n">
        <v>2</v>
      </c>
      <c r="AC694" s="3" t="n">
        <v>1</v>
      </c>
      <c r="AD694" s="3" t="n">
        <v>3</v>
      </c>
      <c r="AE694" s="3" t="s">
        <v>6064</v>
      </c>
      <c r="AF694" s="3" t="s">
        <v>846</v>
      </c>
      <c r="AG694" s="3" t="s">
        <v>6065</v>
      </c>
      <c r="AH694" s="3" t="s">
        <v>847</v>
      </c>
      <c r="AI694" s="3" t="s">
        <v>6066</v>
      </c>
      <c r="AJ694" s="3" t="s">
        <v>59</v>
      </c>
      <c r="AK694" s="3" t="s">
        <v>6067</v>
      </c>
      <c r="AL694" s="3" t="s">
        <v>59</v>
      </c>
      <c r="AM694" s="3"/>
      <c r="AN694" s="3"/>
      <c r="AO694" s="3" t="s">
        <v>59</v>
      </c>
      <c r="AP694" s="3"/>
      <c r="AQ694" s="3"/>
      <c r="AR694" s="3"/>
    </row>
    <row r="695" customFormat="false" ht="15" hidden="false" customHeight="true" outlineLevel="0" collapsed="false">
      <c r="A695" s="3" t="s">
        <v>6068</v>
      </c>
      <c r="B695" s="3" t="n">
        <v>8</v>
      </c>
      <c r="C695" s="3" t="n">
        <v>46</v>
      </c>
      <c r="D695" s="3"/>
      <c r="E695" s="4"/>
      <c r="F695" s="3" t="n">
        <v>24</v>
      </c>
      <c r="G695" s="3" t="str">
        <f aca="false">IF(F695="","",IF(F695&gt;=Notes!$B$5,"Elderly ("&amp;Notes!$B$5&amp;"+)",IF(F695&lt;=Notes!$B$4,"Student age (≤"&amp;Notes!$B$4&amp;")","Middle-aged ("&amp;(Notes!$B$4+1)&amp;"–"&amp;(Notes!$B$5-1)&amp;")")))</f>
        <v>Student age (≤29)</v>
      </c>
      <c r="H695" s="3" t="s">
        <v>45</v>
      </c>
      <c r="I695" s="3" t="s">
        <v>71</v>
      </c>
      <c r="J695" s="3" t="s">
        <v>47</v>
      </c>
      <c r="K695" s="3" t="s">
        <v>72</v>
      </c>
      <c r="L695" s="3" t="s">
        <v>71</v>
      </c>
      <c r="M695" s="3" t="s">
        <v>47</v>
      </c>
      <c r="N695" s="3" t="s">
        <v>72</v>
      </c>
      <c r="O695" s="3" t="s">
        <v>6069</v>
      </c>
      <c r="P695" s="3" t="n">
        <v>30</v>
      </c>
      <c r="Q695" s="3" t="s">
        <v>117</v>
      </c>
      <c r="R695" s="3" t="s">
        <v>6070</v>
      </c>
      <c r="S695" s="3" t="s">
        <v>6071</v>
      </c>
      <c r="T695" s="3"/>
      <c r="U695" s="3" t="s">
        <v>6072</v>
      </c>
      <c r="V695" s="3" t="s">
        <v>6073</v>
      </c>
      <c r="W695" s="3" t="s">
        <v>6074</v>
      </c>
      <c r="X695" s="3" t="s">
        <v>6075</v>
      </c>
      <c r="Y695" s="3" t="n">
        <v>2</v>
      </c>
      <c r="Z695" s="3" t="n">
        <v>1</v>
      </c>
      <c r="AA695" s="3" t="n">
        <v>3</v>
      </c>
      <c r="AB695" s="3" t="n">
        <v>3</v>
      </c>
      <c r="AC695" s="3" t="n">
        <v>1</v>
      </c>
      <c r="AD695" s="3" t="n">
        <v>2</v>
      </c>
      <c r="AE695" s="3" t="s">
        <v>6076</v>
      </c>
      <c r="AF695" s="3" t="s">
        <v>860</v>
      </c>
      <c r="AG695" s="3" t="s">
        <v>6077</v>
      </c>
      <c r="AH695" s="3" t="s">
        <v>847</v>
      </c>
      <c r="AI695" s="3" t="s">
        <v>6078</v>
      </c>
      <c r="AJ695" s="3" t="s">
        <v>59</v>
      </c>
      <c r="AK695" s="3" t="s">
        <v>6079</v>
      </c>
      <c r="AL695" s="3" t="s">
        <v>59</v>
      </c>
      <c r="AM695" s="3"/>
      <c r="AN695" s="3"/>
      <c r="AO695" s="3" t="s">
        <v>59</v>
      </c>
      <c r="AP695" s="3"/>
      <c r="AQ695" s="3"/>
      <c r="AR695" s="3"/>
    </row>
    <row r="696" customFormat="false" ht="15" hidden="false" customHeight="true" outlineLevel="0" collapsed="false">
      <c r="A696" s="3" t="s">
        <v>6080</v>
      </c>
      <c r="B696" s="3" t="n">
        <v>8</v>
      </c>
      <c r="C696" s="3" t="n">
        <v>47</v>
      </c>
      <c r="D696" s="3"/>
      <c r="E696" s="4"/>
      <c r="F696" s="3" t="n">
        <v>24</v>
      </c>
      <c r="G696" s="3" t="str">
        <f aca="false">IF(F696="","",IF(F696&gt;=Notes!$B$5,"Elderly ("&amp;Notes!$B$5&amp;"+)",IF(F696&lt;=Notes!$B$4,"Student age (≤"&amp;Notes!$B$4&amp;")","Middle-aged ("&amp;(Notes!$B$4+1)&amp;"–"&amp;(Notes!$B$5-1)&amp;")")))</f>
        <v>Student age (≤29)</v>
      </c>
      <c r="H696" s="3" t="s">
        <v>45</v>
      </c>
      <c r="I696" s="3" t="s">
        <v>321</v>
      </c>
      <c r="J696" s="3" t="s">
        <v>47</v>
      </c>
      <c r="K696" s="3" t="s">
        <v>322</v>
      </c>
      <c r="L696" s="3" t="s">
        <v>5730</v>
      </c>
      <c r="M696" s="3" t="s">
        <v>47</v>
      </c>
      <c r="N696" s="3" t="s">
        <v>5731</v>
      </c>
      <c r="O696" s="3" t="s">
        <v>6081</v>
      </c>
      <c r="P696" s="3" t="n">
        <v>25</v>
      </c>
      <c r="Q696" s="3" t="s">
        <v>117</v>
      </c>
      <c r="R696" s="3" t="s">
        <v>6082</v>
      </c>
      <c r="S696" s="3" t="s">
        <v>6083</v>
      </c>
      <c r="T696" s="3"/>
      <c r="U696" s="3" t="s">
        <v>6084</v>
      </c>
      <c r="V696" s="3" t="s">
        <v>6085</v>
      </c>
      <c r="W696" s="3" t="s">
        <v>6086</v>
      </c>
      <c r="X696" s="3" t="s">
        <v>6087</v>
      </c>
      <c r="Y696" s="3" t="n">
        <v>1</v>
      </c>
      <c r="Z696" s="3" t="n">
        <v>2</v>
      </c>
      <c r="AA696" s="3" t="n">
        <v>3</v>
      </c>
      <c r="AB696" s="3" t="n">
        <v>2</v>
      </c>
      <c r="AC696" s="3" t="n">
        <v>1</v>
      </c>
      <c r="AD696" s="3" t="n">
        <v>3</v>
      </c>
      <c r="AE696" s="3" t="s">
        <v>6088</v>
      </c>
      <c r="AF696" s="3" t="s">
        <v>860</v>
      </c>
      <c r="AG696" s="3" t="s">
        <v>6089</v>
      </c>
      <c r="AH696" s="3" t="s">
        <v>846</v>
      </c>
      <c r="AI696" s="3" t="s">
        <v>6090</v>
      </c>
      <c r="AJ696" s="3"/>
      <c r="AK696" s="3" t="s">
        <v>6091</v>
      </c>
      <c r="AL696" s="3" t="s">
        <v>59</v>
      </c>
      <c r="AM696" s="3"/>
      <c r="AN696" s="3"/>
      <c r="AO696" s="3" t="s">
        <v>59</v>
      </c>
      <c r="AP696" s="3"/>
      <c r="AQ696" s="3"/>
      <c r="AR696" s="3"/>
    </row>
    <row r="697" customFormat="false" ht="15" hidden="false" customHeight="true" outlineLevel="0" collapsed="false">
      <c r="A697" s="3" t="s">
        <v>6092</v>
      </c>
      <c r="B697" s="3" t="n">
        <v>8</v>
      </c>
      <c r="C697" s="3" t="n">
        <v>48</v>
      </c>
      <c r="D697" s="3"/>
      <c r="E697" s="4"/>
      <c r="F697" s="3" t="n">
        <v>24</v>
      </c>
      <c r="G697" s="3" t="str">
        <f aca="false">IF(F697="","",IF(F697&gt;=Notes!$B$5,"Elderly ("&amp;Notes!$B$5&amp;"+)",IF(F697&lt;=Notes!$B$4,"Student age (≤"&amp;Notes!$B$4&amp;")","Middle-aged ("&amp;(Notes!$B$4+1)&amp;"–"&amp;(Notes!$B$5-1)&amp;")")))</f>
        <v>Student age (≤29)</v>
      </c>
      <c r="H697" s="3" t="s">
        <v>45</v>
      </c>
      <c r="I697" s="3" t="s">
        <v>71</v>
      </c>
      <c r="J697" s="3" t="s">
        <v>47</v>
      </c>
      <c r="K697" s="3" t="s">
        <v>72</v>
      </c>
      <c r="L697" s="3" t="s">
        <v>71</v>
      </c>
      <c r="M697" s="3" t="s">
        <v>47</v>
      </c>
      <c r="N697" s="3" t="s">
        <v>72</v>
      </c>
      <c r="O697" s="3" t="s">
        <v>6093</v>
      </c>
      <c r="P697" s="3" t="n">
        <v>22</v>
      </c>
      <c r="Q697" s="3" t="s">
        <v>117</v>
      </c>
      <c r="R697" s="3" t="s">
        <v>6094</v>
      </c>
      <c r="S697" s="3" t="s">
        <v>6095</v>
      </c>
      <c r="T697" s="3"/>
      <c r="U697" s="3" t="s">
        <v>6096</v>
      </c>
      <c r="V697" s="3" t="s">
        <v>6097</v>
      </c>
      <c r="W697" s="3" t="s">
        <v>6098</v>
      </c>
      <c r="X697" s="3" t="s">
        <v>6099</v>
      </c>
      <c r="Y697" s="3" t="n">
        <v>3</v>
      </c>
      <c r="Z697" s="3" t="n">
        <v>1</v>
      </c>
      <c r="AA697" s="3" t="n">
        <v>2</v>
      </c>
      <c r="AB697" s="3" t="n">
        <v>1</v>
      </c>
      <c r="AC697" s="3" t="n">
        <v>2</v>
      </c>
      <c r="AD697" s="3" t="n">
        <v>3</v>
      </c>
      <c r="AE697" s="3" t="s">
        <v>6100</v>
      </c>
      <c r="AF697" s="3" t="s">
        <v>846</v>
      </c>
      <c r="AG697" s="3" t="s">
        <v>6101</v>
      </c>
      <c r="AH697" s="3" t="s">
        <v>860</v>
      </c>
      <c r="AI697" s="3" t="s">
        <v>6102</v>
      </c>
      <c r="AJ697" s="3" t="s">
        <v>59</v>
      </c>
      <c r="AK697" s="3" t="s">
        <v>6103</v>
      </c>
      <c r="AL697" s="3" t="s">
        <v>59</v>
      </c>
      <c r="AM697" s="3"/>
      <c r="AN697" s="3"/>
      <c r="AO697" s="3" t="s">
        <v>59</v>
      </c>
      <c r="AP697" s="3"/>
      <c r="AQ697" s="3"/>
      <c r="AR697" s="3"/>
    </row>
    <row r="698" customFormat="false" ht="15" hidden="false" customHeight="true" outlineLevel="0" collapsed="false">
      <c r="A698" s="3" t="s">
        <v>6104</v>
      </c>
      <c r="B698" s="3" t="n">
        <v>8</v>
      </c>
      <c r="C698" s="3" t="n">
        <v>49</v>
      </c>
      <c r="D698" s="3"/>
      <c r="E698" s="4"/>
      <c r="F698" s="3" t="n">
        <v>22</v>
      </c>
      <c r="G698" s="3" t="str">
        <f aca="false">IF(F698="","",IF(F698&gt;=Notes!$B$5,"Elderly ("&amp;Notes!$B$5&amp;"+)",IF(F698&lt;=Notes!$B$4,"Student age (≤"&amp;Notes!$B$4&amp;")","Middle-aged ("&amp;(Notes!$B$4+1)&amp;"–"&amp;(Notes!$B$5-1)&amp;")")))</f>
        <v>Student age (≤29)</v>
      </c>
      <c r="H698" s="3" t="s">
        <v>83</v>
      </c>
      <c r="I698" s="3" t="s">
        <v>61</v>
      </c>
      <c r="J698" s="3" t="s">
        <v>47</v>
      </c>
      <c r="K698" s="3" t="s">
        <v>62</v>
      </c>
      <c r="L698" s="3" t="s">
        <v>49</v>
      </c>
      <c r="M698" s="3" t="s">
        <v>47</v>
      </c>
      <c r="N698" s="3" t="s">
        <v>50</v>
      </c>
      <c r="O698" s="3" t="s">
        <v>6105</v>
      </c>
      <c r="P698" s="3" t="n">
        <v>33</v>
      </c>
      <c r="Q698" s="3" t="s">
        <v>52</v>
      </c>
      <c r="R698" s="3" t="s">
        <v>6106</v>
      </c>
      <c r="S698" s="3" t="s">
        <v>6107</v>
      </c>
      <c r="T698" s="3"/>
      <c r="U698" s="3" t="s">
        <v>6108</v>
      </c>
      <c r="V698" s="3" t="s">
        <v>6109</v>
      </c>
      <c r="W698" s="3" t="s">
        <v>6110</v>
      </c>
      <c r="X698" s="3" t="s">
        <v>6111</v>
      </c>
      <c r="Y698" s="3" t="n">
        <v>2</v>
      </c>
      <c r="Z698" s="3" t="n">
        <v>1</v>
      </c>
      <c r="AA698" s="3" t="n">
        <v>3</v>
      </c>
      <c r="AB698" s="3" t="n">
        <v>2</v>
      </c>
      <c r="AC698" s="3" t="n">
        <v>1</v>
      </c>
      <c r="AD698" s="3" t="n">
        <v>3</v>
      </c>
      <c r="AE698" s="3" t="s">
        <v>6112</v>
      </c>
      <c r="AF698" s="3" t="s">
        <v>847</v>
      </c>
      <c r="AG698" s="3" t="s">
        <v>6113</v>
      </c>
      <c r="AH698" s="3" t="s">
        <v>847</v>
      </c>
      <c r="AI698" s="3" t="s">
        <v>6114</v>
      </c>
      <c r="AJ698" s="3" t="s">
        <v>59</v>
      </c>
      <c r="AK698" s="3" t="s">
        <v>6115</v>
      </c>
      <c r="AL698" s="3" t="s">
        <v>59</v>
      </c>
      <c r="AM698" s="3"/>
      <c r="AN698" s="3"/>
      <c r="AO698" s="3" t="s">
        <v>59</v>
      </c>
      <c r="AP698" s="3"/>
      <c r="AQ698" s="3"/>
      <c r="AR698" s="3"/>
    </row>
    <row r="699" customFormat="false" ht="15" hidden="false" customHeight="true" outlineLevel="0" collapsed="false">
      <c r="A699" s="3" t="s">
        <v>6116</v>
      </c>
      <c r="B699" s="3" t="n">
        <v>8</v>
      </c>
      <c r="C699" s="3" t="n">
        <v>50</v>
      </c>
      <c r="D699" s="3"/>
      <c r="E699" s="4"/>
      <c r="F699" s="3" t="n">
        <v>22</v>
      </c>
      <c r="G699" s="3" t="str">
        <f aca="false">IF(F699="","",IF(F699&gt;=Notes!$B$5,"Elderly ("&amp;Notes!$B$5&amp;"+)",IF(F699&lt;=Notes!$B$4,"Student age (≤"&amp;Notes!$B$4&amp;")","Middle-aged ("&amp;(Notes!$B$4+1)&amp;"–"&amp;(Notes!$B$5-1)&amp;")")))</f>
        <v>Student age (≤29)</v>
      </c>
      <c r="H699" s="3" t="s">
        <v>83</v>
      </c>
      <c r="I699" s="3" t="s">
        <v>171</v>
      </c>
      <c r="J699" s="3" t="s">
        <v>47</v>
      </c>
      <c r="K699" s="3" t="s">
        <v>172</v>
      </c>
      <c r="L699" s="3" t="s">
        <v>6117</v>
      </c>
      <c r="M699" s="3" t="s">
        <v>47</v>
      </c>
      <c r="N699" s="3" t="s">
        <v>6118</v>
      </c>
      <c r="O699" s="3"/>
      <c r="P699" s="3"/>
      <c r="Q699" s="3"/>
      <c r="R699" s="3"/>
      <c r="S699" s="3"/>
      <c r="T699" s="3"/>
      <c r="U699" s="3"/>
      <c r="V699" s="3"/>
      <c r="W699" s="3"/>
      <c r="X699" s="3" t="s">
        <v>6119</v>
      </c>
      <c r="Y699" s="3" t="n">
        <v>1</v>
      </c>
      <c r="Z699" s="3" t="n">
        <v>2</v>
      </c>
      <c r="AA699" s="3" t="n">
        <v>3</v>
      </c>
      <c r="AB699" s="3" t="n">
        <v>1</v>
      </c>
      <c r="AC699" s="3" t="n">
        <v>2</v>
      </c>
      <c r="AD699" s="3" t="n">
        <v>3</v>
      </c>
      <c r="AE699" s="3" t="s">
        <v>6120</v>
      </c>
      <c r="AF699" s="3" t="s">
        <v>860</v>
      </c>
      <c r="AG699" s="3" t="s">
        <v>6121</v>
      </c>
      <c r="AH699" s="3" t="s">
        <v>847</v>
      </c>
      <c r="AI699" s="3" t="s">
        <v>6122</v>
      </c>
      <c r="AJ699" s="3" t="s">
        <v>98</v>
      </c>
      <c r="AK699" s="3" t="s">
        <v>6123</v>
      </c>
      <c r="AL699" s="3" t="s">
        <v>59</v>
      </c>
      <c r="AM699" s="3"/>
      <c r="AN699" s="3"/>
      <c r="AO699" s="3" t="s">
        <v>59</v>
      </c>
      <c r="AP699" s="3"/>
      <c r="AQ699" s="3"/>
      <c r="AR699" s="3"/>
    </row>
    <row r="700" customFormat="false" ht="15" hidden="false" customHeight="true" outlineLevel="0" collapsed="false">
      <c r="A700" s="3" t="s">
        <v>6124</v>
      </c>
      <c r="B700" s="3" t="n">
        <v>8</v>
      </c>
      <c r="C700" s="3" t="n">
        <v>51</v>
      </c>
      <c r="D700" s="3"/>
      <c r="E700" s="4"/>
      <c r="F700" s="3" t="n">
        <v>21</v>
      </c>
      <c r="G700" s="3" t="str">
        <f aca="false">IF(F700="","",IF(F700&gt;=Notes!$B$5,"Elderly ("&amp;Notes!$B$5&amp;"+)",IF(F700&lt;=Notes!$B$4,"Student age (≤"&amp;Notes!$B$4&amp;")","Middle-aged ("&amp;(Notes!$B$4+1)&amp;"–"&amp;(Notes!$B$5-1)&amp;")")))</f>
        <v>Student age (≤29)</v>
      </c>
      <c r="H700" s="3" t="s">
        <v>83</v>
      </c>
      <c r="I700" s="3" t="s">
        <v>171</v>
      </c>
      <c r="J700" s="3" t="s">
        <v>47</v>
      </c>
      <c r="K700" s="3" t="s">
        <v>172</v>
      </c>
      <c r="L700" s="3" t="s">
        <v>49</v>
      </c>
      <c r="M700" s="3" t="s">
        <v>47</v>
      </c>
      <c r="N700" s="3" t="s">
        <v>50</v>
      </c>
      <c r="O700" s="3"/>
      <c r="P700" s="3"/>
      <c r="Q700" s="3"/>
      <c r="R700" s="3"/>
      <c r="S700" s="3"/>
      <c r="T700" s="3"/>
      <c r="U700" s="3"/>
      <c r="V700" s="3"/>
      <c r="W700" s="3"/>
      <c r="X700" s="3" t="s">
        <v>6125</v>
      </c>
      <c r="Y700" s="3" t="n">
        <v>1</v>
      </c>
      <c r="Z700" s="3" t="n">
        <v>2</v>
      </c>
      <c r="AA700" s="3" t="n">
        <v>3</v>
      </c>
      <c r="AB700" s="3" t="n">
        <v>1</v>
      </c>
      <c r="AC700" s="3" t="n">
        <v>2</v>
      </c>
      <c r="AD700" s="3" t="n">
        <v>3</v>
      </c>
      <c r="AE700" s="3" t="s">
        <v>6126</v>
      </c>
      <c r="AF700" s="3" t="s">
        <v>860</v>
      </c>
      <c r="AG700" s="3" t="s">
        <v>6127</v>
      </c>
      <c r="AH700" s="3" t="s">
        <v>847</v>
      </c>
      <c r="AI700" s="3" t="s">
        <v>6128</v>
      </c>
      <c r="AJ700" s="3"/>
      <c r="AK700" s="3" t="s">
        <v>6129</v>
      </c>
      <c r="AL700" s="3" t="s">
        <v>59</v>
      </c>
      <c r="AM700" s="3"/>
      <c r="AN700" s="3"/>
      <c r="AO700" s="3" t="s">
        <v>59</v>
      </c>
      <c r="AP700" s="3"/>
      <c r="AQ700" s="3"/>
      <c r="AR700" s="3"/>
    </row>
    <row r="701" customFormat="false" ht="15" hidden="false" customHeight="true" outlineLevel="0" collapsed="false">
      <c r="A701" s="3" t="s">
        <v>6130</v>
      </c>
      <c r="B701" s="3" t="n">
        <v>8</v>
      </c>
      <c r="C701" s="3" t="n">
        <v>52</v>
      </c>
      <c r="D701" s="3"/>
      <c r="E701" s="4"/>
      <c r="F701" s="3" t="n">
        <v>46</v>
      </c>
      <c r="G701" s="3" t="str">
        <f aca="false">IF(F701="","",IF(F701&gt;=Notes!$B$5,"Elderly ("&amp;Notes!$B$5&amp;"+)",IF(F701&lt;=Notes!$B$4,"Student age (≤"&amp;Notes!$B$4&amp;")","Middle-aged ("&amp;(Notes!$B$4+1)&amp;"–"&amp;(Notes!$B$5-1)&amp;")")))</f>
        <v>Middle-aged (30–64)</v>
      </c>
      <c r="H701" s="3" t="s">
        <v>45</v>
      </c>
      <c r="I701" s="3"/>
      <c r="J701" s="3" t="s">
        <v>5980</v>
      </c>
      <c r="K701" s="3" t="s">
        <v>5980</v>
      </c>
      <c r="L701" s="3"/>
      <c r="M701" s="3" t="s">
        <v>5980</v>
      </c>
      <c r="N701" s="3" t="s">
        <v>5980</v>
      </c>
      <c r="O701" s="3" t="s">
        <v>6131</v>
      </c>
      <c r="P701" s="3" t="n">
        <v>25</v>
      </c>
      <c r="Q701" s="3" t="s">
        <v>117</v>
      </c>
      <c r="R701" s="3" t="s">
        <v>6132</v>
      </c>
      <c r="S701" s="3" t="s">
        <v>6133</v>
      </c>
      <c r="T701" s="3"/>
      <c r="U701" s="3" t="s">
        <v>6134</v>
      </c>
      <c r="V701" s="3" t="s">
        <v>6135</v>
      </c>
      <c r="W701" s="3" t="s">
        <v>59</v>
      </c>
      <c r="X701" s="3" t="s">
        <v>6136</v>
      </c>
      <c r="Y701" s="3" t="n">
        <v>3</v>
      </c>
      <c r="Z701" s="3" t="n">
        <v>2</v>
      </c>
      <c r="AA701" s="3" t="n">
        <v>1</v>
      </c>
      <c r="AB701" s="3" t="n">
        <v>3</v>
      </c>
      <c r="AC701" s="3" t="n">
        <v>2</v>
      </c>
      <c r="AD701" s="3" t="n">
        <v>1</v>
      </c>
      <c r="AE701" s="3" t="s">
        <v>6137</v>
      </c>
      <c r="AF701" s="3" t="s">
        <v>846</v>
      </c>
      <c r="AG701" s="3" t="s">
        <v>6137</v>
      </c>
      <c r="AH701" s="3" t="s">
        <v>846</v>
      </c>
      <c r="AI701" s="3" t="s">
        <v>6138</v>
      </c>
      <c r="AJ701" s="3" t="s">
        <v>59</v>
      </c>
      <c r="AK701" s="3" t="s">
        <v>6139</v>
      </c>
      <c r="AL701" s="3" t="s">
        <v>59</v>
      </c>
      <c r="AM701" s="3"/>
      <c r="AN701" s="3"/>
      <c r="AO701" s="3" t="s">
        <v>59</v>
      </c>
      <c r="AP701" s="3"/>
      <c r="AQ701" s="3"/>
      <c r="AR701" s="3"/>
    </row>
    <row r="702" customFormat="false" ht="15" hidden="false" customHeight="true" outlineLevel="0" collapsed="false">
      <c r="A702" s="3" t="s">
        <v>6140</v>
      </c>
      <c r="B702" s="3" t="n">
        <v>8</v>
      </c>
      <c r="C702" s="3" t="n">
        <v>53</v>
      </c>
      <c r="D702" s="3"/>
      <c r="E702" s="4"/>
      <c r="F702" s="3" t="n">
        <v>22</v>
      </c>
      <c r="G702" s="3" t="str">
        <f aca="false">IF(F702="","",IF(F702&gt;=Notes!$B$5,"Elderly ("&amp;Notes!$B$5&amp;"+)",IF(F702&lt;=Notes!$B$4,"Student age (≤"&amp;Notes!$B$4&amp;")","Middle-aged ("&amp;(Notes!$B$4+1)&amp;"–"&amp;(Notes!$B$5-1)&amp;")")))</f>
        <v>Student age (≤29)</v>
      </c>
      <c r="H702" s="3" t="s">
        <v>45</v>
      </c>
      <c r="I702" s="3" t="s">
        <v>114</v>
      </c>
      <c r="J702" s="3" t="s">
        <v>47</v>
      </c>
      <c r="K702" s="3" t="s">
        <v>115</v>
      </c>
      <c r="L702" s="3" t="s">
        <v>92</v>
      </c>
      <c r="M702" s="3" t="s">
        <v>47</v>
      </c>
      <c r="N702" s="3" t="s">
        <v>93</v>
      </c>
      <c r="O702" s="3"/>
      <c r="P702" s="3"/>
      <c r="Q702" s="3"/>
      <c r="R702" s="3"/>
      <c r="S702" s="3"/>
      <c r="T702" s="3"/>
      <c r="U702" s="3"/>
      <c r="V702" s="3"/>
      <c r="W702" s="3"/>
      <c r="X702" s="3" t="s">
        <v>6141</v>
      </c>
      <c r="Y702" s="3" t="n">
        <v>2</v>
      </c>
      <c r="Z702" s="3" t="n">
        <v>1</v>
      </c>
      <c r="AA702" s="3" t="n">
        <v>3</v>
      </c>
      <c r="AB702" s="3" t="n">
        <v>2</v>
      </c>
      <c r="AC702" s="3" t="n">
        <v>1</v>
      </c>
      <c r="AD702" s="3" t="n">
        <v>3</v>
      </c>
      <c r="AE702" s="3" t="s">
        <v>6142</v>
      </c>
      <c r="AF702" s="3" t="s">
        <v>860</v>
      </c>
      <c r="AG702" s="3" t="s">
        <v>6143</v>
      </c>
      <c r="AH702" s="3" t="s">
        <v>846</v>
      </c>
      <c r="AI702" s="3" t="s">
        <v>6144</v>
      </c>
      <c r="AJ702" s="3" t="s">
        <v>59</v>
      </c>
      <c r="AK702" s="3"/>
      <c r="AL702" s="3" t="s">
        <v>59</v>
      </c>
      <c r="AM702" s="3"/>
      <c r="AN702" s="3"/>
      <c r="AO702" s="3" t="s">
        <v>59</v>
      </c>
      <c r="AP702" s="3"/>
      <c r="AQ702" s="3"/>
      <c r="AR702" s="3"/>
    </row>
    <row r="703" customFormat="false" ht="15" hidden="false" customHeight="true" outlineLevel="0" collapsed="false">
      <c r="A703" s="3" t="s">
        <v>6145</v>
      </c>
      <c r="B703" s="3" t="n">
        <v>8</v>
      </c>
      <c r="C703" s="3" t="n">
        <v>54</v>
      </c>
      <c r="D703" s="3"/>
      <c r="E703" s="4"/>
      <c r="F703" s="3" t="n">
        <v>43</v>
      </c>
      <c r="G703" s="3" t="str">
        <f aca="false">IF(F703="","",IF(F703&gt;=Notes!$B$5,"Elderly ("&amp;Notes!$B$5&amp;"+)",IF(F703&lt;=Notes!$B$4,"Student age (≤"&amp;Notes!$B$4&amp;")","Middle-aged ("&amp;(Notes!$B$4+1)&amp;"–"&amp;(Notes!$B$5-1)&amp;")")))</f>
        <v>Middle-aged (30–64)</v>
      </c>
      <c r="H703" s="3" t="s">
        <v>45</v>
      </c>
      <c r="I703" s="3" t="s">
        <v>71</v>
      </c>
      <c r="J703" s="3" t="s">
        <v>47</v>
      </c>
      <c r="K703" s="3" t="s">
        <v>72</v>
      </c>
      <c r="L703" s="3" t="s">
        <v>49</v>
      </c>
      <c r="M703" s="3" t="s">
        <v>47</v>
      </c>
      <c r="N703" s="3" t="s">
        <v>50</v>
      </c>
      <c r="O703" s="3"/>
      <c r="P703" s="3"/>
      <c r="Q703" s="3"/>
      <c r="R703" s="3"/>
      <c r="S703" s="3"/>
      <c r="T703" s="3"/>
      <c r="U703" s="3"/>
      <c r="V703" s="3"/>
      <c r="W703" s="3"/>
      <c r="X703" s="3" t="s">
        <v>6146</v>
      </c>
      <c r="Y703" s="3" t="n">
        <v>2</v>
      </c>
      <c r="Z703" s="3" t="n">
        <v>1</v>
      </c>
      <c r="AA703" s="3" t="n">
        <v>3</v>
      </c>
      <c r="AB703" s="3" t="n">
        <v>2</v>
      </c>
      <c r="AC703" s="3" t="n">
        <v>1</v>
      </c>
      <c r="AD703" s="3" t="n">
        <v>3</v>
      </c>
      <c r="AE703" s="3" t="s">
        <v>6147</v>
      </c>
      <c r="AF703" s="3" t="s">
        <v>847</v>
      </c>
      <c r="AG703" s="3" t="s">
        <v>6148</v>
      </c>
      <c r="AH703" s="3" t="s">
        <v>846</v>
      </c>
      <c r="AI703" s="3" t="s">
        <v>6149</v>
      </c>
      <c r="AJ703" s="3" t="s">
        <v>59</v>
      </c>
      <c r="AK703" s="3" t="s">
        <v>6150</v>
      </c>
      <c r="AL703" s="3" t="s">
        <v>59</v>
      </c>
      <c r="AM703" s="3"/>
      <c r="AN703" s="3"/>
      <c r="AO703" s="3" t="s">
        <v>59</v>
      </c>
      <c r="AP703" s="3"/>
      <c r="AQ703" s="3"/>
      <c r="AR703" s="3"/>
    </row>
    <row r="704" customFormat="false" ht="15" hidden="false" customHeight="true" outlineLevel="0" collapsed="false">
      <c r="A704" s="3" t="s">
        <v>6151</v>
      </c>
      <c r="B704" s="3" t="n">
        <v>8</v>
      </c>
      <c r="C704" s="3" t="n">
        <v>55</v>
      </c>
      <c r="D704" s="3"/>
      <c r="E704" s="4"/>
      <c r="F704" s="3" t="n">
        <v>56</v>
      </c>
      <c r="G704" s="3" t="str">
        <f aca="false">IF(F704="","",IF(F704&gt;=Notes!$B$5,"Elderly ("&amp;Notes!$B$5&amp;"+)",IF(F704&lt;=Notes!$B$4,"Student age (≤"&amp;Notes!$B$4&amp;")","Middle-aged ("&amp;(Notes!$B$4+1)&amp;"–"&amp;(Notes!$B$5-1)&amp;")")))</f>
        <v>Middle-aged (30–64)</v>
      </c>
      <c r="H704" s="3" t="s">
        <v>45</v>
      </c>
      <c r="I704" s="3"/>
      <c r="J704" s="3" t="s">
        <v>437</v>
      </c>
      <c r="K704" s="3" t="s">
        <v>437</v>
      </c>
      <c r="L704" s="3" t="s">
        <v>49</v>
      </c>
      <c r="M704" s="3" t="s">
        <v>47</v>
      </c>
      <c r="N704" s="3" t="s">
        <v>50</v>
      </c>
      <c r="O704" s="3" t="s">
        <v>6152</v>
      </c>
      <c r="P704" s="3" t="n">
        <v>30</v>
      </c>
      <c r="Q704" s="3" t="s">
        <v>117</v>
      </c>
      <c r="R704" s="3" t="s">
        <v>6153</v>
      </c>
      <c r="S704" s="3" t="s">
        <v>6154</v>
      </c>
      <c r="T704" s="3"/>
      <c r="U704" s="3" t="s">
        <v>6155</v>
      </c>
      <c r="V704" s="3" t="s">
        <v>6156</v>
      </c>
      <c r="W704" s="3" t="s">
        <v>6157</v>
      </c>
      <c r="X704" s="3" t="s">
        <v>6158</v>
      </c>
      <c r="Y704" s="3" t="n">
        <v>1</v>
      </c>
      <c r="Z704" s="3" t="n">
        <v>2</v>
      </c>
      <c r="AA704" s="3" t="n">
        <v>3</v>
      </c>
      <c r="AB704" s="3" t="n">
        <v>1</v>
      </c>
      <c r="AC704" s="3" t="n">
        <v>2</v>
      </c>
      <c r="AD704" s="3" t="n">
        <v>3</v>
      </c>
      <c r="AE704" s="3" t="s">
        <v>6159</v>
      </c>
      <c r="AF704" s="3" t="s">
        <v>847</v>
      </c>
      <c r="AG704" s="3" t="s">
        <v>6160</v>
      </c>
      <c r="AH704" s="3" t="s">
        <v>846</v>
      </c>
      <c r="AI704" s="3" t="s">
        <v>6161</v>
      </c>
      <c r="AJ704" s="3" t="s">
        <v>59</v>
      </c>
      <c r="AK704" s="3"/>
      <c r="AL704" s="3" t="s">
        <v>59</v>
      </c>
      <c r="AM704" s="3"/>
      <c r="AN704" s="3"/>
      <c r="AO704" s="3" t="s">
        <v>59</v>
      </c>
      <c r="AP704" s="3"/>
      <c r="AQ704" s="3"/>
      <c r="AR704" s="3"/>
    </row>
    <row r="705" customFormat="false" ht="15" hidden="false" customHeight="true" outlineLevel="0" collapsed="false">
      <c r="A705" s="3" t="s">
        <v>6162</v>
      </c>
      <c r="B705" s="3" t="n">
        <v>8</v>
      </c>
      <c r="C705" s="3" t="n">
        <v>56</v>
      </c>
      <c r="D705" s="3"/>
      <c r="E705" s="4"/>
      <c r="F705" s="3" t="n">
        <v>20</v>
      </c>
      <c r="G705" s="3" t="str">
        <f aca="false">IF(F705="","",IF(F705&gt;=Notes!$B$5,"Elderly ("&amp;Notes!$B$5&amp;"+)",IF(F705&lt;=Notes!$B$4,"Student age (≤"&amp;Notes!$B$4&amp;")","Middle-aged ("&amp;(Notes!$B$4+1)&amp;"–"&amp;(Notes!$B$5-1)&amp;")")))</f>
        <v>Student age (≤29)</v>
      </c>
      <c r="H705" s="3" t="s">
        <v>83</v>
      </c>
      <c r="I705" s="3"/>
      <c r="J705" s="3" t="s">
        <v>437</v>
      </c>
      <c r="K705" s="3" t="s">
        <v>437</v>
      </c>
      <c r="L705" s="3"/>
      <c r="M705" s="3" t="s">
        <v>2651</v>
      </c>
      <c r="N705" s="3" t="s">
        <v>2651</v>
      </c>
      <c r="O705" s="3" t="s">
        <v>6163</v>
      </c>
      <c r="P705" s="3" t="n">
        <v>30</v>
      </c>
      <c r="Q705" s="3" t="s">
        <v>117</v>
      </c>
      <c r="R705" s="3" t="s">
        <v>6164</v>
      </c>
      <c r="S705" s="3" t="s">
        <v>6165</v>
      </c>
      <c r="T705" s="3"/>
      <c r="U705" s="3" t="s">
        <v>6166</v>
      </c>
      <c r="V705" s="3" t="s">
        <v>6167</v>
      </c>
      <c r="W705" s="3" t="s">
        <v>6168</v>
      </c>
      <c r="X705" s="3" t="s">
        <v>6169</v>
      </c>
      <c r="Y705" s="3" t="n">
        <v>1</v>
      </c>
      <c r="Z705" s="3" t="n">
        <v>2</v>
      </c>
      <c r="AA705" s="3" t="n">
        <v>3</v>
      </c>
      <c r="AB705" s="3" t="n">
        <v>2</v>
      </c>
      <c r="AC705" s="3" t="n">
        <v>1</v>
      </c>
      <c r="AD705" s="3" t="n">
        <v>3</v>
      </c>
      <c r="AE705" s="3" t="s">
        <v>6170</v>
      </c>
      <c r="AF705" s="3" t="s">
        <v>846</v>
      </c>
      <c r="AG705" s="3" t="s">
        <v>6171</v>
      </c>
      <c r="AH705" s="3" t="s">
        <v>846</v>
      </c>
      <c r="AI705" s="3" t="s">
        <v>6172</v>
      </c>
      <c r="AJ705" s="3" t="s">
        <v>59</v>
      </c>
      <c r="AK705" s="3"/>
      <c r="AL705" s="3" t="s">
        <v>59</v>
      </c>
      <c r="AM705" s="3"/>
      <c r="AN705" s="3"/>
      <c r="AO705" s="3" t="s">
        <v>59</v>
      </c>
      <c r="AP705" s="3"/>
      <c r="AQ705" s="3"/>
      <c r="AR705" s="3"/>
    </row>
    <row r="706" customFormat="false" ht="15" hidden="false" customHeight="true" outlineLevel="0" collapsed="false">
      <c r="A706" s="3" t="s">
        <v>6173</v>
      </c>
      <c r="B706" s="3" t="n">
        <v>8</v>
      </c>
      <c r="C706" s="3" t="n">
        <v>57</v>
      </c>
      <c r="D706" s="3"/>
      <c r="E706" s="4"/>
      <c r="F706" s="3" t="n">
        <v>21</v>
      </c>
      <c r="G706" s="3" t="str">
        <f aca="false">IF(F706="","",IF(F706&gt;=Notes!$B$5,"Elderly ("&amp;Notes!$B$5&amp;"+)",IF(F706&lt;=Notes!$B$4,"Student age (≤"&amp;Notes!$B$4&amp;")","Middle-aged ("&amp;(Notes!$B$4+1)&amp;"–"&amp;(Notes!$B$5-1)&amp;")")))</f>
        <v>Student age (≤29)</v>
      </c>
      <c r="H706" s="3" t="s">
        <v>83</v>
      </c>
      <c r="I706" s="3" t="s">
        <v>1399</v>
      </c>
      <c r="J706" s="3" t="s">
        <v>47</v>
      </c>
      <c r="K706" s="3" t="s">
        <v>1400</v>
      </c>
      <c r="L706" s="3" t="s">
        <v>49</v>
      </c>
      <c r="M706" s="3" t="s">
        <v>47</v>
      </c>
      <c r="N706" s="3" t="s">
        <v>50</v>
      </c>
      <c r="O706" s="3" t="s">
        <v>6174</v>
      </c>
      <c r="P706" s="3" t="n">
        <v>25</v>
      </c>
      <c r="Q706" s="3" t="s">
        <v>117</v>
      </c>
      <c r="R706" s="3" t="s">
        <v>6175</v>
      </c>
      <c r="S706" s="3" t="s">
        <v>6176</v>
      </c>
      <c r="T706" s="3"/>
      <c r="U706" s="3" t="s">
        <v>6177</v>
      </c>
      <c r="V706" s="3" t="s">
        <v>6178</v>
      </c>
      <c r="W706" s="3" t="s">
        <v>6179</v>
      </c>
      <c r="X706" s="3" t="s">
        <v>6180</v>
      </c>
      <c r="Y706" s="3" t="n">
        <v>3</v>
      </c>
      <c r="Z706" s="3" t="n">
        <v>2</v>
      </c>
      <c r="AA706" s="3" t="n">
        <v>1</v>
      </c>
      <c r="AB706" s="3" t="n">
        <v>2</v>
      </c>
      <c r="AC706" s="3" t="n">
        <v>3</v>
      </c>
      <c r="AD706" s="3" t="n">
        <v>1</v>
      </c>
      <c r="AE706" s="3" t="s">
        <v>6181</v>
      </c>
      <c r="AF706" s="3" t="s">
        <v>846</v>
      </c>
      <c r="AG706" s="3" t="s">
        <v>6182</v>
      </c>
      <c r="AH706" s="3" t="s">
        <v>846</v>
      </c>
      <c r="AI706" s="3" t="s">
        <v>6183</v>
      </c>
      <c r="AJ706" s="3" t="s">
        <v>59</v>
      </c>
      <c r="AK706" s="3" t="s">
        <v>6184</v>
      </c>
      <c r="AL706" s="3" t="s">
        <v>59</v>
      </c>
      <c r="AM706" s="3"/>
      <c r="AN706" s="3"/>
      <c r="AO706" s="3" t="s">
        <v>59</v>
      </c>
      <c r="AP706" s="3"/>
      <c r="AQ706" s="3"/>
      <c r="AR706" s="3"/>
    </row>
    <row r="707" customFormat="false" ht="15" hidden="false" customHeight="true" outlineLevel="0" collapsed="false">
      <c r="A707" s="3" t="s">
        <v>6185</v>
      </c>
      <c r="B707" s="3" t="n">
        <v>8</v>
      </c>
      <c r="C707" s="3" t="n">
        <v>60</v>
      </c>
      <c r="D707" s="3"/>
      <c r="E707" s="4"/>
      <c r="F707" s="3" t="n">
        <v>24</v>
      </c>
      <c r="G707" s="3" t="str">
        <f aca="false">IF(F707="","",IF(F707&gt;=Notes!$B$5,"Elderly ("&amp;Notes!$B$5&amp;"+)",IF(F707&lt;=Notes!$B$4,"Student age (≤"&amp;Notes!$B$4&amp;")","Middle-aged ("&amp;(Notes!$B$4+1)&amp;"–"&amp;(Notes!$B$5-1)&amp;")")))</f>
        <v>Student age (≤29)</v>
      </c>
      <c r="H707" s="3" t="s">
        <v>83</v>
      </c>
      <c r="I707" s="3" t="s">
        <v>6186</v>
      </c>
      <c r="J707" s="3" t="s">
        <v>47</v>
      </c>
      <c r="K707" s="3" t="s">
        <v>6187</v>
      </c>
      <c r="L707" s="3" t="s">
        <v>344</v>
      </c>
      <c r="M707" s="3" t="s">
        <v>47</v>
      </c>
      <c r="N707" s="3" t="s">
        <v>345</v>
      </c>
      <c r="O707" s="3" t="s">
        <v>6188</v>
      </c>
      <c r="P707" s="3" t="n">
        <v>20</v>
      </c>
      <c r="Q707" s="3" t="s">
        <v>95</v>
      </c>
      <c r="R707" s="3" t="s">
        <v>6189</v>
      </c>
      <c r="S707" s="3" t="s">
        <v>6190</v>
      </c>
      <c r="T707" s="3"/>
      <c r="U707" s="3" t="s">
        <v>6191</v>
      </c>
      <c r="V707" s="3" t="s">
        <v>6192</v>
      </c>
      <c r="W707" s="3" t="s">
        <v>6193</v>
      </c>
      <c r="X707" s="3" t="s">
        <v>6194</v>
      </c>
      <c r="Y707" s="3" t="n">
        <v>1</v>
      </c>
      <c r="Z707" s="3" t="n">
        <v>3</v>
      </c>
      <c r="AA707" s="3" t="n">
        <v>2</v>
      </c>
      <c r="AB707" s="3" t="n">
        <v>1</v>
      </c>
      <c r="AC707" s="3" t="n">
        <v>2</v>
      </c>
      <c r="AD707" s="3" t="n">
        <v>3</v>
      </c>
      <c r="AE707" s="3" t="s">
        <v>6195</v>
      </c>
      <c r="AF707" s="3" t="s">
        <v>846</v>
      </c>
      <c r="AG707" s="3" t="s">
        <v>6196</v>
      </c>
      <c r="AH707" s="3" t="s">
        <v>846</v>
      </c>
      <c r="AI707" s="3" t="s">
        <v>6197</v>
      </c>
      <c r="AJ707" s="3" t="s">
        <v>59</v>
      </c>
      <c r="AK707" s="3"/>
      <c r="AL707" s="3" t="s">
        <v>98</v>
      </c>
      <c r="AM707" s="3"/>
      <c r="AN707" s="3"/>
      <c r="AO707" s="3" t="s">
        <v>59</v>
      </c>
      <c r="AP707" s="3"/>
      <c r="AQ707" s="3"/>
      <c r="AR707" s="3"/>
    </row>
    <row r="708" customFormat="false" ht="15" hidden="false" customHeight="true" outlineLevel="0" collapsed="false">
      <c r="A708" s="3" t="s">
        <v>6198</v>
      </c>
      <c r="B708" s="3" t="n">
        <v>8</v>
      </c>
      <c r="C708" s="3" t="n">
        <v>61</v>
      </c>
      <c r="D708" s="3"/>
      <c r="E708" s="4"/>
      <c r="F708" s="3" t="n">
        <v>65</v>
      </c>
      <c r="G708" s="3" t="str">
        <f aca="false">IF(F708="","",IF(F708&gt;=Notes!$B$5,"Elderly ("&amp;Notes!$B$5&amp;"+)",IF(F708&lt;=Notes!$B$4,"Student age (≤"&amp;Notes!$B$4&amp;")","Middle-aged ("&amp;(Notes!$B$4+1)&amp;"–"&amp;(Notes!$B$5-1)&amp;")")))</f>
        <v>Elderly (65+)</v>
      </c>
      <c r="H708" s="3" t="s">
        <v>45</v>
      </c>
      <c r="I708" s="3"/>
      <c r="J708" s="3" t="s">
        <v>5980</v>
      </c>
      <c r="K708" s="3" t="s">
        <v>5980</v>
      </c>
      <c r="L708" s="3" t="s">
        <v>289</v>
      </c>
      <c r="M708" s="3" t="s">
        <v>47</v>
      </c>
      <c r="N708" s="3" t="s">
        <v>290</v>
      </c>
      <c r="O708" s="3" t="s">
        <v>6199</v>
      </c>
      <c r="P708" s="3" t="n">
        <v>20</v>
      </c>
      <c r="Q708" s="3" t="s">
        <v>95</v>
      </c>
      <c r="R708" s="3" t="s">
        <v>6200</v>
      </c>
      <c r="S708" s="3" t="s">
        <v>6201</v>
      </c>
      <c r="T708" s="3"/>
      <c r="U708" s="3" t="s">
        <v>6202</v>
      </c>
      <c r="V708" s="3" t="s">
        <v>6203</v>
      </c>
      <c r="W708" s="3" t="s">
        <v>6204</v>
      </c>
      <c r="X708" s="3" t="s">
        <v>6205</v>
      </c>
      <c r="Y708" s="3" t="n">
        <v>1</v>
      </c>
      <c r="Z708" s="3" t="n">
        <v>2</v>
      </c>
      <c r="AA708" s="3" t="n">
        <v>3</v>
      </c>
      <c r="AB708" s="3" t="n">
        <v>3</v>
      </c>
      <c r="AC708" s="3" t="n">
        <v>2</v>
      </c>
      <c r="AD708" s="3" t="n">
        <v>1</v>
      </c>
      <c r="AE708" s="3" t="s">
        <v>6206</v>
      </c>
      <c r="AF708" s="3" t="s">
        <v>860</v>
      </c>
      <c r="AG708" s="3" t="s">
        <v>6207</v>
      </c>
      <c r="AH708" s="3" t="s">
        <v>860</v>
      </c>
      <c r="AI708" s="3" t="s">
        <v>6208</v>
      </c>
      <c r="AJ708" s="3" t="s">
        <v>59</v>
      </c>
      <c r="AK708" s="3" t="s">
        <v>6209</v>
      </c>
      <c r="AL708" s="3" t="s">
        <v>59</v>
      </c>
      <c r="AM708" s="3"/>
      <c r="AN708" s="3"/>
      <c r="AO708" s="3" t="s">
        <v>59</v>
      </c>
      <c r="AP708" s="3"/>
      <c r="AQ708" s="3"/>
      <c r="AR708" s="3"/>
    </row>
    <row r="709" customFormat="false" ht="15" hidden="false" customHeight="true" outlineLevel="0" collapsed="false">
      <c r="A709" s="3" t="s">
        <v>6210</v>
      </c>
      <c r="B709" s="3" t="n">
        <v>8</v>
      </c>
      <c r="C709" s="3" t="n">
        <v>62</v>
      </c>
      <c r="D709" s="3"/>
      <c r="E709" s="4"/>
      <c r="F709" s="3" t="n">
        <v>58</v>
      </c>
      <c r="G709" s="3" t="str">
        <f aca="false">IF(F709="","",IF(F709&gt;=Notes!$B$5,"Elderly ("&amp;Notes!$B$5&amp;"+)",IF(F709&lt;=Notes!$B$4,"Student age (≤"&amp;Notes!$B$4&amp;")","Middle-aged ("&amp;(Notes!$B$4+1)&amp;"–"&amp;(Notes!$B$5-1)&amp;")")))</f>
        <v>Middle-aged (30–64)</v>
      </c>
      <c r="H709" s="3" t="s">
        <v>45</v>
      </c>
      <c r="I709" s="3"/>
      <c r="J709" s="3" t="s">
        <v>437</v>
      </c>
      <c r="K709" s="3" t="s">
        <v>437</v>
      </c>
      <c r="L709" s="3" t="s">
        <v>71</v>
      </c>
      <c r="M709" s="3" t="s">
        <v>47</v>
      </c>
      <c r="N709" s="3" t="s">
        <v>72</v>
      </c>
      <c r="O709" s="3" t="s">
        <v>6211</v>
      </c>
      <c r="P709" s="3" t="n">
        <v>50</v>
      </c>
      <c r="Q709" s="3" t="s">
        <v>52</v>
      </c>
      <c r="R709" s="3" t="s">
        <v>6212</v>
      </c>
      <c r="S709" s="3" t="s">
        <v>6213</v>
      </c>
      <c r="T709" s="3"/>
      <c r="U709" s="3" t="s">
        <v>98</v>
      </c>
      <c r="V709" s="3" t="s">
        <v>6214</v>
      </c>
      <c r="W709" s="3" t="s">
        <v>6215</v>
      </c>
      <c r="X709" s="3" t="s">
        <v>6216</v>
      </c>
      <c r="Y709" s="3" t="n">
        <v>3</v>
      </c>
      <c r="Z709" s="3" t="n">
        <v>2</v>
      </c>
      <c r="AA709" s="3" t="n">
        <v>1</v>
      </c>
      <c r="AB709" s="3" t="n">
        <v>3</v>
      </c>
      <c r="AC709" s="3" t="n">
        <v>1</v>
      </c>
      <c r="AD709" s="3" t="n">
        <v>2</v>
      </c>
      <c r="AE709" s="3" t="s">
        <v>6217</v>
      </c>
      <c r="AF709" s="3" t="s">
        <v>846</v>
      </c>
      <c r="AG709" s="3" t="s">
        <v>6218</v>
      </c>
      <c r="AH709" s="3" t="s">
        <v>860</v>
      </c>
      <c r="AI709" s="3" t="s">
        <v>6219</v>
      </c>
      <c r="AJ709" s="3"/>
      <c r="AK709" s="3" t="s">
        <v>6220</v>
      </c>
      <c r="AL709" s="3" t="s">
        <v>59</v>
      </c>
      <c r="AM709" s="3"/>
      <c r="AN709" s="3"/>
      <c r="AO709" s="3" t="s">
        <v>59</v>
      </c>
      <c r="AP709" s="3"/>
      <c r="AQ709" s="3"/>
      <c r="AR709" s="3"/>
    </row>
    <row r="710" customFormat="false" ht="15" hidden="false" customHeight="true" outlineLevel="0" collapsed="false">
      <c r="A710" s="3" t="s">
        <v>6221</v>
      </c>
      <c r="B710" s="3" t="n">
        <v>8</v>
      </c>
      <c r="C710" s="3" t="n">
        <v>63</v>
      </c>
      <c r="D710" s="3"/>
      <c r="E710" s="4"/>
      <c r="F710" s="3" t="n">
        <v>73</v>
      </c>
      <c r="G710" s="3" t="str">
        <f aca="false">IF(F710="","",IF(F710&gt;=Notes!$B$5,"Elderly ("&amp;Notes!$B$5&amp;"+)",IF(F710&lt;=Notes!$B$4,"Student age (≤"&amp;Notes!$B$4&amp;")","Middle-aged ("&amp;(Notes!$B$4+1)&amp;"–"&amp;(Notes!$B$5-1)&amp;")")))</f>
        <v>Elderly (65+)</v>
      </c>
      <c r="H710" s="3" t="s">
        <v>83</v>
      </c>
      <c r="I710" s="3"/>
      <c r="J710" s="3" t="s">
        <v>5980</v>
      </c>
      <c r="K710" s="3" t="s">
        <v>5980</v>
      </c>
      <c r="L710" s="3" t="s">
        <v>289</v>
      </c>
      <c r="M710" s="3" t="s">
        <v>47</v>
      </c>
      <c r="N710" s="3" t="s">
        <v>290</v>
      </c>
      <c r="O710" s="3" t="s">
        <v>6222</v>
      </c>
      <c r="P710" s="3" t="n">
        <v>30</v>
      </c>
      <c r="Q710" s="3" t="s">
        <v>117</v>
      </c>
      <c r="R710" s="3" t="s">
        <v>6223</v>
      </c>
      <c r="S710" s="3" t="s">
        <v>6224</v>
      </c>
      <c r="T710" s="3"/>
      <c r="U710" s="3" t="s">
        <v>6225</v>
      </c>
      <c r="V710" s="3" t="s">
        <v>6226</v>
      </c>
      <c r="W710" s="3" t="s">
        <v>6227</v>
      </c>
      <c r="X710" s="3" t="s">
        <v>6228</v>
      </c>
      <c r="Y710" s="3" t="n">
        <v>1</v>
      </c>
      <c r="Z710" s="3" t="n">
        <v>2</v>
      </c>
      <c r="AA710" s="3" t="n">
        <v>3</v>
      </c>
      <c r="AB710" s="3" t="n">
        <v>3</v>
      </c>
      <c r="AC710" s="3" t="n">
        <v>2</v>
      </c>
      <c r="AD710" s="3" t="n">
        <v>1</v>
      </c>
      <c r="AE710" s="3" t="s">
        <v>6229</v>
      </c>
      <c r="AF710" s="3" t="s">
        <v>860</v>
      </c>
      <c r="AG710" s="3" t="s">
        <v>6230</v>
      </c>
      <c r="AH710" s="3" t="s">
        <v>860</v>
      </c>
      <c r="AI710" s="3" t="s">
        <v>6231</v>
      </c>
      <c r="AJ710" s="3" t="s">
        <v>59</v>
      </c>
      <c r="AK710" s="3" t="s">
        <v>6232</v>
      </c>
      <c r="AL710" s="3" t="s">
        <v>59</v>
      </c>
      <c r="AM710" s="3"/>
      <c r="AN710" s="3"/>
      <c r="AO710" s="3" t="s">
        <v>59</v>
      </c>
      <c r="AP710" s="3"/>
      <c r="AQ710" s="3"/>
      <c r="AR710" s="3"/>
    </row>
    <row r="711" customFormat="false" ht="15" hidden="false" customHeight="true" outlineLevel="0" collapsed="false">
      <c r="A711" s="3" t="s">
        <v>6233</v>
      </c>
      <c r="B711" s="3" t="n">
        <v>8</v>
      </c>
      <c r="C711" s="3" t="n">
        <v>64</v>
      </c>
      <c r="D711" s="3"/>
      <c r="E711" s="4"/>
      <c r="F711" s="3" t="n">
        <v>60</v>
      </c>
      <c r="G711" s="3" t="str">
        <f aca="false">IF(F711="","",IF(F711&gt;=Notes!$B$5,"Elderly ("&amp;Notes!$B$5&amp;"+)",IF(F711&lt;=Notes!$B$4,"Student age (≤"&amp;Notes!$B$4&amp;")","Middle-aged ("&amp;(Notes!$B$4+1)&amp;"–"&amp;(Notes!$B$5-1)&amp;")")))</f>
        <v>Middle-aged (30–64)</v>
      </c>
      <c r="H711" s="3" t="s">
        <v>83</v>
      </c>
      <c r="I711" s="3" t="s">
        <v>71</v>
      </c>
      <c r="J711" s="3" t="s">
        <v>47</v>
      </c>
      <c r="K711" s="3" t="s">
        <v>72</v>
      </c>
      <c r="L711" s="3" t="s">
        <v>71</v>
      </c>
      <c r="M711" s="3" t="s">
        <v>47</v>
      </c>
      <c r="N711" s="3" t="s">
        <v>72</v>
      </c>
      <c r="O711" s="3" t="s">
        <v>6234</v>
      </c>
      <c r="P711" s="3" t="n">
        <v>20</v>
      </c>
      <c r="Q711" s="3" t="s">
        <v>95</v>
      </c>
      <c r="R711" s="3" t="s">
        <v>6235</v>
      </c>
      <c r="S711" s="3" t="s">
        <v>6236</v>
      </c>
      <c r="T711" s="3"/>
      <c r="U711" s="3" t="s">
        <v>6237</v>
      </c>
      <c r="V711" s="3" t="s">
        <v>6238</v>
      </c>
      <c r="W711" s="3" t="s">
        <v>6239</v>
      </c>
      <c r="X711" s="3" t="s">
        <v>6240</v>
      </c>
      <c r="Y711" s="3" t="n">
        <v>1</v>
      </c>
      <c r="Z711" s="3" t="n">
        <v>2</v>
      </c>
      <c r="AA711" s="3" t="n">
        <v>3</v>
      </c>
      <c r="AB711" s="3" t="n">
        <v>1</v>
      </c>
      <c r="AC711" s="3" t="n">
        <v>2</v>
      </c>
      <c r="AD711" s="3" t="n">
        <v>3</v>
      </c>
      <c r="AE711" s="3" t="s">
        <v>6241</v>
      </c>
      <c r="AF711" s="3" t="s">
        <v>860</v>
      </c>
      <c r="AG711" s="3" t="s">
        <v>6242</v>
      </c>
      <c r="AH711" s="3" t="s">
        <v>860</v>
      </c>
      <c r="AI711" s="3" t="s">
        <v>6243</v>
      </c>
      <c r="AJ711" s="3" t="s">
        <v>1625</v>
      </c>
      <c r="AK711" s="3" t="s">
        <v>6244</v>
      </c>
      <c r="AL711" s="3" t="s">
        <v>98</v>
      </c>
      <c r="AM711" s="3"/>
      <c r="AN711" s="3"/>
      <c r="AO711" s="3" t="s">
        <v>59</v>
      </c>
      <c r="AP711" s="3"/>
      <c r="AQ711" s="3"/>
      <c r="AR711" s="3"/>
    </row>
    <row r="712" customFormat="false" ht="15" hidden="false" customHeight="true" outlineLevel="0" collapsed="false">
      <c r="A712" s="3" t="s">
        <v>6245</v>
      </c>
      <c r="B712" s="3" t="n">
        <v>8</v>
      </c>
      <c r="C712" s="3" t="n">
        <v>65</v>
      </c>
      <c r="D712" s="3"/>
      <c r="E712" s="4"/>
      <c r="F712" s="3" t="n">
        <v>22</v>
      </c>
      <c r="G712" s="3" t="str">
        <f aca="false">IF(F712="","",IF(F712&gt;=Notes!$B$5,"Elderly ("&amp;Notes!$B$5&amp;"+)",IF(F712&lt;=Notes!$B$4,"Student age (≤"&amp;Notes!$B$4&amp;")","Middle-aged ("&amp;(Notes!$B$4+1)&amp;"–"&amp;(Notes!$B$5-1)&amp;")")))</f>
        <v>Student age (≤29)</v>
      </c>
      <c r="H712" s="3" t="s">
        <v>83</v>
      </c>
      <c r="I712" s="3" t="s">
        <v>71</v>
      </c>
      <c r="J712" s="3" t="s">
        <v>47</v>
      </c>
      <c r="K712" s="3" t="s">
        <v>72</v>
      </c>
      <c r="L712" s="3" t="s">
        <v>71</v>
      </c>
      <c r="M712" s="3" t="s">
        <v>47</v>
      </c>
      <c r="N712" s="3" t="s">
        <v>72</v>
      </c>
      <c r="O712" s="3" t="s">
        <v>6246</v>
      </c>
      <c r="P712" s="3" t="n">
        <v>20</v>
      </c>
      <c r="Q712" s="3" t="s">
        <v>95</v>
      </c>
      <c r="R712" s="3" t="s">
        <v>1897</v>
      </c>
      <c r="S712" s="3" t="s">
        <v>6247</v>
      </c>
      <c r="T712" s="3"/>
      <c r="U712" s="3" t="s">
        <v>6248</v>
      </c>
      <c r="V712" s="3" t="s">
        <v>6249</v>
      </c>
      <c r="W712" s="3" t="s">
        <v>6250</v>
      </c>
      <c r="X712" s="3" t="s">
        <v>6251</v>
      </c>
      <c r="Y712" s="3" t="n">
        <v>1</v>
      </c>
      <c r="Z712" s="3" t="n">
        <v>2</v>
      </c>
      <c r="AA712" s="3" t="n">
        <v>3</v>
      </c>
      <c r="AB712" s="3" t="n">
        <v>1</v>
      </c>
      <c r="AC712" s="3" t="n">
        <v>2</v>
      </c>
      <c r="AD712" s="3" t="n">
        <v>3</v>
      </c>
      <c r="AE712" s="3" t="s">
        <v>6252</v>
      </c>
      <c r="AF712" s="3" t="s">
        <v>860</v>
      </c>
      <c r="AG712" s="3" t="s">
        <v>6253</v>
      </c>
      <c r="AH712" s="3" t="s">
        <v>860</v>
      </c>
      <c r="AI712" s="3" t="s">
        <v>6254</v>
      </c>
      <c r="AJ712" s="3" t="s">
        <v>98</v>
      </c>
      <c r="AK712" s="3" t="s">
        <v>6255</v>
      </c>
      <c r="AL712" s="3" t="s">
        <v>98</v>
      </c>
      <c r="AM712" s="3"/>
      <c r="AN712" s="3"/>
      <c r="AO712" s="3" t="s">
        <v>59</v>
      </c>
      <c r="AP712" s="3"/>
      <c r="AQ712" s="3"/>
      <c r="AR712" s="3"/>
    </row>
    <row r="713" customFormat="false" ht="15" hidden="false" customHeight="true" outlineLevel="0" collapsed="false">
      <c r="A713" s="3" t="s">
        <v>6256</v>
      </c>
      <c r="B713" s="3" t="n">
        <v>8</v>
      </c>
      <c r="C713" s="3" t="n">
        <v>66</v>
      </c>
      <c r="D713" s="3"/>
      <c r="E713" s="4"/>
      <c r="F713" s="3" t="n">
        <v>22</v>
      </c>
      <c r="G713" s="3" t="str">
        <f aca="false">IF(F713="","",IF(F713&gt;=Notes!$B$5,"Elderly ("&amp;Notes!$B$5&amp;"+)",IF(F713&lt;=Notes!$B$4,"Student age (≤"&amp;Notes!$B$4&amp;")","Middle-aged ("&amp;(Notes!$B$4+1)&amp;"–"&amp;(Notes!$B$5-1)&amp;")")))</f>
        <v>Student age (≤29)</v>
      </c>
      <c r="H713" s="3" t="s">
        <v>45</v>
      </c>
      <c r="I713" s="3" t="s">
        <v>71</v>
      </c>
      <c r="J713" s="3" t="s">
        <v>47</v>
      </c>
      <c r="K713" s="3" t="s">
        <v>72</v>
      </c>
      <c r="L713" s="3" t="s">
        <v>71</v>
      </c>
      <c r="M713" s="3" t="s">
        <v>47</v>
      </c>
      <c r="N713" s="3" t="s">
        <v>72</v>
      </c>
      <c r="O713" s="3" t="s">
        <v>6257</v>
      </c>
      <c r="P713" s="3" t="n">
        <v>35</v>
      </c>
      <c r="Q713" s="3" t="s">
        <v>52</v>
      </c>
      <c r="R713" s="3" t="s">
        <v>6258</v>
      </c>
      <c r="S713" s="3" t="s">
        <v>6259</v>
      </c>
      <c r="T713" s="3"/>
      <c r="U713" s="3" t="s">
        <v>1390</v>
      </c>
      <c r="V713" s="3" t="s">
        <v>6260</v>
      </c>
      <c r="W713" s="3" t="s">
        <v>6261</v>
      </c>
      <c r="X713" s="3" t="s">
        <v>6262</v>
      </c>
      <c r="Y713" s="3" t="n">
        <v>1</v>
      </c>
      <c r="Z713" s="3" t="n">
        <v>2</v>
      </c>
      <c r="AA713" s="3" t="n">
        <v>3</v>
      </c>
      <c r="AB713" s="3" t="n">
        <v>3</v>
      </c>
      <c r="AC713" s="3" t="n">
        <v>2</v>
      </c>
      <c r="AD713" s="3" t="n">
        <v>1</v>
      </c>
      <c r="AE713" s="3" t="s">
        <v>6263</v>
      </c>
      <c r="AF713" s="3" t="s">
        <v>860</v>
      </c>
      <c r="AG713" s="3" t="s">
        <v>6264</v>
      </c>
      <c r="AH713" s="3" t="s">
        <v>846</v>
      </c>
      <c r="AI713" s="3" t="s">
        <v>6265</v>
      </c>
      <c r="AJ713" s="3"/>
      <c r="AK713" s="3" t="s">
        <v>6266</v>
      </c>
      <c r="AL713" s="3" t="s">
        <v>59</v>
      </c>
      <c r="AM713" s="3"/>
      <c r="AN713" s="3"/>
      <c r="AO713" s="3" t="s">
        <v>59</v>
      </c>
      <c r="AP713" s="3"/>
      <c r="AQ713" s="3"/>
      <c r="AR713" s="3"/>
    </row>
    <row r="714" customFormat="false" ht="15" hidden="false" customHeight="true" outlineLevel="0" collapsed="false">
      <c r="A714" s="3" t="s">
        <v>6267</v>
      </c>
      <c r="B714" s="3" t="n">
        <v>8</v>
      </c>
      <c r="C714" s="3" t="n">
        <v>67</v>
      </c>
      <c r="D714" s="3"/>
      <c r="E714" s="4"/>
      <c r="F714" s="3" t="n">
        <v>24</v>
      </c>
      <c r="G714" s="3" t="str">
        <f aca="false">IF(F714="","",IF(F714&gt;=Notes!$B$5,"Elderly ("&amp;Notes!$B$5&amp;"+)",IF(F714&lt;=Notes!$B$4,"Student age (≤"&amp;Notes!$B$4&amp;")","Middle-aged ("&amp;(Notes!$B$4+1)&amp;"–"&amp;(Notes!$B$5-1)&amp;")")))</f>
        <v>Student age (≤29)</v>
      </c>
      <c r="H714" s="3" t="s">
        <v>45</v>
      </c>
      <c r="I714" s="3" t="s">
        <v>71</v>
      </c>
      <c r="J714" s="3" t="s">
        <v>47</v>
      </c>
      <c r="K714" s="3" t="s">
        <v>72</v>
      </c>
      <c r="L714" s="3" t="s">
        <v>49</v>
      </c>
      <c r="M714" s="3" t="s">
        <v>47</v>
      </c>
      <c r="N714" s="3" t="s">
        <v>50</v>
      </c>
      <c r="O714" s="3" t="s">
        <v>6268</v>
      </c>
      <c r="P714" s="3" t="n">
        <v>50</v>
      </c>
      <c r="Q714" s="3" t="s">
        <v>52</v>
      </c>
      <c r="R714" s="3" t="s">
        <v>6269</v>
      </c>
      <c r="S714" s="3" t="s">
        <v>6270</v>
      </c>
      <c r="T714" s="3"/>
      <c r="U714" s="3" t="s">
        <v>6271</v>
      </c>
      <c r="V714" s="3" t="s">
        <v>6272</v>
      </c>
      <c r="W714" s="3" t="s">
        <v>6273</v>
      </c>
      <c r="X714" s="3" t="s">
        <v>6274</v>
      </c>
      <c r="Y714" s="3" t="n">
        <v>1</v>
      </c>
      <c r="Z714" s="3" t="n">
        <v>2</v>
      </c>
      <c r="AA714" s="3" t="n">
        <v>3</v>
      </c>
      <c r="AB714" s="3" t="n">
        <v>3</v>
      </c>
      <c r="AC714" s="3" t="n">
        <v>1</v>
      </c>
      <c r="AD714" s="3" t="n">
        <v>2</v>
      </c>
      <c r="AE714" s="3" t="s">
        <v>6275</v>
      </c>
      <c r="AF714" s="3" t="s">
        <v>860</v>
      </c>
      <c r="AG714" s="3" t="s">
        <v>6276</v>
      </c>
      <c r="AH714" s="3" t="s">
        <v>846</v>
      </c>
      <c r="AI714" s="3" t="s">
        <v>6277</v>
      </c>
      <c r="AJ714" s="3" t="s">
        <v>59</v>
      </c>
      <c r="AK714" s="3"/>
      <c r="AL714" s="3" t="s">
        <v>59</v>
      </c>
      <c r="AM714" s="3"/>
      <c r="AN714" s="3"/>
      <c r="AO714" s="3" t="s">
        <v>59</v>
      </c>
      <c r="AP714" s="3"/>
      <c r="AQ714" s="3"/>
      <c r="AR714" s="3"/>
    </row>
    <row r="715" customFormat="false" ht="15" hidden="false" customHeight="true" outlineLevel="0" collapsed="false">
      <c r="A715" s="3" t="s">
        <v>6278</v>
      </c>
      <c r="B715" s="3" t="n">
        <v>8</v>
      </c>
      <c r="C715" s="3" t="n">
        <v>68</v>
      </c>
      <c r="D715" s="3"/>
      <c r="E715" s="4"/>
      <c r="F715" s="3" t="n">
        <v>22</v>
      </c>
      <c r="G715" s="3" t="str">
        <f aca="false">IF(F715="","",IF(F715&gt;=Notes!$B$5,"Elderly ("&amp;Notes!$B$5&amp;"+)",IF(F715&lt;=Notes!$B$4,"Student age (≤"&amp;Notes!$B$4&amp;")","Middle-aged ("&amp;(Notes!$B$4+1)&amp;"–"&amp;(Notes!$B$5-1)&amp;")")))</f>
        <v>Student age (≤29)</v>
      </c>
      <c r="H715" s="3" t="s">
        <v>45</v>
      </c>
      <c r="I715" s="3" t="s">
        <v>114</v>
      </c>
      <c r="J715" s="3" t="s">
        <v>47</v>
      </c>
      <c r="K715" s="3" t="s">
        <v>115</v>
      </c>
      <c r="L715" s="3" t="s">
        <v>114</v>
      </c>
      <c r="M715" s="3" t="s">
        <v>47</v>
      </c>
      <c r="N715" s="3" t="s">
        <v>115</v>
      </c>
      <c r="O715" s="3" t="s">
        <v>6279</v>
      </c>
      <c r="P715" s="3" t="n">
        <v>20</v>
      </c>
      <c r="Q715" s="3" t="s">
        <v>95</v>
      </c>
      <c r="R715" s="3" t="s">
        <v>6280</v>
      </c>
      <c r="S715" s="3" t="s">
        <v>6281</v>
      </c>
      <c r="T715" s="3"/>
      <c r="U715" s="3" t="s">
        <v>6282</v>
      </c>
      <c r="V715" s="3" t="s">
        <v>6283</v>
      </c>
      <c r="W715" s="3" t="s">
        <v>6284</v>
      </c>
      <c r="X715" s="3" t="s">
        <v>6285</v>
      </c>
      <c r="Y715" s="3" t="n">
        <v>3</v>
      </c>
      <c r="Z715" s="3" t="n">
        <v>1</v>
      </c>
      <c r="AA715" s="3" t="n">
        <v>2</v>
      </c>
      <c r="AB715" s="3" t="n">
        <v>2</v>
      </c>
      <c r="AC715" s="3" t="n">
        <v>1</v>
      </c>
      <c r="AD715" s="3" t="n">
        <v>3</v>
      </c>
      <c r="AE715" s="3" t="s">
        <v>6286</v>
      </c>
      <c r="AF715" s="3" t="s">
        <v>860</v>
      </c>
      <c r="AG715" s="3" t="s">
        <v>6287</v>
      </c>
      <c r="AH715" s="3" t="s">
        <v>847</v>
      </c>
      <c r="AI715" s="3" t="s">
        <v>6288</v>
      </c>
      <c r="AJ715" s="3"/>
      <c r="AK715" s="3" t="s">
        <v>6289</v>
      </c>
      <c r="AL715" s="3" t="s">
        <v>59</v>
      </c>
      <c r="AM715" s="3"/>
      <c r="AN715" s="3"/>
      <c r="AO715" s="3" t="s">
        <v>59</v>
      </c>
      <c r="AP715" s="3"/>
      <c r="AQ715" s="3"/>
      <c r="AR715" s="3"/>
    </row>
    <row r="716" customFormat="false" ht="15" hidden="false" customHeight="true" outlineLevel="0" collapsed="false">
      <c r="A716" s="3" t="s">
        <v>6290</v>
      </c>
      <c r="B716" s="3" t="n">
        <v>8</v>
      </c>
      <c r="C716" s="3" t="n">
        <v>69</v>
      </c>
      <c r="D716" s="3"/>
      <c r="E716" s="4"/>
      <c r="F716" s="3" t="n">
        <v>21</v>
      </c>
      <c r="G716" s="3" t="str">
        <f aca="false">IF(F716="","",IF(F716&gt;=Notes!$B$5,"Elderly ("&amp;Notes!$B$5&amp;"+)",IF(F716&lt;=Notes!$B$4,"Student age (≤"&amp;Notes!$B$4&amp;")","Middle-aged ("&amp;(Notes!$B$4+1)&amp;"–"&amp;(Notes!$B$5-1)&amp;")")))</f>
        <v>Student age (≤29)</v>
      </c>
      <c r="H716" s="3" t="s">
        <v>45</v>
      </c>
      <c r="I716" s="3" t="s">
        <v>4867</v>
      </c>
      <c r="J716" s="3" t="s">
        <v>47</v>
      </c>
      <c r="K716" s="3" t="s">
        <v>4868</v>
      </c>
      <c r="L716" s="3" t="s">
        <v>49</v>
      </c>
      <c r="M716" s="3" t="s">
        <v>47</v>
      </c>
      <c r="N716" s="3" t="s">
        <v>50</v>
      </c>
      <c r="O716" s="3" t="s">
        <v>2037</v>
      </c>
      <c r="P716" s="3" t="n">
        <v>30</v>
      </c>
      <c r="Q716" s="3" t="s">
        <v>117</v>
      </c>
      <c r="R716" s="3" t="s">
        <v>6291</v>
      </c>
      <c r="S716" s="3" t="s">
        <v>6292</v>
      </c>
      <c r="T716" s="3"/>
      <c r="U716" s="3" t="s">
        <v>98</v>
      </c>
      <c r="V716" s="3" t="s">
        <v>6293</v>
      </c>
      <c r="W716" s="3" t="s">
        <v>6294</v>
      </c>
      <c r="X716" s="3" t="s">
        <v>6295</v>
      </c>
      <c r="Y716" s="3" t="n">
        <v>1</v>
      </c>
      <c r="Z716" s="3" t="n">
        <v>2</v>
      </c>
      <c r="AA716" s="3" t="n">
        <v>3</v>
      </c>
      <c r="AB716" s="3" t="n">
        <v>1</v>
      </c>
      <c r="AC716" s="3" t="n">
        <v>2</v>
      </c>
      <c r="AD716" s="3" t="n">
        <v>3</v>
      </c>
      <c r="AE716" s="3" t="s">
        <v>6296</v>
      </c>
      <c r="AF716" s="3" t="s">
        <v>847</v>
      </c>
      <c r="AG716" s="3" t="s">
        <v>6297</v>
      </c>
      <c r="AH716" s="3" t="s">
        <v>846</v>
      </c>
      <c r="AI716" s="3" t="s">
        <v>6298</v>
      </c>
      <c r="AJ716" s="3" t="s">
        <v>59</v>
      </c>
      <c r="AK716" s="3" t="s">
        <v>6299</v>
      </c>
      <c r="AL716" s="3" t="s">
        <v>98</v>
      </c>
      <c r="AM716" s="3"/>
      <c r="AN716" s="3"/>
      <c r="AO716" s="3" t="s">
        <v>59</v>
      </c>
      <c r="AP716" s="3"/>
      <c r="AQ716" s="3"/>
      <c r="AR716" s="3"/>
    </row>
    <row r="717" customFormat="false" ht="15" hidden="false" customHeight="true" outlineLevel="0" collapsed="false">
      <c r="A717" s="3" t="s">
        <v>6300</v>
      </c>
      <c r="B717" s="3" t="n">
        <v>8</v>
      </c>
      <c r="C717" s="3" t="n">
        <v>70</v>
      </c>
      <c r="D717" s="3"/>
      <c r="E717" s="4"/>
      <c r="F717" s="3" t="n">
        <v>21</v>
      </c>
      <c r="G717" s="3" t="str">
        <f aca="false">IF(F717="","",IF(F717&gt;=Notes!$B$5,"Elderly ("&amp;Notes!$B$5&amp;"+)",IF(F717&lt;=Notes!$B$4,"Student age (≤"&amp;Notes!$B$4&amp;")","Middle-aged ("&amp;(Notes!$B$4+1)&amp;"–"&amp;(Notes!$B$5-1)&amp;")")))</f>
        <v>Student age (≤29)</v>
      </c>
      <c r="H717" s="3" t="s">
        <v>83</v>
      </c>
      <c r="I717" s="3" t="s">
        <v>71</v>
      </c>
      <c r="J717" s="3" t="s">
        <v>47</v>
      </c>
      <c r="K717" s="3" t="s">
        <v>72</v>
      </c>
      <c r="L717" s="3" t="s">
        <v>71</v>
      </c>
      <c r="M717" s="3" t="s">
        <v>47</v>
      </c>
      <c r="N717" s="3" t="s">
        <v>72</v>
      </c>
      <c r="O717" s="3" t="s">
        <v>6301</v>
      </c>
      <c r="P717" s="3" t="n">
        <v>20</v>
      </c>
      <c r="Q717" s="3" t="s">
        <v>95</v>
      </c>
      <c r="R717" s="3" t="s">
        <v>6302</v>
      </c>
      <c r="S717" s="3" t="s">
        <v>6303</v>
      </c>
      <c r="T717" s="3"/>
      <c r="U717" s="3" t="s">
        <v>6304</v>
      </c>
      <c r="V717" s="3" t="s">
        <v>6305</v>
      </c>
      <c r="W717" s="3" t="s">
        <v>6306</v>
      </c>
      <c r="X717" s="3" t="s">
        <v>6307</v>
      </c>
      <c r="Y717" s="3" t="n">
        <v>3</v>
      </c>
      <c r="Z717" s="3" t="n">
        <v>1</v>
      </c>
      <c r="AA717" s="3" t="n">
        <v>2</v>
      </c>
      <c r="AB717" s="3" t="n">
        <v>2</v>
      </c>
      <c r="AC717" s="3" t="n">
        <v>1</v>
      </c>
      <c r="AD717" s="3" t="n">
        <v>3</v>
      </c>
      <c r="AE717" s="3" t="s">
        <v>6308</v>
      </c>
      <c r="AF717" s="3" t="s">
        <v>846</v>
      </c>
      <c r="AG717" s="3" t="s">
        <v>6309</v>
      </c>
      <c r="AH717" s="3" t="s">
        <v>860</v>
      </c>
      <c r="AI717" s="3" t="s">
        <v>6310</v>
      </c>
      <c r="AJ717" s="3" t="s">
        <v>59</v>
      </c>
      <c r="AK717" s="3" t="s">
        <v>6311</v>
      </c>
      <c r="AL717" s="3" t="s">
        <v>59</v>
      </c>
      <c r="AM717" s="3"/>
      <c r="AN717" s="3"/>
      <c r="AO717" s="3" t="s">
        <v>59</v>
      </c>
      <c r="AP717" s="3"/>
      <c r="AQ717" s="3"/>
      <c r="AR717" s="3"/>
    </row>
    <row r="718" customFormat="false" ht="15" hidden="false" customHeight="true" outlineLevel="0" collapsed="false">
      <c r="A718" s="3" t="s">
        <v>6312</v>
      </c>
      <c r="B718" s="3" t="n">
        <v>8</v>
      </c>
      <c r="C718" s="3" t="n">
        <v>71</v>
      </c>
      <c r="D718" s="3"/>
      <c r="E718" s="4"/>
      <c r="F718" s="3" t="n">
        <v>20</v>
      </c>
      <c r="G718" s="3" t="str">
        <f aca="false">IF(F718="","",IF(F718&gt;=Notes!$B$5,"Elderly ("&amp;Notes!$B$5&amp;"+)",IF(F718&lt;=Notes!$B$4,"Student age (≤"&amp;Notes!$B$4&amp;")","Middle-aged ("&amp;(Notes!$B$4+1)&amp;"–"&amp;(Notes!$B$5-1)&amp;")")))</f>
        <v>Student age (≤29)</v>
      </c>
      <c r="H718" s="3" t="s">
        <v>45</v>
      </c>
      <c r="I718" s="3" t="s">
        <v>159</v>
      </c>
      <c r="J718" s="3" t="s">
        <v>47</v>
      </c>
      <c r="K718" s="3" t="s">
        <v>160</v>
      </c>
      <c r="L718" s="3" t="s">
        <v>49</v>
      </c>
      <c r="M718" s="3" t="s">
        <v>47</v>
      </c>
      <c r="N718" s="3" t="s">
        <v>50</v>
      </c>
      <c r="O718" s="3" t="s">
        <v>6313</v>
      </c>
      <c r="P718" s="3" t="n">
        <v>35</v>
      </c>
      <c r="Q718" s="3" t="s">
        <v>52</v>
      </c>
      <c r="R718" s="3" t="s">
        <v>6314</v>
      </c>
      <c r="S718" s="3" t="s">
        <v>6315</v>
      </c>
      <c r="T718" s="3"/>
      <c r="U718" s="3" t="s">
        <v>6316</v>
      </c>
      <c r="V718" s="3" t="s">
        <v>6317</v>
      </c>
      <c r="W718" s="3" t="s">
        <v>6318</v>
      </c>
      <c r="X718" s="3" t="s">
        <v>6319</v>
      </c>
      <c r="Y718" s="3" t="n">
        <v>3</v>
      </c>
      <c r="Z718" s="3" t="n">
        <v>1</v>
      </c>
      <c r="AA718" s="3" t="n">
        <v>2</v>
      </c>
      <c r="AB718" s="3" t="n">
        <v>2</v>
      </c>
      <c r="AC718" s="3" t="n">
        <v>1</v>
      </c>
      <c r="AD718" s="3" t="n">
        <v>3</v>
      </c>
      <c r="AE718" s="3" t="s">
        <v>6320</v>
      </c>
      <c r="AF718" s="3" t="s">
        <v>846</v>
      </c>
      <c r="AG718" s="3" t="s">
        <v>6321</v>
      </c>
      <c r="AH718" s="3" t="s">
        <v>847</v>
      </c>
      <c r="AI718" s="3" t="s">
        <v>6322</v>
      </c>
      <c r="AJ718" s="3"/>
      <c r="AK718" s="3" t="s">
        <v>6323</v>
      </c>
      <c r="AL718" s="3" t="s">
        <v>59</v>
      </c>
      <c r="AM718" s="3"/>
      <c r="AN718" s="3"/>
      <c r="AO718" s="3" t="s">
        <v>59</v>
      </c>
      <c r="AP718" s="3"/>
      <c r="AQ718" s="3"/>
      <c r="AR718" s="3"/>
    </row>
    <row r="719" customFormat="false" ht="15" hidden="false" customHeight="true" outlineLevel="0" collapsed="false">
      <c r="A719" s="3" t="s">
        <v>6324</v>
      </c>
      <c r="B719" s="3" t="n">
        <v>8</v>
      </c>
      <c r="C719" s="3" t="n">
        <v>72</v>
      </c>
      <c r="D719" s="3"/>
      <c r="E719" s="4"/>
      <c r="F719" s="3" t="n">
        <v>28</v>
      </c>
      <c r="G719" s="3" t="str">
        <f aca="false">IF(F719="","",IF(F719&gt;=Notes!$B$5,"Elderly ("&amp;Notes!$B$5&amp;"+)",IF(F719&lt;=Notes!$B$4,"Student age (≤"&amp;Notes!$B$4&amp;")","Middle-aged ("&amp;(Notes!$B$4+1)&amp;"–"&amp;(Notes!$B$5-1)&amp;")")))</f>
        <v>Student age (≤29)</v>
      </c>
      <c r="H719" s="3" t="s">
        <v>45</v>
      </c>
      <c r="I719" s="3" t="s">
        <v>71</v>
      </c>
      <c r="J719" s="3" t="s">
        <v>47</v>
      </c>
      <c r="K719" s="3" t="s">
        <v>72</v>
      </c>
      <c r="L719" s="3" t="s">
        <v>2521</v>
      </c>
      <c r="M719" s="3" t="s">
        <v>47</v>
      </c>
      <c r="N719" s="3" t="s">
        <v>2522</v>
      </c>
      <c r="O719" s="3" t="s">
        <v>6325</v>
      </c>
      <c r="P719" s="3" t="n">
        <v>25</v>
      </c>
      <c r="Q719" s="3" t="s">
        <v>117</v>
      </c>
      <c r="R719" s="3" t="s">
        <v>6326</v>
      </c>
      <c r="S719" s="3" t="s">
        <v>6327</v>
      </c>
      <c r="T719" s="3"/>
      <c r="U719" s="3" t="s">
        <v>59</v>
      </c>
      <c r="V719" s="3" t="s">
        <v>6328</v>
      </c>
      <c r="W719" s="3" t="s">
        <v>6329</v>
      </c>
      <c r="X719" s="3" t="s">
        <v>6330</v>
      </c>
      <c r="Y719" s="3" t="n">
        <v>3</v>
      </c>
      <c r="Z719" s="3" t="n">
        <v>1</v>
      </c>
      <c r="AA719" s="3" t="n">
        <v>2</v>
      </c>
      <c r="AB719" s="3" t="n">
        <v>3</v>
      </c>
      <c r="AC719" s="3" t="n">
        <v>1</v>
      </c>
      <c r="AD719" s="3" t="n">
        <v>2</v>
      </c>
      <c r="AE719" s="3" t="s">
        <v>6331</v>
      </c>
      <c r="AF719" s="3" t="s">
        <v>847</v>
      </c>
      <c r="AG719" s="3" t="s">
        <v>6332</v>
      </c>
      <c r="AH719" s="3" t="s">
        <v>847</v>
      </c>
      <c r="AI719" s="3" t="s">
        <v>6333</v>
      </c>
      <c r="AJ719" s="3" t="s">
        <v>59</v>
      </c>
      <c r="AK719" s="3"/>
      <c r="AL719" s="3" t="s">
        <v>59</v>
      </c>
      <c r="AM719" s="3"/>
      <c r="AN719" s="3"/>
      <c r="AO719" s="3" t="s">
        <v>59</v>
      </c>
      <c r="AP719" s="3"/>
      <c r="AQ719" s="3"/>
      <c r="AR719" s="3"/>
    </row>
    <row r="720" customFormat="false" ht="15" hidden="false" customHeight="true" outlineLevel="0" collapsed="false">
      <c r="A720" s="3" t="s">
        <v>6334</v>
      </c>
      <c r="B720" s="3" t="n">
        <v>8</v>
      </c>
      <c r="C720" s="3" t="n">
        <v>73</v>
      </c>
      <c r="D720" s="3"/>
      <c r="E720" s="4"/>
      <c r="F720" s="3" t="n">
        <v>47</v>
      </c>
      <c r="G720" s="3" t="str">
        <f aca="false">IF(F720="","",IF(F720&gt;=Notes!$B$5,"Elderly ("&amp;Notes!$B$5&amp;"+)",IF(F720&lt;=Notes!$B$4,"Student age (≤"&amp;Notes!$B$4&amp;")","Middle-aged ("&amp;(Notes!$B$4+1)&amp;"–"&amp;(Notes!$B$5-1)&amp;")")))</f>
        <v>Middle-aged (30–64)</v>
      </c>
      <c r="H720" s="3" t="s">
        <v>83</v>
      </c>
      <c r="I720" s="3" t="s">
        <v>344</v>
      </c>
      <c r="J720" s="3" t="s">
        <v>47</v>
      </c>
      <c r="K720" s="3" t="s">
        <v>345</v>
      </c>
      <c r="L720" s="3" t="s">
        <v>171</v>
      </c>
      <c r="M720" s="3" t="s">
        <v>47</v>
      </c>
      <c r="N720" s="3" t="s">
        <v>172</v>
      </c>
      <c r="O720" s="3" t="s">
        <v>6335</v>
      </c>
      <c r="P720" s="3" t="n">
        <v>20</v>
      </c>
      <c r="Q720" s="3" t="s">
        <v>95</v>
      </c>
      <c r="R720" s="3" t="s">
        <v>6336</v>
      </c>
      <c r="S720" s="3" t="s">
        <v>6337</v>
      </c>
      <c r="T720" s="3"/>
      <c r="U720" s="3" t="s">
        <v>6038</v>
      </c>
      <c r="V720" s="3" t="s">
        <v>6338</v>
      </c>
      <c r="W720" s="3" t="s">
        <v>6339</v>
      </c>
      <c r="X720" s="3" t="s">
        <v>6340</v>
      </c>
      <c r="Y720" s="3" t="n">
        <v>3</v>
      </c>
      <c r="Z720" s="3" t="n">
        <v>2</v>
      </c>
      <c r="AA720" s="3" t="n">
        <v>1</v>
      </c>
      <c r="AB720" s="3" t="n">
        <v>3</v>
      </c>
      <c r="AC720" s="3" t="n">
        <v>1</v>
      </c>
      <c r="AD720" s="3" t="n">
        <v>2</v>
      </c>
      <c r="AE720" s="3" t="s">
        <v>6341</v>
      </c>
      <c r="AF720" s="3" t="s">
        <v>846</v>
      </c>
      <c r="AG720" s="3" t="s">
        <v>6342</v>
      </c>
      <c r="AH720" s="3" t="s">
        <v>846</v>
      </c>
      <c r="AI720" s="3" t="s">
        <v>5931</v>
      </c>
      <c r="AJ720" s="3" t="s">
        <v>59</v>
      </c>
      <c r="AK720" s="3" t="s">
        <v>6343</v>
      </c>
      <c r="AL720" s="3" t="s">
        <v>59</v>
      </c>
      <c r="AM720" s="3"/>
      <c r="AN720" s="3"/>
      <c r="AO720" s="3" t="s">
        <v>59</v>
      </c>
      <c r="AP720" s="3"/>
      <c r="AQ720" s="3"/>
      <c r="AR720" s="3"/>
    </row>
    <row r="721" customFormat="false" ht="15" hidden="false" customHeight="true" outlineLevel="0" collapsed="false">
      <c r="A721" s="3" t="s">
        <v>6344</v>
      </c>
      <c r="B721" s="3" t="n">
        <v>8</v>
      </c>
      <c r="C721" s="3" t="n">
        <v>74</v>
      </c>
      <c r="D721" s="3"/>
      <c r="E721" s="4"/>
      <c r="F721" s="3" t="n">
        <v>68</v>
      </c>
      <c r="G721" s="3" t="str">
        <f aca="false">IF(F721="","",IF(F721&gt;=Notes!$B$5,"Elderly ("&amp;Notes!$B$5&amp;"+)",IF(F721&lt;=Notes!$B$4,"Student age (≤"&amp;Notes!$B$4&amp;")","Middle-aged ("&amp;(Notes!$B$4+1)&amp;"–"&amp;(Notes!$B$5-1)&amp;")")))</f>
        <v>Elderly (65+)</v>
      </c>
      <c r="H721" s="3" t="s">
        <v>45</v>
      </c>
      <c r="I721" s="3" t="s">
        <v>159</v>
      </c>
      <c r="J721" s="3" t="s">
        <v>47</v>
      </c>
      <c r="K721" s="3" t="s">
        <v>160</v>
      </c>
      <c r="L721" s="3" t="s">
        <v>46</v>
      </c>
      <c r="M721" s="3" t="s">
        <v>47</v>
      </c>
      <c r="N721" s="3" t="s">
        <v>48</v>
      </c>
      <c r="O721" s="3" t="s">
        <v>6345</v>
      </c>
      <c r="P721" s="3" t="n">
        <v>30</v>
      </c>
      <c r="Q721" s="3" t="s">
        <v>117</v>
      </c>
      <c r="R721" s="3" t="s">
        <v>6346</v>
      </c>
      <c r="S721" s="3" t="s">
        <v>6347</v>
      </c>
      <c r="T721" s="3"/>
      <c r="U721" s="3" t="s">
        <v>6348</v>
      </c>
      <c r="V721" s="3" t="s">
        <v>6349</v>
      </c>
      <c r="W721" s="3" t="s">
        <v>6350</v>
      </c>
      <c r="X721" s="3" t="s">
        <v>6351</v>
      </c>
      <c r="Y721" s="3" t="n">
        <v>3</v>
      </c>
      <c r="Z721" s="3" t="n">
        <v>1</v>
      </c>
      <c r="AA721" s="3" t="n">
        <v>2</v>
      </c>
      <c r="AB721" s="3" t="n">
        <v>3</v>
      </c>
      <c r="AC721" s="3" t="n">
        <v>1</v>
      </c>
      <c r="AD721" s="3" t="n">
        <v>2</v>
      </c>
      <c r="AE721" s="3" t="s">
        <v>6352</v>
      </c>
      <c r="AF721" s="3" t="s">
        <v>860</v>
      </c>
      <c r="AG721" s="3" t="s">
        <v>6353</v>
      </c>
      <c r="AH721" s="3" t="s">
        <v>860</v>
      </c>
      <c r="AI721" s="3" t="s">
        <v>6354</v>
      </c>
      <c r="AJ721" s="3"/>
      <c r="AK721" s="3" t="s">
        <v>6355</v>
      </c>
      <c r="AL721" s="3" t="s">
        <v>59</v>
      </c>
      <c r="AM721" s="3"/>
      <c r="AN721" s="3"/>
      <c r="AO721" s="3" t="s">
        <v>59</v>
      </c>
      <c r="AP721" s="3"/>
      <c r="AQ721" s="3"/>
      <c r="AR721" s="3"/>
    </row>
    <row r="722" customFormat="false" ht="15" hidden="false" customHeight="true" outlineLevel="0" collapsed="false">
      <c r="A722" s="3" t="s">
        <v>6356</v>
      </c>
      <c r="B722" s="3" t="n">
        <v>8</v>
      </c>
      <c r="C722" s="3" t="n">
        <v>75</v>
      </c>
      <c r="D722" s="3"/>
      <c r="E722" s="4"/>
      <c r="F722" s="3" t="n">
        <v>22</v>
      </c>
      <c r="G722" s="3" t="str">
        <f aca="false">IF(F722="","",IF(F722&gt;=Notes!$B$5,"Elderly ("&amp;Notes!$B$5&amp;"+)",IF(F722&lt;=Notes!$B$4,"Student age (≤"&amp;Notes!$B$4&amp;")","Middle-aged ("&amp;(Notes!$B$4+1)&amp;"–"&amp;(Notes!$B$5-1)&amp;")")))</f>
        <v>Student age (≤29)</v>
      </c>
      <c r="H722" s="3" t="s">
        <v>45</v>
      </c>
      <c r="I722" s="3" t="s">
        <v>71</v>
      </c>
      <c r="J722" s="3" t="s">
        <v>47</v>
      </c>
      <c r="K722" s="3" t="s">
        <v>72</v>
      </c>
      <c r="L722" s="3" t="s">
        <v>159</v>
      </c>
      <c r="M722" s="3" t="s">
        <v>47</v>
      </c>
      <c r="N722" s="3" t="s">
        <v>160</v>
      </c>
      <c r="O722" s="3" t="s">
        <v>6357</v>
      </c>
      <c r="P722" s="3" t="n">
        <v>50</v>
      </c>
      <c r="Q722" s="3" t="s">
        <v>52</v>
      </c>
      <c r="R722" s="3" t="s">
        <v>6358</v>
      </c>
      <c r="S722" s="3" t="s">
        <v>6359</v>
      </c>
      <c r="T722" s="3"/>
      <c r="U722" s="3" t="s">
        <v>6360</v>
      </c>
      <c r="V722" s="3" t="s">
        <v>6361</v>
      </c>
      <c r="W722" s="3" t="s">
        <v>6362</v>
      </c>
      <c r="X722" s="3" t="s">
        <v>6363</v>
      </c>
      <c r="Y722" s="3" t="n">
        <v>3</v>
      </c>
      <c r="Z722" s="3" t="n">
        <v>1</v>
      </c>
      <c r="AA722" s="3" t="n">
        <v>2</v>
      </c>
      <c r="AB722" s="3" t="n">
        <v>2</v>
      </c>
      <c r="AC722" s="3" t="n">
        <v>3</v>
      </c>
      <c r="AD722" s="3" t="n">
        <v>1</v>
      </c>
      <c r="AE722" s="3" t="s">
        <v>6364</v>
      </c>
      <c r="AF722" s="3" t="s">
        <v>847</v>
      </c>
      <c r="AG722" s="3" t="s">
        <v>6365</v>
      </c>
      <c r="AH722" s="3" t="s">
        <v>846</v>
      </c>
      <c r="AI722" s="3" t="s">
        <v>6366</v>
      </c>
      <c r="AJ722" s="3" t="s">
        <v>59</v>
      </c>
      <c r="AK722" s="3" t="s">
        <v>6367</v>
      </c>
      <c r="AL722" s="3" t="s">
        <v>59</v>
      </c>
      <c r="AM722" s="3"/>
      <c r="AN722" s="3"/>
      <c r="AO722" s="3" t="s">
        <v>59</v>
      </c>
      <c r="AP722" s="3"/>
      <c r="AQ722" s="3"/>
      <c r="AR722" s="3"/>
    </row>
    <row r="723" customFormat="false" ht="15" hidden="false" customHeight="true" outlineLevel="0" collapsed="false">
      <c r="A723" s="3" t="s">
        <v>6368</v>
      </c>
      <c r="B723" s="3" t="n">
        <v>8</v>
      </c>
      <c r="C723" s="3" t="n">
        <v>76</v>
      </c>
      <c r="D723" s="3"/>
      <c r="E723" s="4"/>
      <c r="F723" s="3" t="n">
        <v>20</v>
      </c>
      <c r="G723" s="3" t="str">
        <f aca="false">IF(F723="","",IF(F723&gt;=Notes!$B$5,"Elderly ("&amp;Notes!$B$5&amp;"+)",IF(F723&lt;=Notes!$B$4,"Student age (≤"&amp;Notes!$B$4&amp;")","Middle-aged ("&amp;(Notes!$B$4+1)&amp;"–"&amp;(Notes!$B$5-1)&amp;")")))</f>
        <v>Student age (≤29)</v>
      </c>
      <c r="H723" s="3" t="s">
        <v>45</v>
      </c>
      <c r="I723" s="3" t="s">
        <v>159</v>
      </c>
      <c r="J723" s="3" t="s">
        <v>47</v>
      </c>
      <c r="K723" s="3" t="s">
        <v>160</v>
      </c>
      <c r="L723" s="3" t="s">
        <v>49</v>
      </c>
      <c r="M723" s="3" t="s">
        <v>47</v>
      </c>
      <c r="N723" s="3" t="s">
        <v>50</v>
      </c>
      <c r="O723" s="3" t="s">
        <v>6369</v>
      </c>
      <c r="P723" s="3" t="n">
        <v>25</v>
      </c>
      <c r="Q723" s="3" t="s">
        <v>117</v>
      </c>
      <c r="R723" s="3" t="s">
        <v>6370</v>
      </c>
      <c r="S723" s="3" t="s">
        <v>6371</v>
      </c>
      <c r="T723" s="3"/>
      <c r="U723" s="3" t="s">
        <v>6372</v>
      </c>
      <c r="V723" s="3" t="s">
        <v>6373</v>
      </c>
      <c r="W723" s="3" t="s">
        <v>5120</v>
      </c>
      <c r="X723" s="3" t="s">
        <v>6374</v>
      </c>
      <c r="Y723" s="3" t="n">
        <v>3</v>
      </c>
      <c r="Z723" s="3" t="n">
        <v>1</v>
      </c>
      <c r="AA723" s="3" t="n">
        <v>2</v>
      </c>
      <c r="AB723" s="3" t="n">
        <v>3</v>
      </c>
      <c r="AC723" s="3" t="n">
        <v>1</v>
      </c>
      <c r="AD723" s="3" t="n">
        <v>2</v>
      </c>
      <c r="AE723" s="3" t="s">
        <v>6375</v>
      </c>
      <c r="AF723" s="3" t="s">
        <v>847</v>
      </c>
      <c r="AG723" s="3" t="s">
        <v>6376</v>
      </c>
      <c r="AH723" s="3" t="s">
        <v>860</v>
      </c>
      <c r="AI723" s="3" t="s">
        <v>6377</v>
      </c>
      <c r="AJ723" s="3"/>
      <c r="AK723" s="3" t="s">
        <v>6378</v>
      </c>
      <c r="AL723" s="3" t="s">
        <v>59</v>
      </c>
      <c r="AM723" s="3"/>
      <c r="AN723" s="3"/>
      <c r="AO723" s="3" t="s">
        <v>59</v>
      </c>
      <c r="AP723" s="3"/>
      <c r="AQ723" s="3"/>
      <c r="AR723" s="3"/>
    </row>
    <row r="724" customFormat="false" ht="15" hidden="false" customHeight="true" outlineLevel="0" collapsed="false">
      <c r="A724" s="3" t="s">
        <v>6379</v>
      </c>
      <c r="B724" s="3" t="n">
        <v>8</v>
      </c>
      <c r="C724" s="3" t="n">
        <v>77</v>
      </c>
      <c r="D724" s="3"/>
      <c r="E724" s="4"/>
      <c r="F724" s="3" t="n">
        <v>21</v>
      </c>
      <c r="G724" s="3" t="str">
        <f aca="false">IF(F724="","",IF(F724&gt;=Notes!$B$5,"Elderly ("&amp;Notes!$B$5&amp;"+)",IF(F724&lt;=Notes!$B$4,"Student age (≤"&amp;Notes!$B$4&amp;")","Middle-aged ("&amp;(Notes!$B$4+1)&amp;"–"&amp;(Notes!$B$5-1)&amp;")")))</f>
        <v>Student age (≤29)</v>
      </c>
      <c r="H724" s="3" t="s">
        <v>45</v>
      </c>
      <c r="I724" s="3" t="s">
        <v>71</v>
      </c>
      <c r="J724" s="3" t="s">
        <v>47</v>
      </c>
      <c r="K724" s="3" t="s">
        <v>72</v>
      </c>
      <c r="L724" s="3" t="s">
        <v>49</v>
      </c>
      <c r="M724" s="3" t="s">
        <v>47</v>
      </c>
      <c r="N724" s="3" t="s">
        <v>50</v>
      </c>
      <c r="O724" s="3" t="s">
        <v>6380</v>
      </c>
      <c r="P724" s="3" t="n">
        <v>35</v>
      </c>
      <c r="Q724" s="3" t="s">
        <v>52</v>
      </c>
      <c r="R724" s="3" t="s">
        <v>6381</v>
      </c>
      <c r="S724" s="3" t="s">
        <v>6382</v>
      </c>
      <c r="T724" s="3"/>
      <c r="U724" s="3" t="s">
        <v>6383</v>
      </c>
      <c r="V724" s="3" t="s">
        <v>6384</v>
      </c>
      <c r="W724" s="3" t="s">
        <v>6385</v>
      </c>
      <c r="X724" s="3" t="s">
        <v>6386</v>
      </c>
      <c r="Y724" s="3" t="n">
        <v>3</v>
      </c>
      <c r="Z724" s="3" t="n">
        <v>1</v>
      </c>
      <c r="AA724" s="3" t="n">
        <v>2</v>
      </c>
      <c r="AB724" s="3" t="n">
        <v>3</v>
      </c>
      <c r="AC724" s="3" t="n">
        <v>1</v>
      </c>
      <c r="AD724" s="3" t="n">
        <v>2</v>
      </c>
      <c r="AE724" s="3" t="s">
        <v>6387</v>
      </c>
      <c r="AF724" s="3" t="s">
        <v>847</v>
      </c>
      <c r="AG724" s="3" t="s">
        <v>6388</v>
      </c>
      <c r="AH724" s="3" t="s">
        <v>846</v>
      </c>
      <c r="AI724" s="3" t="s">
        <v>6389</v>
      </c>
      <c r="AJ724" s="3" t="s">
        <v>59</v>
      </c>
      <c r="AK724" s="3"/>
      <c r="AL724" s="3" t="s">
        <v>59</v>
      </c>
      <c r="AM724" s="3"/>
      <c r="AN724" s="3"/>
      <c r="AO724" s="3" t="s">
        <v>59</v>
      </c>
      <c r="AP724" s="3"/>
      <c r="AQ724" s="3"/>
      <c r="AR724" s="3"/>
    </row>
    <row r="725" customFormat="false" ht="15" hidden="false" customHeight="true" outlineLevel="0" collapsed="false">
      <c r="A725" s="3" t="s">
        <v>6390</v>
      </c>
      <c r="B725" s="3" t="n">
        <v>8</v>
      </c>
      <c r="C725" s="3" t="n">
        <v>78</v>
      </c>
      <c r="D725" s="3"/>
      <c r="E725" s="4"/>
      <c r="F725" s="3" t="n">
        <v>22</v>
      </c>
      <c r="G725" s="3" t="str">
        <f aca="false">IF(F725="","",IF(F725&gt;=Notes!$B$5,"Elderly ("&amp;Notes!$B$5&amp;"+)",IF(F725&lt;=Notes!$B$4,"Student age (≤"&amp;Notes!$B$4&amp;")","Middle-aged ("&amp;(Notes!$B$4+1)&amp;"–"&amp;(Notes!$B$5-1)&amp;")")))</f>
        <v>Student age (≤29)</v>
      </c>
      <c r="H725" s="3" t="s">
        <v>83</v>
      </c>
      <c r="I725" s="3" t="s">
        <v>321</v>
      </c>
      <c r="J725" s="3" t="s">
        <v>47</v>
      </c>
      <c r="K725" s="3" t="s">
        <v>322</v>
      </c>
      <c r="L725" s="3" t="s">
        <v>321</v>
      </c>
      <c r="M725" s="3" t="s">
        <v>47</v>
      </c>
      <c r="N725" s="3" t="s">
        <v>322</v>
      </c>
      <c r="O725" s="3" t="s">
        <v>2037</v>
      </c>
      <c r="P725" s="3" t="n">
        <v>30</v>
      </c>
      <c r="Q725" s="3" t="s">
        <v>117</v>
      </c>
      <c r="R725" s="3" t="s">
        <v>6391</v>
      </c>
      <c r="S725" s="3" t="s">
        <v>6392</v>
      </c>
      <c r="T725" s="3"/>
      <c r="U725" s="3" t="s">
        <v>98</v>
      </c>
      <c r="V725" s="3" t="s">
        <v>6393</v>
      </c>
      <c r="W725" s="3" t="s">
        <v>6394</v>
      </c>
      <c r="X725" s="3" t="s">
        <v>6395</v>
      </c>
      <c r="Y725" s="3" t="n">
        <v>2</v>
      </c>
      <c r="Z725" s="3" t="n">
        <v>1</v>
      </c>
      <c r="AA725" s="3" t="n">
        <v>3</v>
      </c>
      <c r="AB725" s="3" t="n">
        <v>2</v>
      </c>
      <c r="AC725" s="3" t="n">
        <v>3</v>
      </c>
      <c r="AD725" s="3" t="n">
        <v>1</v>
      </c>
      <c r="AE725" s="3" t="s">
        <v>6396</v>
      </c>
      <c r="AF725" s="3" t="s">
        <v>847</v>
      </c>
      <c r="AG725" s="3" t="s">
        <v>6397</v>
      </c>
      <c r="AH725" s="3" t="s">
        <v>846</v>
      </c>
      <c r="AI725" s="3" t="s">
        <v>6398</v>
      </c>
      <c r="AJ725" s="3"/>
      <c r="AK725" s="3" t="s">
        <v>6398</v>
      </c>
      <c r="AL725" s="3" t="s">
        <v>98</v>
      </c>
      <c r="AM725" s="3"/>
      <c r="AN725" s="3"/>
      <c r="AO725" s="3" t="s">
        <v>98</v>
      </c>
      <c r="AP725" s="3"/>
      <c r="AQ725" s="3"/>
      <c r="AR725" s="3"/>
    </row>
    <row r="726" customFormat="false" ht="15" hidden="false" customHeight="true" outlineLevel="0" collapsed="false">
      <c r="A726" s="3" t="s">
        <v>6399</v>
      </c>
      <c r="B726" s="3" t="n">
        <v>8</v>
      </c>
      <c r="C726" s="3" t="n">
        <v>79</v>
      </c>
      <c r="D726" s="3"/>
      <c r="E726" s="4"/>
      <c r="F726" s="3" t="n">
        <v>21</v>
      </c>
      <c r="G726" s="3" t="str">
        <f aca="false">IF(F726="","",IF(F726&gt;=Notes!$B$5,"Elderly ("&amp;Notes!$B$5&amp;"+)",IF(F726&lt;=Notes!$B$4,"Student age (≤"&amp;Notes!$B$4&amp;")","Middle-aged ("&amp;(Notes!$B$4+1)&amp;"–"&amp;(Notes!$B$5-1)&amp;")")))</f>
        <v>Student age (≤29)</v>
      </c>
      <c r="H726" s="3" t="s">
        <v>45</v>
      </c>
      <c r="I726" s="3" t="s">
        <v>171</v>
      </c>
      <c r="J726" s="3" t="s">
        <v>47</v>
      </c>
      <c r="K726" s="3" t="s">
        <v>172</v>
      </c>
      <c r="L726" s="3" t="s">
        <v>49</v>
      </c>
      <c r="M726" s="3" t="s">
        <v>47</v>
      </c>
      <c r="N726" s="3" t="s">
        <v>50</v>
      </c>
      <c r="O726" s="3" t="s">
        <v>6400</v>
      </c>
      <c r="P726" s="3" t="n">
        <v>30</v>
      </c>
      <c r="Q726" s="3" t="s">
        <v>117</v>
      </c>
      <c r="R726" s="3" t="s">
        <v>6401</v>
      </c>
      <c r="S726" s="3" t="s">
        <v>6402</v>
      </c>
      <c r="T726" s="3"/>
      <c r="U726" s="3" t="s">
        <v>6403</v>
      </c>
      <c r="V726" s="3" t="s">
        <v>6404</v>
      </c>
      <c r="W726" s="3" t="s">
        <v>6405</v>
      </c>
      <c r="X726" s="3" t="s">
        <v>6406</v>
      </c>
      <c r="Y726" s="3" t="n">
        <v>3</v>
      </c>
      <c r="Z726" s="3" t="n">
        <v>2</v>
      </c>
      <c r="AA726" s="3" t="n">
        <v>1</v>
      </c>
      <c r="AB726" s="3" t="n">
        <v>2</v>
      </c>
      <c r="AC726" s="3" t="n">
        <v>3</v>
      </c>
      <c r="AD726" s="3" t="n">
        <v>1</v>
      </c>
      <c r="AE726" s="3" t="s">
        <v>6407</v>
      </c>
      <c r="AF726" s="3" t="s">
        <v>846</v>
      </c>
      <c r="AG726" s="3" t="s">
        <v>6408</v>
      </c>
      <c r="AH726" s="3" t="s">
        <v>860</v>
      </c>
      <c r="AI726" s="3" t="s">
        <v>6409</v>
      </c>
      <c r="AJ726" s="3"/>
      <c r="AK726" s="3" t="s">
        <v>6410</v>
      </c>
      <c r="AL726" s="3" t="s">
        <v>59</v>
      </c>
      <c r="AM726" s="3"/>
      <c r="AN726" s="3"/>
      <c r="AO726" s="3" t="s">
        <v>59</v>
      </c>
      <c r="AP726" s="3"/>
      <c r="AQ726" s="3"/>
      <c r="AR726" s="3"/>
    </row>
    <row r="727" customFormat="false" ht="15" hidden="false" customHeight="true" outlineLevel="0" collapsed="false">
      <c r="A727" s="3" t="s">
        <v>6411</v>
      </c>
      <c r="B727" s="3" t="n">
        <v>8</v>
      </c>
      <c r="C727" s="3" t="n">
        <v>80</v>
      </c>
      <c r="D727" s="3"/>
      <c r="E727" s="4"/>
      <c r="F727" s="3" t="n">
        <v>21</v>
      </c>
      <c r="G727" s="3" t="str">
        <f aca="false">IF(F727="","",IF(F727&gt;=Notes!$B$5,"Elderly ("&amp;Notes!$B$5&amp;"+)",IF(F727&lt;=Notes!$B$4,"Student age (≤"&amp;Notes!$B$4&amp;")","Middle-aged ("&amp;(Notes!$B$4+1)&amp;"–"&amp;(Notes!$B$5-1)&amp;")")))</f>
        <v>Student age (≤29)</v>
      </c>
      <c r="H727" s="3" t="s">
        <v>45</v>
      </c>
      <c r="I727" s="3" t="s">
        <v>71</v>
      </c>
      <c r="J727" s="3" t="s">
        <v>47</v>
      </c>
      <c r="K727" s="3" t="s">
        <v>72</v>
      </c>
      <c r="L727" s="3" t="s">
        <v>49</v>
      </c>
      <c r="M727" s="3" t="s">
        <v>47</v>
      </c>
      <c r="N727" s="3" t="s">
        <v>50</v>
      </c>
      <c r="O727" s="3" t="s">
        <v>6412</v>
      </c>
      <c r="P727" s="3" t="n">
        <v>28</v>
      </c>
      <c r="Q727" s="3" t="s">
        <v>117</v>
      </c>
      <c r="R727" s="3" t="s">
        <v>6413</v>
      </c>
      <c r="S727" s="3" t="s">
        <v>6414</v>
      </c>
      <c r="T727" s="3"/>
      <c r="U727" s="3" t="s">
        <v>6415</v>
      </c>
      <c r="V727" s="3" t="s">
        <v>6416</v>
      </c>
      <c r="W727" s="3" t="s">
        <v>59</v>
      </c>
      <c r="X727" s="3" t="s">
        <v>6417</v>
      </c>
      <c r="Y727" s="3" t="n">
        <v>1</v>
      </c>
      <c r="Z727" s="3" t="n">
        <v>2</v>
      </c>
      <c r="AA727" s="3" t="n">
        <v>3</v>
      </c>
      <c r="AB727" s="3" t="n">
        <v>2</v>
      </c>
      <c r="AC727" s="3" t="n">
        <v>1</v>
      </c>
      <c r="AD727" s="3" t="n">
        <v>3</v>
      </c>
      <c r="AE727" s="3" t="s">
        <v>6418</v>
      </c>
      <c r="AF727" s="3" t="s">
        <v>860</v>
      </c>
      <c r="AG727" s="3" t="s">
        <v>6419</v>
      </c>
      <c r="AH727" s="3" t="s">
        <v>846</v>
      </c>
      <c r="AI727" s="3" t="s">
        <v>6420</v>
      </c>
      <c r="AJ727" s="3" t="s">
        <v>59</v>
      </c>
      <c r="AK727" s="3"/>
      <c r="AL727" s="3" t="s">
        <v>59</v>
      </c>
      <c r="AM727" s="3"/>
      <c r="AN727" s="3"/>
      <c r="AO727" s="3" t="s">
        <v>59</v>
      </c>
      <c r="AP727" s="3"/>
      <c r="AQ727" s="3"/>
      <c r="AR727" s="3"/>
    </row>
    <row r="728" customFormat="false" ht="15" hidden="false" customHeight="true" outlineLevel="0" collapsed="false">
      <c r="A728" s="3" t="s">
        <v>6421</v>
      </c>
      <c r="B728" s="3" t="n">
        <v>8</v>
      </c>
      <c r="C728" s="3" t="n">
        <v>81</v>
      </c>
      <c r="D728" s="3"/>
      <c r="E728" s="4"/>
      <c r="F728" s="3" t="n">
        <v>25</v>
      </c>
      <c r="G728" s="3" t="str">
        <f aca="false">IF(F728="","",IF(F728&gt;=Notes!$B$5,"Elderly ("&amp;Notes!$B$5&amp;"+)",IF(F728&lt;=Notes!$B$4,"Student age (≤"&amp;Notes!$B$4&amp;")","Middle-aged ("&amp;(Notes!$B$4+1)&amp;"–"&amp;(Notes!$B$5-1)&amp;")")))</f>
        <v>Student age (≤29)</v>
      </c>
      <c r="H728" s="3" t="s">
        <v>45</v>
      </c>
      <c r="I728" s="3" t="s">
        <v>171</v>
      </c>
      <c r="J728" s="3" t="s">
        <v>47</v>
      </c>
      <c r="K728" s="3" t="s">
        <v>172</v>
      </c>
      <c r="L728" s="3" t="s">
        <v>49</v>
      </c>
      <c r="M728" s="3" t="s">
        <v>47</v>
      </c>
      <c r="N728" s="3" t="s">
        <v>50</v>
      </c>
      <c r="O728" s="3" t="s">
        <v>6422</v>
      </c>
      <c r="P728" s="3" t="n">
        <v>45</v>
      </c>
      <c r="Q728" s="3" t="s">
        <v>52</v>
      </c>
      <c r="R728" s="3" t="s">
        <v>6423</v>
      </c>
      <c r="S728" s="3" t="s">
        <v>6424</v>
      </c>
      <c r="T728" s="3"/>
      <c r="U728" s="3" t="s">
        <v>6425</v>
      </c>
      <c r="V728" s="3" t="s">
        <v>6426</v>
      </c>
      <c r="W728" s="3" t="s">
        <v>6427</v>
      </c>
      <c r="X728" s="3" t="s">
        <v>6428</v>
      </c>
      <c r="Y728" s="3" t="n">
        <v>1</v>
      </c>
      <c r="Z728" s="3" t="n">
        <v>2</v>
      </c>
      <c r="AA728" s="3" t="n">
        <v>3</v>
      </c>
      <c r="AB728" s="3" t="n">
        <v>2</v>
      </c>
      <c r="AC728" s="3" t="n">
        <v>1</v>
      </c>
      <c r="AD728" s="3" t="n">
        <v>3</v>
      </c>
      <c r="AE728" s="3" t="s">
        <v>6429</v>
      </c>
      <c r="AF728" s="3" t="s">
        <v>860</v>
      </c>
      <c r="AG728" s="3" t="s">
        <v>6430</v>
      </c>
      <c r="AH728" s="3" t="s">
        <v>846</v>
      </c>
      <c r="AI728" s="3" t="s">
        <v>6431</v>
      </c>
      <c r="AJ728" s="3"/>
      <c r="AK728" s="3" t="s">
        <v>6432</v>
      </c>
      <c r="AL728" s="3" t="s">
        <v>59</v>
      </c>
      <c r="AM728" s="3"/>
      <c r="AN728" s="3"/>
      <c r="AO728" s="3" t="s">
        <v>59</v>
      </c>
      <c r="AP728" s="3"/>
      <c r="AQ728" s="3"/>
      <c r="AR728" s="3"/>
    </row>
    <row r="729" customFormat="false" ht="15" hidden="false" customHeight="true" outlineLevel="0" collapsed="false">
      <c r="A729" s="3" t="s">
        <v>6433</v>
      </c>
      <c r="B729" s="3" t="n">
        <v>8</v>
      </c>
      <c r="C729" s="3" t="n">
        <v>82</v>
      </c>
      <c r="D729" s="3"/>
      <c r="E729" s="4"/>
      <c r="F729" s="3" t="n">
        <v>22</v>
      </c>
      <c r="G729" s="3" t="str">
        <f aca="false">IF(F729="","",IF(F729&gt;=Notes!$B$5,"Elderly ("&amp;Notes!$B$5&amp;"+)",IF(F729&lt;=Notes!$B$4,"Student age (≤"&amp;Notes!$B$4&amp;")","Middle-aged ("&amp;(Notes!$B$4+1)&amp;"–"&amp;(Notes!$B$5-1)&amp;")")))</f>
        <v>Student age (≤29)</v>
      </c>
      <c r="H729" s="3" t="s">
        <v>83</v>
      </c>
      <c r="I729" s="3" t="s">
        <v>171</v>
      </c>
      <c r="J729" s="3" t="s">
        <v>47</v>
      </c>
      <c r="K729" s="3" t="s">
        <v>172</v>
      </c>
      <c r="L729" s="3" t="s">
        <v>49</v>
      </c>
      <c r="M729" s="3" t="s">
        <v>47</v>
      </c>
      <c r="N729" s="3" t="s">
        <v>50</v>
      </c>
      <c r="O729" s="3" t="s">
        <v>6434</v>
      </c>
      <c r="P729" s="3" t="n">
        <v>25</v>
      </c>
      <c r="Q729" s="3" t="s">
        <v>117</v>
      </c>
      <c r="R729" s="3" t="s">
        <v>6435</v>
      </c>
      <c r="S729" s="3" t="s">
        <v>6436</v>
      </c>
      <c r="T729" s="3"/>
      <c r="U729" s="3" t="s">
        <v>59</v>
      </c>
      <c r="V729" s="3" t="s">
        <v>6437</v>
      </c>
      <c r="W729" s="3" t="s">
        <v>6438</v>
      </c>
      <c r="X729" s="3" t="s">
        <v>6439</v>
      </c>
      <c r="Y729" s="3" t="n">
        <v>3</v>
      </c>
      <c r="Z729" s="3" t="n">
        <v>2</v>
      </c>
      <c r="AA729" s="3" t="n">
        <v>1</v>
      </c>
      <c r="AB729" s="3" t="n">
        <v>1</v>
      </c>
      <c r="AC729" s="3" t="n">
        <v>2</v>
      </c>
      <c r="AD729" s="3" t="n">
        <v>3</v>
      </c>
      <c r="AE729" s="3" t="s">
        <v>6440</v>
      </c>
      <c r="AF729" s="3" t="s">
        <v>846</v>
      </c>
      <c r="AG729" s="3" t="s">
        <v>6441</v>
      </c>
      <c r="AH729" s="3" t="s">
        <v>846</v>
      </c>
      <c r="AI729" s="3" t="s">
        <v>6442</v>
      </c>
      <c r="AJ729" s="3"/>
      <c r="AK729" s="3" t="s">
        <v>1322</v>
      </c>
      <c r="AL729" s="3" t="s">
        <v>59</v>
      </c>
      <c r="AM729" s="3"/>
      <c r="AN729" s="3"/>
      <c r="AO729" s="3" t="s">
        <v>59</v>
      </c>
      <c r="AP729" s="3"/>
      <c r="AQ729" s="3"/>
      <c r="AR729" s="3"/>
    </row>
    <row r="730" customFormat="false" ht="15" hidden="false" customHeight="true" outlineLevel="0" collapsed="false">
      <c r="A730" s="3" t="s">
        <v>6443</v>
      </c>
      <c r="B730" s="3" t="n">
        <v>8</v>
      </c>
      <c r="C730" s="3" t="n">
        <v>83</v>
      </c>
      <c r="D730" s="3"/>
      <c r="E730" s="4"/>
      <c r="F730" s="3" t="n">
        <v>21</v>
      </c>
      <c r="G730" s="3" t="str">
        <f aca="false">IF(F730="","",IF(F730&gt;=Notes!$B$5,"Elderly ("&amp;Notes!$B$5&amp;"+)",IF(F730&lt;=Notes!$B$4,"Student age (≤"&amp;Notes!$B$4&amp;")","Middle-aged ("&amp;(Notes!$B$4+1)&amp;"–"&amp;(Notes!$B$5-1)&amp;")")))</f>
        <v>Student age (≤29)</v>
      </c>
      <c r="H730" s="3" t="s">
        <v>45</v>
      </c>
      <c r="I730" s="3" t="s">
        <v>71</v>
      </c>
      <c r="J730" s="3" t="s">
        <v>47</v>
      </c>
      <c r="K730" s="3" t="s">
        <v>72</v>
      </c>
      <c r="L730" s="3" t="s">
        <v>49</v>
      </c>
      <c r="M730" s="3" t="s">
        <v>47</v>
      </c>
      <c r="N730" s="3" t="s">
        <v>50</v>
      </c>
      <c r="O730" s="3" t="s">
        <v>6444</v>
      </c>
      <c r="P730" s="3" t="n">
        <v>30</v>
      </c>
      <c r="Q730" s="3" t="s">
        <v>117</v>
      </c>
      <c r="R730" s="3" t="s">
        <v>6445</v>
      </c>
      <c r="S730" s="3" t="s">
        <v>6446</v>
      </c>
      <c r="T730" s="3"/>
      <c r="U730" s="3" t="s">
        <v>6447</v>
      </c>
      <c r="V730" s="3" t="s">
        <v>6448</v>
      </c>
      <c r="W730" s="3" t="s">
        <v>6449</v>
      </c>
      <c r="X730" s="3" t="s">
        <v>6450</v>
      </c>
      <c r="Y730" s="3" t="n">
        <v>1</v>
      </c>
      <c r="Z730" s="3" t="n">
        <v>3</v>
      </c>
      <c r="AA730" s="3" t="n">
        <v>2</v>
      </c>
      <c r="AB730" s="3" t="n">
        <v>1</v>
      </c>
      <c r="AC730" s="3" t="n">
        <v>2</v>
      </c>
      <c r="AD730" s="3" t="n">
        <v>3</v>
      </c>
      <c r="AE730" s="3" t="s">
        <v>6451</v>
      </c>
      <c r="AF730" s="3" t="s">
        <v>860</v>
      </c>
      <c r="AG730" s="3" t="s">
        <v>6452</v>
      </c>
      <c r="AH730" s="3" t="s">
        <v>846</v>
      </c>
      <c r="AI730" s="3" t="s">
        <v>6453</v>
      </c>
      <c r="AJ730" s="3"/>
      <c r="AK730" s="3" t="s">
        <v>6454</v>
      </c>
      <c r="AL730" s="3" t="s">
        <v>59</v>
      </c>
      <c r="AM730" s="3"/>
      <c r="AN730" s="3"/>
      <c r="AO730" s="3" t="s">
        <v>59</v>
      </c>
      <c r="AP730" s="3"/>
      <c r="AQ730" s="3"/>
      <c r="AR730" s="3"/>
    </row>
    <row r="731" customFormat="false" ht="15" hidden="false" customHeight="true" outlineLevel="0" collapsed="false">
      <c r="A731" s="3" t="s">
        <v>6455</v>
      </c>
      <c r="B731" s="3" t="n">
        <v>8</v>
      </c>
      <c r="C731" s="3" t="n">
        <v>84</v>
      </c>
      <c r="D731" s="3"/>
      <c r="E731" s="4"/>
      <c r="F731" s="3" t="n">
        <v>22</v>
      </c>
      <c r="G731" s="3" t="str">
        <f aca="false">IF(F731="","",IF(F731&gt;=Notes!$B$5,"Elderly ("&amp;Notes!$B$5&amp;"+)",IF(F731&lt;=Notes!$B$4,"Student age (≤"&amp;Notes!$B$4&amp;")","Middle-aged ("&amp;(Notes!$B$4+1)&amp;"–"&amp;(Notes!$B$5-1)&amp;")")))</f>
        <v>Student age (≤29)</v>
      </c>
      <c r="H731" s="3" t="s">
        <v>45</v>
      </c>
      <c r="I731" s="3" t="s">
        <v>71</v>
      </c>
      <c r="J731" s="3" t="s">
        <v>47</v>
      </c>
      <c r="K731" s="3" t="s">
        <v>72</v>
      </c>
      <c r="L731" s="3" t="s">
        <v>49</v>
      </c>
      <c r="M731" s="3" t="s">
        <v>47</v>
      </c>
      <c r="N731" s="3" t="s">
        <v>50</v>
      </c>
      <c r="O731" s="3" t="s">
        <v>6456</v>
      </c>
      <c r="P731" s="3" t="n">
        <v>40</v>
      </c>
      <c r="Q731" s="3" t="s">
        <v>52</v>
      </c>
      <c r="R731" s="3" t="s">
        <v>547</v>
      </c>
      <c r="S731" s="3" t="s">
        <v>6457</v>
      </c>
      <c r="T731" s="3"/>
      <c r="U731" s="3" t="s">
        <v>6458</v>
      </c>
      <c r="V731" s="3" t="s">
        <v>6459</v>
      </c>
      <c r="W731" s="3" t="s">
        <v>6460</v>
      </c>
      <c r="X731" s="3" t="s">
        <v>6461</v>
      </c>
      <c r="Y731" s="3" t="n">
        <v>2</v>
      </c>
      <c r="Z731" s="3" t="n">
        <v>1</v>
      </c>
      <c r="AA731" s="3" t="n">
        <v>3</v>
      </c>
      <c r="AB731" s="3" t="n">
        <v>2</v>
      </c>
      <c r="AC731" s="3" t="n">
        <v>1</v>
      </c>
      <c r="AD731" s="3" t="n">
        <v>3</v>
      </c>
      <c r="AE731" s="3" t="s">
        <v>6462</v>
      </c>
      <c r="AF731" s="3" t="s">
        <v>860</v>
      </c>
      <c r="AG731" s="3" t="s">
        <v>6463</v>
      </c>
      <c r="AH731" s="3" t="s">
        <v>846</v>
      </c>
      <c r="AI731" s="3" t="s">
        <v>6464</v>
      </c>
      <c r="AJ731" s="3" t="s">
        <v>59</v>
      </c>
      <c r="AK731" s="3"/>
      <c r="AL731" s="3" t="s">
        <v>59</v>
      </c>
      <c r="AM731" s="3"/>
      <c r="AN731" s="3"/>
      <c r="AO731" s="3" t="s">
        <v>59</v>
      </c>
      <c r="AP731" s="3"/>
      <c r="AQ731" s="3"/>
      <c r="AR731" s="3"/>
    </row>
    <row r="732" customFormat="false" ht="15" hidden="false" customHeight="true" outlineLevel="0" collapsed="false">
      <c r="A732" s="3" t="s">
        <v>6465</v>
      </c>
      <c r="B732" s="3" t="n">
        <v>8</v>
      </c>
      <c r="C732" s="3" t="n">
        <v>85</v>
      </c>
      <c r="D732" s="3"/>
      <c r="E732" s="4"/>
      <c r="F732" s="3" t="n">
        <v>19</v>
      </c>
      <c r="G732" s="3" t="str">
        <f aca="false">IF(F732="","",IF(F732&gt;=Notes!$B$5,"Elderly ("&amp;Notes!$B$5&amp;"+)",IF(F732&lt;=Notes!$B$4,"Student age (≤"&amp;Notes!$B$4&amp;")","Middle-aged ("&amp;(Notes!$B$4+1)&amp;"–"&amp;(Notes!$B$5-1)&amp;")")))</f>
        <v>Student age (≤29)</v>
      </c>
      <c r="H732" s="3" t="s">
        <v>45</v>
      </c>
      <c r="I732" s="3" t="s">
        <v>71</v>
      </c>
      <c r="J732" s="3" t="s">
        <v>47</v>
      </c>
      <c r="K732" s="3" t="s">
        <v>72</v>
      </c>
      <c r="L732" s="3" t="s">
        <v>71</v>
      </c>
      <c r="M732" s="3" t="s">
        <v>47</v>
      </c>
      <c r="N732" s="3" t="s">
        <v>72</v>
      </c>
      <c r="O732" s="3" t="s">
        <v>6466</v>
      </c>
      <c r="P732" s="3" t="n">
        <v>15</v>
      </c>
      <c r="Q732" s="3" t="s">
        <v>74</v>
      </c>
      <c r="R732" s="3" t="s">
        <v>6467</v>
      </c>
      <c r="S732" s="3" t="s">
        <v>6468</v>
      </c>
      <c r="T732" s="3"/>
      <c r="U732" s="3" t="s">
        <v>442</v>
      </c>
      <c r="V732" s="3" t="s">
        <v>6469</v>
      </c>
      <c r="W732" s="3" t="s">
        <v>6470</v>
      </c>
      <c r="X732" s="3" t="s">
        <v>6471</v>
      </c>
      <c r="Y732" s="3" t="n">
        <v>1</v>
      </c>
      <c r="Z732" s="3" t="n">
        <v>2</v>
      </c>
      <c r="AA732" s="3" t="n">
        <v>3</v>
      </c>
      <c r="AB732" s="3" t="n">
        <v>1</v>
      </c>
      <c r="AC732" s="3" t="n">
        <v>3</v>
      </c>
      <c r="AD732" s="3" t="n">
        <v>2</v>
      </c>
      <c r="AE732" s="3" t="s">
        <v>6472</v>
      </c>
      <c r="AF732" s="3" t="s">
        <v>860</v>
      </c>
      <c r="AG732" s="3" t="s">
        <v>6473</v>
      </c>
      <c r="AH732" s="3" t="s">
        <v>846</v>
      </c>
      <c r="AI732" s="3" t="s">
        <v>6474</v>
      </c>
      <c r="AJ732" s="3" t="s">
        <v>59</v>
      </c>
      <c r="AK732" s="3" t="s">
        <v>6475</v>
      </c>
      <c r="AL732" s="3" t="s">
        <v>59</v>
      </c>
      <c r="AM732" s="3"/>
      <c r="AN732" s="3"/>
      <c r="AO732" s="3" t="s">
        <v>59</v>
      </c>
      <c r="AP732" s="3"/>
      <c r="AQ732" s="3"/>
      <c r="AR732" s="3"/>
    </row>
    <row r="733" customFormat="false" ht="15" hidden="false" customHeight="true" outlineLevel="0" collapsed="false">
      <c r="A733" s="3" t="s">
        <v>6476</v>
      </c>
      <c r="B733" s="3" t="n">
        <v>8</v>
      </c>
      <c r="C733" s="3" t="n">
        <v>86</v>
      </c>
      <c r="D733" s="3"/>
      <c r="E733" s="4"/>
      <c r="F733" s="3" t="n">
        <v>21</v>
      </c>
      <c r="G733" s="3" t="str">
        <f aca="false">IF(F733="","",IF(F733&gt;=Notes!$B$5,"Elderly ("&amp;Notes!$B$5&amp;"+)",IF(F733&lt;=Notes!$B$4,"Student age (≤"&amp;Notes!$B$4&amp;")","Middle-aged ("&amp;(Notes!$B$4+1)&amp;"–"&amp;(Notes!$B$5-1)&amp;")")))</f>
        <v>Student age (≤29)</v>
      </c>
      <c r="H733" s="3" t="s">
        <v>45</v>
      </c>
      <c r="I733" s="3"/>
      <c r="J733" s="3" t="s">
        <v>5980</v>
      </c>
      <c r="K733" s="3" t="s">
        <v>5980</v>
      </c>
      <c r="L733" s="3" t="s">
        <v>289</v>
      </c>
      <c r="M733" s="3" t="s">
        <v>47</v>
      </c>
      <c r="N733" s="3" t="s">
        <v>290</v>
      </c>
      <c r="O733" s="3" t="s">
        <v>6477</v>
      </c>
      <c r="P733" s="3" t="n">
        <v>35</v>
      </c>
      <c r="Q733" s="3" t="s">
        <v>52</v>
      </c>
      <c r="R733" s="3" t="s">
        <v>6478</v>
      </c>
      <c r="S733" s="3" t="s">
        <v>6479</v>
      </c>
      <c r="T733" s="3"/>
      <c r="U733" s="3" t="s">
        <v>6480</v>
      </c>
      <c r="V733" s="3" t="s">
        <v>6481</v>
      </c>
      <c r="W733" s="3" t="s">
        <v>6482</v>
      </c>
      <c r="X733" s="3" t="s">
        <v>6483</v>
      </c>
      <c r="Y733" s="3" t="n">
        <v>2</v>
      </c>
      <c r="Z733" s="3" t="n">
        <v>1</v>
      </c>
      <c r="AA733" s="3" t="n">
        <v>3</v>
      </c>
      <c r="AB733" s="3" t="n">
        <v>2</v>
      </c>
      <c r="AC733" s="3" t="n">
        <v>1</v>
      </c>
      <c r="AD733" s="3" t="n">
        <v>3</v>
      </c>
      <c r="AE733" s="3" t="s">
        <v>6484</v>
      </c>
      <c r="AF733" s="3" t="s">
        <v>860</v>
      </c>
      <c r="AG733" s="3" t="s">
        <v>6485</v>
      </c>
      <c r="AH733" s="3" t="s">
        <v>846</v>
      </c>
      <c r="AI733" s="3" t="s">
        <v>6486</v>
      </c>
      <c r="AJ733" s="3"/>
      <c r="AK733" s="3" t="s">
        <v>6487</v>
      </c>
      <c r="AL733" s="3" t="s">
        <v>59</v>
      </c>
      <c r="AM733" s="3"/>
      <c r="AN733" s="3"/>
      <c r="AO733" s="3" t="s">
        <v>59</v>
      </c>
      <c r="AP733" s="3"/>
      <c r="AQ733" s="3"/>
      <c r="AR73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2109375" defaultRowHeight="15" zeroHeight="false" outlineLevelRow="0" outlineLevelCol="0"/>
  <cols>
    <col collapsed="false" customWidth="true" hidden="false" outlineLevel="0" max="1" min="1" style="1" width="11"/>
    <col collapsed="false" customWidth="true" hidden="false" outlineLevel="0" max="2" min="2" style="1" width="7"/>
    <col collapsed="false" customWidth="true" hidden="false" outlineLevel="0" max="3" min="3" style="1" width="6"/>
    <col collapsed="false" customWidth="true" hidden="false" outlineLevel="0" max="4" min="4" style="1" width="14"/>
    <col collapsed="false" customWidth="true" hidden="false" outlineLevel="0" max="5" min="5" style="1" width="12"/>
    <col collapsed="false" customWidth="true" hidden="false" outlineLevel="0" max="7" min="6" style="1" width="16"/>
    <col collapsed="false" customWidth="true" hidden="false" outlineLevel="0" max="8" min="8" style="1" width="44"/>
    <col collapsed="false" customWidth="true" hidden="false" outlineLevel="0" max="9" min="9" style="1" width="30"/>
    <col collapsed="false" customWidth="true" hidden="false" outlineLevel="0" max="10" min="10" style="1" width="44"/>
    <col collapsed="false" customWidth="true" hidden="false" outlineLevel="0" max="11" min="11" style="1" width="30"/>
    <col collapsed="false" customWidth="true" hidden="false" outlineLevel="0" max="12" min="12" style="1" width="44"/>
    <col collapsed="false" customWidth="true" hidden="false" outlineLevel="0" max="13" min="13" style="1" width="30"/>
    <col collapsed="false" customWidth="true" hidden="false" outlineLevel="0" max="14" min="14" style="1" width="44"/>
    <col collapsed="false" customWidth="true" hidden="false" outlineLevel="0" max="15" min="15" style="1" width="30"/>
    <col collapsed="false" customWidth="true" hidden="false" outlineLevel="0" max="16" min="16" style="1" width="44"/>
    <col collapsed="false" customWidth="true" hidden="false" outlineLevel="0" max="17" min="17" style="1" width="30"/>
    <col collapsed="false" customWidth="true" hidden="false" outlineLevel="0" max="18" min="18" style="1" width="44"/>
    <col collapsed="false" customWidth="true" hidden="false" outlineLevel="0" max="19" min="19" style="1" width="30"/>
    <col collapsed="false" customWidth="true" hidden="false" outlineLevel="0" max="20" min="20" style="1" width="44"/>
    <col collapsed="false" customWidth="true" hidden="false" outlineLevel="0" max="21" min="21" style="1" width="30"/>
    <col collapsed="false" customWidth="true" hidden="false" outlineLevel="0" max="22" min="22" style="1" width="44"/>
    <col collapsed="false" customWidth="true" hidden="false" outlineLevel="0" max="23" min="23" style="1" width="30"/>
    <col collapsed="false" customWidth="true" hidden="false" outlineLevel="0" max="24" min="24" style="1" width="44"/>
    <col collapsed="false" customWidth="true" hidden="false" outlineLevel="0" max="25" min="25" style="1" width="30"/>
    <col collapsed="false" customWidth="true" hidden="false" outlineLevel="0" max="26" min="26" style="1" width="44"/>
    <col collapsed="false" customWidth="true" hidden="false" outlineLevel="0" max="27" min="27" style="1" width="30"/>
  </cols>
  <sheetData>
    <row r="1" customFormat="false" ht="42" hidden="false" customHeight="true" outlineLevel="0" collapsed="false">
      <c r="A1" s="2" t="s">
        <v>0</v>
      </c>
      <c r="B1" s="2" t="s">
        <v>1</v>
      </c>
      <c r="C1" s="2" t="s">
        <v>5</v>
      </c>
      <c r="D1" s="2" t="s">
        <v>6</v>
      </c>
      <c r="E1" s="2" t="s">
        <v>7</v>
      </c>
      <c r="F1" s="2" t="s">
        <v>9</v>
      </c>
      <c r="G1" s="2" t="s">
        <v>12</v>
      </c>
      <c r="H1" s="2" t="s">
        <v>6488</v>
      </c>
      <c r="I1" s="2" t="s">
        <v>6489</v>
      </c>
      <c r="J1" s="2" t="s">
        <v>6490</v>
      </c>
      <c r="K1" s="2" t="s">
        <v>6491</v>
      </c>
      <c r="L1" s="2" t="s">
        <v>6492</v>
      </c>
      <c r="M1" s="2" t="s">
        <v>6493</v>
      </c>
      <c r="N1" s="2" t="s">
        <v>6494</v>
      </c>
      <c r="O1" s="2" t="s">
        <v>6495</v>
      </c>
      <c r="P1" s="2" t="s">
        <v>6496</v>
      </c>
      <c r="Q1" s="2" t="s">
        <v>6497</v>
      </c>
      <c r="R1" s="2" t="s">
        <v>6498</v>
      </c>
      <c r="S1" s="2" t="s">
        <v>6499</v>
      </c>
      <c r="T1" s="2" t="s">
        <v>6500</v>
      </c>
      <c r="U1" s="2" t="s">
        <v>6501</v>
      </c>
      <c r="V1" s="2" t="s">
        <v>6502</v>
      </c>
      <c r="W1" s="2" t="s">
        <v>6503</v>
      </c>
      <c r="X1" s="2" t="s">
        <v>6504</v>
      </c>
      <c r="Y1" s="2" t="s">
        <v>6505</v>
      </c>
      <c r="Z1" s="2" t="s">
        <v>6506</v>
      </c>
      <c r="AA1" s="2" t="s">
        <v>6507</v>
      </c>
    </row>
    <row r="2" customFormat="false" ht="15" hidden="false" customHeight="true" outlineLevel="0" collapsed="false">
      <c r="A2" s="3" t="s">
        <v>44</v>
      </c>
      <c r="B2" s="3" t="n">
        <v>1</v>
      </c>
      <c r="C2" s="3" t="n">
        <v>25</v>
      </c>
      <c r="D2" s="3" t="str">
        <f aca="false">Combined!G2</f>
        <v>Student age (≤29)</v>
      </c>
      <c r="E2" s="3" t="s">
        <v>45</v>
      </c>
      <c r="F2" s="3" t="s">
        <v>47</v>
      </c>
      <c r="G2" s="3" t="s">
        <v>47</v>
      </c>
      <c r="H2" s="3" t="s">
        <v>51</v>
      </c>
      <c r="I2" s="3" t="s">
        <v>6508</v>
      </c>
      <c r="J2" s="3" t="s">
        <v>53</v>
      </c>
      <c r="K2" s="3" t="s">
        <v>6509</v>
      </c>
      <c r="L2" s="3" t="s">
        <v>54</v>
      </c>
      <c r="M2" s="3" t="s">
        <v>6510</v>
      </c>
      <c r="N2" s="3" t="s">
        <v>55</v>
      </c>
      <c r="O2" s="3" t="s">
        <v>6511</v>
      </c>
      <c r="P2" s="3" t="s">
        <v>56</v>
      </c>
      <c r="Q2" s="3" t="s">
        <v>6512</v>
      </c>
      <c r="R2" s="3" t="s">
        <v>57</v>
      </c>
      <c r="S2" s="3" t="s">
        <v>6513</v>
      </c>
      <c r="T2" s="3"/>
      <c r="U2" s="3"/>
      <c r="V2" s="3" t="s">
        <v>58</v>
      </c>
      <c r="W2" s="3" t="s">
        <v>6514</v>
      </c>
      <c r="X2" s="3"/>
      <c r="Y2" s="3"/>
      <c r="Z2" s="3"/>
      <c r="AA2" s="3"/>
    </row>
    <row r="3" customFormat="false" ht="15" hidden="false" customHeight="true" outlineLevel="0" collapsed="false">
      <c r="A3" s="3" t="s">
        <v>60</v>
      </c>
      <c r="B3" s="3" t="n">
        <v>1</v>
      </c>
      <c r="C3" s="3" t="n">
        <v>24</v>
      </c>
      <c r="D3" s="3" t="str">
        <f aca="false">Combined!G3</f>
        <v>Student age (≤29)</v>
      </c>
      <c r="E3" s="3" t="s">
        <v>45</v>
      </c>
      <c r="F3" s="3" t="s">
        <v>47</v>
      </c>
      <c r="G3" s="3" t="s">
        <v>47</v>
      </c>
      <c r="H3" s="3" t="s">
        <v>63</v>
      </c>
      <c r="I3" s="3" t="s">
        <v>6515</v>
      </c>
      <c r="J3" s="3" t="s">
        <v>64</v>
      </c>
      <c r="K3" s="3" t="s">
        <v>6516</v>
      </c>
      <c r="L3" s="3" t="s">
        <v>65</v>
      </c>
      <c r="M3" s="3" t="s">
        <v>6510</v>
      </c>
      <c r="N3" s="3" t="s">
        <v>66</v>
      </c>
      <c r="O3" s="3" t="s">
        <v>6517</v>
      </c>
      <c r="P3" s="3" t="s">
        <v>67</v>
      </c>
      <c r="Q3" s="3" t="s">
        <v>6518</v>
      </c>
      <c r="R3" s="3" t="s">
        <v>68</v>
      </c>
      <c r="S3" s="3" t="s">
        <v>6519</v>
      </c>
      <c r="T3" s="3"/>
      <c r="U3" s="3"/>
      <c r="V3" s="3" t="s">
        <v>69</v>
      </c>
      <c r="W3" s="3" t="s">
        <v>6520</v>
      </c>
      <c r="X3" s="3"/>
      <c r="Y3" s="3"/>
      <c r="Z3" s="3"/>
      <c r="AA3" s="3"/>
    </row>
    <row r="4" customFormat="false" ht="15" hidden="false" customHeight="true" outlineLevel="0" collapsed="false">
      <c r="A4" s="3" t="s">
        <v>70</v>
      </c>
      <c r="B4" s="3" t="n">
        <v>1</v>
      </c>
      <c r="C4" s="3" t="n">
        <v>19</v>
      </c>
      <c r="D4" s="3" t="str">
        <f aca="false">Combined!G4</f>
        <v>Student age (≤29)</v>
      </c>
      <c r="E4" s="3" t="s">
        <v>45</v>
      </c>
      <c r="F4" s="3" t="s">
        <v>47</v>
      </c>
      <c r="G4" s="3" t="s">
        <v>47</v>
      </c>
      <c r="H4" s="3" t="s">
        <v>73</v>
      </c>
      <c r="I4" s="3" t="s">
        <v>6521</v>
      </c>
      <c r="J4" s="3" t="s">
        <v>75</v>
      </c>
      <c r="K4" s="3" t="s">
        <v>6522</v>
      </c>
      <c r="L4" s="3" t="s">
        <v>76</v>
      </c>
      <c r="M4" s="3" t="s">
        <v>6523</v>
      </c>
      <c r="N4" s="3" t="s">
        <v>77</v>
      </c>
      <c r="O4" s="3" t="s">
        <v>6517</v>
      </c>
      <c r="P4" s="3" t="s">
        <v>78</v>
      </c>
      <c r="Q4" s="3" t="s">
        <v>6524</v>
      </c>
      <c r="R4" s="3" t="s">
        <v>79</v>
      </c>
      <c r="S4" s="3" t="s">
        <v>6525</v>
      </c>
      <c r="T4" s="3"/>
      <c r="U4" s="3"/>
      <c r="V4" s="3" t="s">
        <v>80</v>
      </c>
      <c r="W4" s="3" t="s">
        <v>6526</v>
      </c>
      <c r="X4" s="3"/>
      <c r="Y4" s="3"/>
      <c r="Z4" s="3"/>
      <c r="AA4" s="3"/>
    </row>
    <row r="5" customFormat="false" ht="15" hidden="false" customHeight="true" outlineLevel="0" collapsed="false">
      <c r="A5" s="3" t="s">
        <v>82</v>
      </c>
      <c r="B5" s="3" t="n">
        <v>1</v>
      </c>
      <c r="C5" s="3" t="n">
        <v>21</v>
      </c>
      <c r="D5" s="3" t="str">
        <f aca="false">Combined!G5</f>
        <v>Student age (≤29)</v>
      </c>
      <c r="E5" s="3" t="s">
        <v>83</v>
      </c>
      <c r="F5" s="3" t="s">
        <v>47</v>
      </c>
      <c r="G5" s="3" t="s">
        <v>47</v>
      </c>
      <c r="H5" s="3" t="s">
        <v>84</v>
      </c>
      <c r="I5" s="3" t="s">
        <v>6527</v>
      </c>
      <c r="J5" s="3" t="s">
        <v>85</v>
      </c>
      <c r="K5" s="3" t="s">
        <v>6528</v>
      </c>
      <c r="L5" s="3" t="s">
        <v>86</v>
      </c>
      <c r="M5" s="3" t="s">
        <v>6529</v>
      </c>
      <c r="N5" s="3" t="s">
        <v>87</v>
      </c>
      <c r="O5" s="3" t="s">
        <v>6530</v>
      </c>
      <c r="P5" s="3" t="s">
        <v>88</v>
      </c>
      <c r="Q5" s="3" t="s">
        <v>6531</v>
      </c>
      <c r="R5" s="3" t="s">
        <v>89</v>
      </c>
      <c r="S5" s="3" t="s">
        <v>6532</v>
      </c>
      <c r="T5" s="3"/>
      <c r="U5" s="3"/>
      <c r="V5" s="3" t="s">
        <v>90</v>
      </c>
      <c r="W5" s="3" t="s">
        <v>6533</v>
      </c>
      <c r="X5" s="3"/>
      <c r="Y5" s="3"/>
      <c r="Z5" s="3"/>
      <c r="AA5" s="3"/>
    </row>
    <row r="6" customFormat="false" ht="15" hidden="false" customHeight="true" outlineLevel="0" collapsed="false">
      <c r="A6" s="3" t="s">
        <v>91</v>
      </c>
      <c r="B6" s="3" t="n">
        <v>1</v>
      </c>
      <c r="C6" s="3" t="n">
        <v>21</v>
      </c>
      <c r="D6" s="3" t="str">
        <f aca="false">Combined!G6</f>
        <v>Student age (≤29)</v>
      </c>
      <c r="E6" s="3" t="s">
        <v>83</v>
      </c>
      <c r="F6" s="3" t="s">
        <v>47</v>
      </c>
      <c r="G6" s="3" t="s">
        <v>47</v>
      </c>
      <c r="H6" s="3" t="s">
        <v>94</v>
      </c>
      <c r="I6" s="3" t="s">
        <v>6527</v>
      </c>
      <c r="J6" s="3" t="s">
        <v>96</v>
      </c>
      <c r="K6" s="3" t="s">
        <v>6534</v>
      </c>
      <c r="L6" s="3" t="s">
        <v>97</v>
      </c>
      <c r="M6" s="3" t="s">
        <v>6535</v>
      </c>
      <c r="N6" s="3" t="s">
        <v>98</v>
      </c>
      <c r="O6" s="3" t="s">
        <v>6517</v>
      </c>
      <c r="P6" s="3" t="s">
        <v>99</v>
      </c>
      <c r="Q6" s="3" t="s">
        <v>6536</v>
      </c>
      <c r="R6" s="3" t="s">
        <v>100</v>
      </c>
      <c r="S6" s="3" t="s">
        <v>6537</v>
      </c>
      <c r="T6" s="3" t="s">
        <v>102</v>
      </c>
      <c r="U6" s="3" t="s">
        <v>6538</v>
      </c>
      <c r="V6" s="3" t="s">
        <v>102</v>
      </c>
      <c r="W6" s="3" t="s">
        <v>6538</v>
      </c>
      <c r="X6" s="3"/>
      <c r="Y6" s="3"/>
      <c r="Z6" s="3"/>
      <c r="AA6" s="3"/>
    </row>
    <row r="7" customFormat="false" ht="15" hidden="false" customHeight="true" outlineLevel="0" collapsed="false">
      <c r="A7" s="3" t="s">
        <v>103</v>
      </c>
      <c r="B7" s="3" t="n">
        <v>1</v>
      </c>
      <c r="C7" s="3" t="n">
        <v>24</v>
      </c>
      <c r="D7" s="3" t="str">
        <f aca="false">Combined!G7</f>
        <v>Student age (≤29)</v>
      </c>
      <c r="E7" s="3" t="s">
        <v>83</v>
      </c>
      <c r="F7" s="3" t="s">
        <v>47</v>
      </c>
      <c r="G7" s="3" t="s">
        <v>47</v>
      </c>
      <c r="H7" s="3" t="s">
        <v>104</v>
      </c>
      <c r="I7" s="3" t="s">
        <v>6539</v>
      </c>
      <c r="J7" s="3" t="s">
        <v>105</v>
      </c>
      <c r="K7" s="3" t="s">
        <v>6540</v>
      </c>
      <c r="L7" s="3" t="s">
        <v>106</v>
      </c>
      <c r="M7" s="3" t="s">
        <v>6541</v>
      </c>
      <c r="N7" s="3" t="s">
        <v>107</v>
      </c>
      <c r="O7" s="3" t="s">
        <v>6511</v>
      </c>
      <c r="P7" s="3" t="s">
        <v>108</v>
      </c>
      <c r="Q7" s="3" t="s">
        <v>6542</v>
      </c>
      <c r="R7" s="3" t="s">
        <v>109</v>
      </c>
      <c r="S7" s="3" t="s">
        <v>6543</v>
      </c>
      <c r="T7" s="3" t="s">
        <v>111</v>
      </c>
      <c r="U7" s="3" t="s">
        <v>6544</v>
      </c>
      <c r="V7" s="3" t="s">
        <v>112</v>
      </c>
      <c r="W7" s="3" t="s">
        <v>6545</v>
      </c>
      <c r="X7" s="3"/>
      <c r="Y7" s="3"/>
      <c r="Z7" s="3"/>
      <c r="AA7" s="3"/>
    </row>
    <row r="8" customFormat="false" ht="15" hidden="false" customHeight="true" outlineLevel="0" collapsed="false">
      <c r="A8" s="3" t="s">
        <v>113</v>
      </c>
      <c r="B8" s="3" t="n">
        <v>1</v>
      </c>
      <c r="C8" s="3" t="n">
        <v>20</v>
      </c>
      <c r="D8" s="3" t="str">
        <f aca="false">Combined!G8</f>
        <v>Student age (≤29)</v>
      </c>
      <c r="E8" s="3" t="s">
        <v>83</v>
      </c>
      <c r="F8" s="3" t="s">
        <v>47</v>
      </c>
      <c r="G8" s="3" t="s">
        <v>47</v>
      </c>
      <c r="H8" s="3" t="s">
        <v>116</v>
      </c>
      <c r="I8" s="3" t="s">
        <v>6546</v>
      </c>
      <c r="J8" s="3" t="s">
        <v>118</v>
      </c>
      <c r="K8" s="3" t="s">
        <v>6547</v>
      </c>
      <c r="L8" s="3" t="s">
        <v>119</v>
      </c>
      <c r="M8" s="3" t="s">
        <v>6548</v>
      </c>
      <c r="N8" s="3" t="s">
        <v>120</v>
      </c>
      <c r="O8" s="3" t="s">
        <v>6511</v>
      </c>
      <c r="P8" s="3" t="s">
        <v>121</v>
      </c>
      <c r="Q8" s="3" t="s">
        <v>6542</v>
      </c>
      <c r="R8" s="3" t="s">
        <v>122</v>
      </c>
      <c r="S8" s="3" t="s">
        <v>6549</v>
      </c>
      <c r="T8" s="3" t="s">
        <v>124</v>
      </c>
      <c r="U8" s="3" t="s">
        <v>6550</v>
      </c>
      <c r="V8" s="3" t="s">
        <v>125</v>
      </c>
      <c r="W8" s="3" t="s">
        <v>6551</v>
      </c>
      <c r="X8" s="3"/>
      <c r="Y8" s="3"/>
      <c r="Z8" s="3"/>
      <c r="AA8" s="3"/>
    </row>
    <row r="9" customFormat="false" ht="15" hidden="false" customHeight="true" outlineLevel="0" collapsed="false">
      <c r="A9" s="3" t="s">
        <v>126</v>
      </c>
      <c r="B9" s="3" t="n">
        <v>1</v>
      </c>
      <c r="C9" s="3" t="n">
        <v>20</v>
      </c>
      <c r="D9" s="3" t="str">
        <f aca="false">Combined!G9</f>
        <v>Student age (≤29)</v>
      </c>
      <c r="E9" s="3" t="s">
        <v>83</v>
      </c>
      <c r="F9" s="3" t="s">
        <v>47</v>
      </c>
      <c r="G9" s="3" t="s">
        <v>47</v>
      </c>
      <c r="H9" s="3" t="s">
        <v>129</v>
      </c>
      <c r="I9" s="3" t="s">
        <v>6539</v>
      </c>
      <c r="J9" s="3" t="s">
        <v>130</v>
      </c>
      <c r="K9" s="3" t="s">
        <v>6516</v>
      </c>
      <c r="L9" s="3" t="s">
        <v>131</v>
      </c>
      <c r="M9" s="3" t="s">
        <v>6540</v>
      </c>
      <c r="N9" s="3" t="s">
        <v>132</v>
      </c>
      <c r="O9" s="3" t="s">
        <v>59</v>
      </c>
      <c r="P9" s="3" t="s">
        <v>133</v>
      </c>
      <c r="Q9" s="3" t="s">
        <v>6512</v>
      </c>
      <c r="R9" s="3" t="s">
        <v>134</v>
      </c>
      <c r="S9" s="3" t="s">
        <v>6552</v>
      </c>
      <c r="T9" s="3" t="s">
        <v>136</v>
      </c>
      <c r="U9" s="3" t="s">
        <v>6553</v>
      </c>
      <c r="V9" s="3" t="s">
        <v>137</v>
      </c>
      <c r="W9" s="3" t="s">
        <v>6554</v>
      </c>
      <c r="X9" s="3"/>
      <c r="Y9" s="3"/>
      <c r="Z9" s="3"/>
      <c r="AA9" s="3"/>
    </row>
    <row r="10" customFormat="false" ht="15" hidden="false" customHeight="true" outlineLevel="0" collapsed="false">
      <c r="A10" s="3" t="s">
        <v>138</v>
      </c>
      <c r="B10" s="3" t="n">
        <v>1</v>
      </c>
      <c r="C10" s="3" t="n">
        <v>21</v>
      </c>
      <c r="D10" s="3" t="str">
        <f aca="false">Combined!G10</f>
        <v>Student age (≤29)</v>
      </c>
      <c r="E10" s="3" t="s">
        <v>83</v>
      </c>
      <c r="F10" s="3" t="s">
        <v>47</v>
      </c>
      <c r="G10" s="3" t="s">
        <v>47</v>
      </c>
      <c r="H10" s="3" t="s">
        <v>139</v>
      </c>
      <c r="I10" s="3" t="s">
        <v>6555</v>
      </c>
      <c r="J10" s="3" t="s">
        <v>140</v>
      </c>
      <c r="K10" s="3" t="s">
        <v>6556</v>
      </c>
      <c r="L10" s="3" t="s">
        <v>141</v>
      </c>
      <c r="M10" s="3" t="s">
        <v>6557</v>
      </c>
      <c r="N10" s="3" t="s">
        <v>142</v>
      </c>
      <c r="O10" s="3" t="s">
        <v>59</v>
      </c>
      <c r="P10" s="3" t="s">
        <v>143</v>
      </c>
      <c r="Q10" s="3" t="s">
        <v>6542</v>
      </c>
      <c r="R10" s="3" t="s">
        <v>144</v>
      </c>
      <c r="S10" s="3" t="s">
        <v>6537</v>
      </c>
      <c r="T10" s="3" t="s">
        <v>146</v>
      </c>
      <c r="U10" s="3" t="s">
        <v>6558</v>
      </c>
      <c r="V10" s="3" t="s">
        <v>147</v>
      </c>
      <c r="W10" s="3" t="s">
        <v>6551</v>
      </c>
      <c r="X10" s="3"/>
      <c r="Y10" s="3"/>
      <c r="Z10" s="3"/>
      <c r="AA10" s="3"/>
    </row>
    <row r="11" customFormat="false" ht="15" hidden="false" customHeight="true" outlineLevel="0" collapsed="false">
      <c r="A11" s="3" t="s">
        <v>148</v>
      </c>
      <c r="B11" s="3" t="n">
        <v>1</v>
      </c>
      <c r="C11" s="3" t="n">
        <v>20</v>
      </c>
      <c r="D11" s="3" t="str">
        <f aca="false">Combined!G11</f>
        <v>Student age (≤29)</v>
      </c>
      <c r="E11" s="3" t="s">
        <v>83</v>
      </c>
      <c r="F11" s="3" t="s">
        <v>47</v>
      </c>
      <c r="G11" s="3" t="s">
        <v>47</v>
      </c>
      <c r="H11" s="3" t="s">
        <v>149</v>
      </c>
      <c r="I11" s="3" t="s">
        <v>6539</v>
      </c>
      <c r="J11" s="3" t="s">
        <v>150</v>
      </c>
      <c r="K11" s="3" t="s">
        <v>6535</v>
      </c>
      <c r="L11" s="3" t="s">
        <v>151</v>
      </c>
      <c r="M11" s="3" t="s">
        <v>6559</v>
      </c>
      <c r="N11" s="3" t="s">
        <v>152</v>
      </c>
      <c r="O11" s="3" t="s">
        <v>6511</v>
      </c>
      <c r="P11" s="3" t="s">
        <v>153</v>
      </c>
      <c r="Q11" s="3" t="s">
        <v>6560</v>
      </c>
      <c r="R11" s="3" t="s">
        <v>154</v>
      </c>
      <c r="S11" s="3" t="s">
        <v>6561</v>
      </c>
      <c r="T11" s="3" t="s">
        <v>156</v>
      </c>
      <c r="U11" s="3" t="s">
        <v>6529</v>
      </c>
      <c r="V11" s="3" t="s">
        <v>157</v>
      </c>
      <c r="W11" s="3" t="s">
        <v>6562</v>
      </c>
      <c r="X11" s="3"/>
      <c r="Y11" s="3"/>
      <c r="Z11" s="3"/>
      <c r="AA11" s="3"/>
    </row>
    <row r="12" customFormat="false" ht="15" hidden="false" customHeight="true" outlineLevel="0" collapsed="false">
      <c r="A12" s="3" t="s">
        <v>158</v>
      </c>
      <c r="B12" s="3" t="n">
        <v>1</v>
      </c>
      <c r="C12" s="3" t="n">
        <v>22</v>
      </c>
      <c r="D12" s="3" t="str">
        <f aca="false">Combined!G12</f>
        <v>Student age (≤29)</v>
      </c>
      <c r="E12" s="3" t="s">
        <v>45</v>
      </c>
      <c r="F12" s="3" t="s">
        <v>47</v>
      </c>
      <c r="G12" s="3" t="s">
        <v>47</v>
      </c>
      <c r="H12" s="3" t="s">
        <v>161</v>
      </c>
      <c r="I12" s="3" t="s">
        <v>6563</v>
      </c>
      <c r="J12" s="3" t="s">
        <v>162</v>
      </c>
      <c r="K12" s="3" t="s">
        <v>6564</v>
      </c>
      <c r="L12" s="3" t="s">
        <v>163</v>
      </c>
      <c r="M12" s="3" t="s">
        <v>6565</v>
      </c>
      <c r="N12" s="3" t="s">
        <v>164</v>
      </c>
      <c r="O12" s="3" t="s">
        <v>6517</v>
      </c>
      <c r="P12" s="3" t="s">
        <v>165</v>
      </c>
      <c r="Q12" s="3" t="s">
        <v>6566</v>
      </c>
      <c r="R12" s="3" t="s">
        <v>166</v>
      </c>
      <c r="S12" s="3" t="s">
        <v>6567</v>
      </c>
      <c r="T12" s="3" t="s">
        <v>168</v>
      </c>
      <c r="U12" s="3" t="s">
        <v>6568</v>
      </c>
      <c r="V12" s="3" t="s">
        <v>169</v>
      </c>
      <c r="W12" s="3" t="s">
        <v>6568</v>
      </c>
      <c r="X12" s="3"/>
      <c r="Y12" s="3"/>
      <c r="Z12" s="3"/>
      <c r="AA12" s="3"/>
    </row>
    <row r="13" customFormat="false" ht="15" hidden="false" customHeight="true" outlineLevel="0" collapsed="false">
      <c r="A13" s="3" t="s">
        <v>170</v>
      </c>
      <c r="B13" s="3" t="n">
        <v>1</v>
      </c>
      <c r="C13" s="3" t="n">
        <v>22</v>
      </c>
      <c r="D13" s="3" t="str">
        <f aca="false">Combined!G13</f>
        <v>Student age (≤29)</v>
      </c>
      <c r="E13" s="3" t="s">
        <v>83</v>
      </c>
      <c r="F13" s="3" t="s">
        <v>47</v>
      </c>
      <c r="G13" s="3" t="s">
        <v>47</v>
      </c>
      <c r="H13" s="3" t="s">
        <v>173</v>
      </c>
      <c r="I13" s="3" t="s">
        <v>6539</v>
      </c>
      <c r="J13" s="3" t="s">
        <v>174</v>
      </c>
      <c r="K13" s="3" t="s">
        <v>6569</v>
      </c>
      <c r="L13" s="3" t="s">
        <v>175</v>
      </c>
      <c r="M13" s="3" t="s">
        <v>6570</v>
      </c>
      <c r="N13" s="3" t="s">
        <v>176</v>
      </c>
      <c r="O13" s="3" t="s">
        <v>6511</v>
      </c>
      <c r="P13" s="3" t="s">
        <v>177</v>
      </c>
      <c r="Q13" s="3" t="s">
        <v>6571</v>
      </c>
      <c r="R13" s="3" t="s">
        <v>178</v>
      </c>
      <c r="S13" s="3" t="s">
        <v>6572</v>
      </c>
      <c r="T13" s="3" t="s">
        <v>180</v>
      </c>
      <c r="U13" s="3" t="s">
        <v>6573</v>
      </c>
      <c r="V13" s="3" t="s">
        <v>181</v>
      </c>
      <c r="W13" s="3" t="s">
        <v>6574</v>
      </c>
      <c r="X13" s="3"/>
      <c r="Y13" s="3"/>
      <c r="Z13" s="3"/>
      <c r="AA13" s="3"/>
    </row>
    <row r="14" customFormat="false" ht="15" hidden="false" customHeight="true" outlineLevel="0" collapsed="false">
      <c r="A14" s="3" t="s">
        <v>182</v>
      </c>
      <c r="B14" s="3" t="n">
        <v>1</v>
      </c>
      <c r="C14" s="3" t="n">
        <v>22</v>
      </c>
      <c r="D14" s="3" t="str">
        <f aca="false">Combined!G14</f>
        <v>Student age (≤29)</v>
      </c>
      <c r="E14" s="3" t="s">
        <v>83</v>
      </c>
      <c r="F14" s="3" t="s">
        <v>47</v>
      </c>
      <c r="G14" s="3" t="s">
        <v>47</v>
      </c>
      <c r="H14" s="3" t="s">
        <v>183</v>
      </c>
      <c r="I14" s="3" t="s">
        <v>6539</v>
      </c>
      <c r="J14" s="3" t="s">
        <v>184</v>
      </c>
      <c r="K14" s="3" t="s">
        <v>6509</v>
      </c>
      <c r="L14" s="3" t="s">
        <v>185</v>
      </c>
      <c r="M14" s="3" t="s">
        <v>6509</v>
      </c>
      <c r="N14" s="3" t="s">
        <v>186</v>
      </c>
      <c r="O14" s="3" t="s">
        <v>6517</v>
      </c>
      <c r="P14" s="3" t="s">
        <v>187</v>
      </c>
      <c r="Q14" s="3" t="s">
        <v>6575</v>
      </c>
      <c r="R14" s="3" t="s">
        <v>188</v>
      </c>
      <c r="S14" s="3" t="s">
        <v>6561</v>
      </c>
      <c r="T14" s="3" t="s">
        <v>190</v>
      </c>
      <c r="U14" s="3" t="s">
        <v>6576</v>
      </c>
      <c r="V14" s="3" t="s">
        <v>191</v>
      </c>
      <c r="W14" s="3" t="s">
        <v>6535</v>
      </c>
      <c r="X14" s="3"/>
      <c r="Y14" s="3"/>
      <c r="Z14" s="3"/>
      <c r="AA14" s="3"/>
    </row>
    <row r="15" customFormat="false" ht="15" hidden="false" customHeight="true" outlineLevel="0" collapsed="false">
      <c r="A15" s="3" t="s">
        <v>192</v>
      </c>
      <c r="B15" s="3" t="n">
        <v>1</v>
      </c>
      <c r="C15" s="3" t="n">
        <v>24</v>
      </c>
      <c r="D15" s="3" t="str">
        <f aca="false">Combined!G15</f>
        <v>Student age (≤29)</v>
      </c>
      <c r="E15" s="3" t="s">
        <v>45</v>
      </c>
      <c r="F15" s="3" t="s">
        <v>47</v>
      </c>
      <c r="G15" s="3" t="s">
        <v>47</v>
      </c>
      <c r="H15" s="3" t="s">
        <v>193</v>
      </c>
      <c r="I15" s="3" t="s">
        <v>6539</v>
      </c>
      <c r="J15" s="3" t="s">
        <v>130</v>
      </c>
      <c r="K15" s="3" t="s">
        <v>6516</v>
      </c>
      <c r="L15" s="3" t="s">
        <v>194</v>
      </c>
      <c r="M15" s="3" t="s">
        <v>6509</v>
      </c>
      <c r="N15" s="3" t="s">
        <v>195</v>
      </c>
      <c r="O15" s="3" t="s">
        <v>6511</v>
      </c>
      <c r="P15" s="3" t="s">
        <v>196</v>
      </c>
      <c r="Q15" s="3" t="s">
        <v>6577</v>
      </c>
      <c r="R15" s="3" t="s">
        <v>197</v>
      </c>
      <c r="S15" s="3" t="s">
        <v>6578</v>
      </c>
      <c r="T15" s="3" t="s">
        <v>199</v>
      </c>
      <c r="U15" s="3" t="s">
        <v>6579</v>
      </c>
      <c r="V15" s="3" t="s">
        <v>200</v>
      </c>
      <c r="W15" s="3" t="s">
        <v>6545</v>
      </c>
      <c r="X15" s="3"/>
      <c r="Y15" s="3"/>
      <c r="Z15" s="3"/>
      <c r="AA15" s="3"/>
    </row>
    <row r="16" customFormat="false" ht="15" hidden="false" customHeight="true" outlineLevel="0" collapsed="false">
      <c r="A16" s="3" t="s">
        <v>201</v>
      </c>
      <c r="B16" s="3" t="n">
        <v>1</v>
      </c>
      <c r="C16" s="3" t="n">
        <v>23</v>
      </c>
      <c r="D16" s="3" t="str">
        <f aca="false">Combined!G16</f>
        <v>Student age (≤29)</v>
      </c>
      <c r="E16" s="3" t="s">
        <v>83</v>
      </c>
      <c r="F16" s="3" t="s">
        <v>47</v>
      </c>
      <c r="G16" s="3" t="s">
        <v>47</v>
      </c>
      <c r="H16" s="3" t="s">
        <v>202</v>
      </c>
      <c r="I16" s="3" t="s">
        <v>6551</v>
      </c>
      <c r="J16" s="3" t="s">
        <v>203</v>
      </c>
      <c r="K16" s="3" t="s">
        <v>6510</v>
      </c>
      <c r="L16" s="3" t="s">
        <v>204</v>
      </c>
      <c r="M16" s="3" t="s">
        <v>6510</v>
      </c>
      <c r="N16" s="3" t="s">
        <v>205</v>
      </c>
      <c r="O16" s="3" t="s">
        <v>6511</v>
      </c>
      <c r="P16" s="3" t="s">
        <v>206</v>
      </c>
      <c r="Q16" s="3" t="s">
        <v>6580</v>
      </c>
      <c r="R16" s="3" t="s">
        <v>207</v>
      </c>
      <c r="S16" s="3" t="s">
        <v>6581</v>
      </c>
      <c r="T16" s="3" t="s">
        <v>209</v>
      </c>
      <c r="U16" s="3" t="s">
        <v>6582</v>
      </c>
      <c r="V16" s="3" t="s">
        <v>210</v>
      </c>
      <c r="W16" s="3" t="s">
        <v>6551</v>
      </c>
      <c r="X16" s="3"/>
      <c r="Y16" s="3"/>
      <c r="Z16" s="3"/>
      <c r="AA16" s="3"/>
    </row>
    <row r="17" customFormat="false" ht="15" hidden="false" customHeight="true" outlineLevel="0" collapsed="false">
      <c r="A17" s="3" t="s">
        <v>211</v>
      </c>
      <c r="B17" s="3" t="n">
        <v>1</v>
      </c>
      <c r="C17" s="3" t="n">
        <v>22</v>
      </c>
      <c r="D17" s="3" t="str">
        <f aca="false">Combined!G17</f>
        <v>Student age (≤29)</v>
      </c>
      <c r="E17" s="3" t="s">
        <v>83</v>
      </c>
      <c r="F17" s="3" t="s">
        <v>47</v>
      </c>
      <c r="G17" s="3" t="s">
        <v>47</v>
      </c>
      <c r="H17" s="3" t="s">
        <v>212</v>
      </c>
      <c r="I17" s="3" t="s">
        <v>6583</v>
      </c>
      <c r="J17" s="3" t="s">
        <v>213</v>
      </c>
      <c r="K17" s="3" t="s">
        <v>6584</v>
      </c>
      <c r="L17" s="3" t="s">
        <v>214</v>
      </c>
      <c r="M17" s="3" t="s">
        <v>6510</v>
      </c>
      <c r="N17" s="3" t="s">
        <v>215</v>
      </c>
      <c r="O17" s="3" t="s">
        <v>6511</v>
      </c>
      <c r="P17" s="3" t="s">
        <v>216</v>
      </c>
      <c r="Q17" s="3" t="s">
        <v>6512</v>
      </c>
      <c r="R17" s="3" t="s">
        <v>217</v>
      </c>
      <c r="S17" s="3" t="s">
        <v>6585</v>
      </c>
      <c r="T17" s="3" t="s">
        <v>219</v>
      </c>
      <c r="U17" s="3" t="s">
        <v>6586</v>
      </c>
      <c r="V17" s="3" t="s">
        <v>220</v>
      </c>
      <c r="W17" s="3" t="s">
        <v>6533</v>
      </c>
      <c r="X17" s="3"/>
      <c r="Y17" s="3"/>
      <c r="Z17" s="3"/>
      <c r="AA17" s="3"/>
    </row>
    <row r="18" customFormat="false" ht="15" hidden="false" customHeight="true" outlineLevel="0" collapsed="false">
      <c r="A18" s="3" t="s">
        <v>221</v>
      </c>
      <c r="B18" s="3" t="n">
        <v>1</v>
      </c>
      <c r="C18" s="3" t="n">
        <v>24</v>
      </c>
      <c r="D18" s="3" t="str">
        <f aca="false">Combined!G18</f>
        <v>Student age (≤29)</v>
      </c>
      <c r="E18" s="3" t="s">
        <v>83</v>
      </c>
      <c r="F18" s="3" t="s">
        <v>47</v>
      </c>
      <c r="G18" s="3" t="s">
        <v>47</v>
      </c>
      <c r="H18" s="3" t="s">
        <v>222</v>
      </c>
      <c r="I18" s="3" t="s">
        <v>6587</v>
      </c>
      <c r="J18" s="3" t="s">
        <v>223</v>
      </c>
      <c r="K18" s="3" t="s">
        <v>6540</v>
      </c>
      <c r="L18" s="3" t="s">
        <v>224</v>
      </c>
      <c r="M18" s="3" t="s">
        <v>6564</v>
      </c>
      <c r="N18" s="3" t="s">
        <v>225</v>
      </c>
      <c r="O18" s="3" t="s">
        <v>6511</v>
      </c>
      <c r="P18" s="3" t="s">
        <v>226</v>
      </c>
      <c r="Q18" s="3" t="s">
        <v>6542</v>
      </c>
      <c r="R18" s="3" t="s">
        <v>227</v>
      </c>
      <c r="S18" s="3" t="s">
        <v>6578</v>
      </c>
      <c r="T18" s="3" t="s">
        <v>229</v>
      </c>
      <c r="U18" s="3" t="s">
        <v>6588</v>
      </c>
      <c r="V18" s="3" t="s">
        <v>230</v>
      </c>
      <c r="W18" s="3" t="s">
        <v>6589</v>
      </c>
      <c r="X18" s="3"/>
      <c r="Y18" s="3"/>
      <c r="Z18" s="3"/>
      <c r="AA18" s="3"/>
    </row>
    <row r="19" customFormat="false" ht="15" hidden="false" customHeight="true" outlineLevel="0" collapsed="false">
      <c r="A19" s="3" t="s">
        <v>231</v>
      </c>
      <c r="B19" s="3" t="n">
        <v>1</v>
      </c>
      <c r="C19" s="3" t="n">
        <v>22</v>
      </c>
      <c r="D19" s="3" t="str">
        <f aca="false">Combined!G19</f>
        <v>Student age (≤29)</v>
      </c>
      <c r="E19" s="3" t="s">
        <v>83</v>
      </c>
      <c r="F19" s="3" t="s">
        <v>47</v>
      </c>
      <c r="G19" s="3" t="s">
        <v>47</v>
      </c>
      <c r="H19" s="3" t="s">
        <v>234</v>
      </c>
      <c r="I19" s="3" t="s">
        <v>6539</v>
      </c>
      <c r="J19" s="3" t="s">
        <v>235</v>
      </c>
      <c r="K19" s="3" t="s">
        <v>6590</v>
      </c>
      <c r="L19" s="3" t="s">
        <v>236</v>
      </c>
      <c r="M19" s="3" t="s">
        <v>6551</v>
      </c>
      <c r="N19" s="3" t="s">
        <v>237</v>
      </c>
      <c r="O19" s="3" t="s">
        <v>6517</v>
      </c>
      <c r="P19" s="3" t="s">
        <v>238</v>
      </c>
      <c r="Q19" s="3" t="s">
        <v>6542</v>
      </c>
      <c r="R19" s="3" t="s">
        <v>239</v>
      </c>
      <c r="S19" s="3" t="s">
        <v>6537</v>
      </c>
      <c r="T19" s="3" t="s">
        <v>241</v>
      </c>
      <c r="U19" s="3" t="s">
        <v>6591</v>
      </c>
      <c r="V19" s="3" t="s">
        <v>242</v>
      </c>
      <c r="W19" s="3" t="s">
        <v>6551</v>
      </c>
      <c r="X19" s="3"/>
      <c r="Y19" s="3"/>
      <c r="Z19" s="3"/>
      <c r="AA19" s="3"/>
    </row>
    <row r="20" customFormat="false" ht="15" hidden="false" customHeight="true" outlineLevel="0" collapsed="false">
      <c r="A20" s="3" t="s">
        <v>243</v>
      </c>
      <c r="B20" s="3" t="n">
        <v>1</v>
      </c>
      <c r="C20" s="3" t="n">
        <v>26</v>
      </c>
      <c r="D20" s="3" t="str">
        <f aca="false">Combined!G20</f>
        <v>Student age (≤29)</v>
      </c>
      <c r="E20" s="3" t="s">
        <v>83</v>
      </c>
      <c r="F20" s="3" t="s">
        <v>47</v>
      </c>
      <c r="G20" s="3" t="s">
        <v>47</v>
      </c>
      <c r="H20" s="3" t="s">
        <v>244</v>
      </c>
      <c r="I20" s="3" t="s">
        <v>6539</v>
      </c>
      <c r="J20" s="3" t="s">
        <v>245</v>
      </c>
      <c r="K20" s="3" t="s">
        <v>6592</v>
      </c>
      <c r="L20" s="3" t="s">
        <v>246</v>
      </c>
      <c r="M20" s="3" t="s">
        <v>6593</v>
      </c>
      <c r="N20" s="3" t="s">
        <v>247</v>
      </c>
      <c r="O20" s="3" t="s">
        <v>59</v>
      </c>
      <c r="P20" s="3" t="s">
        <v>248</v>
      </c>
      <c r="Q20" s="3" t="s">
        <v>6594</v>
      </c>
      <c r="R20" s="3" t="s">
        <v>249</v>
      </c>
      <c r="S20" s="3" t="s">
        <v>6595</v>
      </c>
      <c r="T20" s="3" t="s">
        <v>251</v>
      </c>
      <c r="U20" s="3" t="s">
        <v>6596</v>
      </c>
      <c r="V20" s="3" t="s">
        <v>252</v>
      </c>
      <c r="W20" s="3" t="s">
        <v>6597</v>
      </c>
      <c r="X20" s="3"/>
      <c r="Y20" s="3"/>
      <c r="Z20" s="3"/>
      <c r="AA20" s="3"/>
    </row>
    <row r="21" customFormat="false" ht="15" hidden="false" customHeight="true" outlineLevel="0" collapsed="false">
      <c r="A21" s="3" t="s">
        <v>253</v>
      </c>
      <c r="B21" s="3" t="n">
        <v>1</v>
      </c>
      <c r="C21" s="3" t="n">
        <v>24</v>
      </c>
      <c r="D21" s="3" t="str">
        <f aca="false">Combined!G21</f>
        <v>Student age (≤29)</v>
      </c>
      <c r="E21" s="3" t="s">
        <v>83</v>
      </c>
      <c r="F21" s="3" t="s">
        <v>47</v>
      </c>
      <c r="G21" s="3" t="s">
        <v>47</v>
      </c>
      <c r="H21" s="3" t="s">
        <v>258</v>
      </c>
      <c r="I21" s="3" t="s">
        <v>6598</v>
      </c>
      <c r="J21" s="3" t="s">
        <v>259</v>
      </c>
      <c r="K21" s="3" t="s">
        <v>6545</v>
      </c>
      <c r="L21" s="3" t="s">
        <v>260</v>
      </c>
      <c r="M21" s="3" t="s">
        <v>6599</v>
      </c>
      <c r="N21" s="3" t="s">
        <v>261</v>
      </c>
      <c r="O21" s="3" t="s">
        <v>6511</v>
      </c>
      <c r="P21" s="3" t="s">
        <v>262</v>
      </c>
      <c r="Q21" s="3" t="s">
        <v>6600</v>
      </c>
      <c r="R21" s="3" t="s">
        <v>263</v>
      </c>
      <c r="S21" s="3" t="s">
        <v>6595</v>
      </c>
      <c r="T21" s="3" t="s">
        <v>265</v>
      </c>
      <c r="U21" s="3" t="s">
        <v>6601</v>
      </c>
      <c r="V21" s="3" t="s">
        <v>266</v>
      </c>
      <c r="W21" s="3" t="s">
        <v>6602</v>
      </c>
      <c r="X21" s="3"/>
      <c r="Y21" s="3"/>
      <c r="Z21" s="3"/>
      <c r="AA21" s="3"/>
    </row>
    <row r="22" customFormat="false" ht="15" hidden="false" customHeight="true" outlineLevel="0" collapsed="false">
      <c r="A22" s="3" t="s">
        <v>267</v>
      </c>
      <c r="B22" s="3" t="n">
        <v>1</v>
      </c>
      <c r="C22" s="3" t="n">
        <v>28</v>
      </c>
      <c r="D22" s="3" t="str">
        <f aca="false">Combined!G22</f>
        <v>Student age (≤29)</v>
      </c>
      <c r="E22" s="3" t="s">
        <v>83</v>
      </c>
      <c r="F22" s="3" t="s">
        <v>47</v>
      </c>
      <c r="G22" s="3" t="s">
        <v>47</v>
      </c>
      <c r="H22" s="3" t="s">
        <v>268</v>
      </c>
      <c r="I22" s="3" t="s">
        <v>6603</v>
      </c>
      <c r="J22" s="3" t="s">
        <v>269</v>
      </c>
      <c r="K22" s="3" t="s">
        <v>6559</v>
      </c>
      <c r="L22" s="3" t="s">
        <v>270</v>
      </c>
      <c r="M22" s="3" t="s">
        <v>6604</v>
      </c>
      <c r="N22" s="3" t="s">
        <v>271</v>
      </c>
      <c r="O22" s="3" t="s">
        <v>6511</v>
      </c>
      <c r="P22" s="3" t="s">
        <v>272</v>
      </c>
      <c r="Q22" s="3" t="s">
        <v>6512</v>
      </c>
      <c r="R22" s="3" t="s">
        <v>273</v>
      </c>
      <c r="S22" s="3" t="s">
        <v>6605</v>
      </c>
      <c r="T22" s="3" t="s">
        <v>275</v>
      </c>
      <c r="U22" s="3" t="s">
        <v>6606</v>
      </c>
      <c r="V22" s="3" t="s">
        <v>276</v>
      </c>
      <c r="W22" s="3" t="s">
        <v>6607</v>
      </c>
      <c r="X22" s="3"/>
      <c r="Y22" s="3"/>
      <c r="Z22" s="3"/>
      <c r="AA22" s="3"/>
    </row>
    <row r="23" customFormat="false" ht="15" hidden="false" customHeight="true" outlineLevel="0" collapsed="false">
      <c r="A23" s="3" t="s">
        <v>277</v>
      </c>
      <c r="B23" s="3" t="n">
        <v>1</v>
      </c>
      <c r="C23" s="3" t="n">
        <v>21</v>
      </c>
      <c r="D23" s="3" t="str">
        <f aca="false">Combined!G23</f>
        <v>Student age (≤29)</v>
      </c>
      <c r="E23" s="3" t="s">
        <v>83</v>
      </c>
      <c r="F23" s="3" t="s">
        <v>47</v>
      </c>
      <c r="G23" s="3" t="s">
        <v>47</v>
      </c>
      <c r="H23" s="3" t="s">
        <v>278</v>
      </c>
      <c r="I23" s="3" t="s">
        <v>6608</v>
      </c>
      <c r="J23" s="3" t="s">
        <v>279</v>
      </c>
      <c r="K23" s="3" t="s">
        <v>6516</v>
      </c>
      <c r="L23" s="3" t="s">
        <v>280</v>
      </c>
      <c r="M23" s="3" t="s">
        <v>6557</v>
      </c>
      <c r="N23" s="3" t="s">
        <v>281</v>
      </c>
      <c r="O23" s="3" t="s">
        <v>6511</v>
      </c>
      <c r="P23" s="3" t="s">
        <v>282</v>
      </c>
      <c r="Q23" s="3" t="s">
        <v>6609</v>
      </c>
      <c r="R23" s="3" t="s">
        <v>283</v>
      </c>
      <c r="S23" s="3" t="s">
        <v>6549</v>
      </c>
      <c r="T23" s="3" t="s">
        <v>285</v>
      </c>
      <c r="U23" s="3" t="s">
        <v>6610</v>
      </c>
      <c r="V23" s="3" t="s">
        <v>286</v>
      </c>
      <c r="W23" s="3" t="s">
        <v>6611</v>
      </c>
      <c r="X23" s="3"/>
      <c r="Y23" s="3"/>
      <c r="Z23" s="3"/>
      <c r="AA23" s="3"/>
    </row>
    <row r="24" customFormat="false" ht="15" hidden="false" customHeight="true" outlineLevel="0" collapsed="false">
      <c r="A24" s="3" t="s">
        <v>288</v>
      </c>
      <c r="B24" s="3" t="n">
        <v>1</v>
      </c>
      <c r="C24" s="3" t="n">
        <v>21</v>
      </c>
      <c r="D24" s="3" t="str">
        <f aca="false">Combined!G24</f>
        <v>Student age (≤29)</v>
      </c>
      <c r="E24" s="3" t="s">
        <v>83</v>
      </c>
      <c r="F24" s="3" t="s">
        <v>47</v>
      </c>
      <c r="G24" s="3" t="s">
        <v>47</v>
      </c>
      <c r="H24" s="3" t="s">
        <v>291</v>
      </c>
      <c r="I24" s="3" t="s">
        <v>6608</v>
      </c>
      <c r="J24" s="3" t="s">
        <v>292</v>
      </c>
      <c r="K24" s="3" t="s">
        <v>6540</v>
      </c>
      <c r="L24" s="3" t="s">
        <v>293</v>
      </c>
      <c r="M24" s="3" t="s">
        <v>6540</v>
      </c>
      <c r="N24" s="3" t="s">
        <v>294</v>
      </c>
      <c r="O24" s="3" t="s">
        <v>59</v>
      </c>
      <c r="P24" s="3" t="s">
        <v>295</v>
      </c>
      <c r="Q24" s="3" t="s">
        <v>6612</v>
      </c>
      <c r="R24" s="3" t="s">
        <v>296</v>
      </c>
      <c r="S24" s="3" t="s">
        <v>6613</v>
      </c>
      <c r="T24" s="3" t="s">
        <v>298</v>
      </c>
      <c r="U24" s="3" t="s">
        <v>6614</v>
      </c>
      <c r="V24" s="3" t="s">
        <v>299</v>
      </c>
      <c r="W24" s="3" t="s">
        <v>6615</v>
      </c>
      <c r="X24" s="3"/>
      <c r="Y24" s="3"/>
      <c r="Z24" s="3"/>
      <c r="AA24" s="3"/>
    </row>
    <row r="25" customFormat="false" ht="15" hidden="false" customHeight="true" outlineLevel="0" collapsed="false">
      <c r="A25" s="3" t="s">
        <v>300</v>
      </c>
      <c r="B25" s="3" t="n">
        <v>1</v>
      </c>
      <c r="C25" s="3" t="n">
        <v>18</v>
      </c>
      <c r="D25" s="3" t="str">
        <f aca="false">Combined!G25</f>
        <v>Student age (≤29)</v>
      </c>
      <c r="E25" s="3" t="s">
        <v>45</v>
      </c>
      <c r="F25" s="3" t="s">
        <v>47</v>
      </c>
      <c r="G25" s="3" t="s">
        <v>47</v>
      </c>
      <c r="H25" s="3" t="s">
        <v>301</v>
      </c>
      <c r="I25" s="3" t="s">
        <v>6616</v>
      </c>
      <c r="J25" s="3" t="s">
        <v>302</v>
      </c>
      <c r="K25" s="3" t="s">
        <v>6534</v>
      </c>
      <c r="L25" s="3" t="s">
        <v>303</v>
      </c>
      <c r="M25" s="3" t="s">
        <v>6617</v>
      </c>
      <c r="N25" s="3" t="s">
        <v>304</v>
      </c>
      <c r="O25" s="3" t="s">
        <v>59</v>
      </c>
      <c r="P25" s="3" t="s">
        <v>305</v>
      </c>
      <c r="Q25" s="3" t="s">
        <v>6618</v>
      </c>
      <c r="R25" s="3" t="s">
        <v>306</v>
      </c>
      <c r="S25" s="3" t="s">
        <v>6619</v>
      </c>
      <c r="T25" s="3" t="s">
        <v>308</v>
      </c>
      <c r="U25" s="3" t="s">
        <v>6574</v>
      </c>
      <c r="V25" s="3" t="s">
        <v>309</v>
      </c>
      <c r="W25" s="3" t="s">
        <v>6620</v>
      </c>
      <c r="X25" s="3"/>
      <c r="Y25" s="3"/>
      <c r="Z25" s="3"/>
      <c r="AA25" s="3"/>
    </row>
    <row r="26" customFormat="false" ht="15" hidden="false" customHeight="true" outlineLevel="0" collapsed="false">
      <c r="A26" s="3" t="s">
        <v>310</v>
      </c>
      <c r="B26" s="3" t="n">
        <v>1</v>
      </c>
      <c r="C26" s="3" t="n">
        <v>21</v>
      </c>
      <c r="D26" s="3" t="str">
        <f aca="false">Combined!G26</f>
        <v>Student age (≤29)</v>
      </c>
      <c r="E26" s="3" t="s">
        <v>83</v>
      </c>
      <c r="F26" s="3" t="s">
        <v>47</v>
      </c>
      <c r="G26" s="3" t="s">
        <v>47</v>
      </c>
      <c r="H26" s="3" t="s">
        <v>311</v>
      </c>
      <c r="I26" s="3" t="s">
        <v>6539</v>
      </c>
      <c r="J26" s="3" t="s">
        <v>312</v>
      </c>
      <c r="K26" s="3" t="s">
        <v>6620</v>
      </c>
      <c r="L26" s="3" t="s">
        <v>313</v>
      </c>
      <c r="M26" s="3" t="s">
        <v>6602</v>
      </c>
      <c r="N26" s="3" t="s">
        <v>314</v>
      </c>
      <c r="O26" s="3" t="s">
        <v>6511</v>
      </c>
      <c r="P26" s="3" t="s">
        <v>315</v>
      </c>
      <c r="Q26" s="3" t="s">
        <v>6575</v>
      </c>
      <c r="R26" s="3" t="s">
        <v>316</v>
      </c>
      <c r="S26" s="3" t="s">
        <v>6621</v>
      </c>
      <c r="T26" s="3" t="s">
        <v>318</v>
      </c>
      <c r="U26" s="3" t="s">
        <v>6622</v>
      </c>
      <c r="V26" s="3" t="s">
        <v>319</v>
      </c>
      <c r="W26" s="3" t="s">
        <v>6545</v>
      </c>
      <c r="X26" s="3"/>
      <c r="Y26" s="3"/>
      <c r="Z26" s="3"/>
      <c r="AA26" s="3"/>
    </row>
    <row r="27" customFormat="false" ht="15" hidden="false" customHeight="true" outlineLevel="0" collapsed="false">
      <c r="A27" s="3" t="s">
        <v>320</v>
      </c>
      <c r="B27" s="3" t="n">
        <v>1</v>
      </c>
      <c r="C27" s="3" t="n">
        <v>21</v>
      </c>
      <c r="D27" s="3" t="str">
        <f aca="false">Combined!G27</f>
        <v>Student age (≤29)</v>
      </c>
      <c r="E27" s="3" t="s">
        <v>83</v>
      </c>
      <c r="F27" s="3" t="s">
        <v>47</v>
      </c>
      <c r="G27" s="3" t="s">
        <v>47</v>
      </c>
      <c r="H27" s="3" t="s">
        <v>323</v>
      </c>
      <c r="I27" s="3" t="s">
        <v>6623</v>
      </c>
      <c r="J27" s="3" t="s">
        <v>324</v>
      </c>
      <c r="K27" s="3" t="s">
        <v>6547</v>
      </c>
      <c r="L27" s="3" t="s">
        <v>325</v>
      </c>
      <c r="M27" s="3" t="s">
        <v>6510</v>
      </c>
      <c r="N27" s="3" t="s">
        <v>326</v>
      </c>
      <c r="O27" s="3" t="s">
        <v>6511</v>
      </c>
      <c r="P27" s="3" t="s">
        <v>327</v>
      </c>
      <c r="Q27" s="3" t="s">
        <v>6609</v>
      </c>
      <c r="R27" s="3" t="s">
        <v>328</v>
      </c>
      <c r="S27" s="3" t="s">
        <v>6581</v>
      </c>
      <c r="T27" s="3" t="s">
        <v>330</v>
      </c>
      <c r="U27" s="3" t="s">
        <v>6596</v>
      </c>
      <c r="V27" s="3" t="s">
        <v>331</v>
      </c>
      <c r="W27" s="3" t="s">
        <v>6545</v>
      </c>
      <c r="X27" s="3"/>
      <c r="Y27" s="3"/>
      <c r="Z27" s="3"/>
      <c r="AA27" s="3"/>
    </row>
    <row r="28" customFormat="false" ht="15" hidden="false" customHeight="true" outlineLevel="0" collapsed="false">
      <c r="A28" s="3" t="s">
        <v>332</v>
      </c>
      <c r="B28" s="3" t="n">
        <v>1</v>
      </c>
      <c r="C28" s="3" t="n">
        <v>26</v>
      </c>
      <c r="D28" s="3" t="str">
        <f aca="false">Combined!G28</f>
        <v>Student age (≤29)</v>
      </c>
      <c r="E28" s="3" t="s">
        <v>45</v>
      </c>
      <c r="F28" s="3" t="s">
        <v>333</v>
      </c>
      <c r="G28" s="3" t="s">
        <v>47</v>
      </c>
      <c r="H28" s="3" t="s">
        <v>334</v>
      </c>
      <c r="I28" s="3" t="s">
        <v>6624</v>
      </c>
      <c r="J28" s="3" t="s">
        <v>335</v>
      </c>
      <c r="K28" s="3" t="s">
        <v>6625</v>
      </c>
      <c r="L28" s="3" t="s">
        <v>336</v>
      </c>
      <c r="M28" s="3" t="s">
        <v>6626</v>
      </c>
      <c r="N28" s="3" t="s">
        <v>337</v>
      </c>
      <c r="O28" s="3" t="s">
        <v>6511</v>
      </c>
      <c r="P28" s="3" t="s">
        <v>338</v>
      </c>
      <c r="Q28" s="3" t="s">
        <v>6627</v>
      </c>
      <c r="R28" s="3" t="s">
        <v>339</v>
      </c>
      <c r="S28" s="3" t="s">
        <v>6628</v>
      </c>
      <c r="T28" s="3" t="s">
        <v>341</v>
      </c>
      <c r="U28" s="3" t="s">
        <v>6629</v>
      </c>
      <c r="V28" s="3" t="s">
        <v>342</v>
      </c>
      <c r="W28" s="3" t="s">
        <v>6630</v>
      </c>
      <c r="X28" s="3"/>
      <c r="Y28" s="3"/>
      <c r="Z28" s="3"/>
      <c r="AA28" s="3"/>
    </row>
    <row r="29" customFormat="false" ht="15" hidden="false" customHeight="true" outlineLevel="0" collapsed="false">
      <c r="A29" s="3" t="s">
        <v>343</v>
      </c>
      <c r="B29" s="3" t="n">
        <v>1</v>
      </c>
      <c r="C29" s="3" t="n">
        <v>22</v>
      </c>
      <c r="D29" s="3" t="str">
        <f aca="false">Combined!G29</f>
        <v>Student age (≤29)</v>
      </c>
      <c r="E29" s="3" t="s">
        <v>83</v>
      </c>
      <c r="F29" s="3" t="s">
        <v>47</v>
      </c>
      <c r="G29" s="3" t="s">
        <v>47</v>
      </c>
      <c r="H29" s="3" t="s">
        <v>346</v>
      </c>
      <c r="I29" s="3" t="s">
        <v>6539</v>
      </c>
      <c r="J29" s="3" t="s">
        <v>347</v>
      </c>
      <c r="K29" s="3" t="s">
        <v>6631</v>
      </c>
      <c r="L29" s="3" t="s">
        <v>348</v>
      </c>
      <c r="M29" s="3" t="s">
        <v>6557</v>
      </c>
      <c r="N29" s="3" t="s">
        <v>98</v>
      </c>
      <c r="O29" s="3" t="s">
        <v>6517</v>
      </c>
      <c r="P29" s="3" t="s">
        <v>349</v>
      </c>
      <c r="Q29" s="3" t="s">
        <v>6512</v>
      </c>
      <c r="R29" s="3" t="s">
        <v>350</v>
      </c>
      <c r="S29" s="3" t="s">
        <v>6632</v>
      </c>
      <c r="T29" s="3" t="s">
        <v>352</v>
      </c>
      <c r="U29" s="3" t="s">
        <v>6633</v>
      </c>
      <c r="V29" s="3" t="s">
        <v>353</v>
      </c>
      <c r="W29" s="3" t="s">
        <v>6528</v>
      </c>
      <c r="X29" s="3"/>
      <c r="Y29" s="3"/>
      <c r="Z29" s="3"/>
      <c r="AA29" s="3"/>
    </row>
    <row r="30" customFormat="false" ht="15" hidden="false" customHeight="true" outlineLevel="0" collapsed="false">
      <c r="A30" s="3" t="s">
        <v>354</v>
      </c>
      <c r="B30" s="3" t="n">
        <v>1</v>
      </c>
      <c r="C30" s="3" t="n">
        <v>22</v>
      </c>
      <c r="D30" s="3" t="str">
        <f aca="false">Combined!G30</f>
        <v>Student age (≤29)</v>
      </c>
      <c r="E30" s="3" t="s">
        <v>45</v>
      </c>
      <c r="F30" s="3" t="s">
        <v>47</v>
      </c>
      <c r="G30" s="3" t="s">
        <v>47</v>
      </c>
      <c r="H30" s="3" t="s">
        <v>355</v>
      </c>
      <c r="I30" s="3" t="s">
        <v>6608</v>
      </c>
      <c r="J30" s="3" t="s">
        <v>356</v>
      </c>
      <c r="K30" s="3" t="s">
        <v>6510</v>
      </c>
      <c r="L30" s="3" t="s">
        <v>357</v>
      </c>
      <c r="M30" s="3" t="s">
        <v>6548</v>
      </c>
      <c r="N30" s="3" t="s">
        <v>358</v>
      </c>
      <c r="O30" s="3" t="s">
        <v>59</v>
      </c>
      <c r="P30" s="3" t="s">
        <v>359</v>
      </c>
      <c r="Q30" s="3" t="s">
        <v>6634</v>
      </c>
      <c r="R30" s="3" t="s">
        <v>360</v>
      </c>
      <c r="S30" s="3" t="s">
        <v>6581</v>
      </c>
      <c r="T30" s="3" t="s">
        <v>362</v>
      </c>
      <c r="U30" s="3" t="s">
        <v>6635</v>
      </c>
      <c r="V30" s="3" t="s">
        <v>363</v>
      </c>
      <c r="W30" s="3" t="s">
        <v>6636</v>
      </c>
      <c r="X30" s="3"/>
      <c r="Y30" s="3"/>
      <c r="Z30" s="3"/>
      <c r="AA30" s="3"/>
    </row>
    <row r="31" customFormat="false" ht="15" hidden="false" customHeight="true" outlineLevel="0" collapsed="false">
      <c r="A31" s="3" t="s">
        <v>364</v>
      </c>
      <c r="B31" s="3" t="n">
        <v>1</v>
      </c>
      <c r="C31" s="3" t="n">
        <v>23</v>
      </c>
      <c r="D31" s="3" t="str">
        <f aca="false">Combined!G31</f>
        <v>Student age (≤29)</v>
      </c>
      <c r="E31" s="3" t="s">
        <v>45</v>
      </c>
      <c r="F31" s="3" t="s">
        <v>47</v>
      </c>
      <c r="G31" s="3" t="s">
        <v>47</v>
      </c>
      <c r="H31" s="3" t="s">
        <v>365</v>
      </c>
      <c r="I31" s="3" t="s">
        <v>6637</v>
      </c>
      <c r="J31" s="3" t="s">
        <v>366</v>
      </c>
      <c r="K31" s="3" t="s">
        <v>6638</v>
      </c>
      <c r="L31" s="3" t="s">
        <v>367</v>
      </c>
      <c r="M31" s="3" t="s">
        <v>6639</v>
      </c>
      <c r="N31" s="3" t="s">
        <v>368</v>
      </c>
      <c r="O31" s="3" t="s">
        <v>6511</v>
      </c>
      <c r="P31" s="3" t="s">
        <v>369</v>
      </c>
      <c r="Q31" s="3" t="s">
        <v>6640</v>
      </c>
      <c r="R31" s="3" t="s">
        <v>370</v>
      </c>
      <c r="S31" s="3" t="s">
        <v>6578</v>
      </c>
      <c r="T31" s="3" t="s">
        <v>372</v>
      </c>
      <c r="U31" s="3" t="s">
        <v>6641</v>
      </c>
      <c r="V31" s="3" t="s">
        <v>373</v>
      </c>
      <c r="W31" s="3" t="s">
        <v>6642</v>
      </c>
      <c r="X31" s="3"/>
      <c r="Y31" s="3"/>
      <c r="Z31" s="3"/>
      <c r="AA31" s="3"/>
    </row>
    <row r="32" customFormat="false" ht="15" hidden="false" customHeight="true" outlineLevel="0" collapsed="false">
      <c r="A32" s="3" t="s">
        <v>374</v>
      </c>
      <c r="B32" s="3" t="n">
        <v>1</v>
      </c>
      <c r="C32" s="3" t="n">
        <v>25</v>
      </c>
      <c r="D32" s="3" t="str">
        <f aca="false">Combined!G32</f>
        <v>Student age (≤29)</v>
      </c>
      <c r="E32" s="3" t="s">
        <v>83</v>
      </c>
      <c r="F32" s="3" t="s">
        <v>47</v>
      </c>
      <c r="G32" s="3" t="s">
        <v>47</v>
      </c>
      <c r="H32" s="3" t="s">
        <v>375</v>
      </c>
      <c r="I32" s="3" t="s">
        <v>6603</v>
      </c>
      <c r="J32" s="3" t="s">
        <v>376</v>
      </c>
      <c r="K32" s="3" t="s">
        <v>6509</v>
      </c>
      <c r="L32" s="3" t="s">
        <v>377</v>
      </c>
      <c r="M32" s="3" t="s">
        <v>6564</v>
      </c>
      <c r="N32" s="3" t="s">
        <v>378</v>
      </c>
      <c r="O32" s="3" t="s">
        <v>6511</v>
      </c>
      <c r="P32" s="3" t="s">
        <v>379</v>
      </c>
      <c r="Q32" s="3" t="s">
        <v>6524</v>
      </c>
      <c r="R32" s="3" t="s">
        <v>380</v>
      </c>
      <c r="S32" s="3" t="s">
        <v>6532</v>
      </c>
      <c r="T32" s="3" t="s">
        <v>382</v>
      </c>
      <c r="U32" s="3" t="s">
        <v>6643</v>
      </c>
      <c r="V32" s="3" t="s">
        <v>383</v>
      </c>
      <c r="W32" s="3" t="s">
        <v>6509</v>
      </c>
      <c r="X32" s="3"/>
      <c r="Y32" s="3"/>
      <c r="Z32" s="3"/>
      <c r="AA32" s="3"/>
    </row>
    <row r="33" customFormat="false" ht="15" hidden="false" customHeight="true" outlineLevel="0" collapsed="false">
      <c r="A33" s="3" t="s">
        <v>384</v>
      </c>
      <c r="B33" s="3" t="n">
        <v>1</v>
      </c>
      <c r="C33" s="3" t="n">
        <v>20</v>
      </c>
      <c r="D33" s="3" t="str">
        <f aca="false">Combined!G33</f>
        <v>Student age (≤29)</v>
      </c>
      <c r="E33" s="3" t="s">
        <v>83</v>
      </c>
      <c r="F33" s="3" t="s">
        <v>47</v>
      </c>
      <c r="G33" s="3" t="s">
        <v>47</v>
      </c>
      <c r="H33" s="3" t="s">
        <v>385</v>
      </c>
      <c r="I33" s="3" t="s">
        <v>6508</v>
      </c>
      <c r="J33" s="3" t="s">
        <v>386</v>
      </c>
      <c r="K33" s="3" t="s">
        <v>6540</v>
      </c>
      <c r="L33" s="3" t="s">
        <v>387</v>
      </c>
      <c r="M33" s="3" t="s">
        <v>6540</v>
      </c>
      <c r="N33" s="3" t="s">
        <v>388</v>
      </c>
      <c r="O33" s="3" t="s">
        <v>6511</v>
      </c>
      <c r="P33" s="3" t="s">
        <v>389</v>
      </c>
      <c r="Q33" s="3" t="s">
        <v>6542</v>
      </c>
      <c r="R33" s="3" t="s">
        <v>390</v>
      </c>
      <c r="S33" s="3" t="s">
        <v>6537</v>
      </c>
      <c r="T33" s="3" t="s">
        <v>392</v>
      </c>
      <c r="U33" s="3" t="s">
        <v>6644</v>
      </c>
      <c r="V33" s="3" t="s">
        <v>393</v>
      </c>
      <c r="W33" s="3" t="s">
        <v>6545</v>
      </c>
      <c r="X33" s="3"/>
      <c r="Y33" s="3"/>
      <c r="Z33" s="3"/>
      <c r="AA33" s="3"/>
    </row>
    <row r="34" customFormat="false" ht="15" hidden="false" customHeight="true" outlineLevel="0" collapsed="false">
      <c r="A34" s="3" t="s">
        <v>394</v>
      </c>
      <c r="B34" s="3" t="n">
        <v>1</v>
      </c>
      <c r="C34" s="3" t="n">
        <v>21</v>
      </c>
      <c r="D34" s="3" t="str">
        <f aca="false">Combined!G34</f>
        <v>Student age (≤29)</v>
      </c>
      <c r="E34" s="3" t="s">
        <v>83</v>
      </c>
      <c r="F34" s="3" t="s">
        <v>47</v>
      </c>
      <c r="G34" s="3" t="s">
        <v>47</v>
      </c>
      <c r="H34" s="3" t="s">
        <v>395</v>
      </c>
      <c r="I34" s="3" t="s">
        <v>6539</v>
      </c>
      <c r="J34" s="3" t="s">
        <v>396</v>
      </c>
      <c r="K34" s="3" t="s">
        <v>6645</v>
      </c>
      <c r="L34" s="3" t="s">
        <v>397</v>
      </c>
      <c r="M34" s="3" t="s">
        <v>6646</v>
      </c>
      <c r="N34" s="3" t="s">
        <v>398</v>
      </c>
      <c r="O34" s="3" t="s">
        <v>6511</v>
      </c>
      <c r="P34" s="3" t="s">
        <v>399</v>
      </c>
      <c r="Q34" s="3" t="s">
        <v>6577</v>
      </c>
      <c r="R34" s="3" t="s">
        <v>59</v>
      </c>
      <c r="S34" s="3" t="s">
        <v>6647</v>
      </c>
      <c r="T34" s="3" t="s">
        <v>401</v>
      </c>
      <c r="U34" s="3" t="s">
        <v>6648</v>
      </c>
      <c r="V34" s="3" t="s">
        <v>402</v>
      </c>
      <c r="W34" s="3" t="s">
        <v>6649</v>
      </c>
      <c r="X34" s="3"/>
      <c r="Y34" s="3"/>
      <c r="Z34" s="3"/>
      <c r="AA34" s="3"/>
    </row>
    <row r="35" customFormat="false" ht="15" hidden="false" customHeight="true" outlineLevel="0" collapsed="false">
      <c r="A35" s="3" t="s">
        <v>403</v>
      </c>
      <c r="B35" s="3" t="n">
        <v>1</v>
      </c>
      <c r="C35" s="3" t="n">
        <v>21</v>
      </c>
      <c r="D35" s="3" t="str">
        <f aca="false">Combined!G35</f>
        <v>Student age (≤29)</v>
      </c>
      <c r="E35" s="3" t="s">
        <v>83</v>
      </c>
      <c r="F35" s="3" t="s">
        <v>47</v>
      </c>
      <c r="G35" s="3" t="s">
        <v>47</v>
      </c>
      <c r="H35" s="3" t="s">
        <v>404</v>
      </c>
      <c r="I35" s="3" t="s">
        <v>6546</v>
      </c>
      <c r="J35" s="3" t="s">
        <v>405</v>
      </c>
      <c r="K35" s="3" t="s">
        <v>6584</v>
      </c>
      <c r="L35" s="3" t="s">
        <v>406</v>
      </c>
      <c r="M35" s="3" t="s">
        <v>6650</v>
      </c>
      <c r="N35" s="3" t="s">
        <v>407</v>
      </c>
      <c r="O35" s="3" t="s">
        <v>6511</v>
      </c>
      <c r="P35" s="3" t="s">
        <v>408</v>
      </c>
      <c r="Q35" s="3" t="s">
        <v>6594</v>
      </c>
      <c r="R35" s="3" t="s">
        <v>409</v>
      </c>
      <c r="S35" s="3" t="s">
        <v>6551</v>
      </c>
      <c r="T35" s="3" t="s">
        <v>411</v>
      </c>
      <c r="U35" s="3" t="s">
        <v>6651</v>
      </c>
      <c r="V35" s="3" t="s">
        <v>412</v>
      </c>
      <c r="W35" s="3" t="s">
        <v>6652</v>
      </c>
      <c r="X35" s="3"/>
      <c r="Y35" s="3"/>
      <c r="Z35" s="3"/>
      <c r="AA35" s="3"/>
    </row>
    <row r="36" customFormat="false" ht="15" hidden="false" customHeight="true" outlineLevel="0" collapsed="false">
      <c r="A36" s="3" t="s">
        <v>413</v>
      </c>
      <c r="B36" s="3" t="n">
        <v>1</v>
      </c>
      <c r="C36" s="3" t="n">
        <v>25</v>
      </c>
      <c r="D36" s="3" t="str">
        <f aca="false">Combined!G36</f>
        <v>Student age (≤29)</v>
      </c>
      <c r="E36" s="3" t="s">
        <v>45</v>
      </c>
      <c r="F36" s="3" t="s">
        <v>47</v>
      </c>
      <c r="G36" s="3" t="s">
        <v>47</v>
      </c>
      <c r="H36" s="3" t="s">
        <v>414</v>
      </c>
      <c r="I36" s="3" t="s">
        <v>6653</v>
      </c>
      <c r="J36" s="3" t="s">
        <v>415</v>
      </c>
      <c r="K36" s="3" t="s">
        <v>6516</v>
      </c>
      <c r="L36" s="3" t="s">
        <v>416</v>
      </c>
      <c r="M36" s="3" t="s">
        <v>6654</v>
      </c>
      <c r="N36" s="3" t="s">
        <v>417</v>
      </c>
      <c r="O36" s="3" t="s">
        <v>6511</v>
      </c>
      <c r="P36" s="3" t="s">
        <v>418</v>
      </c>
      <c r="Q36" s="3" t="s">
        <v>6655</v>
      </c>
      <c r="R36" s="3" t="s">
        <v>419</v>
      </c>
      <c r="S36" s="3" t="s">
        <v>6537</v>
      </c>
      <c r="T36" s="3" t="s">
        <v>421</v>
      </c>
      <c r="U36" s="3" t="s">
        <v>6656</v>
      </c>
      <c r="V36" s="3" t="s">
        <v>422</v>
      </c>
      <c r="W36" s="3" t="s">
        <v>6657</v>
      </c>
      <c r="X36" s="3"/>
      <c r="Y36" s="3"/>
      <c r="Z36" s="3"/>
      <c r="AA36" s="3"/>
    </row>
    <row r="37" customFormat="false" ht="15" hidden="false" customHeight="true" outlineLevel="0" collapsed="false">
      <c r="A37" s="3" t="s">
        <v>423</v>
      </c>
      <c r="B37" s="3" t="n">
        <v>1</v>
      </c>
      <c r="C37" s="3" t="n">
        <v>22</v>
      </c>
      <c r="D37" s="3" t="str">
        <f aca="false">Combined!G37</f>
        <v>Student age (≤29)</v>
      </c>
      <c r="E37" s="3" t="s">
        <v>83</v>
      </c>
      <c r="F37" s="3" t="s">
        <v>47</v>
      </c>
      <c r="G37" s="3" t="s">
        <v>47</v>
      </c>
      <c r="H37" s="3" t="s">
        <v>426</v>
      </c>
      <c r="I37" s="3" t="s">
        <v>6623</v>
      </c>
      <c r="J37" s="3" t="s">
        <v>427</v>
      </c>
      <c r="K37" s="3" t="s">
        <v>6658</v>
      </c>
      <c r="L37" s="3" t="s">
        <v>428</v>
      </c>
      <c r="M37" s="3" t="s">
        <v>6510</v>
      </c>
      <c r="N37" s="3" t="s">
        <v>429</v>
      </c>
      <c r="O37" s="3" t="s">
        <v>6511</v>
      </c>
      <c r="P37" s="3" t="s">
        <v>430</v>
      </c>
      <c r="Q37" s="3" t="s">
        <v>6580</v>
      </c>
      <c r="R37" s="3" t="s">
        <v>431</v>
      </c>
      <c r="S37" s="3" t="s">
        <v>6537</v>
      </c>
      <c r="T37" s="3" t="s">
        <v>433</v>
      </c>
      <c r="U37" s="3" t="s">
        <v>6659</v>
      </c>
      <c r="V37" s="3" t="s">
        <v>434</v>
      </c>
      <c r="W37" s="3" t="s">
        <v>6538</v>
      </c>
      <c r="X37" s="3"/>
      <c r="Y37" s="3"/>
      <c r="Z37" s="3"/>
      <c r="AA37" s="3"/>
    </row>
    <row r="38" customFormat="false" ht="15" hidden="false" customHeight="true" outlineLevel="0" collapsed="false">
      <c r="A38" s="3" t="s">
        <v>435</v>
      </c>
      <c r="B38" s="3" t="n">
        <v>1</v>
      </c>
      <c r="C38" s="3" t="n">
        <v>23</v>
      </c>
      <c r="D38" s="3" t="str">
        <f aca="false">Combined!G38</f>
        <v>Student age (≤29)</v>
      </c>
      <c r="E38" s="3" t="s">
        <v>45</v>
      </c>
      <c r="F38" s="3" t="s">
        <v>437</v>
      </c>
      <c r="G38" s="3" t="s">
        <v>47</v>
      </c>
      <c r="H38" s="3" t="s">
        <v>439</v>
      </c>
      <c r="I38" s="3" t="s">
        <v>6539</v>
      </c>
      <c r="J38" s="3" t="s">
        <v>440</v>
      </c>
      <c r="K38" s="3" t="s">
        <v>6660</v>
      </c>
      <c r="L38" s="3" t="s">
        <v>441</v>
      </c>
      <c r="M38" s="3" t="s">
        <v>6569</v>
      </c>
      <c r="N38" s="3" t="s">
        <v>442</v>
      </c>
      <c r="O38" s="3" t="s">
        <v>59</v>
      </c>
      <c r="P38" s="3" t="s">
        <v>443</v>
      </c>
      <c r="Q38" s="3" t="s">
        <v>6536</v>
      </c>
      <c r="R38" s="3" t="s">
        <v>444</v>
      </c>
      <c r="S38" s="3" t="s">
        <v>6581</v>
      </c>
      <c r="T38" s="3" t="s">
        <v>446</v>
      </c>
      <c r="U38" s="3" t="s">
        <v>6661</v>
      </c>
      <c r="V38" s="3" t="s">
        <v>447</v>
      </c>
      <c r="W38" s="3" t="s">
        <v>6662</v>
      </c>
      <c r="X38" s="3"/>
      <c r="Y38" s="3"/>
      <c r="Z38" s="3"/>
      <c r="AA38" s="3"/>
    </row>
    <row r="39" customFormat="false" ht="15" hidden="false" customHeight="true" outlineLevel="0" collapsed="false">
      <c r="A39" s="3" t="s">
        <v>449</v>
      </c>
      <c r="B39" s="3" t="n">
        <v>1</v>
      </c>
      <c r="C39" s="3" t="n">
        <v>22</v>
      </c>
      <c r="D39" s="3" t="str">
        <f aca="false">Combined!G39</f>
        <v>Student age (≤29)</v>
      </c>
      <c r="E39" s="3" t="s">
        <v>45</v>
      </c>
      <c r="F39" s="3" t="s">
        <v>437</v>
      </c>
      <c r="G39" s="3" t="s">
        <v>453</v>
      </c>
      <c r="H39" s="3" t="s">
        <v>455</v>
      </c>
      <c r="I39" s="3" t="s">
        <v>6603</v>
      </c>
      <c r="J39" s="3" t="s">
        <v>456</v>
      </c>
      <c r="K39" s="3" t="s">
        <v>6663</v>
      </c>
      <c r="L39" s="3" t="s">
        <v>457</v>
      </c>
      <c r="M39" s="3" t="s">
        <v>6534</v>
      </c>
      <c r="N39" s="3" t="s">
        <v>458</v>
      </c>
      <c r="O39" s="3" t="s">
        <v>6511</v>
      </c>
      <c r="P39" s="3" t="s">
        <v>459</v>
      </c>
      <c r="Q39" s="3" t="s">
        <v>6560</v>
      </c>
      <c r="R39" s="3" t="s">
        <v>460</v>
      </c>
      <c r="S39" s="3" t="s">
        <v>6572</v>
      </c>
      <c r="T39" s="3" t="s">
        <v>462</v>
      </c>
      <c r="U39" s="3" t="s">
        <v>6664</v>
      </c>
      <c r="V39" s="3" t="s">
        <v>463</v>
      </c>
      <c r="W39" s="3" t="s">
        <v>6665</v>
      </c>
      <c r="X39" s="3"/>
      <c r="Y39" s="3"/>
      <c r="Z39" s="3"/>
      <c r="AA39" s="3"/>
    </row>
    <row r="40" customFormat="false" ht="15" hidden="false" customHeight="true" outlineLevel="0" collapsed="false">
      <c r="A40" s="3" t="s">
        <v>464</v>
      </c>
      <c r="B40" s="3" t="n">
        <v>1</v>
      </c>
      <c r="C40" s="3" t="n">
        <v>23</v>
      </c>
      <c r="D40" s="3" t="str">
        <f aca="false">Combined!G40</f>
        <v>Student age (≤29)</v>
      </c>
      <c r="E40" s="3" t="s">
        <v>45</v>
      </c>
      <c r="F40" s="3" t="s">
        <v>437</v>
      </c>
      <c r="G40" s="3" t="s">
        <v>47</v>
      </c>
      <c r="H40" s="3" t="s">
        <v>465</v>
      </c>
      <c r="I40" s="3" t="s">
        <v>6666</v>
      </c>
      <c r="J40" s="3" t="s">
        <v>466</v>
      </c>
      <c r="K40" s="3" t="s">
        <v>6510</v>
      </c>
      <c r="L40" s="3" t="s">
        <v>467</v>
      </c>
      <c r="M40" s="3" t="s">
        <v>6564</v>
      </c>
      <c r="N40" s="3" t="s">
        <v>468</v>
      </c>
      <c r="O40" s="3" t="s">
        <v>6511</v>
      </c>
      <c r="P40" s="3" t="s">
        <v>469</v>
      </c>
      <c r="Q40" s="3" t="s">
        <v>6667</v>
      </c>
      <c r="R40" s="3" t="s">
        <v>470</v>
      </c>
      <c r="S40" s="3" t="s">
        <v>6668</v>
      </c>
      <c r="T40" s="3" t="s">
        <v>472</v>
      </c>
      <c r="U40" s="3" t="s">
        <v>6669</v>
      </c>
      <c r="V40" s="3" t="s">
        <v>473</v>
      </c>
      <c r="W40" s="3" t="s">
        <v>6670</v>
      </c>
      <c r="X40" s="3"/>
      <c r="Y40" s="3"/>
      <c r="Z40" s="3"/>
      <c r="AA40" s="3"/>
    </row>
    <row r="41" customFormat="false" ht="15" hidden="false" customHeight="true" outlineLevel="0" collapsed="false">
      <c r="A41" s="3" t="s">
        <v>474</v>
      </c>
      <c r="B41" s="3" t="n">
        <v>1</v>
      </c>
      <c r="C41" s="3" t="n">
        <v>22</v>
      </c>
      <c r="D41" s="3" t="str">
        <f aca="false">Combined!G41</f>
        <v>Student age (≤29)</v>
      </c>
      <c r="E41" s="3" t="s">
        <v>45</v>
      </c>
      <c r="F41" s="3" t="s">
        <v>47</v>
      </c>
      <c r="G41" s="3" t="s">
        <v>47</v>
      </c>
      <c r="H41" s="3" t="s">
        <v>477</v>
      </c>
      <c r="I41" s="3" t="s">
        <v>6671</v>
      </c>
      <c r="J41" s="3" t="s">
        <v>478</v>
      </c>
      <c r="K41" s="3" t="s">
        <v>6672</v>
      </c>
      <c r="L41" s="3" t="s">
        <v>479</v>
      </c>
      <c r="M41" s="3" t="s">
        <v>6673</v>
      </c>
      <c r="N41" s="3" t="s">
        <v>480</v>
      </c>
      <c r="O41" s="3" t="s">
        <v>6511</v>
      </c>
      <c r="P41" s="3" t="s">
        <v>481</v>
      </c>
      <c r="Q41" s="3" t="s">
        <v>6640</v>
      </c>
      <c r="R41" s="3" t="s">
        <v>482</v>
      </c>
      <c r="S41" s="3" t="s">
        <v>6632</v>
      </c>
      <c r="T41" s="3" t="s">
        <v>484</v>
      </c>
      <c r="U41" s="3" t="s">
        <v>6551</v>
      </c>
      <c r="V41" s="3" t="s">
        <v>485</v>
      </c>
      <c r="W41" s="3" t="s">
        <v>6674</v>
      </c>
      <c r="X41" s="3"/>
      <c r="Y41" s="3"/>
      <c r="Z41" s="3"/>
      <c r="AA41" s="3"/>
    </row>
    <row r="42" customFormat="false" ht="15" hidden="false" customHeight="true" outlineLevel="0" collapsed="false">
      <c r="A42" s="3" t="s">
        <v>486</v>
      </c>
      <c r="B42" s="3" t="n">
        <v>1</v>
      </c>
      <c r="C42" s="3" t="n">
        <v>24</v>
      </c>
      <c r="D42" s="3" t="str">
        <f aca="false">Combined!G42</f>
        <v>Student age (≤29)</v>
      </c>
      <c r="E42" s="3" t="s">
        <v>45</v>
      </c>
      <c r="F42" s="3" t="s">
        <v>47</v>
      </c>
      <c r="G42" s="3" t="s">
        <v>47</v>
      </c>
      <c r="H42" s="3" t="s">
        <v>487</v>
      </c>
      <c r="I42" s="3" t="s">
        <v>6675</v>
      </c>
      <c r="J42" s="3" t="s">
        <v>488</v>
      </c>
      <c r="K42" s="3" t="s">
        <v>6676</v>
      </c>
      <c r="L42" s="3" t="s">
        <v>489</v>
      </c>
      <c r="M42" s="3" t="s">
        <v>6569</v>
      </c>
      <c r="N42" s="3" t="s">
        <v>98</v>
      </c>
      <c r="O42" s="3" t="s">
        <v>6517</v>
      </c>
      <c r="P42" s="3" t="s">
        <v>490</v>
      </c>
      <c r="Q42" s="3" t="s">
        <v>6560</v>
      </c>
      <c r="R42" s="3" t="s">
        <v>59</v>
      </c>
      <c r="S42" s="3" t="s">
        <v>6647</v>
      </c>
      <c r="T42" s="3" t="s">
        <v>492</v>
      </c>
      <c r="U42" s="3" t="s">
        <v>6545</v>
      </c>
      <c r="V42" s="3" t="s">
        <v>493</v>
      </c>
      <c r="W42" s="3" t="s">
        <v>6677</v>
      </c>
      <c r="X42" s="3"/>
      <c r="Y42" s="3"/>
      <c r="Z42" s="3"/>
      <c r="AA42" s="3"/>
    </row>
    <row r="43" customFormat="false" ht="15" hidden="false" customHeight="true" outlineLevel="0" collapsed="false">
      <c r="A43" s="3" t="s">
        <v>494</v>
      </c>
      <c r="B43" s="3" t="n">
        <v>1</v>
      </c>
      <c r="C43" s="3" t="n">
        <v>27</v>
      </c>
      <c r="D43" s="3" t="str">
        <f aca="false">Combined!G43</f>
        <v>Student age (≤29)</v>
      </c>
      <c r="E43" s="3" t="s">
        <v>45</v>
      </c>
      <c r="F43" s="3" t="s">
        <v>437</v>
      </c>
      <c r="G43" s="3" t="s">
        <v>47</v>
      </c>
      <c r="H43" s="3" t="s">
        <v>495</v>
      </c>
      <c r="I43" s="3" t="s">
        <v>6539</v>
      </c>
      <c r="J43" s="3" t="s">
        <v>496</v>
      </c>
      <c r="K43" s="3" t="s">
        <v>6540</v>
      </c>
      <c r="L43" s="3" t="s">
        <v>497</v>
      </c>
      <c r="M43" s="3" t="s">
        <v>6678</v>
      </c>
      <c r="N43" s="3" t="s">
        <v>59</v>
      </c>
      <c r="O43" s="3" t="s">
        <v>59</v>
      </c>
      <c r="P43" s="3" t="s">
        <v>498</v>
      </c>
      <c r="Q43" s="3" t="s">
        <v>6609</v>
      </c>
      <c r="R43" s="3" t="s">
        <v>499</v>
      </c>
      <c r="S43" s="3" t="s">
        <v>6679</v>
      </c>
      <c r="T43" s="3" t="s">
        <v>501</v>
      </c>
      <c r="U43" s="3" t="s">
        <v>6680</v>
      </c>
      <c r="V43" s="3" t="s">
        <v>502</v>
      </c>
      <c r="W43" s="3" t="s">
        <v>6662</v>
      </c>
      <c r="X43" s="3"/>
      <c r="Y43" s="3"/>
      <c r="Z43" s="3"/>
      <c r="AA43" s="3"/>
    </row>
    <row r="44" customFormat="false" ht="15" hidden="false" customHeight="true" outlineLevel="0" collapsed="false">
      <c r="A44" s="3" t="s">
        <v>503</v>
      </c>
      <c r="B44" s="3" t="n">
        <v>1</v>
      </c>
      <c r="C44" s="3" t="n">
        <v>22</v>
      </c>
      <c r="D44" s="3" t="str">
        <f aca="false">Combined!G44</f>
        <v>Student age (≤29)</v>
      </c>
      <c r="E44" s="3" t="s">
        <v>45</v>
      </c>
      <c r="F44" s="3" t="s">
        <v>437</v>
      </c>
      <c r="G44" s="3" t="s">
        <v>47</v>
      </c>
      <c r="H44" s="3" t="s">
        <v>504</v>
      </c>
      <c r="I44" s="3" t="s">
        <v>6681</v>
      </c>
      <c r="J44" s="3" t="s">
        <v>505</v>
      </c>
      <c r="K44" s="3" t="s">
        <v>6568</v>
      </c>
      <c r="L44" s="3" t="s">
        <v>506</v>
      </c>
      <c r="M44" s="3" t="s">
        <v>6564</v>
      </c>
      <c r="N44" s="3" t="s">
        <v>59</v>
      </c>
      <c r="O44" s="3" t="s">
        <v>59</v>
      </c>
      <c r="P44" s="3" t="s">
        <v>507</v>
      </c>
      <c r="Q44" s="3" t="s">
        <v>6612</v>
      </c>
      <c r="R44" s="3" t="s">
        <v>508</v>
      </c>
      <c r="S44" s="3" t="s">
        <v>6682</v>
      </c>
      <c r="T44" s="3" t="s">
        <v>510</v>
      </c>
      <c r="U44" s="3" t="s">
        <v>6683</v>
      </c>
      <c r="V44" s="3" t="s">
        <v>511</v>
      </c>
      <c r="W44" s="3" t="s">
        <v>6509</v>
      </c>
      <c r="X44" s="3"/>
      <c r="Y44" s="3"/>
      <c r="Z44" s="3"/>
      <c r="AA44" s="3"/>
    </row>
    <row r="45" customFormat="false" ht="15" hidden="false" customHeight="true" outlineLevel="0" collapsed="false">
      <c r="A45" s="3" t="s">
        <v>512</v>
      </c>
      <c r="B45" s="3" t="n">
        <v>1</v>
      </c>
      <c r="C45" s="3" t="n">
        <v>21</v>
      </c>
      <c r="D45" s="3" t="str">
        <f aca="false">Combined!G45</f>
        <v>Student age (≤29)</v>
      </c>
      <c r="E45" s="3" t="s">
        <v>83</v>
      </c>
      <c r="F45" s="3" t="s">
        <v>437</v>
      </c>
      <c r="G45" s="3" t="s">
        <v>47</v>
      </c>
      <c r="H45" s="3" t="s">
        <v>513</v>
      </c>
      <c r="I45" s="3" t="s">
        <v>6546</v>
      </c>
      <c r="J45" s="3" t="s">
        <v>514</v>
      </c>
      <c r="K45" s="3" t="s">
        <v>6540</v>
      </c>
      <c r="L45" s="3" t="s">
        <v>515</v>
      </c>
      <c r="M45" s="3" t="s">
        <v>6684</v>
      </c>
      <c r="N45" s="3" t="s">
        <v>516</v>
      </c>
      <c r="O45" s="3" t="s">
        <v>6511</v>
      </c>
      <c r="P45" s="3" t="s">
        <v>517</v>
      </c>
      <c r="Q45" s="3" t="s">
        <v>6580</v>
      </c>
      <c r="R45" s="3" t="s">
        <v>518</v>
      </c>
      <c r="S45" s="3" t="s">
        <v>6685</v>
      </c>
      <c r="T45" s="3" t="s">
        <v>520</v>
      </c>
      <c r="U45" s="3" t="s">
        <v>6686</v>
      </c>
      <c r="V45" s="3" t="s">
        <v>521</v>
      </c>
      <c r="W45" s="3" t="s">
        <v>6687</v>
      </c>
      <c r="X45" s="3"/>
      <c r="Y45" s="3"/>
      <c r="Z45" s="3"/>
      <c r="AA45" s="3"/>
    </row>
    <row r="46" customFormat="false" ht="15" hidden="false" customHeight="true" outlineLevel="0" collapsed="false">
      <c r="A46" s="3" t="s">
        <v>522</v>
      </c>
      <c r="B46" s="3" t="n">
        <v>1</v>
      </c>
      <c r="C46" s="3" t="n">
        <v>49</v>
      </c>
      <c r="D46" s="3" t="str">
        <f aca="false">Combined!G46</f>
        <v>Middle-aged (30–64)</v>
      </c>
      <c r="E46" s="3" t="s">
        <v>45</v>
      </c>
      <c r="F46" s="3" t="s">
        <v>437</v>
      </c>
      <c r="G46" s="3" t="s">
        <v>437</v>
      </c>
      <c r="H46" s="3" t="s">
        <v>523</v>
      </c>
      <c r="I46" s="3" t="s">
        <v>6539</v>
      </c>
      <c r="J46" s="3" t="s">
        <v>524</v>
      </c>
      <c r="K46" s="3" t="s">
        <v>6540</v>
      </c>
      <c r="L46" s="3" t="s">
        <v>525</v>
      </c>
      <c r="M46" s="3" t="s">
        <v>6510</v>
      </c>
      <c r="N46" s="3" t="s">
        <v>59</v>
      </c>
      <c r="O46" s="3" t="s">
        <v>59</v>
      </c>
      <c r="P46" s="3" t="s">
        <v>526</v>
      </c>
      <c r="Q46" s="3" t="s">
        <v>6560</v>
      </c>
      <c r="R46" s="3" t="s">
        <v>527</v>
      </c>
      <c r="S46" s="3" t="s">
        <v>6679</v>
      </c>
      <c r="T46" s="3" t="s">
        <v>529</v>
      </c>
      <c r="U46" s="3" t="s">
        <v>6688</v>
      </c>
      <c r="V46" s="3" t="s">
        <v>530</v>
      </c>
      <c r="W46" s="3" t="s">
        <v>6551</v>
      </c>
      <c r="X46" s="3"/>
      <c r="Y46" s="3"/>
      <c r="Z46" s="3"/>
      <c r="AA46" s="3"/>
    </row>
    <row r="47" customFormat="false" ht="15" hidden="false" customHeight="true" outlineLevel="0" collapsed="false">
      <c r="A47" s="3" t="s">
        <v>531</v>
      </c>
      <c r="B47" s="3" t="n">
        <v>1</v>
      </c>
      <c r="C47" s="3" t="n">
        <v>28</v>
      </c>
      <c r="D47" s="3" t="str">
        <f aca="false">Combined!G47</f>
        <v>Student age (≤29)</v>
      </c>
      <c r="E47" s="3" t="s">
        <v>83</v>
      </c>
      <c r="F47" s="3" t="s">
        <v>47</v>
      </c>
      <c r="G47" s="3" t="s">
        <v>47</v>
      </c>
      <c r="H47" s="3" t="s">
        <v>534</v>
      </c>
      <c r="I47" s="3" t="s">
        <v>6681</v>
      </c>
      <c r="J47" s="3" t="s">
        <v>535</v>
      </c>
      <c r="K47" s="3" t="s">
        <v>6540</v>
      </c>
      <c r="L47" s="3" t="s">
        <v>536</v>
      </c>
      <c r="M47" s="3" t="s">
        <v>6551</v>
      </c>
      <c r="N47" s="3" t="s">
        <v>537</v>
      </c>
      <c r="O47" s="3" t="s">
        <v>6511</v>
      </c>
      <c r="P47" s="3" t="s">
        <v>538</v>
      </c>
      <c r="Q47" s="3" t="s">
        <v>6689</v>
      </c>
      <c r="R47" s="3" t="s">
        <v>539</v>
      </c>
      <c r="S47" s="3" t="s">
        <v>6690</v>
      </c>
      <c r="T47" s="3" t="s">
        <v>541</v>
      </c>
      <c r="U47" s="3" t="s">
        <v>6601</v>
      </c>
      <c r="V47" s="3" t="s">
        <v>542</v>
      </c>
      <c r="W47" s="3" t="s">
        <v>6602</v>
      </c>
      <c r="X47" s="3"/>
      <c r="Y47" s="3"/>
      <c r="Z47" s="3"/>
      <c r="AA47" s="3"/>
    </row>
    <row r="48" customFormat="false" ht="15" hidden="false" customHeight="true" outlineLevel="0" collapsed="false">
      <c r="A48" s="3" t="s">
        <v>543</v>
      </c>
      <c r="B48" s="3" t="n">
        <v>1</v>
      </c>
      <c r="C48" s="3" t="n">
        <v>56</v>
      </c>
      <c r="D48" s="3" t="str">
        <f aca="false">Combined!G48</f>
        <v>Middle-aged (30–64)</v>
      </c>
      <c r="E48" s="3" t="s">
        <v>45</v>
      </c>
      <c r="F48" s="3" t="s">
        <v>47</v>
      </c>
      <c r="G48" s="3" t="s">
        <v>47</v>
      </c>
      <c r="H48" s="3" t="s">
        <v>546</v>
      </c>
      <c r="I48" s="3" t="s">
        <v>6691</v>
      </c>
      <c r="J48" s="3" t="s">
        <v>547</v>
      </c>
      <c r="K48" s="3" t="s">
        <v>6510</v>
      </c>
      <c r="L48" s="3" t="s">
        <v>548</v>
      </c>
      <c r="M48" s="3" t="s">
        <v>6509</v>
      </c>
      <c r="N48" s="3" t="s">
        <v>549</v>
      </c>
      <c r="O48" s="3" t="s">
        <v>6511</v>
      </c>
      <c r="P48" s="3" t="s">
        <v>550</v>
      </c>
      <c r="Q48" s="3" t="s">
        <v>6692</v>
      </c>
      <c r="R48" s="3" t="s">
        <v>551</v>
      </c>
      <c r="S48" s="3" t="s">
        <v>6647</v>
      </c>
      <c r="T48" s="3" t="s">
        <v>553</v>
      </c>
      <c r="U48" s="3" t="s">
        <v>6693</v>
      </c>
      <c r="V48" s="3" t="s">
        <v>554</v>
      </c>
      <c r="W48" s="3" t="s">
        <v>6694</v>
      </c>
      <c r="X48" s="3"/>
      <c r="Y48" s="3"/>
      <c r="Z48" s="3"/>
      <c r="AA48" s="3"/>
    </row>
    <row r="49" customFormat="false" ht="15" hidden="false" customHeight="true" outlineLevel="0" collapsed="false">
      <c r="A49" s="3" t="s">
        <v>555</v>
      </c>
      <c r="B49" s="3" t="n">
        <v>1</v>
      </c>
      <c r="C49" s="3" t="n">
        <v>23</v>
      </c>
      <c r="D49" s="3" t="str">
        <f aca="false">Combined!G49</f>
        <v>Student age (≤29)</v>
      </c>
      <c r="E49" s="3" t="s">
        <v>45</v>
      </c>
      <c r="F49" s="3" t="s">
        <v>47</v>
      </c>
      <c r="G49" s="3" t="s">
        <v>47</v>
      </c>
      <c r="H49" s="3" t="s">
        <v>556</v>
      </c>
      <c r="I49" s="3" t="s">
        <v>6695</v>
      </c>
      <c r="J49" s="3" t="s">
        <v>557</v>
      </c>
      <c r="K49" s="3" t="s">
        <v>6548</v>
      </c>
      <c r="L49" s="3" t="s">
        <v>558</v>
      </c>
      <c r="M49" s="3" t="s">
        <v>6569</v>
      </c>
      <c r="N49" s="3" t="s">
        <v>559</v>
      </c>
      <c r="O49" s="3" t="s">
        <v>59</v>
      </c>
      <c r="P49" s="3" t="s">
        <v>560</v>
      </c>
      <c r="Q49" s="3" t="s">
        <v>6512</v>
      </c>
      <c r="R49" s="3" t="s">
        <v>561</v>
      </c>
      <c r="S49" s="3" t="s">
        <v>6628</v>
      </c>
      <c r="T49" s="3" t="s">
        <v>563</v>
      </c>
      <c r="U49" s="3" t="s">
        <v>6696</v>
      </c>
      <c r="V49" s="3" t="s">
        <v>564</v>
      </c>
      <c r="W49" s="3" t="s">
        <v>6697</v>
      </c>
      <c r="X49" s="3"/>
      <c r="Y49" s="3"/>
      <c r="Z49" s="3"/>
      <c r="AA49" s="3"/>
    </row>
    <row r="50" customFormat="false" ht="15" hidden="false" customHeight="true" outlineLevel="0" collapsed="false">
      <c r="A50" s="3" t="s">
        <v>565</v>
      </c>
      <c r="B50" s="3" t="n">
        <v>1</v>
      </c>
      <c r="C50" s="3" t="n">
        <v>24</v>
      </c>
      <c r="D50" s="3" t="str">
        <f aca="false">Combined!G50</f>
        <v>Student age (≤29)</v>
      </c>
      <c r="E50" s="3" t="s">
        <v>83</v>
      </c>
      <c r="F50" s="3" t="s">
        <v>47</v>
      </c>
      <c r="G50" s="3" t="s">
        <v>47</v>
      </c>
      <c r="H50" s="3" t="s">
        <v>566</v>
      </c>
      <c r="I50" s="3" t="s">
        <v>6539</v>
      </c>
      <c r="J50" s="3" t="s">
        <v>567</v>
      </c>
      <c r="K50" s="3" t="s">
        <v>6569</v>
      </c>
      <c r="L50" s="3" t="s">
        <v>568</v>
      </c>
      <c r="M50" s="3" t="s">
        <v>6569</v>
      </c>
      <c r="N50" s="3" t="s">
        <v>569</v>
      </c>
      <c r="O50" s="3" t="s">
        <v>6511</v>
      </c>
      <c r="P50" s="3" t="s">
        <v>570</v>
      </c>
      <c r="Q50" s="3" t="s">
        <v>6542</v>
      </c>
      <c r="R50" s="3" t="s">
        <v>571</v>
      </c>
      <c r="S50" s="3" t="s">
        <v>6647</v>
      </c>
      <c r="T50" s="3" t="s">
        <v>573</v>
      </c>
      <c r="U50" s="3" t="s">
        <v>6698</v>
      </c>
      <c r="V50" s="3" t="s">
        <v>574</v>
      </c>
      <c r="W50" s="3" t="s">
        <v>6699</v>
      </c>
      <c r="X50" s="3"/>
      <c r="Y50" s="3"/>
      <c r="Z50" s="3"/>
      <c r="AA50" s="3"/>
    </row>
    <row r="51" customFormat="false" ht="15" hidden="false" customHeight="true" outlineLevel="0" collapsed="false">
      <c r="A51" s="3" t="s">
        <v>575</v>
      </c>
      <c r="B51" s="3" t="n">
        <v>1</v>
      </c>
      <c r="C51" s="3" t="n">
        <v>21</v>
      </c>
      <c r="D51" s="3" t="str">
        <f aca="false">Combined!G51</f>
        <v>Student age (≤29)</v>
      </c>
      <c r="E51" s="3" t="s">
        <v>83</v>
      </c>
      <c r="F51" s="3" t="s">
        <v>47</v>
      </c>
      <c r="G51" s="3" t="s">
        <v>47</v>
      </c>
      <c r="H51" s="3" t="s">
        <v>576</v>
      </c>
      <c r="I51" s="3" t="s">
        <v>6539</v>
      </c>
      <c r="J51" s="3" t="s">
        <v>577</v>
      </c>
      <c r="K51" s="3" t="s">
        <v>6540</v>
      </c>
      <c r="L51" s="3" t="s">
        <v>578</v>
      </c>
      <c r="M51" s="3" t="s">
        <v>6540</v>
      </c>
      <c r="N51" s="3" t="s">
        <v>579</v>
      </c>
      <c r="O51" s="3" t="s">
        <v>59</v>
      </c>
      <c r="P51" s="3" t="s">
        <v>580</v>
      </c>
      <c r="Q51" s="3" t="s">
        <v>6700</v>
      </c>
      <c r="R51" s="3" t="s">
        <v>581</v>
      </c>
      <c r="S51" s="3" t="s">
        <v>6701</v>
      </c>
      <c r="T51" s="3" t="s">
        <v>583</v>
      </c>
      <c r="U51" s="3" t="s">
        <v>6545</v>
      </c>
      <c r="V51" s="3" t="s">
        <v>584</v>
      </c>
      <c r="W51" s="3" t="s">
        <v>6545</v>
      </c>
      <c r="X51" s="3"/>
      <c r="Y51" s="3"/>
      <c r="Z51" s="3"/>
      <c r="AA51" s="3"/>
    </row>
    <row r="52" customFormat="false" ht="15" hidden="false" customHeight="true" outlineLevel="0" collapsed="false">
      <c r="A52" s="3" t="s">
        <v>585</v>
      </c>
      <c r="B52" s="3" t="n">
        <v>1</v>
      </c>
      <c r="C52" s="3" t="n">
        <v>20</v>
      </c>
      <c r="D52" s="3" t="str">
        <f aca="false">Combined!G52</f>
        <v>Student age (≤29)</v>
      </c>
      <c r="E52" s="3" t="s">
        <v>83</v>
      </c>
      <c r="F52" s="3" t="s">
        <v>47</v>
      </c>
      <c r="G52" s="3" t="s">
        <v>47</v>
      </c>
      <c r="H52" s="3" t="s">
        <v>586</v>
      </c>
      <c r="I52" s="3" t="s">
        <v>6539</v>
      </c>
      <c r="J52" s="3" t="s">
        <v>587</v>
      </c>
      <c r="K52" s="3" t="s">
        <v>6510</v>
      </c>
      <c r="L52" s="3" t="s">
        <v>588</v>
      </c>
      <c r="M52" s="3" t="s">
        <v>6510</v>
      </c>
      <c r="N52" s="3" t="s">
        <v>589</v>
      </c>
      <c r="O52" s="3" t="s">
        <v>6511</v>
      </c>
      <c r="P52" s="3" t="s">
        <v>590</v>
      </c>
      <c r="Q52" s="3" t="s">
        <v>6571</v>
      </c>
      <c r="R52" s="3" t="s">
        <v>591</v>
      </c>
      <c r="S52" s="3" t="s">
        <v>6685</v>
      </c>
      <c r="T52" s="3" t="s">
        <v>592</v>
      </c>
      <c r="U52" s="3" t="s">
        <v>6688</v>
      </c>
      <c r="V52" s="3" t="s">
        <v>593</v>
      </c>
      <c r="W52" s="3" t="s">
        <v>6702</v>
      </c>
      <c r="X52" s="3"/>
      <c r="Y52" s="3"/>
      <c r="Z52" s="3"/>
      <c r="AA52" s="3"/>
    </row>
    <row r="53" customFormat="false" ht="15" hidden="false" customHeight="true" outlineLevel="0" collapsed="false">
      <c r="A53" s="3" t="s">
        <v>594</v>
      </c>
      <c r="B53" s="3" t="n">
        <v>1</v>
      </c>
      <c r="C53" s="3" t="n">
        <v>20</v>
      </c>
      <c r="D53" s="3" t="str">
        <f aca="false">Combined!G53</f>
        <v>Student age (≤29)</v>
      </c>
      <c r="E53" s="3" t="s">
        <v>45</v>
      </c>
      <c r="F53" s="3" t="s">
        <v>47</v>
      </c>
      <c r="G53" s="3" t="s">
        <v>47</v>
      </c>
      <c r="H53" s="3" t="s">
        <v>595</v>
      </c>
      <c r="I53" s="3" t="s">
        <v>6703</v>
      </c>
      <c r="J53" s="3" t="s">
        <v>596</v>
      </c>
      <c r="K53" s="3" t="s">
        <v>6704</v>
      </c>
      <c r="L53" s="3" t="s">
        <v>597</v>
      </c>
      <c r="M53" s="3" t="s">
        <v>6705</v>
      </c>
      <c r="N53" s="3" t="s">
        <v>598</v>
      </c>
      <c r="O53" s="3" t="s">
        <v>59</v>
      </c>
      <c r="P53" s="3" t="s">
        <v>599</v>
      </c>
      <c r="Q53" s="3" t="s">
        <v>6577</v>
      </c>
      <c r="R53" s="3" t="s">
        <v>600</v>
      </c>
      <c r="S53" s="3" t="s">
        <v>6549</v>
      </c>
      <c r="T53" s="3" t="s">
        <v>602</v>
      </c>
      <c r="U53" s="3" t="s">
        <v>6706</v>
      </c>
      <c r="V53" s="3" t="s">
        <v>603</v>
      </c>
      <c r="W53" s="3" t="s">
        <v>6707</v>
      </c>
      <c r="X53" s="3"/>
      <c r="Y53" s="3"/>
      <c r="Z53" s="3"/>
      <c r="AA53" s="3"/>
    </row>
    <row r="54" customFormat="false" ht="15" hidden="false" customHeight="true" outlineLevel="0" collapsed="false">
      <c r="A54" s="3" t="s">
        <v>604</v>
      </c>
      <c r="B54" s="3" t="n">
        <v>1</v>
      </c>
      <c r="C54" s="3" t="n">
        <v>20</v>
      </c>
      <c r="D54" s="3" t="str">
        <f aca="false">Combined!G54</f>
        <v>Student age (≤29)</v>
      </c>
      <c r="E54" s="3" t="s">
        <v>83</v>
      </c>
      <c r="F54" s="3" t="s">
        <v>47</v>
      </c>
      <c r="G54" s="3" t="s">
        <v>47</v>
      </c>
      <c r="H54" s="3" t="s">
        <v>605</v>
      </c>
      <c r="I54" s="3" t="s">
        <v>6539</v>
      </c>
      <c r="J54" s="3" t="s">
        <v>606</v>
      </c>
      <c r="K54" s="3" t="s">
        <v>6516</v>
      </c>
      <c r="L54" s="3" t="s">
        <v>607</v>
      </c>
      <c r="M54" s="3" t="s">
        <v>6708</v>
      </c>
      <c r="N54" s="3" t="s">
        <v>608</v>
      </c>
      <c r="O54" s="3" t="s">
        <v>6511</v>
      </c>
      <c r="P54" s="3" t="s">
        <v>609</v>
      </c>
      <c r="Q54" s="3" t="s">
        <v>6524</v>
      </c>
      <c r="R54" s="3" t="s">
        <v>610</v>
      </c>
      <c r="S54" s="3" t="s">
        <v>6709</v>
      </c>
      <c r="T54" s="3" t="s">
        <v>612</v>
      </c>
      <c r="U54" s="3" t="s">
        <v>6710</v>
      </c>
      <c r="V54" s="3" t="s">
        <v>613</v>
      </c>
      <c r="W54" s="3" t="s">
        <v>6545</v>
      </c>
      <c r="X54" s="3"/>
      <c r="Y54" s="3"/>
      <c r="Z54" s="3"/>
      <c r="AA54" s="3"/>
    </row>
    <row r="55" customFormat="false" ht="15" hidden="false" customHeight="true" outlineLevel="0" collapsed="false">
      <c r="A55" s="3" t="s">
        <v>614</v>
      </c>
      <c r="B55" s="3" t="n">
        <v>1</v>
      </c>
      <c r="C55" s="3" t="n">
        <v>59</v>
      </c>
      <c r="D55" s="3" t="str">
        <f aca="false">Combined!G55</f>
        <v>Middle-aged (30–64)</v>
      </c>
      <c r="E55" s="3" t="s">
        <v>83</v>
      </c>
      <c r="F55" s="3" t="s">
        <v>47</v>
      </c>
      <c r="G55" s="3" t="s">
        <v>47</v>
      </c>
      <c r="H55" s="3" t="s">
        <v>615</v>
      </c>
      <c r="I55" s="3" t="s">
        <v>6637</v>
      </c>
      <c r="J55" s="3" t="s">
        <v>616</v>
      </c>
      <c r="K55" s="3" t="s">
        <v>6540</v>
      </c>
      <c r="L55" s="3" t="s">
        <v>617</v>
      </c>
      <c r="M55" s="3" t="s">
        <v>6540</v>
      </c>
      <c r="N55" s="3" t="s">
        <v>618</v>
      </c>
      <c r="O55" s="3" t="s">
        <v>6511</v>
      </c>
      <c r="P55" s="3" t="s">
        <v>619</v>
      </c>
      <c r="Q55" s="3" t="s">
        <v>6577</v>
      </c>
      <c r="R55" s="3" t="s">
        <v>620</v>
      </c>
      <c r="S55" s="3" t="s">
        <v>6595</v>
      </c>
      <c r="T55" s="3" t="s">
        <v>622</v>
      </c>
      <c r="U55" s="3" t="s">
        <v>6574</v>
      </c>
      <c r="V55" s="3" t="s">
        <v>623</v>
      </c>
      <c r="W55" s="3" t="s">
        <v>6636</v>
      </c>
      <c r="X55" s="3"/>
      <c r="Y55" s="3"/>
      <c r="Z55" s="3"/>
      <c r="AA55" s="3"/>
    </row>
    <row r="56" customFormat="false" ht="15" hidden="false" customHeight="true" outlineLevel="0" collapsed="false">
      <c r="A56" s="3" t="s">
        <v>624</v>
      </c>
      <c r="B56" s="3" t="n">
        <v>1</v>
      </c>
      <c r="C56" s="3" t="n">
        <v>54</v>
      </c>
      <c r="D56" s="3" t="str">
        <f aca="false">Combined!G56</f>
        <v>Middle-aged (30–64)</v>
      </c>
      <c r="E56" s="3" t="s">
        <v>45</v>
      </c>
      <c r="F56" s="3" t="s">
        <v>47</v>
      </c>
      <c r="G56" s="3" t="s">
        <v>47</v>
      </c>
      <c r="H56" s="3" t="s">
        <v>625</v>
      </c>
      <c r="I56" s="3" t="s">
        <v>6637</v>
      </c>
      <c r="J56" s="3" t="s">
        <v>626</v>
      </c>
      <c r="K56" s="3" t="s">
        <v>6516</v>
      </c>
      <c r="L56" s="3" t="s">
        <v>627</v>
      </c>
      <c r="M56" s="3" t="s">
        <v>6540</v>
      </c>
      <c r="N56" s="3" t="s">
        <v>628</v>
      </c>
      <c r="O56" s="3" t="s">
        <v>6511</v>
      </c>
      <c r="P56" s="3" t="s">
        <v>629</v>
      </c>
      <c r="Q56" s="3" t="s">
        <v>6711</v>
      </c>
      <c r="R56" s="3" t="s">
        <v>630</v>
      </c>
      <c r="S56" s="3" t="s">
        <v>6712</v>
      </c>
      <c r="T56" s="3" t="s">
        <v>632</v>
      </c>
      <c r="U56" s="3" t="s">
        <v>6713</v>
      </c>
      <c r="V56" s="3" t="s">
        <v>633</v>
      </c>
      <c r="W56" s="3" t="s">
        <v>6714</v>
      </c>
      <c r="X56" s="3"/>
      <c r="Y56" s="3"/>
      <c r="Z56" s="3"/>
      <c r="AA56" s="3"/>
    </row>
    <row r="57" customFormat="false" ht="15" hidden="false" customHeight="true" outlineLevel="0" collapsed="false">
      <c r="A57" s="3" t="s">
        <v>634</v>
      </c>
      <c r="B57" s="3" t="n">
        <v>1</v>
      </c>
      <c r="C57" s="3" t="n">
        <v>21</v>
      </c>
      <c r="D57" s="3" t="str">
        <f aca="false">Combined!G57</f>
        <v>Student age (≤29)</v>
      </c>
      <c r="E57" s="3" t="s">
        <v>83</v>
      </c>
      <c r="F57" s="3" t="s">
        <v>47</v>
      </c>
      <c r="G57" s="3" t="s">
        <v>47</v>
      </c>
      <c r="H57" s="3" t="s">
        <v>635</v>
      </c>
      <c r="I57" s="3" t="s">
        <v>6637</v>
      </c>
      <c r="J57" s="3" t="s">
        <v>636</v>
      </c>
      <c r="K57" s="3" t="s">
        <v>6540</v>
      </c>
      <c r="L57" s="3" t="s">
        <v>637</v>
      </c>
      <c r="M57" s="3" t="s">
        <v>6540</v>
      </c>
      <c r="N57" s="3" t="s">
        <v>638</v>
      </c>
      <c r="O57" s="3" t="s">
        <v>6511</v>
      </c>
      <c r="P57" s="3" t="s">
        <v>639</v>
      </c>
      <c r="Q57" s="3" t="s">
        <v>6655</v>
      </c>
      <c r="R57" s="3" t="s">
        <v>640</v>
      </c>
      <c r="S57" s="3" t="s">
        <v>6701</v>
      </c>
      <c r="T57" s="3" t="s">
        <v>642</v>
      </c>
      <c r="U57" s="3" t="s">
        <v>6715</v>
      </c>
      <c r="V57" s="3" t="s">
        <v>643</v>
      </c>
      <c r="W57" s="3" t="s">
        <v>6545</v>
      </c>
      <c r="X57" s="3"/>
      <c r="Y57" s="3"/>
      <c r="Z57" s="3"/>
      <c r="AA57" s="3"/>
    </row>
    <row r="58" customFormat="false" ht="15" hidden="false" customHeight="true" outlineLevel="0" collapsed="false">
      <c r="A58" s="3" t="s">
        <v>644</v>
      </c>
      <c r="B58" s="3" t="n">
        <v>1</v>
      </c>
      <c r="C58" s="3" t="n">
        <v>25</v>
      </c>
      <c r="D58" s="3" t="str">
        <f aca="false">Combined!G58</f>
        <v>Student age (≤29)</v>
      </c>
      <c r="E58" s="3" t="s">
        <v>83</v>
      </c>
      <c r="F58" s="3" t="s">
        <v>47</v>
      </c>
      <c r="G58" s="3" t="s">
        <v>47</v>
      </c>
      <c r="H58" s="3" t="s">
        <v>645</v>
      </c>
      <c r="I58" s="3" t="s">
        <v>6546</v>
      </c>
      <c r="J58" s="3" t="s">
        <v>646</v>
      </c>
      <c r="K58" s="3" t="s">
        <v>6547</v>
      </c>
      <c r="L58" s="3" t="s">
        <v>647</v>
      </c>
      <c r="M58" s="3" t="s">
        <v>6716</v>
      </c>
      <c r="N58" s="3" t="s">
        <v>648</v>
      </c>
      <c r="O58" s="3" t="s">
        <v>6511</v>
      </c>
      <c r="P58" s="3" t="s">
        <v>649</v>
      </c>
      <c r="Q58" s="3" t="s">
        <v>6717</v>
      </c>
      <c r="R58" s="3" t="s">
        <v>650</v>
      </c>
      <c r="S58" s="3" t="s">
        <v>6537</v>
      </c>
      <c r="T58" s="3" t="s">
        <v>652</v>
      </c>
      <c r="U58" s="3" t="s">
        <v>6574</v>
      </c>
      <c r="V58" s="3" t="s">
        <v>653</v>
      </c>
      <c r="W58" s="3" t="s">
        <v>6662</v>
      </c>
      <c r="X58" s="3"/>
      <c r="Y58" s="3"/>
      <c r="Z58" s="3"/>
      <c r="AA58" s="3"/>
    </row>
    <row r="59" customFormat="false" ht="15" hidden="false" customHeight="true" outlineLevel="0" collapsed="false">
      <c r="A59" s="3" t="s">
        <v>654</v>
      </c>
      <c r="B59" s="3" t="n">
        <v>1</v>
      </c>
      <c r="C59" s="3" t="n">
        <v>22</v>
      </c>
      <c r="D59" s="3" t="str">
        <f aca="false">Combined!G59</f>
        <v>Student age (≤29)</v>
      </c>
      <c r="E59" s="3" t="s">
        <v>83</v>
      </c>
      <c r="F59" s="3" t="s">
        <v>47</v>
      </c>
      <c r="G59" s="3" t="s">
        <v>47</v>
      </c>
      <c r="H59" s="3" t="s">
        <v>655</v>
      </c>
      <c r="I59" s="3" t="s">
        <v>6508</v>
      </c>
      <c r="J59" s="3" t="s">
        <v>656</v>
      </c>
      <c r="K59" s="3" t="s">
        <v>6540</v>
      </c>
      <c r="L59" s="3" t="s">
        <v>657</v>
      </c>
      <c r="M59" s="3" t="s">
        <v>6718</v>
      </c>
      <c r="N59" s="3" t="s">
        <v>658</v>
      </c>
      <c r="O59" s="3" t="s">
        <v>59</v>
      </c>
      <c r="P59" s="3" t="s">
        <v>659</v>
      </c>
      <c r="Q59" s="3" t="s">
        <v>6512</v>
      </c>
      <c r="R59" s="3" t="s">
        <v>660</v>
      </c>
      <c r="S59" s="3" t="s">
        <v>6513</v>
      </c>
      <c r="T59" s="3" t="s">
        <v>662</v>
      </c>
      <c r="U59" s="3" t="s">
        <v>6719</v>
      </c>
      <c r="V59" s="3" t="s">
        <v>663</v>
      </c>
      <c r="W59" s="3" t="s">
        <v>6670</v>
      </c>
      <c r="X59" s="3"/>
      <c r="Y59" s="3"/>
      <c r="Z59" s="3"/>
      <c r="AA59" s="3"/>
    </row>
    <row r="60" customFormat="false" ht="15" hidden="false" customHeight="true" outlineLevel="0" collapsed="false">
      <c r="A60" s="3" t="s">
        <v>664</v>
      </c>
      <c r="B60" s="3" t="n">
        <v>1</v>
      </c>
      <c r="C60" s="3" t="n">
        <v>21</v>
      </c>
      <c r="D60" s="3" t="str">
        <f aca="false">Combined!G60</f>
        <v>Student age (≤29)</v>
      </c>
      <c r="E60" s="3" t="s">
        <v>83</v>
      </c>
      <c r="F60" s="3" t="s">
        <v>47</v>
      </c>
      <c r="G60" s="3" t="s">
        <v>47</v>
      </c>
      <c r="H60" s="3" t="s">
        <v>665</v>
      </c>
      <c r="I60" s="3" t="s">
        <v>6637</v>
      </c>
      <c r="J60" s="3" t="s">
        <v>666</v>
      </c>
      <c r="K60" s="3" t="s">
        <v>6720</v>
      </c>
      <c r="L60" s="3" t="s">
        <v>667</v>
      </c>
      <c r="M60" s="3" t="s">
        <v>6678</v>
      </c>
      <c r="N60" s="3" t="s">
        <v>668</v>
      </c>
      <c r="O60" s="3" t="s">
        <v>59</v>
      </c>
      <c r="P60" s="3" t="s">
        <v>669</v>
      </c>
      <c r="Q60" s="3" t="s">
        <v>6512</v>
      </c>
      <c r="R60" s="3" t="s">
        <v>670</v>
      </c>
      <c r="S60" s="3" t="s">
        <v>6721</v>
      </c>
      <c r="T60" s="3" t="s">
        <v>672</v>
      </c>
      <c r="U60" s="3" t="s">
        <v>6722</v>
      </c>
      <c r="V60" s="3" t="s">
        <v>673</v>
      </c>
      <c r="W60" s="3" t="s">
        <v>6662</v>
      </c>
      <c r="X60" s="3"/>
      <c r="Y60" s="3"/>
      <c r="Z60" s="3"/>
      <c r="AA60" s="3"/>
    </row>
    <row r="61" customFormat="false" ht="15" hidden="false" customHeight="true" outlineLevel="0" collapsed="false">
      <c r="A61" s="3" t="s">
        <v>674</v>
      </c>
      <c r="B61" s="3" t="n">
        <v>1</v>
      </c>
      <c r="C61" s="3" t="n">
        <v>30</v>
      </c>
      <c r="D61" s="3" t="str">
        <f aca="false">Combined!G61</f>
        <v>Middle-aged (30–64)</v>
      </c>
      <c r="E61" s="3" t="s">
        <v>83</v>
      </c>
      <c r="F61" s="3" t="s">
        <v>47</v>
      </c>
      <c r="G61" s="3" t="s">
        <v>47</v>
      </c>
      <c r="H61" s="3" t="s">
        <v>675</v>
      </c>
      <c r="I61" s="3" t="s">
        <v>6675</v>
      </c>
      <c r="J61" s="3" t="s">
        <v>676</v>
      </c>
      <c r="K61" s="3" t="s">
        <v>6723</v>
      </c>
      <c r="L61" s="3" t="s">
        <v>677</v>
      </c>
      <c r="M61" s="3" t="s">
        <v>6724</v>
      </c>
      <c r="N61" s="3" t="s">
        <v>678</v>
      </c>
      <c r="O61" s="3" t="s">
        <v>6511</v>
      </c>
      <c r="P61" s="3" t="s">
        <v>679</v>
      </c>
      <c r="Q61" s="3" t="s">
        <v>6640</v>
      </c>
      <c r="R61" s="3" t="s">
        <v>680</v>
      </c>
      <c r="S61" s="3" t="s">
        <v>6725</v>
      </c>
      <c r="T61" s="3" t="s">
        <v>682</v>
      </c>
      <c r="U61" s="3" t="s">
        <v>6726</v>
      </c>
      <c r="V61" s="3" t="s">
        <v>683</v>
      </c>
      <c r="W61" s="3" t="s">
        <v>6727</v>
      </c>
      <c r="X61" s="3"/>
      <c r="Y61" s="3"/>
      <c r="Z61" s="3"/>
      <c r="AA61" s="3"/>
    </row>
    <row r="62" customFormat="false" ht="15" hidden="false" customHeight="true" outlineLevel="0" collapsed="false">
      <c r="A62" s="3" t="s">
        <v>684</v>
      </c>
      <c r="B62" s="3" t="n">
        <v>1</v>
      </c>
      <c r="C62" s="3" t="n">
        <v>22</v>
      </c>
      <c r="D62" s="3" t="str">
        <f aca="false">Combined!G62</f>
        <v>Student age (≤29)</v>
      </c>
      <c r="E62" s="3" t="s">
        <v>83</v>
      </c>
      <c r="F62" s="3" t="s">
        <v>47</v>
      </c>
      <c r="G62" s="3" t="s">
        <v>47</v>
      </c>
      <c r="H62" s="3" t="s">
        <v>685</v>
      </c>
      <c r="I62" s="3" t="s">
        <v>6546</v>
      </c>
      <c r="J62" s="3" t="s">
        <v>686</v>
      </c>
      <c r="K62" s="3" t="s">
        <v>6728</v>
      </c>
      <c r="L62" s="3" t="s">
        <v>687</v>
      </c>
      <c r="M62" s="3" t="s">
        <v>6729</v>
      </c>
      <c r="N62" s="3" t="s">
        <v>688</v>
      </c>
      <c r="O62" s="3" t="s">
        <v>59</v>
      </c>
      <c r="P62" s="3" t="s">
        <v>689</v>
      </c>
      <c r="Q62" s="3" t="s">
        <v>6730</v>
      </c>
      <c r="R62" s="3" t="s">
        <v>690</v>
      </c>
      <c r="S62" s="3" t="s">
        <v>6632</v>
      </c>
      <c r="T62" s="3" t="s">
        <v>692</v>
      </c>
      <c r="U62" s="3" t="s">
        <v>6731</v>
      </c>
      <c r="V62" s="3" t="s">
        <v>693</v>
      </c>
      <c r="W62" s="3" t="s">
        <v>6732</v>
      </c>
      <c r="X62" s="3"/>
      <c r="Y62" s="3"/>
      <c r="Z62" s="3"/>
      <c r="AA62" s="3"/>
    </row>
    <row r="63" customFormat="false" ht="15" hidden="false" customHeight="true" outlineLevel="0" collapsed="false">
      <c r="A63" s="3" t="s">
        <v>694</v>
      </c>
      <c r="B63" s="3" t="n">
        <v>1</v>
      </c>
      <c r="C63" s="3" t="n">
        <v>23</v>
      </c>
      <c r="D63" s="3" t="str">
        <f aca="false">Combined!G63</f>
        <v>Student age (≤29)</v>
      </c>
      <c r="E63" s="3" t="s">
        <v>83</v>
      </c>
      <c r="F63" s="3" t="s">
        <v>47</v>
      </c>
      <c r="G63" s="3" t="s">
        <v>47</v>
      </c>
      <c r="H63" s="3" t="s">
        <v>695</v>
      </c>
      <c r="I63" s="3" t="s">
        <v>6733</v>
      </c>
      <c r="J63" s="3" t="s">
        <v>696</v>
      </c>
      <c r="K63" s="3" t="s">
        <v>6734</v>
      </c>
      <c r="L63" s="3" t="s">
        <v>697</v>
      </c>
      <c r="M63" s="3" t="s">
        <v>6735</v>
      </c>
      <c r="N63" s="3" t="s">
        <v>698</v>
      </c>
      <c r="O63" s="3" t="s">
        <v>6511</v>
      </c>
      <c r="P63" s="3" t="s">
        <v>699</v>
      </c>
      <c r="Q63" s="3" t="s">
        <v>6577</v>
      </c>
      <c r="R63" s="3" t="s">
        <v>700</v>
      </c>
      <c r="S63" s="3" t="s">
        <v>6632</v>
      </c>
      <c r="T63" s="3" t="s">
        <v>702</v>
      </c>
      <c r="U63" s="3" t="s">
        <v>6736</v>
      </c>
      <c r="V63" s="3" t="s">
        <v>703</v>
      </c>
      <c r="W63" s="3" t="s">
        <v>6737</v>
      </c>
      <c r="X63" s="3"/>
      <c r="Y63" s="3"/>
      <c r="Z63" s="3"/>
      <c r="AA63" s="3"/>
    </row>
    <row r="64" customFormat="false" ht="15" hidden="false" customHeight="true" outlineLevel="0" collapsed="false">
      <c r="A64" s="3" t="s">
        <v>704</v>
      </c>
      <c r="B64" s="3" t="n">
        <v>1</v>
      </c>
      <c r="C64" s="3" t="n">
        <v>20</v>
      </c>
      <c r="D64" s="3" t="str">
        <f aca="false">Combined!G64</f>
        <v>Student age (≤29)</v>
      </c>
      <c r="E64" s="3" t="s">
        <v>45</v>
      </c>
      <c r="F64" s="3" t="s">
        <v>705</v>
      </c>
      <c r="G64" s="3" t="s">
        <v>47</v>
      </c>
      <c r="H64" s="3" t="s">
        <v>706</v>
      </c>
      <c r="I64" s="3" t="s">
        <v>6527</v>
      </c>
      <c r="J64" s="3" t="s">
        <v>707</v>
      </c>
      <c r="K64" s="3" t="s">
        <v>6738</v>
      </c>
      <c r="L64" s="3" t="s">
        <v>708</v>
      </c>
      <c r="M64" s="3" t="s">
        <v>6739</v>
      </c>
      <c r="N64" s="3" t="s">
        <v>709</v>
      </c>
      <c r="O64" s="3" t="s">
        <v>6511</v>
      </c>
      <c r="P64" s="3" t="s">
        <v>710</v>
      </c>
      <c r="Q64" s="3" t="s">
        <v>6740</v>
      </c>
      <c r="R64" s="3" t="s">
        <v>711</v>
      </c>
      <c r="S64" s="3" t="s">
        <v>6741</v>
      </c>
      <c r="T64" s="3" t="s">
        <v>713</v>
      </c>
      <c r="U64" s="3" t="s">
        <v>6742</v>
      </c>
      <c r="V64" s="3" t="s">
        <v>714</v>
      </c>
      <c r="W64" s="3" t="s">
        <v>6743</v>
      </c>
      <c r="X64" s="3"/>
      <c r="Y64" s="3"/>
      <c r="Z64" s="3"/>
      <c r="AA64" s="3"/>
    </row>
    <row r="65" customFormat="false" ht="15" hidden="false" customHeight="true" outlineLevel="0" collapsed="false">
      <c r="A65" s="3" t="s">
        <v>715</v>
      </c>
      <c r="B65" s="3" t="n">
        <v>1</v>
      </c>
      <c r="C65" s="3" t="n">
        <v>22</v>
      </c>
      <c r="D65" s="3" t="str">
        <f aca="false">Combined!G65</f>
        <v>Student age (≤29)</v>
      </c>
      <c r="E65" s="3" t="s">
        <v>83</v>
      </c>
      <c r="F65" s="3" t="s">
        <v>47</v>
      </c>
      <c r="G65" s="3" t="s">
        <v>47</v>
      </c>
      <c r="H65" s="3" t="s">
        <v>716</v>
      </c>
      <c r="I65" s="3" t="s">
        <v>6603</v>
      </c>
      <c r="J65" s="3" t="s">
        <v>717</v>
      </c>
      <c r="K65" s="3" t="s">
        <v>6564</v>
      </c>
      <c r="L65" s="3" t="s">
        <v>718</v>
      </c>
      <c r="M65" s="3" t="s">
        <v>6564</v>
      </c>
      <c r="N65" s="3" t="s">
        <v>719</v>
      </c>
      <c r="O65" s="3" t="s">
        <v>6511</v>
      </c>
      <c r="P65" s="3" t="s">
        <v>720</v>
      </c>
      <c r="Q65" s="3" t="s">
        <v>6542</v>
      </c>
      <c r="R65" s="3" t="s">
        <v>721</v>
      </c>
      <c r="S65" s="3" t="s">
        <v>6744</v>
      </c>
      <c r="T65" s="3" t="s">
        <v>723</v>
      </c>
      <c r="U65" s="3" t="s">
        <v>6688</v>
      </c>
      <c r="V65" s="3" t="s">
        <v>724</v>
      </c>
      <c r="W65" s="3" t="s">
        <v>6745</v>
      </c>
      <c r="X65" s="3"/>
      <c r="Y65" s="3"/>
      <c r="Z65" s="3"/>
      <c r="AA65" s="3"/>
    </row>
    <row r="66" customFormat="false" ht="15" hidden="false" customHeight="true" outlineLevel="0" collapsed="false">
      <c r="A66" s="3" t="s">
        <v>725</v>
      </c>
      <c r="B66" s="3" t="n">
        <v>1</v>
      </c>
      <c r="C66" s="3" t="n">
        <v>27</v>
      </c>
      <c r="D66" s="3" t="str">
        <f aca="false">Combined!G66</f>
        <v>Student age (≤29)</v>
      </c>
      <c r="E66" s="3" t="s">
        <v>83</v>
      </c>
      <c r="F66" s="3" t="s">
        <v>47</v>
      </c>
      <c r="G66" s="3" t="s">
        <v>47</v>
      </c>
      <c r="H66" s="3" t="s">
        <v>726</v>
      </c>
      <c r="I66" s="3" t="s">
        <v>6746</v>
      </c>
      <c r="J66" s="3" t="s">
        <v>727</v>
      </c>
      <c r="K66" s="3" t="s">
        <v>6747</v>
      </c>
      <c r="L66" s="3" t="s">
        <v>728</v>
      </c>
      <c r="M66" s="3" t="s">
        <v>6541</v>
      </c>
      <c r="N66" s="3" t="s">
        <v>729</v>
      </c>
      <c r="O66" s="3" t="s">
        <v>59</v>
      </c>
      <c r="P66" s="3" t="s">
        <v>730</v>
      </c>
      <c r="Q66" s="3" t="s">
        <v>6640</v>
      </c>
      <c r="R66" s="3" t="s">
        <v>731</v>
      </c>
      <c r="S66" s="3" t="s">
        <v>6748</v>
      </c>
      <c r="T66" s="3" t="s">
        <v>733</v>
      </c>
      <c r="U66" s="3" t="s">
        <v>6749</v>
      </c>
      <c r="V66" s="3" t="s">
        <v>734</v>
      </c>
      <c r="W66" s="3" t="s">
        <v>6750</v>
      </c>
      <c r="X66" s="3"/>
      <c r="Y66" s="3"/>
      <c r="Z66" s="3"/>
      <c r="AA66" s="3"/>
    </row>
    <row r="67" customFormat="false" ht="15" hidden="false" customHeight="true" outlineLevel="0" collapsed="false">
      <c r="A67" s="3" t="s">
        <v>735</v>
      </c>
      <c r="B67" s="3" t="n">
        <v>1</v>
      </c>
      <c r="C67" s="3" t="n">
        <v>24</v>
      </c>
      <c r="D67" s="3" t="str">
        <f aca="false">Combined!G67</f>
        <v>Student age (≤29)</v>
      </c>
      <c r="E67" s="3" t="s">
        <v>83</v>
      </c>
      <c r="F67" s="3" t="s">
        <v>47</v>
      </c>
      <c r="G67" s="3" t="s">
        <v>47</v>
      </c>
      <c r="H67" s="3" t="s">
        <v>736</v>
      </c>
      <c r="I67" s="3" t="s">
        <v>6563</v>
      </c>
      <c r="J67" s="3" t="s">
        <v>737</v>
      </c>
      <c r="K67" s="3" t="s">
        <v>6751</v>
      </c>
      <c r="L67" s="3" t="s">
        <v>738</v>
      </c>
      <c r="M67" s="3" t="s">
        <v>6752</v>
      </c>
      <c r="N67" s="3" t="s">
        <v>739</v>
      </c>
      <c r="O67" s="3" t="s">
        <v>59</v>
      </c>
      <c r="P67" s="3" t="s">
        <v>740</v>
      </c>
      <c r="Q67" s="3" t="s">
        <v>6640</v>
      </c>
      <c r="R67" s="3" t="s">
        <v>741</v>
      </c>
      <c r="S67" s="3" t="s">
        <v>6753</v>
      </c>
      <c r="T67" s="3" t="s">
        <v>743</v>
      </c>
      <c r="U67" s="3" t="s">
        <v>6754</v>
      </c>
      <c r="V67" s="3" t="s">
        <v>744</v>
      </c>
      <c r="W67" s="3" t="s">
        <v>6670</v>
      </c>
      <c r="X67" s="3"/>
      <c r="Y67" s="3"/>
      <c r="Z67" s="3"/>
      <c r="AA67" s="3"/>
    </row>
    <row r="68" customFormat="false" ht="15" hidden="false" customHeight="true" outlineLevel="0" collapsed="false">
      <c r="A68" s="3" t="s">
        <v>745</v>
      </c>
      <c r="B68" s="3" t="n">
        <v>1</v>
      </c>
      <c r="C68" s="3" t="n">
        <v>22</v>
      </c>
      <c r="D68" s="3" t="str">
        <f aca="false">Combined!G68</f>
        <v>Student age (≤29)</v>
      </c>
      <c r="E68" s="3" t="s">
        <v>83</v>
      </c>
      <c r="F68" s="3" t="s">
        <v>47</v>
      </c>
      <c r="G68" s="3" t="s">
        <v>47</v>
      </c>
      <c r="H68" s="3" t="s">
        <v>746</v>
      </c>
      <c r="I68" s="3" t="s">
        <v>6755</v>
      </c>
      <c r="J68" s="3" t="s">
        <v>747</v>
      </c>
      <c r="K68" s="3" t="s">
        <v>6720</v>
      </c>
      <c r="L68" s="3" t="s">
        <v>748</v>
      </c>
      <c r="M68" s="3" t="s">
        <v>6756</v>
      </c>
      <c r="N68" s="3" t="s">
        <v>749</v>
      </c>
      <c r="O68" s="3" t="s">
        <v>6511</v>
      </c>
      <c r="P68" s="3" t="s">
        <v>750</v>
      </c>
      <c r="Q68" s="3" t="s">
        <v>6730</v>
      </c>
      <c r="R68" s="3" t="s">
        <v>751</v>
      </c>
      <c r="S68" s="3" t="s">
        <v>6605</v>
      </c>
      <c r="T68" s="3" t="s">
        <v>753</v>
      </c>
      <c r="U68" s="3" t="s">
        <v>6757</v>
      </c>
      <c r="V68" s="3" t="s">
        <v>754</v>
      </c>
      <c r="W68" s="3" t="s">
        <v>6758</v>
      </c>
      <c r="X68" s="3"/>
      <c r="Y68" s="3"/>
      <c r="Z68" s="3"/>
      <c r="AA68" s="3"/>
    </row>
    <row r="69" customFormat="false" ht="15" hidden="false" customHeight="true" outlineLevel="0" collapsed="false">
      <c r="A69" s="3" t="s">
        <v>755</v>
      </c>
      <c r="B69" s="3" t="n">
        <v>1</v>
      </c>
      <c r="C69" s="3" t="n">
        <v>23</v>
      </c>
      <c r="D69" s="3" t="str">
        <f aca="false">Combined!G69</f>
        <v>Student age (≤29)</v>
      </c>
      <c r="E69" s="3" t="s">
        <v>45</v>
      </c>
      <c r="F69" s="3" t="s">
        <v>47</v>
      </c>
      <c r="G69" s="3" t="s">
        <v>47</v>
      </c>
      <c r="H69" s="3" t="s">
        <v>756</v>
      </c>
      <c r="I69" s="3" t="s">
        <v>6759</v>
      </c>
      <c r="J69" s="3" t="s">
        <v>757</v>
      </c>
      <c r="K69" s="3" t="s">
        <v>6747</v>
      </c>
      <c r="L69" s="3" t="s">
        <v>758</v>
      </c>
      <c r="M69" s="3" t="s">
        <v>6540</v>
      </c>
      <c r="N69" s="3" t="s">
        <v>759</v>
      </c>
      <c r="O69" s="3" t="s">
        <v>6511</v>
      </c>
      <c r="P69" s="3" t="s">
        <v>760</v>
      </c>
      <c r="Q69" s="3" t="s">
        <v>6524</v>
      </c>
      <c r="R69" s="3" t="s">
        <v>761</v>
      </c>
      <c r="S69" s="3" t="s">
        <v>6760</v>
      </c>
      <c r="T69" s="3" t="s">
        <v>763</v>
      </c>
      <c r="U69" s="3" t="s">
        <v>6761</v>
      </c>
      <c r="V69" s="3" t="s">
        <v>764</v>
      </c>
      <c r="W69" s="3" t="s">
        <v>6762</v>
      </c>
      <c r="X69" s="3"/>
      <c r="Y69" s="3"/>
      <c r="Z69" s="3"/>
      <c r="AA69" s="3"/>
    </row>
    <row r="70" customFormat="false" ht="15" hidden="false" customHeight="true" outlineLevel="0" collapsed="false">
      <c r="A70" s="3" t="s">
        <v>765</v>
      </c>
      <c r="B70" s="3" t="n">
        <v>1</v>
      </c>
      <c r="C70" s="3" t="n">
        <v>48</v>
      </c>
      <c r="D70" s="3" t="str">
        <f aca="false">Combined!G70</f>
        <v>Middle-aged (30–64)</v>
      </c>
      <c r="E70" s="3" t="s">
        <v>83</v>
      </c>
      <c r="F70" s="3" t="s">
        <v>47</v>
      </c>
      <c r="G70" s="3" t="s">
        <v>47</v>
      </c>
      <c r="H70" s="3" t="s">
        <v>766</v>
      </c>
      <c r="I70" s="3" t="s">
        <v>6763</v>
      </c>
      <c r="J70" s="3" t="s">
        <v>767</v>
      </c>
      <c r="K70" s="3" t="s">
        <v>6764</v>
      </c>
      <c r="L70" s="3" t="s">
        <v>768</v>
      </c>
      <c r="M70" s="3" t="s">
        <v>6765</v>
      </c>
      <c r="N70" s="3" t="s">
        <v>769</v>
      </c>
      <c r="O70" s="3" t="s">
        <v>6511</v>
      </c>
      <c r="P70" s="3" t="s">
        <v>770</v>
      </c>
      <c r="Q70" s="3" t="s">
        <v>6640</v>
      </c>
      <c r="R70" s="3" t="s">
        <v>771</v>
      </c>
      <c r="S70" s="3" t="s">
        <v>6766</v>
      </c>
      <c r="T70" s="3" t="s">
        <v>773</v>
      </c>
      <c r="U70" s="3" t="s">
        <v>6767</v>
      </c>
      <c r="V70" s="3" t="s">
        <v>774</v>
      </c>
      <c r="W70" s="3" t="s">
        <v>6768</v>
      </c>
      <c r="X70" s="3"/>
      <c r="Y70" s="3"/>
      <c r="Z70" s="3"/>
      <c r="AA70" s="3"/>
    </row>
    <row r="71" customFormat="false" ht="15" hidden="false" customHeight="true" outlineLevel="0" collapsed="false">
      <c r="A71" s="3" t="s">
        <v>775</v>
      </c>
      <c r="B71" s="3" t="n">
        <v>1</v>
      </c>
      <c r="C71" s="3" t="n">
        <v>45</v>
      </c>
      <c r="D71" s="3" t="str">
        <f aca="false">Combined!G71</f>
        <v>Middle-aged (30–64)</v>
      </c>
      <c r="E71" s="3" t="s">
        <v>45</v>
      </c>
      <c r="F71" s="3" t="s">
        <v>47</v>
      </c>
      <c r="G71" s="3" t="s">
        <v>47</v>
      </c>
      <c r="H71" s="3" t="s">
        <v>776</v>
      </c>
      <c r="I71" s="3" t="s">
        <v>6769</v>
      </c>
      <c r="J71" s="3" t="s">
        <v>777</v>
      </c>
      <c r="K71" s="3" t="s">
        <v>6770</v>
      </c>
      <c r="L71" s="3" t="s">
        <v>778</v>
      </c>
      <c r="M71" s="3" t="s">
        <v>6541</v>
      </c>
      <c r="N71" s="3" t="s">
        <v>779</v>
      </c>
      <c r="O71" s="3" t="s">
        <v>6511</v>
      </c>
      <c r="P71" s="3" t="s">
        <v>780</v>
      </c>
      <c r="Q71" s="3" t="s">
        <v>6512</v>
      </c>
      <c r="R71" s="3" t="s">
        <v>781</v>
      </c>
      <c r="S71" s="3" t="s">
        <v>6543</v>
      </c>
      <c r="T71" s="3" t="s">
        <v>783</v>
      </c>
      <c r="U71" s="3" t="s">
        <v>6758</v>
      </c>
      <c r="V71" s="3" t="s">
        <v>784</v>
      </c>
      <c r="W71" s="3" t="s">
        <v>6735</v>
      </c>
      <c r="X71" s="3"/>
      <c r="Y71" s="3"/>
      <c r="Z71" s="3"/>
      <c r="AA71" s="3"/>
    </row>
    <row r="72" customFormat="false" ht="15" hidden="false" customHeight="true" outlineLevel="0" collapsed="false">
      <c r="A72" s="3" t="s">
        <v>785</v>
      </c>
      <c r="B72" s="3" t="n">
        <v>1</v>
      </c>
      <c r="C72" s="3" t="n">
        <v>50</v>
      </c>
      <c r="D72" s="3" t="str">
        <f aca="false">Combined!G72</f>
        <v>Middle-aged (30–64)</v>
      </c>
      <c r="E72" s="3" t="s">
        <v>45</v>
      </c>
      <c r="F72" s="3" t="s">
        <v>47</v>
      </c>
      <c r="G72" s="3" t="s">
        <v>47</v>
      </c>
      <c r="H72" s="3" t="s">
        <v>786</v>
      </c>
      <c r="I72" s="3" t="s">
        <v>6527</v>
      </c>
      <c r="J72" s="3" t="s">
        <v>787</v>
      </c>
      <c r="K72" s="3" t="s">
        <v>6540</v>
      </c>
      <c r="L72" s="3" t="s">
        <v>788</v>
      </c>
      <c r="M72" s="3" t="s">
        <v>6541</v>
      </c>
      <c r="N72" s="3" t="s">
        <v>789</v>
      </c>
      <c r="O72" s="3" t="s">
        <v>6511</v>
      </c>
      <c r="P72" s="3" t="s">
        <v>790</v>
      </c>
      <c r="Q72" s="3" t="s">
        <v>6640</v>
      </c>
      <c r="R72" s="3" t="s">
        <v>791</v>
      </c>
      <c r="S72" s="3" t="s">
        <v>6771</v>
      </c>
      <c r="T72" s="3" t="s">
        <v>793</v>
      </c>
      <c r="U72" s="3" t="s">
        <v>6601</v>
      </c>
      <c r="V72" s="3" t="s">
        <v>794</v>
      </c>
      <c r="W72" s="3" t="s">
        <v>6772</v>
      </c>
      <c r="X72" s="3"/>
      <c r="Y72" s="3"/>
      <c r="Z72" s="3"/>
      <c r="AA72" s="3"/>
    </row>
    <row r="73" customFormat="false" ht="15" hidden="false" customHeight="true" outlineLevel="0" collapsed="false">
      <c r="A73" s="3" t="s">
        <v>795</v>
      </c>
      <c r="B73" s="3" t="n">
        <v>1</v>
      </c>
      <c r="C73" s="3" t="n">
        <v>22</v>
      </c>
      <c r="D73" s="3" t="str">
        <f aca="false">Combined!G73</f>
        <v>Student age (≤29)</v>
      </c>
      <c r="E73" s="3" t="s">
        <v>83</v>
      </c>
      <c r="F73" s="3" t="s">
        <v>47</v>
      </c>
      <c r="G73" s="3" t="s">
        <v>47</v>
      </c>
      <c r="H73" s="3" t="s">
        <v>796</v>
      </c>
      <c r="I73" s="3" t="s">
        <v>6603</v>
      </c>
      <c r="J73" s="3" t="s">
        <v>797</v>
      </c>
      <c r="K73" s="3" t="s">
        <v>6516</v>
      </c>
      <c r="L73" s="3" t="s">
        <v>798</v>
      </c>
      <c r="M73" s="3" t="s">
        <v>6773</v>
      </c>
      <c r="N73" s="3" t="s">
        <v>799</v>
      </c>
      <c r="O73" s="3" t="s">
        <v>6511</v>
      </c>
      <c r="P73" s="3" t="s">
        <v>800</v>
      </c>
      <c r="Q73" s="3" t="s">
        <v>6594</v>
      </c>
      <c r="R73" s="3" t="s">
        <v>801</v>
      </c>
      <c r="S73" s="3" t="s">
        <v>6632</v>
      </c>
      <c r="T73" s="3" t="s">
        <v>803</v>
      </c>
      <c r="U73" s="3" t="s">
        <v>6650</v>
      </c>
      <c r="V73" s="3" t="s">
        <v>804</v>
      </c>
      <c r="W73" s="3" t="s">
        <v>6774</v>
      </c>
      <c r="X73" s="3"/>
      <c r="Y73" s="3"/>
      <c r="Z73" s="3"/>
      <c r="AA73" s="3"/>
    </row>
    <row r="74" customFormat="false" ht="15" hidden="false" customHeight="true" outlineLevel="0" collapsed="false">
      <c r="A74" s="3" t="s">
        <v>805</v>
      </c>
      <c r="B74" s="3" t="n">
        <v>1</v>
      </c>
      <c r="C74" s="3" t="n">
        <v>23</v>
      </c>
      <c r="D74" s="3" t="str">
        <f aca="false">Combined!G74</f>
        <v>Student age (≤29)</v>
      </c>
      <c r="E74" s="3" t="s">
        <v>83</v>
      </c>
      <c r="F74" s="3" t="s">
        <v>47</v>
      </c>
      <c r="G74" s="3" t="s">
        <v>47</v>
      </c>
      <c r="H74" s="3" t="s">
        <v>806</v>
      </c>
      <c r="I74" s="3" t="s">
        <v>6539</v>
      </c>
      <c r="J74" s="3" t="s">
        <v>807</v>
      </c>
      <c r="K74" s="3" t="s">
        <v>6541</v>
      </c>
      <c r="L74" s="3" t="s">
        <v>808</v>
      </c>
      <c r="M74" s="3" t="s">
        <v>6765</v>
      </c>
      <c r="N74" s="3" t="s">
        <v>809</v>
      </c>
      <c r="O74" s="3" t="s">
        <v>6511</v>
      </c>
      <c r="P74" s="3" t="s">
        <v>770</v>
      </c>
      <c r="Q74" s="3" t="s">
        <v>6640</v>
      </c>
      <c r="R74" s="3" t="s">
        <v>810</v>
      </c>
      <c r="S74" s="3" t="s">
        <v>6775</v>
      </c>
      <c r="T74" s="3" t="s">
        <v>812</v>
      </c>
      <c r="U74" s="3" t="s">
        <v>6776</v>
      </c>
      <c r="V74" s="3" t="s">
        <v>813</v>
      </c>
      <c r="W74" s="3" t="s">
        <v>6522</v>
      </c>
      <c r="X74" s="3"/>
      <c r="Y74" s="3"/>
      <c r="Z74" s="3"/>
      <c r="AA74" s="3"/>
    </row>
    <row r="75" customFormat="false" ht="15" hidden="false" customHeight="true" outlineLevel="0" collapsed="false">
      <c r="A75" s="3" t="s">
        <v>814</v>
      </c>
      <c r="B75" s="3" t="n">
        <v>1</v>
      </c>
      <c r="C75" s="3" t="n">
        <v>22</v>
      </c>
      <c r="D75" s="3" t="str">
        <f aca="false">Combined!G75</f>
        <v>Student age (≤29)</v>
      </c>
      <c r="E75" s="3" t="s">
        <v>83</v>
      </c>
      <c r="F75" s="3" t="s">
        <v>47</v>
      </c>
      <c r="G75" s="3" t="s">
        <v>47</v>
      </c>
      <c r="H75" s="3" t="s">
        <v>815</v>
      </c>
      <c r="I75" s="3" t="s">
        <v>6637</v>
      </c>
      <c r="J75" s="3" t="s">
        <v>816</v>
      </c>
      <c r="K75" s="3" t="s">
        <v>6551</v>
      </c>
      <c r="L75" s="3" t="s">
        <v>817</v>
      </c>
      <c r="M75" s="3" t="s">
        <v>6516</v>
      </c>
      <c r="N75" s="3" t="s">
        <v>818</v>
      </c>
      <c r="O75" s="3" t="s">
        <v>6511</v>
      </c>
      <c r="P75" s="3" t="s">
        <v>819</v>
      </c>
      <c r="Q75" s="3" t="s">
        <v>6730</v>
      </c>
      <c r="R75" s="3" t="s">
        <v>820</v>
      </c>
      <c r="S75" s="3" t="s">
        <v>6777</v>
      </c>
      <c r="T75" s="3" t="s">
        <v>822</v>
      </c>
      <c r="U75" s="3" t="s">
        <v>6778</v>
      </c>
      <c r="V75" s="3" t="s">
        <v>823</v>
      </c>
      <c r="W75" s="3" t="s">
        <v>6611</v>
      </c>
      <c r="X75" s="3"/>
      <c r="Y75" s="3"/>
      <c r="Z75" s="3"/>
      <c r="AA75" s="3"/>
    </row>
    <row r="76" customFormat="false" ht="15" hidden="false" customHeight="true" outlineLevel="0" collapsed="false">
      <c r="A76" s="3" t="s">
        <v>824</v>
      </c>
      <c r="B76" s="3" t="n">
        <v>1</v>
      </c>
      <c r="C76" s="3" t="n">
        <v>23</v>
      </c>
      <c r="D76" s="3" t="str">
        <f aca="false">Combined!G76</f>
        <v>Student age (≤29)</v>
      </c>
      <c r="E76" s="3" t="s">
        <v>45</v>
      </c>
      <c r="F76" s="3" t="s">
        <v>47</v>
      </c>
      <c r="G76" s="3" t="s">
        <v>47</v>
      </c>
      <c r="H76" s="3" t="s">
        <v>827</v>
      </c>
      <c r="I76" s="3" t="s">
        <v>6539</v>
      </c>
      <c r="J76" s="3" t="s">
        <v>828</v>
      </c>
      <c r="K76" s="3" t="s">
        <v>6510</v>
      </c>
      <c r="L76" s="3" t="s">
        <v>829</v>
      </c>
      <c r="M76" s="3" t="s">
        <v>6509</v>
      </c>
      <c r="N76" s="3" t="s">
        <v>830</v>
      </c>
      <c r="O76" s="3" t="s">
        <v>6511</v>
      </c>
      <c r="P76" s="3" t="s">
        <v>831</v>
      </c>
      <c r="Q76" s="3" t="s">
        <v>6571</v>
      </c>
      <c r="R76" s="3" t="s">
        <v>832</v>
      </c>
      <c r="S76" s="3" t="s">
        <v>6779</v>
      </c>
      <c r="T76" s="3" t="s">
        <v>834</v>
      </c>
      <c r="U76" s="3" t="s">
        <v>6780</v>
      </c>
      <c r="V76" s="3" t="s">
        <v>835</v>
      </c>
      <c r="W76" s="3" t="s">
        <v>6781</v>
      </c>
      <c r="X76" s="3"/>
      <c r="Y76" s="3"/>
      <c r="Z76" s="3"/>
      <c r="AA76" s="3"/>
    </row>
    <row r="77" customFormat="false" ht="15" hidden="false" customHeight="true" outlineLevel="0" collapsed="false">
      <c r="A77" s="3" t="s">
        <v>836</v>
      </c>
      <c r="B77" s="3" t="n">
        <v>2</v>
      </c>
      <c r="C77" s="3" t="n">
        <v>20</v>
      </c>
      <c r="D77" s="3" t="str">
        <f aca="false">Combined!G77</f>
        <v>Student age (≤29)</v>
      </c>
      <c r="E77" s="3" t="s">
        <v>83</v>
      </c>
      <c r="F77" s="3" t="s">
        <v>47</v>
      </c>
      <c r="G77" s="3" t="s">
        <v>47</v>
      </c>
      <c r="H77" s="3" t="s">
        <v>839</v>
      </c>
      <c r="I77" s="3" t="s">
        <v>6763</v>
      </c>
      <c r="J77" s="3" t="s">
        <v>840</v>
      </c>
      <c r="K77" s="3" t="s">
        <v>6516</v>
      </c>
      <c r="L77" s="3" t="s">
        <v>841</v>
      </c>
      <c r="M77" s="3" t="s">
        <v>6568</v>
      </c>
      <c r="N77" s="3" t="s">
        <v>98</v>
      </c>
      <c r="O77" s="3" t="s">
        <v>6517</v>
      </c>
      <c r="P77" s="3" t="s">
        <v>842</v>
      </c>
      <c r="Q77" s="3" t="s">
        <v>6512</v>
      </c>
      <c r="R77" s="3" t="s">
        <v>843</v>
      </c>
      <c r="S77" s="3" t="s">
        <v>6549</v>
      </c>
      <c r="T77" s="3" t="s">
        <v>845</v>
      </c>
      <c r="U77" s="3" t="s">
        <v>6782</v>
      </c>
      <c r="V77" s="3"/>
      <c r="W77" s="3"/>
      <c r="X77" s="3"/>
      <c r="Y77" s="3"/>
      <c r="Z77" s="3" t="s">
        <v>848</v>
      </c>
      <c r="AA77" s="3" t="s">
        <v>6783</v>
      </c>
    </row>
    <row r="78" customFormat="false" ht="15" hidden="false" customHeight="true" outlineLevel="0" collapsed="false">
      <c r="A78" s="3" t="s">
        <v>849</v>
      </c>
      <c r="B78" s="3" t="n">
        <v>2</v>
      </c>
      <c r="C78" s="3" t="n">
        <v>19</v>
      </c>
      <c r="D78" s="3" t="str">
        <f aca="false">Combined!G78</f>
        <v>Student age (≤29)</v>
      </c>
      <c r="E78" s="3" t="s">
        <v>83</v>
      </c>
      <c r="F78" s="3" t="s">
        <v>47</v>
      </c>
      <c r="G78" s="3" t="s">
        <v>47</v>
      </c>
      <c r="H78" s="3" t="s">
        <v>852</v>
      </c>
      <c r="I78" s="3" t="s">
        <v>6527</v>
      </c>
      <c r="J78" s="3" t="s">
        <v>853</v>
      </c>
      <c r="K78" s="3" t="s">
        <v>6551</v>
      </c>
      <c r="L78" s="3" t="s">
        <v>854</v>
      </c>
      <c r="M78" s="3" t="s">
        <v>6559</v>
      </c>
      <c r="N78" s="3" t="s">
        <v>855</v>
      </c>
      <c r="O78" s="3" t="s">
        <v>6517</v>
      </c>
      <c r="P78" s="3" t="s">
        <v>856</v>
      </c>
      <c r="Q78" s="3" t="s">
        <v>6580</v>
      </c>
      <c r="R78" s="3" t="s">
        <v>857</v>
      </c>
      <c r="S78" s="3" t="s">
        <v>6679</v>
      </c>
      <c r="T78" s="3" t="s">
        <v>859</v>
      </c>
      <c r="U78" s="3" t="s">
        <v>6784</v>
      </c>
      <c r="V78" s="3"/>
      <c r="W78" s="3"/>
      <c r="X78" s="3"/>
      <c r="Y78" s="3"/>
      <c r="Z78" s="3" t="s">
        <v>861</v>
      </c>
      <c r="AA78" s="3" t="s">
        <v>6785</v>
      </c>
    </row>
    <row r="79" customFormat="false" ht="15" hidden="false" customHeight="true" outlineLevel="0" collapsed="false">
      <c r="A79" s="3" t="s">
        <v>862</v>
      </c>
      <c r="B79" s="3" t="n">
        <v>2</v>
      </c>
      <c r="C79" s="3" t="n">
        <v>19</v>
      </c>
      <c r="D79" s="3" t="str">
        <f aca="false">Combined!G79</f>
        <v>Student age (≤29)</v>
      </c>
      <c r="E79" s="3" t="s">
        <v>45</v>
      </c>
      <c r="F79" s="3" t="s">
        <v>47</v>
      </c>
      <c r="G79" s="3" t="s">
        <v>47</v>
      </c>
      <c r="H79" s="3" t="s">
        <v>863</v>
      </c>
      <c r="I79" s="3" t="s">
        <v>6786</v>
      </c>
      <c r="J79" s="3" t="s">
        <v>864</v>
      </c>
      <c r="K79" s="3" t="s">
        <v>6787</v>
      </c>
      <c r="L79" s="3" t="s">
        <v>865</v>
      </c>
      <c r="M79" s="3" t="s">
        <v>6523</v>
      </c>
      <c r="N79" s="3" t="s">
        <v>98</v>
      </c>
      <c r="O79" s="3" t="s">
        <v>6517</v>
      </c>
      <c r="P79" s="3" t="s">
        <v>866</v>
      </c>
      <c r="Q79" s="3" t="s">
        <v>6609</v>
      </c>
      <c r="R79" s="3" t="s">
        <v>867</v>
      </c>
      <c r="S79" s="3" t="s">
        <v>6721</v>
      </c>
      <c r="T79" s="3" t="s">
        <v>869</v>
      </c>
      <c r="U79" s="3" t="s">
        <v>6788</v>
      </c>
      <c r="V79" s="3"/>
      <c r="W79" s="3"/>
      <c r="X79" s="3"/>
      <c r="Y79" s="3"/>
      <c r="Z79" s="3" t="s">
        <v>870</v>
      </c>
      <c r="AA79" s="3" t="s">
        <v>6789</v>
      </c>
    </row>
    <row r="80" customFormat="false" ht="15" hidden="false" customHeight="true" outlineLevel="0" collapsed="false">
      <c r="A80" s="3" t="s">
        <v>871</v>
      </c>
      <c r="B80" s="3" t="n">
        <v>2</v>
      </c>
      <c r="C80" s="3" t="n">
        <v>21</v>
      </c>
      <c r="D80" s="3" t="str">
        <f aca="false">Combined!G80</f>
        <v>Student age (≤29)</v>
      </c>
      <c r="E80" s="3" t="s">
        <v>45</v>
      </c>
      <c r="F80" s="3" t="s">
        <v>47</v>
      </c>
      <c r="G80" s="3" t="s">
        <v>47</v>
      </c>
      <c r="H80" s="3" t="s">
        <v>872</v>
      </c>
      <c r="I80" s="3" t="s">
        <v>6681</v>
      </c>
      <c r="J80" s="3" t="s">
        <v>873</v>
      </c>
      <c r="K80" s="3" t="s">
        <v>6564</v>
      </c>
      <c r="L80" s="3" t="s">
        <v>874</v>
      </c>
      <c r="M80" s="3" t="s">
        <v>6790</v>
      </c>
      <c r="N80" s="3" t="s">
        <v>875</v>
      </c>
      <c r="O80" s="3" t="s">
        <v>6511</v>
      </c>
      <c r="P80" s="3" t="s">
        <v>876</v>
      </c>
      <c r="Q80" s="3" t="s">
        <v>6594</v>
      </c>
      <c r="R80" s="3" t="s">
        <v>877</v>
      </c>
      <c r="S80" s="3" t="s">
        <v>6709</v>
      </c>
      <c r="T80" s="3" t="s">
        <v>879</v>
      </c>
      <c r="U80" s="3" t="s">
        <v>6706</v>
      </c>
      <c r="V80" s="3"/>
      <c r="W80" s="3"/>
      <c r="X80" s="3"/>
      <c r="Y80" s="3"/>
      <c r="Z80" s="3" t="s">
        <v>880</v>
      </c>
      <c r="AA80" s="3" t="s">
        <v>6791</v>
      </c>
    </row>
    <row r="81" customFormat="false" ht="15" hidden="false" customHeight="true" outlineLevel="0" collapsed="false">
      <c r="A81" s="3" t="s">
        <v>881</v>
      </c>
      <c r="B81" s="3" t="n">
        <v>2</v>
      </c>
      <c r="C81" s="3" t="n">
        <v>21</v>
      </c>
      <c r="D81" s="3" t="str">
        <f aca="false">Combined!G81</f>
        <v>Student age (≤29)</v>
      </c>
      <c r="E81" s="3" t="s">
        <v>45</v>
      </c>
      <c r="F81" s="3" t="s">
        <v>47</v>
      </c>
      <c r="G81" s="3" t="s">
        <v>47</v>
      </c>
      <c r="H81" s="3" t="s">
        <v>882</v>
      </c>
      <c r="I81" s="3" t="s">
        <v>6551</v>
      </c>
      <c r="J81" s="3" t="s">
        <v>883</v>
      </c>
      <c r="K81" s="3" t="s">
        <v>6569</v>
      </c>
      <c r="L81" s="3" t="s">
        <v>884</v>
      </c>
      <c r="M81" s="3" t="s">
        <v>6792</v>
      </c>
      <c r="N81" s="3" t="s">
        <v>885</v>
      </c>
      <c r="O81" s="3" t="s">
        <v>6517</v>
      </c>
      <c r="P81" s="3" t="s">
        <v>886</v>
      </c>
      <c r="Q81" s="3" t="s">
        <v>6793</v>
      </c>
      <c r="R81" s="3" t="s">
        <v>887</v>
      </c>
      <c r="S81" s="3" t="s">
        <v>6621</v>
      </c>
      <c r="T81" s="3" t="s">
        <v>889</v>
      </c>
      <c r="U81" s="3" t="s">
        <v>6794</v>
      </c>
      <c r="V81" s="3"/>
      <c r="W81" s="3"/>
      <c r="X81" s="3"/>
      <c r="Y81" s="3"/>
      <c r="Z81" s="3" t="s">
        <v>890</v>
      </c>
      <c r="AA81" s="3" t="s">
        <v>6795</v>
      </c>
    </row>
    <row r="82" customFormat="false" ht="15" hidden="false" customHeight="true" outlineLevel="0" collapsed="false">
      <c r="A82" s="3" t="s">
        <v>891</v>
      </c>
      <c r="B82" s="3" t="n">
        <v>2</v>
      </c>
      <c r="C82" s="3" t="n">
        <v>21</v>
      </c>
      <c r="D82" s="3" t="str">
        <f aca="false">Combined!G82</f>
        <v>Student age (≤29)</v>
      </c>
      <c r="E82" s="3" t="s">
        <v>45</v>
      </c>
      <c r="F82" s="3" t="s">
        <v>47</v>
      </c>
      <c r="G82" s="3" t="s">
        <v>47</v>
      </c>
      <c r="H82" s="3" t="s">
        <v>892</v>
      </c>
      <c r="I82" s="3" t="s">
        <v>6539</v>
      </c>
      <c r="J82" s="3" t="s">
        <v>893</v>
      </c>
      <c r="K82" s="3" t="s">
        <v>6516</v>
      </c>
      <c r="L82" s="3" t="s">
        <v>894</v>
      </c>
      <c r="M82" s="3" t="s">
        <v>6568</v>
      </c>
      <c r="N82" s="3" t="s">
        <v>895</v>
      </c>
      <c r="O82" s="3" t="s">
        <v>6517</v>
      </c>
      <c r="P82" s="3" t="s">
        <v>896</v>
      </c>
      <c r="Q82" s="3" t="s">
        <v>6524</v>
      </c>
      <c r="R82" s="3" t="s">
        <v>897</v>
      </c>
      <c r="S82" s="3" t="s">
        <v>6685</v>
      </c>
      <c r="T82" s="3" t="s">
        <v>899</v>
      </c>
      <c r="U82" s="3" t="s">
        <v>6796</v>
      </c>
      <c r="V82" s="3"/>
      <c r="W82" s="3"/>
      <c r="X82" s="3"/>
      <c r="Y82" s="3"/>
      <c r="Z82" s="3" t="s">
        <v>900</v>
      </c>
      <c r="AA82" s="3" t="s">
        <v>6797</v>
      </c>
    </row>
    <row r="83" customFormat="false" ht="15" hidden="false" customHeight="true" outlineLevel="0" collapsed="false">
      <c r="A83" s="3" t="s">
        <v>901</v>
      </c>
      <c r="B83" s="3" t="n">
        <v>2</v>
      </c>
      <c r="C83" s="3" t="n">
        <v>20</v>
      </c>
      <c r="D83" s="3" t="str">
        <f aca="false">Combined!G83</f>
        <v>Student age (≤29)</v>
      </c>
      <c r="E83" s="3" t="s">
        <v>45</v>
      </c>
      <c r="F83" s="3" t="s">
        <v>47</v>
      </c>
      <c r="G83" s="3" t="s">
        <v>47</v>
      </c>
      <c r="H83" s="3" t="s">
        <v>904</v>
      </c>
      <c r="I83" s="3" t="s">
        <v>6798</v>
      </c>
      <c r="J83" s="3" t="s">
        <v>905</v>
      </c>
      <c r="K83" s="3" t="s">
        <v>6799</v>
      </c>
      <c r="L83" s="3" t="s">
        <v>906</v>
      </c>
      <c r="M83" s="3" t="s">
        <v>6773</v>
      </c>
      <c r="N83" s="3" t="s">
        <v>907</v>
      </c>
      <c r="O83" s="3" t="s">
        <v>6511</v>
      </c>
      <c r="P83" s="3" t="s">
        <v>908</v>
      </c>
      <c r="Q83" s="3" t="s">
        <v>6594</v>
      </c>
      <c r="R83" s="3" t="s">
        <v>909</v>
      </c>
      <c r="S83" s="3" t="s">
        <v>6800</v>
      </c>
      <c r="T83" s="3" t="s">
        <v>911</v>
      </c>
      <c r="U83" s="3" t="s">
        <v>6801</v>
      </c>
      <c r="V83" s="3"/>
      <c r="W83" s="3"/>
      <c r="X83" s="3"/>
      <c r="Y83" s="3"/>
      <c r="Z83" s="3" t="s">
        <v>912</v>
      </c>
      <c r="AA83" s="3" t="s">
        <v>6802</v>
      </c>
    </row>
    <row r="84" customFormat="false" ht="15" hidden="false" customHeight="true" outlineLevel="0" collapsed="false">
      <c r="A84" s="3" t="s">
        <v>913</v>
      </c>
      <c r="B84" s="3" t="n">
        <v>2</v>
      </c>
      <c r="C84" s="3" t="n">
        <v>59</v>
      </c>
      <c r="D84" s="3" t="str">
        <f aca="false">Combined!G84</f>
        <v>Middle-aged (30–64)</v>
      </c>
      <c r="E84" s="3" t="s">
        <v>83</v>
      </c>
      <c r="F84" s="3" t="s">
        <v>914</v>
      </c>
      <c r="G84" s="3" t="s">
        <v>914</v>
      </c>
      <c r="H84" s="3" t="s">
        <v>915</v>
      </c>
      <c r="I84" s="3" t="s">
        <v>6803</v>
      </c>
      <c r="J84" s="3" t="s">
        <v>916</v>
      </c>
      <c r="K84" s="3" t="s">
        <v>6540</v>
      </c>
      <c r="L84" s="3" t="s">
        <v>917</v>
      </c>
      <c r="M84" s="3" t="s">
        <v>6747</v>
      </c>
      <c r="N84" s="3" t="s">
        <v>918</v>
      </c>
      <c r="O84" s="3" t="s">
        <v>59</v>
      </c>
      <c r="P84" s="3" t="s">
        <v>919</v>
      </c>
      <c r="Q84" s="3" t="s">
        <v>6580</v>
      </c>
      <c r="R84" s="3" t="s">
        <v>920</v>
      </c>
      <c r="S84" s="3" t="s">
        <v>6581</v>
      </c>
      <c r="T84" s="3" t="s">
        <v>922</v>
      </c>
      <c r="U84" s="3" t="s">
        <v>6648</v>
      </c>
      <c r="V84" s="3"/>
      <c r="W84" s="3"/>
      <c r="X84" s="3"/>
      <c r="Y84" s="3"/>
      <c r="Z84" s="3" t="s">
        <v>923</v>
      </c>
      <c r="AA84" s="3" t="s">
        <v>6804</v>
      </c>
    </row>
    <row r="85" customFormat="false" ht="15" hidden="false" customHeight="true" outlineLevel="0" collapsed="false">
      <c r="A85" s="3" t="s">
        <v>924</v>
      </c>
      <c r="B85" s="3" t="n">
        <v>2</v>
      </c>
      <c r="C85" s="3" t="n">
        <v>43</v>
      </c>
      <c r="D85" s="3" t="str">
        <f aca="false">Combined!G85</f>
        <v>Middle-aged (30–64)</v>
      </c>
      <c r="E85" s="3" t="s">
        <v>83</v>
      </c>
      <c r="F85" s="3" t="s">
        <v>914</v>
      </c>
      <c r="G85" s="3" t="s">
        <v>914</v>
      </c>
      <c r="H85" s="3" t="s">
        <v>925</v>
      </c>
      <c r="I85" s="3" t="s">
        <v>6803</v>
      </c>
      <c r="J85" s="3" t="s">
        <v>926</v>
      </c>
      <c r="K85" s="3" t="s">
        <v>6540</v>
      </c>
      <c r="L85" s="3" t="s">
        <v>926</v>
      </c>
      <c r="M85" s="3" t="s">
        <v>6540</v>
      </c>
      <c r="N85" s="3" t="s">
        <v>98</v>
      </c>
      <c r="O85" s="3" t="s">
        <v>6517</v>
      </c>
      <c r="P85" s="3" t="s">
        <v>927</v>
      </c>
      <c r="Q85" s="3" t="s">
        <v>6542</v>
      </c>
      <c r="R85" s="3" t="s">
        <v>928</v>
      </c>
      <c r="S85" s="3" t="s">
        <v>6581</v>
      </c>
      <c r="T85" s="3" t="s">
        <v>930</v>
      </c>
      <c r="U85" s="3" t="s">
        <v>6688</v>
      </c>
      <c r="V85" s="3"/>
      <c r="W85" s="3"/>
      <c r="X85" s="3"/>
      <c r="Y85" s="3"/>
      <c r="Z85" s="3" t="s">
        <v>931</v>
      </c>
      <c r="AA85" s="3" t="s">
        <v>6568</v>
      </c>
    </row>
    <row r="86" customFormat="false" ht="15" hidden="false" customHeight="true" outlineLevel="0" collapsed="false">
      <c r="A86" s="3" t="s">
        <v>932</v>
      </c>
      <c r="B86" s="3" t="n">
        <v>2</v>
      </c>
      <c r="C86" s="3" t="n">
        <v>60</v>
      </c>
      <c r="D86" s="3" t="str">
        <f aca="false">Combined!G86</f>
        <v>Middle-aged (30–64)</v>
      </c>
      <c r="E86" s="3" t="s">
        <v>83</v>
      </c>
      <c r="F86" s="3" t="s">
        <v>914</v>
      </c>
      <c r="G86" s="3" t="s">
        <v>914</v>
      </c>
      <c r="H86" s="3" t="s">
        <v>935</v>
      </c>
      <c r="I86" s="3" t="s">
        <v>6691</v>
      </c>
      <c r="J86" s="3" t="s">
        <v>936</v>
      </c>
      <c r="K86" s="3" t="s">
        <v>2035</v>
      </c>
      <c r="L86" s="3" t="s">
        <v>937</v>
      </c>
      <c r="M86" s="3" t="s">
        <v>6516</v>
      </c>
      <c r="N86" s="3" t="s">
        <v>938</v>
      </c>
      <c r="O86" s="3" t="s">
        <v>6511</v>
      </c>
      <c r="P86" s="3" t="s">
        <v>939</v>
      </c>
      <c r="Q86" s="3" t="s">
        <v>6580</v>
      </c>
      <c r="R86" s="3" t="s">
        <v>940</v>
      </c>
      <c r="S86" s="3" t="s">
        <v>6537</v>
      </c>
      <c r="T86" s="3" t="s">
        <v>942</v>
      </c>
      <c r="U86" s="3" t="s">
        <v>6551</v>
      </c>
      <c r="V86" s="3"/>
      <c r="W86" s="3"/>
      <c r="X86" s="3"/>
      <c r="Y86" s="3"/>
      <c r="Z86" s="3" t="s">
        <v>943</v>
      </c>
      <c r="AA86" s="3" t="s">
        <v>6534</v>
      </c>
    </row>
    <row r="87" customFormat="false" ht="15" hidden="false" customHeight="true" outlineLevel="0" collapsed="false">
      <c r="A87" s="3" t="s">
        <v>944</v>
      </c>
      <c r="B87" s="3" t="n">
        <v>2</v>
      </c>
      <c r="C87" s="3" t="n">
        <v>70</v>
      </c>
      <c r="D87" s="3" t="str">
        <f aca="false">Combined!G87</f>
        <v>Elderly (65+)</v>
      </c>
      <c r="E87" s="3" t="s">
        <v>83</v>
      </c>
      <c r="F87" s="3" t="s">
        <v>914</v>
      </c>
      <c r="G87" s="3" t="s">
        <v>914</v>
      </c>
      <c r="H87" s="3" t="s">
        <v>945</v>
      </c>
      <c r="I87" s="3" t="s">
        <v>6555</v>
      </c>
      <c r="J87" s="3" t="s">
        <v>946</v>
      </c>
      <c r="K87" s="3" t="s">
        <v>6540</v>
      </c>
      <c r="L87" s="3" t="s">
        <v>947</v>
      </c>
      <c r="M87" s="3" t="s">
        <v>6516</v>
      </c>
      <c r="N87" s="3" t="s">
        <v>948</v>
      </c>
      <c r="O87" s="3" t="s">
        <v>6511</v>
      </c>
      <c r="P87" s="3" t="s">
        <v>949</v>
      </c>
      <c r="Q87" s="3" t="s">
        <v>6542</v>
      </c>
      <c r="R87" s="3" t="s">
        <v>950</v>
      </c>
      <c r="S87" s="3" t="s">
        <v>6685</v>
      </c>
      <c r="T87" s="3" t="s">
        <v>952</v>
      </c>
      <c r="U87" s="3" t="s">
        <v>6551</v>
      </c>
      <c r="V87" s="3"/>
      <c r="W87" s="3"/>
      <c r="X87" s="3"/>
      <c r="Y87" s="3"/>
      <c r="Z87" s="3" t="s">
        <v>953</v>
      </c>
      <c r="AA87" s="3" t="s">
        <v>6551</v>
      </c>
    </row>
    <row r="88" customFormat="false" ht="15" hidden="false" customHeight="true" outlineLevel="0" collapsed="false">
      <c r="A88" s="3" t="s">
        <v>955</v>
      </c>
      <c r="B88" s="3" t="n">
        <v>2</v>
      </c>
      <c r="C88" s="3" t="n">
        <v>20</v>
      </c>
      <c r="D88" s="3" t="str">
        <f aca="false">Combined!G88</f>
        <v>Student age (≤29)</v>
      </c>
      <c r="E88" s="3" t="s">
        <v>45</v>
      </c>
      <c r="F88" s="3" t="s">
        <v>47</v>
      </c>
      <c r="G88" s="3" t="s">
        <v>47</v>
      </c>
      <c r="H88" s="3" t="s">
        <v>956</v>
      </c>
      <c r="I88" s="3" t="s">
        <v>6805</v>
      </c>
      <c r="J88" s="3" t="s">
        <v>957</v>
      </c>
      <c r="K88" s="3" t="s">
        <v>6806</v>
      </c>
      <c r="L88" s="3" t="s">
        <v>958</v>
      </c>
      <c r="M88" s="3" t="s">
        <v>6807</v>
      </c>
      <c r="N88" s="3" t="s">
        <v>959</v>
      </c>
      <c r="O88" s="3" t="s">
        <v>6517</v>
      </c>
      <c r="P88" s="3" t="s">
        <v>960</v>
      </c>
      <c r="Q88" s="3" t="s">
        <v>6808</v>
      </c>
      <c r="R88" s="3" t="s">
        <v>961</v>
      </c>
      <c r="S88" s="3" t="s">
        <v>6595</v>
      </c>
      <c r="T88" s="3" t="s">
        <v>963</v>
      </c>
      <c r="U88" s="3" t="s">
        <v>6809</v>
      </c>
      <c r="V88" s="3"/>
      <c r="W88" s="3"/>
      <c r="X88" s="3"/>
      <c r="Y88" s="3"/>
      <c r="Z88" s="3" t="s">
        <v>964</v>
      </c>
      <c r="AA88" s="3" t="s">
        <v>6646</v>
      </c>
    </row>
    <row r="89" customFormat="false" ht="15" hidden="false" customHeight="true" outlineLevel="0" collapsed="false">
      <c r="A89" s="3" t="s">
        <v>965</v>
      </c>
      <c r="B89" s="3" t="n">
        <v>2</v>
      </c>
      <c r="C89" s="3" t="n">
        <v>20</v>
      </c>
      <c r="D89" s="3" t="str">
        <f aca="false">Combined!G89</f>
        <v>Student age (≤29)</v>
      </c>
      <c r="E89" s="3" t="s">
        <v>45</v>
      </c>
      <c r="F89" s="3" t="s">
        <v>47</v>
      </c>
      <c r="G89" s="3" t="s">
        <v>47</v>
      </c>
      <c r="H89" s="3" t="s">
        <v>966</v>
      </c>
      <c r="I89" s="3" t="s">
        <v>6759</v>
      </c>
      <c r="J89" s="3" t="s">
        <v>967</v>
      </c>
      <c r="K89" s="3" t="s">
        <v>6509</v>
      </c>
      <c r="L89" s="3" t="s">
        <v>968</v>
      </c>
      <c r="M89" s="3" t="s">
        <v>6799</v>
      </c>
      <c r="N89" s="3" t="s">
        <v>98</v>
      </c>
      <c r="O89" s="3" t="s">
        <v>6517</v>
      </c>
      <c r="P89" s="3" t="s">
        <v>969</v>
      </c>
      <c r="Q89" s="3" t="s">
        <v>6609</v>
      </c>
      <c r="R89" s="3" t="s">
        <v>970</v>
      </c>
      <c r="S89" s="3" t="s">
        <v>6810</v>
      </c>
      <c r="T89" s="3" t="s">
        <v>972</v>
      </c>
      <c r="U89" s="3" t="s">
        <v>6811</v>
      </c>
      <c r="V89" s="3"/>
      <c r="W89" s="3"/>
      <c r="X89" s="3"/>
      <c r="Y89" s="3"/>
      <c r="Z89" s="3" t="s">
        <v>973</v>
      </c>
      <c r="AA89" s="3" t="s">
        <v>6548</v>
      </c>
    </row>
    <row r="90" customFormat="false" ht="15" hidden="false" customHeight="true" outlineLevel="0" collapsed="false">
      <c r="A90" s="3" t="s">
        <v>974</v>
      </c>
      <c r="B90" s="3" t="n">
        <v>2</v>
      </c>
      <c r="C90" s="3" t="n">
        <v>22</v>
      </c>
      <c r="D90" s="3" t="str">
        <f aca="false">Combined!G90</f>
        <v>Student age (≤29)</v>
      </c>
      <c r="E90" s="3" t="s">
        <v>45</v>
      </c>
      <c r="F90" s="3" t="s">
        <v>47</v>
      </c>
      <c r="G90" s="3" t="s">
        <v>47</v>
      </c>
      <c r="H90" s="3" t="s">
        <v>975</v>
      </c>
      <c r="I90" s="3" t="s">
        <v>6508</v>
      </c>
      <c r="J90" s="3" t="s">
        <v>976</v>
      </c>
      <c r="K90" s="3" t="s">
        <v>6723</v>
      </c>
      <c r="L90" s="3" t="s">
        <v>977</v>
      </c>
      <c r="M90" s="3" t="s">
        <v>6551</v>
      </c>
      <c r="N90" s="3" t="s">
        <v>978</v>
      </c>
      <c r="O90" s="3" t="s">
        <v>1625</v>
      </c>
      <c r="P90" s="3" t="s">
        <v>979</v>
      </c>
      <c r="Q90" s="3" t="s">
        <v>6524</v>
      </c>
      <c r="R90" s="3" t="s">
        <v>980</v>
      </c>
      <c r="S90" s="3" t="s">
        <v>6537</v>
      </c>
      <c r="T90" s="3" t="s">
        <v>982</v>
      </c>
      <c r="U90" s="3" t="s">
        <v>6706</v>
      </c>
      <c r="V90" s="3"/>
      <c r="W90" s="3"/>
      <c r="X90" s="3"/>
      <c r="Y90" s="3"/>
      <c r="Z90" s="3" t="s">
        <v>983</v>
      </c>
      <c r="AA90" s="3" t="s">
        <v>6812</v>
      </c>
    </row>
    <row r="91" customFormat="false" ht="15" hidden="false" customHeight="true" outlineLevel="0" collapsed="false">
      <c r="A91" s="3" t="s">
        <v>984</v>
      </c>
      <c r="B91" s="3" t="n">
        <v>2</v>
      </c>
      <c r="C91" s="3" t="n">
        <v>14</v>
      </c>
      <c r="D91" s="3" t="str">
        <f aca="false">Combined!G91</f>
        <v>Student age (≤29)</v>
      </c>
      <c r="E91" s="3" t="s">
        <v>83</v>
      </c>
      <c r="F91" s="3" t="s">
        <v>47</v>
      </c>
      <c r="G91" s="3" t="s">
        <v>47</v>
      </c>
      <c r="H91" s="3" t="s">
        <v>985</v>
      </c>
      <c r="I91" s="3" t="s">
        <v>6813</v>
      </c>
      <c r="J91" s="3" t="s">
        <v>986</v>
      </c>
      <c r="K91" s="3" t="s">
        <v>6510</v>
      </c>
      <c r="L91" s="3" t="s">
        <v>987</v>
      </c>
      <c r="M91" s="3" t="s">
        <v>6814</v>
      </c>
      <c r="N91" s="3" t="s">
        <v>988</v>
      </c>
      <c r="O91" s="3" t="s">
        <v>6511</v>
      </c>
      <c r="P91" s="3" t="s">
        <v>989</v>
      </c>
      <c r="Q91" s="3" t="s">
        <v>6815</v>
      </c>
      <c r="R91" s="3" t="s">
        <v>990</v>
      </c>
      <c r="S91" s="3" t="s">
        <v>6537</v>
      </c>
      <c r="T91" s="3" t="s">
        <v>992</v>
      </c>
      <c r="U91" s="3" t="s">
        <v>6816</v>
      </c>
      <c r="V91" s="3"/>
      <c r="W91" s="3"/>
      <c r="X91" s="3"/>
      <c r="Y91" s="3"/>
      <c r="Z91" s="3" t="s">
        <v>993</v>
      </c>
      <c r="AA91" s="3" t="s">
        <v>6568</v>
      </c>
    </row>
    <row r="92" customFormat="false" ht="15" hidden="false" customHeight="true" outlineLevel="0" collapsed="false">
      <c r="A92" s="3" t="s">
        <v>994</v>
      </c>
      <c r="B92" s="3" t="n">
        <v>2</v>
      </c>
      <c r="C92" s="3" t="n">
        <v>14</v>
      </c>
      <c r="D92" s="3" t="str">
        <f aca="false">Combined!G92</f>
        <v>Student age (≤29)</v>
      </c>
      <c r="E92" s="3" t="s">
        <v>45</v>
      </c>
      <c r="F92" s="3" t="s">
        <v>47</v>
      </c>
      <c r="G92" s="3" t="s">
        <v>47</v>
      </c>
      <c r="H92" s="3" t="s">
        <v>995</v>
      </c>
      <c r="I92" s="3" t="s">
        <v>6539</v>
      </c>
      <c r="J92" s="3" t="s">
        <v>996</v>
      </c>
      <c r="K92" s="3" t="s">
        <v>6564</v>
      </c>
      <c r="L92" s="3" t="s">
        <v>997</v>
      </c>
      <c r="M92" s="3" t="s">
        <v>6817</v>
      </c>
      <c r="N92" s="3" t="s">
        <v>998</v>
      </c>
      <c r="O92" s="3" t="s">
        <v>6517</v>
      </c>
      <c r="P92" s="3" t="s">
        <v>999</v>
      </c>
      <c r="Q92" s="3" t="s">
        <v>6818</v>
      </c>
      <c r="R92" s="3" t="s">
        <v>1000</v>
      </c>
      <c r="S92" s="3" t="s">
        <v>6679</v>
      </c>
      <c r="T92" s="3" t="s">
        <v>1002</v>
      </c>
      <c r="U92" s="3" t="s">
        <v>6586</v>
      </c>
      <c r="V92" s="3"/>
      <c r="W92" s="3"/>
      <c r="X92" s="3"/>
      <c r="Y92" s="3"/>
      <c r="Z92" s="3" t="s">
        <v>1003</v>
      </c>
      <c r="AA92" s="3" t="s">
        <v>6564</v>
      </c>
    </row>
    <row r="93" customFormat="false" ht="15" hidden="false" customHeight="true" outlineLevel="0" collapsed="false">
      <c r="A93" s="3" t="s">
        <v>1004</v>
      </c>
      <c r="B93" s="3" t="n">
        <v>2</v>
      </c>
      <c r="C93" s="3" t="n">
        <v>22</v>
      </c>
      <c r="D93" s="3" t="str">
        <f aca="false">Combined!G93</f>
        <v>Student age (≤29)</v>
      </c>
      <c r="E93" s="3" t="s">
        <v>45</v>
      </c>
      <c r="F93" s="3" t="s">
        <v>47</v>
      </c>
      <c r="G93" s="3" t="s">
        <v>47</v>
      </c>
      <c r="H93" s="3" t="s">
        <v>1005</v>
      </c>
      <c r="I93" s="3" t="s">
        <v>6539</v>
      </c>
      <c r="J93" s="3" t="s">
        <v>1006</v>
      </c>
      <c r="K93" s="3" t="s">
        <v>6819</v>
      </c>
      <c r="L93" s="3" t="s">
        <v>1007</v>
      </c>
      <c r="M93" s="3" t="s">
        <v>6569</v>
      </c>
      <c r="N93" s="3" t="s">
        <v>1008</v>
      </c>
      <c r="O93" s="3" t="s">
        <v>6517</v>
      </c>
      <c r="P93" s="3" t="s">
        <v>1009</v>
      </c>
      <c r="Q93" s="3" t="s">
        <v>6577</v>
      </c>
      <c r="R93" s="3" t="s">
        <v>1010</v>
      </c>
      <c r="S93" s="3" t="s">
        <v>6709</v>
      </c>
      <c r="T93" s="3" t="s">
        <v>1012</v>
      </c>
      <c r="U93" s="3" t="s">
        <v>6820</v>
      </c>
      <c r="V93" s="3"/>
      <c r="W93" s="3"/>
      <c r="X93" s="3"/>
      <c r="Y93" s="3"/>
      <c r="Z93" s="3" t="s">
        <v>1013</v>
      </c>
      <c r="AA93" s="3" t="s">
        <v>6821</v>
      </c>
    </row>
    <row r="94" customFormat="false" ht="15" hidden="false" customHeight="true" outlineLevel="0" collapsed="false">
      <c r="A94" s="3" t="s">
        <v>1014</v>
      </c>
      <c r="B94" s="3" t="n">
        <v>2</v>
      </c>
      <c r="C94" s="3" t="n">
        <v>21</v>
      </c>
      <c r="D94" s="3" t="str">
        <f aca="false">Combined!G94</f>
        <v>Student age (≤29)</v>
      </c>
      <c r="E94" s="3" t="s">
        <v>45</v>
      </c>
      <c r="F94" s="3" t="s">
        <v>47</v>
      </c>
      <c r="G94" s="3" t="s">
        <v>47</v>
      </c>
      <c r="H94" s="3" t="s">
        <v>1015</v>
      </c>
      <c r="I94" s="3" t="s">
        <v>6759</v>
      </c>
      <c r="J94" s="3" t="s">
        <v>1016</v>
      </c>
      <c r="K94" s="3" t="s">
        <v>6568</v>
      </c>
      <c r="L94" s="3" t="s">
        <v>1017</v>
      </c>
      <c r="M94" s="3" t="s">
        <v>6510</v>
      </c>
      <c r="N94" s="3" t="s">
        <v>1018</v>
      </c>
      <c r="O94" s="3" t="s">
        <v>6511</v>
      </c>
      <c r="P94" s="3" t="s">
        <v>1019</v>
      </c>
      <c r="Q94" s="3" t="s">
        <v>6640</v>
      </c>
      <c r="R94" s="3" t="s">
        <v>1020</v>
      </c>
      <c r="S94" s="3" t="s">
        <v>6552</v>
      </c>
      <c r="T94" s="3" t="s">
        <v>1022</v>
      </c>
      <c r="U94" s="3" t="s">
        <v>6822</v>
      </c>
      <c r="V94" s="3"/>
      <c r="W94" s="3"/>
      <c r="X94" s="3"/>
      <c r="Y94" s="3"/>
      <c r="Z94" s="3" t="s">
        <v>1023</v>
      </c>
      <c r="AA94" s="3" t="s">
        <v>6602</v>
      </c>
    </row>
    <row r="95" customFormat="false" ht="15" hidden="false" customHeight="true" outlineLevel="0" collapsed="false">
      <c r="A95" s="3" t="s">
        <v>1024</v>
      </c>
      <c r="B95" s="3" t="n">
        <v>2</v>
      </c>
      <c r="C95" s="3" t="n">
        <v>48</v>
      </c>
      <c r="D95" s="3" t="str">
        <f aca="false">Combined!G95</f>
        <v>Middle-aged (30–64)</v>
      </c>
      <c r="E95" s="3" t="s">
        <v>45</v>
      </c>
      <c r="F95" s="3" t="s">
        <v>1025</v>
      </c>
      <c r="G95" s="3" t="s">
        <v>47</v>
      </c>
      <c r="H95" s="3" t="s">
        <v>1026</v>
      </c>
      <c r="I95" s="3" t="s">
        <v>6823</v>
      </c>
      <c r="J95" s="3" t="s">
        <v>1027</v>
      </c>
      <c r="K95" s="3" t="s">
        <v>6556</v>
      </c>
      <c r="L95" s="3" t="s">
        <v>1028</v>
      </c>
      <c r="M95" s="3" t="s">
        <v>6824</v>
      </c>
      <c r="N95" s="3" t="s">
        <v>1029</v>
      </c>
      <c r="O95" s="3" t="s">
        <v>6530</v>
      </c>
      <c r="P95" s="3" t="s">
        <v>1030</v>
      </c>
      <c r="Q95" s="3" t="s">
        <v>6524</v>
      </c>
      <c r="R95" s="3" t="s">
        <v>1031</v>
      </c>
      <c r="S95" s="3" t="s">
        <v>6825</v>
      </c>
      <c r="T95" s="3" t="s">
        <v>1033</v>
      </c>
      <c r="U95" s="3" t="s">
        <v>6699</v>
      </c>
      <c r="V95" s="3"/>
      <c r="W95" s="3"/>
      <c r="X95" s="3"/>
      <c r="Y95" s="3"/>
      <c r="Z95" s="3" t="s">
        <v>1034</v>
      </c>
      <c r="AA95" s="3" t="s">
        <v>6826</v>
      </c>
    </row>
    <row r="96" customFormat="false" ht="15" hidden="false" customHeight="true" outlineLevel="0" collapsed="false">
      <c r="A96" s="3" t="s">
        <v>1035</v>
      </c>
      <c r="B96" s="3" t="n">
        <v>2</v>
      </c>
      <c r="C96" s="3" t="n">
        <v>22</v>
      </c>
      <c r="D96" s="3" t="str">
        <f aca="false">Combined!G96</f>
        <v>Student age (≤29)</v>
      </c>
      <c r="E96" s="3" t="s">
        <v>45</v>
      </c>
      <c r="F96" s="3" t="s">
        <v>47</v>
      </c>
      <c r="G96" s="3" t="s">
        <v>47</v>
      </c>
      <c r="H96" s="3" t="s">
        <v>1036</v>
      </c>
      <c r="I96" s="3" t="s">
        <v>6827</v>
      </c>
      <c r="J96" s="3" t="s">
        <v>1037</v>
      </c>
      <c r="K96" s="3" t="s">
        <v>6564</v>
      </c>
      <c r="L96" s="3" t="s">
        <v>1038</v>
      </c>
      <c r="M96" s="3" t="s">
        <v>6828</v>
      </c>
      <c r="N96" s="3" t="s">
        <v>1039</v>
      </c>
      <c r="O96" s="3" t="s">
        <v>59</v>
      </c>
      <c r="P96" s="3" t="s">
        <v>1040</v>
      </c>
      <c r="Q96" s="3" t="s">
        <v>6612</v>
      </c>
      <c r="R96" s="3" t="s">
        <v>1041</v>
      </c>
      <c r="S96" s="3" t="s">
        <v>6701</v>
      </c>
      <c r="T96" s="3" t="s">
        <v>1043</v>
      </c>
      <c r="U96" s="3" t="s">
        <v>6545</v>
      </c>
      <c r="V96" s="3"/>
      <c r="W96" s="3"/>
      <c r="X96" s="3"/>
      <c r="Y96" s="3"/>
      <c r="Z96" s="3" t="s">
        <v>1044</v>
      </c>
      <c r="AA96" s="3" t="s">
        <v>6545</v>
      </c>
    </row>
    <row r="97" customFormat="false" ht="15" hidden="false" customHeight="true" outlineLevel="0" collapsed="false">
      <c r="A97" s="3" t="s">
        <v>1045</v>
      </c>
      <c r="B97" s="3" t="n">
        <v>2</v>
      </c>
      <c r="C97" s="3" t="n">
        <v>21</v>
      </c>
      <c r="D97" s="3" t="str">
        <f aca="false">Combined!G97</f>
        <v>Student age (≤29)</v>
      </c>
      <c r="E97" s="3" t="s">
        <v>83</v>
      </c>
      <c r="F97" s="3" t="s">
        <v>47</v>
      </c>
      <c r="G97" s="3" t="s">
        <v>47</v>
      </c>
      <c r="H97" s="3" t="s">
        <v>1046</v>
      </c>
      <c r="I97" s="3" t="s">
        <v>6539</v>
      </c>
      <c r="J97" s="3" t="s">
        <v>1047</v>
      </c>
      <c r="K97" s="3" t="s">
        <v>6540</v>
      </c>
      <c r="L97" s="3" t="s">
        <v>1048</v>
      </c>
      <c r="M97" s="3" t="s">
        <v>6568</v>
      </c>
      <c r="N97" s="3" t="s">
        <v>571</v>
      </c>
      <c r="O97" s="3" t="s">
        <v>59</v>
      </c>
      <c r="P97" s="3" t="s">
        <v>1049</v>
      </c>
      <c r="Q97" s="3" t="s">
        <v>6542</v>
      </c>
      <c r="R97" s="3" t="s">
        <v>1050</v>
      </c>
      <c r="S97" s="3" t="s">
        <v>6701</v>
      </c>
      <c r="T97" s="3" t="s">
        <v>1052</v>
      </c>
      <c r="U97" s="3" t="s">
        <v>6829</v>
      </c>
      <c r="V97" s="3"/>
      <c r="W97" s="3"/>
      <c r="X97" s="3"/>
      <c r="Y97" s="3"/>
      <c r="Z97" s="3" t="s">
        <v>1053</v>
      </c>
      <c r="AA97" s="3" t="s">
        <v>6611</v>
      </c>
    </row>
    <row r="98" customFormat="false" ht="15" hidden="false" customHeight="true" outlineLevel="0" collapsed="false">
      <c r="A98" s="3" t="s">
        <v>1054</v>
      </c>
      <c r="B98" s="3" t="n">
        <v>2</v>
      </c>
      <c r="C98" s="3" t="n">
        <v>21</v>
      </c>
      <c r="D98" s="3" t="str">
        <f aca="false">Combined!G98</f>
        <v>Student age (≤29)</v>
      </c>
      <c r="E98" s="3" t="s">
        <v>45</v>
      </c>
      <c r="F98" s="3" t="s">
        <v>47</v>
      </c>
      <c r="G98" s="3" t="s">
        <v>47</v>
      </c>
      <c r="H98" s="3" t="s">
        <v>1055</v>
      </c>
      <c r="I98" s="3" t="s">
        <v>6539</v>
      </c>
      <c r="J98" s="3" t="s">
        <v>1056</v>
      </c>
      <c r="K98" s="3" t="s">
        <v>6510</v>
      </c>
      <c r="L98" s="3" t="s">
        <v>1057</v>
      </c>
      <c r="M98" s="3" t="s">
        <v>6738</v>
      </c>
      <c r="N98" s="3" t="s">
        <v>1058</v>
      </c>
      <c r="O98" s="3" t="s">
        <v>6511</v>
      </c>
      <c r="P98" s="3" t="s">
        <v>1059</v>
      </c>
      <c r="Q98" s="3" t="s">
        <v>6830</v>
      </c>
      <c r="R98" s="3" t="s">
        <v>1060</v>
      </c>
      <c r="S98" s="3" t="s">
        <v>6831</v>
      </c>
      <c r="T98" s="3" t="s">
        <v>1062</v>
      </c>
      <c r="U98" s="3" t="s">
        <v>6832</v>
      </c>
      <c r="V98" s="3"/>
      <c r="W98" s="3"/>
      <c r="X98" s="3"/>
      <c r="Y98" s="3"/>
      <c r="Z98" s="3" t="s">
        <v>1063</v>
      </c>
      <c r="AA98" s="3" t="s">
        <v>6649</v>
      </c>
    </row>
    <row r="99" customFormat="false" ht="15" hidden="false" customHeight="true" outlineLevel="0" collapsed="false">
      <c r="A99" s="3" t="s">
        <v>1064</v>
      </c>
      <c r="B99" s="3" t="n">
        <v>2</v>
      </c>
      <c r="C99" s="3" t="n">
        <v>21</v>
      </c>
      <c r="D99" s="3" t="str">
        <f aca="false">Combined!G99</f>
        <v>Student age (≤29)</v>
      </c>
      <c r="E99" s="3" t="s">
        <v>45</v>
      </c>
      <c r="F99" s="3" t="s">
        <v>47</v>
      </c>
      <c r="G99" s="3" t="s">
        <v>47</v>
      </c>
      <c r="H99" s="3" t="s">
        <v>1065</v>
      </c>
      <c r="I99" s="3" t="s">
        <v>6539</v>
      </c>
      <c r="J99" s="3" t="s">
        <v>1066</v>
      </c>
      <c r="K99" s="3" t="s">
        <v>6540</v>
      </c>
      <c r="L99" s="3" t="s">
        <v>1067</v>
      </c>
      <c r="M99" s="3" t="s">
        <v>6551</v>
      </c>
      <c r="N99" s="3" t="s">
        <v>895</v>
      </c>
      <c r="O99" s="3" t="s">
        <v>6517</v>
      </c>
      <c r="P99" s="3" t="s">
        <v>1068</v>
      </c>
      <c r="Q99" s="3" t="s">
        <v>6580</v>
      </c>
      <c r="R99" s="3" t="s">
        <v>1069</v>
      </c>
      <c r="S99" s="3" t="s">
        <v>6578</v>
      </c>
      <c r="T99" s="3" t="s">
        <v>1071</v>
      </c>
      <c r="U99" s="3" t="s">
        <v>6551</v>
      </c>
      <c r="V99" s="3"/>
      <c r="W99" s="3"/>
      <c r="X99" s="3"/>
      <c r="Y99" s="3"/>
      <c r="Z99" s="3" t="s">
        <v>1072</v>
      </c>
      <c r="AA99" s="3" t="s">
        <v>6545</v>
      </c>
    </row>
    <row r="100" customFormat="false" ht="15" hidden="false" customHeight="true" outlineLevel="0" collapsed="false">
      <c r="A100" s="3" t="s">
        <v>1073</v>
      </c>
      <c r="B100" s="3" t="n">
        <v>2</v>
      </c>
      <c r="C100" s="3" t="n">
        <v>54</v>
      </c>
      <c r="D100" s="3" t="str">
        <f aca="false">Combined!G100</f>
        <v>Middle-aged (30–64)</v>
      </c>
      <c r="E100" s="3" t="s">
        <v>45</v>
      </c>
      <c r="F100" s="3" t="s">
        <v>47</v>
      </c>
      <c r="G100" s="3" t="s">
        <v>47</v>
      </c>
      <c r="H100" s="3" t="s">
        <v>1074</v>
      </c>
      <c r="I100" s="3" t="s">
        <v>6637</v>
      </c>
      <c r="J100" s="3" t="s">
        <v>1075</v>
      </c>
      <c r="K100" s="3" t="s">
        <v>6833</v>
      </c>
      <c r="L100" s="3" t="s">
        <v>1076</v>
      </c>
      <c r="M100" s="3" t="s">
        <v>6834</v>
      </c>
      <c r="N100" s="3" t="s">
        <v>1077</v>
      </c>
      <c r="O100" s="3" t="s">
        <v>6517</v>
      </c>
      <c r="P100" s="3" t="s">
        <v>1078</v>
      </c>
      <c r="Q100" s="3" t="s">
        <v>6577</v>
      </c>
      <c r="R100" s="3" t="s">
        <v>1079</v>
      </c>
      <c r="S100" s="3" t="s">
        <v>6632</v>
      </c>
      <c r="T100" s="3" t="s">
        <v>1081</v>
      </c>
      <c r="U100" s="3" t="s">
        <v>6545</v>
      </c>
      <c r="V100" s="3"/>
      <c r="W100" s="3"/>
      <c r="X100" s="3"/>
      <c r="Y100" s="3"/>
      <c r="Z100" s="3" t="s">
        <v>1082</v>
      </c>
      <c r="AA100" s="3" t="s">
        <v>6820</v>
      </c>
    </row>
    <row r="101" customFormat="false" ht="15" hidden="false" customHeight="true" outlineLevel="0" collapsed="false">
      <c r="A101" s="3" t="s">
        <v>1083</v>
      </c>
      <c r="B101" s="3" t="n">
        <v>2</v>
      </c>
      <c r="C101" s="3" t="n">
        <v>21</v>
      </c>
      <c r="D101" s="3" t="str">
        <f aca="false">Combined!G101</f>
        <v>Student age (≤29)</v>
      </c>
      <c r="E101" s="3" t="s">
        <v>83</v>
      </c>
      <c r="F101" s="3" t="s">
        <v>1084</v>
      </c>
      <c r="G101" s="3" t="s">
        <v>47</v>
      </c>
      <c r="H101" s="3" t="s">
        <v>1085</v>
      </c>
      <c r="I101" s="3" t="s">
        <v>6759</v>
      </c>
      <c r="J101" s="3" t="s">
        <v>1086</v>
      </c>
      <c r="K101" s="3" t="s">
        <v>6835</v>
      </c>
      <c r="L101" s="3" t="s">
        <v>1087</v>
      </c>
      <c r="M101" s="3" t="s">
        <v>6836</v>
      </c>
      <c r="N101" s="3" t="s">
        <v>1088</v>
      </c>
      <c r="O101" s="3" t="s">
        <v>6517</v>
      </c>
      <c r="P101" s="3" t="s">
        <v>1089</v>
      </c>
      <c r="Q101" s="3" t="s">
        <v>6837</v>
      </c>
      <c r="R101" s="3" t="s">
        <v>1090</v>
      </c>
      <c r="S101" s="3" t="s">
        <v>6561</v>
      </c>
      <c r="T101" s="3" t="s">
        <v>1092</v>
      </c>
      <c r="U101" s="3" t="s">
        <v>6838</v>
      </c>
      <c r="V101" s="3"/>
      <c r="W101" s="3"/>
      <c r="X101" s="3"/>
      <c r="Y101" s="3"/>
      <c r="Z101" s="3" t="s">
        <v>1093</v>
      </c>
      <c r="AA101" s="3" t="s">
        <v>6568</v>
      </c>
    </row>
    <row r="102" customFormat="false" ht="15" hidden="false" customHeight="true" outlineLevel="0" collapsed="false">
      <c r="A102" s="3" t="s">
        <v>1094</v>
      </c>
      <c r="B102" s="3" t="n">
        <v>2</v>
      </c>
      <c r="C102" s="3" t="n">
        <v>21</v>
      </c>
      <c r="D102" s="3" t="str">
        <f aca="false">Combined!G102</f>
        <v>Student age (≤29)</v>
      </c>
      <c r="E102" s="3" t="s">
        <v>83</v>
      </c>
      <c r="F102" s="3" t="s">
        <v>47</v>
      </c>
      <c r="G102" s="3" t="s">
        <v>47</v>
      </c>
      <c r="H102" s="3" t="s">
        <v>1095</v>
      </c>
      <c r="I102" s="3" t="s">
        <v>6603</v>
      </c>
      <c r="J102" s="3" t="s">
        <v>1096</v>
      </c>
      <c r="K102" s="3" t="s">
        <v>6839</v>
      </c>
      <c r="L102" s="3" t="s">
        <v>1097</v>
      </c>
      <c r="M102" s="3" t="s">
        <v>6584</v>
      </c>
      <c r="N102" s="3" t="s">
        <v>1098</v>
      </c>
      <c r="O102" s="3" t="s">
        <v>6511</v>
      </c>
      <c r="P102" s="3" t="s">
        <v>1099</v>
      </c>
      <c r="Q102" s="3" t="s">
        <v>6524</v>
      </c>
      <c r="R102" s="3" t="s">
        <v>1100</v>
      </c>
      <c r="S102" s="3" t="s">
        <v>6753</v>
      </c>
      <c r="T102" s="3" t="s">
        <v>1102</v>
      </c>
      <c r="U102" s="3" t="s">
        <v>6840</v>
      </c>
      <c r="V102" s="3"/>
      <c r="W102" s="3"/>
      <c r="X102" s="3"/>
      <c r="Y102" s="3"/>
      <c r="Z102" s="3" t="s">
        <v>1103</v>
      </c>
      <c r="AA102" s="3" t="s">
        <v>6602</v>
      </c>
    </row>
    <row r="103" customFormat="false" ht="15" hidden="false" customHeight="true" outlineLevel="0" collapsed="false">
      <c r="A103" s="3" t="s">
        <v>1104</v>
      </c>
      <c r="B103" s="3" t="n">
        <v>2</v>
      </c>
      <c r="C103" s="3" t="n">
        <v>56</v>
      </c>
      <c r="D103" s="3" t="str">
        <f aca="false">Combined!G103</f>
        <v>Middle-aged (30–64)</v>
      </c>
      <c r="E103" s="3" t="s">
        <v>83</v>
      </c>
      <c r="F103" s="3" t="s">
        <v>47</v>
      </c>
      <c r="G103" s="3" t="s">
        <v>47</v>
      </c>
      <c r="H103" s="3" t="s">
        <v>1105</v>
      </c>
      <c r="I103" s="3" t="s">
        <v>6539</v>
      </c>
      <c r="J103" s="3" t="s">
        <v>1106</v>
      </c>
      <c r="K103" s="3" t="s">
        <v>6509</v>
      </c>
      <c r="L103" s="3" t="s">
        <v>1106</v>
      </c>
      <c r="M103" s="3" t="s">
        <v>6509</v>
      </c>
      <c r="N103" s="3" t="s">
        <v>1107</v>
      </c>
      <c r="O103" s="3" t="s">
        <v>6511</v>
      </c>
      <c r="P103" s="3" t="s">
        <v>1108</v>
      </c>
      <c r="Q103" s="3" t="s">
        <v>6609</v>
      </c>
      <c r="R103" s="3" t="s">
        <v>1109</v>
      </c>
      <c r="S103" s="3" t="s">
        <v>6581</v>
      </c>
      <c r="T103" s="3" t="s">
        <v>1111</v>
      </c>
      <c r="U103" s="3" t="s">
        <v>6841</v>
      </c>
      <c r="V103" s="3"/>
      <c r="W103" s="3"/>
      <c r="X103" s="3"/>
      <c r="Y103" s="3"/>
      <c r="Z103" s="3" t="s">
        <v>1112</v>
      </c>
      <c r="AA103" s="3" t="s">
        <v>6568</v>
      </c>
    </row>
    <row r="104" customFormat="false" ht="15" hidden="false" customHeight="true" outlineLevel="0" collapsed="false">
      <c r="A104" s="3" t="s">
        <v>1113</v>
      </c>
      <c r="B104" s="3" t="n">
        <v>2</v>
      </c>
      <c r="C104" s="3" t="n">
        <v>22</v>
      </c>
      <c r="D104" s="3" t="str">
        <f aca="false">Combined!G104</f>
        <v>Student age (≤29)</v>
      </c>
      <c r="E104" s="3" t="s">
        <v>83</v>
      </c>
      <c r="F104" s="3" t="s">
        <v>47</v>
      </c>
      <c r="G104" s="3" t="s">
        <v>47</v>
      </c>
      <c r="H104" s="3" t="s">
        <v>1114</v>
      </c>
      <c r="I104" s="3" t="s">
        <v>6842</v>
      </c>
      <c r="J104" s="3" t="s">
        <v>1115</v>
      </c>
      <c r="K104" s="3" t="s">
        <v>6557</v>
      </c>
      <c r="L104" s="3" t="s">
        <v>1116</v>
      </c>
      <c r="M104" s="3" t="s">
        <v>6843</v>
      </c>
      <c r="N104" s="3" t="s">
        <v>1117</v>
      </c>
      <c r="O104" s="3" t="s">
        <v>6517</v>
      </c>
      <c r="P104" s="3" t="s">
        <v>1118</v>
      </c>
      <c r="Q104" s="3" t="s">
        <v>6844</v>
      </c>
      <c r="R104" s="3" t="s">
        <v>1119</v>
      </c>
      <c r="S104" s="3" t="s">
        <v>6845</v>
      </c>
      <c r="T104" s="3" t="s">
        <v>1121</v>
      </c>
      <c r="U104" s="3" t="s">
        <v>6846</v>
      </c>
      <c r="V104" s="3"/>
      <c r="W104" s="3"/>
      <c r="X104" s="3"/>
      <c r="Y104" s="3"/>
      <c r="Z104" s="3" t="s">
        <v>1122</v>
      </c>
      <c r="AA104" s="3" t="s">
        <v>6847</v>
      </c>
    </row>
    <row r="105" customFormat="false" ht="15" hidden="false" customHeight="true" outlineLevel="0" collapsed="false">
      <c r="A105" s="3" t="s">
        <v>1123</v>
      </c>
      <c r="B105" s="3" t="n">
        <v>2</v>
      </c>
      <c r="C105" s="3" t="n">
        <v>21</v>
      </c>
      <c r="D105" s="3" t="str">
        <f aca="false">Combined!G105</f>
        <v>Student age (≤29)</v>
      </c>
      <c r="E105" s="3" t="s">
        <v>83</v>
      </c>
      <c r="F105" s="3" t="s">
        <v>47</v>
      </c>
      <c r="G105" s="3" t="s">
        <v>47</v>
      </c>
      <c r="H105" s="3" t="s">
        <v>1124</v>
      </c>
      <c r="I105" s="3" t="s">
        <v>6527</v>
      </c>
      <c r="J105" s="3" t="s">
        <v>1125</v>
      </c>
      <c r="K105" s="3" t="s">
        <v>6770</v>
      </c>
      <c r="L105" s="3" t="s">
        <v>1126</v>
      </c>
      <c r="M105" s="3" t="s">
        <v>6848</v>
      </c>
      <c r="N105" s="3" t="s">
        <v>59</v>
      </c>
      <c r="O105" s="3" t="s">
        <v>59</v>
      </c>
      <c r="P105" s="3" t="s">
        <v>1127</v>
      </c>
      <c r="Q105" s="3" t="s">
        <v>6849</v>
      </c>
      <c r="R105" s="3" t="s">
        <v>1128</v>
      </c>
      <c r="S105" s="3" t="s">
        <v>6513</v>
      </c>
      <c r="T105" s="3" t="s">
        <v>1130</v>
      </c>
      <c r="U105" s="3" t="s">
        <v>6850</v>
      </c>
      <c r="V105" s="3"/>
      <c r="W105" s="3"/>
      <c r="X105" s="3"/>
      <c r="Y105" s="3"/>
      <c r="Z105" s="3" t="s">
        <v>1131</v>
      </c>
      <c r="AA105" s="3" t="s">
        <v>6568</v>
      </c>
    </row>
    <row r="106" customFormat="false" ht="15" hidden="false" customHeight="true" outlineLevel="0" collapsed="false">
      <c r="A106" s="3" t="s">
        <v>1132</v>
      </c>
      <c r="B106" s="3" t="n">
        <v>2</v>
      </c>
      <c r="C106" s="3" t="n">
        <v>22</v>
      </c>
      <c r="D106" s="3" t="str">
        <f aca="false">Combined!G106</f>
        <v>Student age (≤29)</v>
      </c>
      <c r="E106" s="3" t="s">
        <v>83</v>
      </c>
      <c r="F106" s="3" t="s">
        <v>47</v>
      </c>
      <c r="G106" s="3" t="s">
        <v>47</v>
      </c>
      <c r="H106" s="3" t="s">
        <v>1133</v>
      </c>
      <c r="I106" s="3" t="s">
        <v>6546</v>
      </c>
      <c r="J106" s="3" t="s">
        <v>1134</v>
      </c>
      <c r="K106" s="3" t="s">
        <v>6569</v>
      </c>
      <c r="L106" s="3" t="s">
        <v>1135</v>
      </c>
      <c r="M106" s="3" t="s">
        <v>6548</v>
      </c>
      <c r="N106" s="3" t="s">
        <v>98</v>
      </c>
      <c r="O106" s="3" t="s">
        <v>6517</v>
      </c>
      <c r="P106" s="3" t="s">
        <v>1136</v>
      </c>
      <c r="Q106" s="3" t="s">
        <v>6580</v>
      </c>
      <c r="R106" s="3" t="s">
        <v>1137</v>
      </c>
      <c r="S106" s="3" t="s">
        <v>6581</v>
      </c>
      <c r="T106" s="3" t="s">
        <v>1139</v>
      </c>
      <c r="U106" s="3" t="s">
        <v>6851</v>
      </c>
      <c r="V106" s="3"/>
      <c r="W106" s="3"/>
      <c r="X106" s="3"/>
      <c r="Y106" s="3"/>
      <c r="Z106" s="3" t="s">
        <v>1140</v>
      </c>
      <c r="AA106" s="3" t="s">
        <v>6852</v>
      </c>
    </row>
    <row r="107" customFormat="false" ht="15" hidden="false" customHeight="true" outlineLevel="0" collapsed="false">
      <c r="A107" s="3" t="s">
        <v>1141</v>
      </c>
      <c r="B107" s="3" t="n">
        <v>2</v>
      </c>
      <c r="C107" s="3" t="n">
        <v>22</v>
      </c>
      <c r="D107" s="3" t="str">
        <f aca="false">Combined!G107</f>
        <v>Student age (≤29)</v>
      </c>
      <c r="E107" s="3" t="s">
        <v>45</v>
      </c>
      <c r="F107" s="3" t="s">
        <v>47</v>
      </c>
      <c r="G107" s="3" t="s">
        <v>47</v>
      </c>
      <c r="H107" s="3" t="s">
        <v>1142</v>
      </c>
      <c r="I107" s="3" t="s">
        <v>6769</v>
      </c>
      <c r="J107" s="3" t="s">
        <v>1143</v>
      </c>
      <c r="K107" s="3" t="s">
        <v>6729</v>
      </c>
      <c r="L107" s="3" t="s">
        <v>1144</v>
      </c>
      <c r="M107" s="3" t="s">
        <v>6833</v>
      </c>
      <c r="N107" s="3" t="s">
        <v>1145</v>
      </c>
      <c r="O107" s="3" t="s">
        <v>6511</v>
      </c>
      <c r="P107" s="3" t="s">
        <v>1146</v>
      </c>
      <c r="Q107" s="3" t="s">
        <v>6524</v>
      </c>
      <c r="R107" s="3" t="s">
        <v>1147</v>
      </c>
      <c r="S107" s="3" t="s">
        <v>6709</v>
      </c>
      <c r="T107" s="3" t="s">
        <v>1149</v>
      </c>
      <c r="U107" s="3" t="s">
        <v>6853</v>
      </c>
      <c r="V107" s="3"/>
      <c r="W107" s="3"/>
      <c r="X107" s="3"/>
      <c r="Y107" s="3"/>
      <c r="Z107" s="3" t="s">
        <v>1150</v>
      </c>
      <c r="AA107" s="3" t="s">
        <v>6854</v>
      </c>
    </row>
    <row r="108" customFormat="false" ht="15" hidden="false" customHeight="true" outlineLevel="0" collapsed="false">
      <c r="A108" s="3" t="s">
        <v>1151</v>
      </c>
      <c r="B108" s="3" t="n">
        <v>2</v>
      </c>
      <c r="C108" s="3" t="n">
        <v>21</v>
      </c>
      <c r="D108" s="3" t="str">
        <f aca="false">Combined!G108</f>
        <v>Student age (≤29)</v>
      </c>
      <c r="E108" s="3" t="s">
        <v>83</v>
      </c>
      <c r="F108" s="3" t="s">
        <v>47</v>
      </c>
      <c r="G108" s="3" t="s">
        <v>47</v>
      </c>
      <c r="H108" s="3" t="s">
        <v>1152</v>
      </c>
      <c r="I108" s="3" t="s">
        <v>6608</v>
      </c>
      <c r="J108" s="3" t="s">
        <v>1153</v>
      </c>
      <c r="K108" s="3" t="s">
        <v>6559</v>
      </c>
      <c r="L108" s="3" t="s">
        <v>1154</v>
      </c>
      <c r="M108" s="3" t="s">
        <v>6564</v>
      </c>
      <c r="N108" s="3" t="s">
        <v>59</v>
      </c>
      <c r="O108" s="3" t="s">
        <v>59</v>
      </c>
      <c r="P108" s="3" t="s">
        <v>1155</v>
      </c>
      <c r="Q108" s="3" t="s">
        <v>6542</v>
      </c>
      <c r="R108" s="3" t="s">
        <v>1156</v>
      </c>
      <c r="S108" s="3" t="s">
        <v>6721</v>
      </c>
      <c r="T108" s="3" t="s">
        <v>1158</v>
      </c>
      <c r="U108" s="3" t="s">
        <v>6855</v>
      </c>
      <c r="V108" s="3"/>
      <c r="W108" s="3"/>
      <c r="X108" s="3"/>
      <c r="Y108" s="3"/>
      <c r="Z108" s="3" t="s">
        <v>1159</v>
      </c>
      <c r="AA108" s="3" t="s">
        <v>6556</v>
      </c>
    </row>
    <row r="109" customFormat="false" ht="15" hidden="false" customHeight="true" outlineLevel="0" collapsed="false">
      <c r="A109" s="3" t="s">
        <v>1161</v>
      </c>
      <c r="B109" s="3" t="n">
        <v>2</v>
      </c>
      <c r="C109" s="3" t="n">
        <v>22</v>
      </c>
      <c r="D109" s="3" t="str">
        <f aca="false">Combined!G109</f>
        <v>Student age (≤29)</v>
      </c>
      <c r="E109" s="3" t="s">
        <v>45</v>
      </c>
      <c r="F109" s="3" t="s">
        <v>47</v>
      </c>
      <c r="G109" s="3" t="s">
        <v>47</v>
      </c>
      <c r="H109" s="3" t="s">
        <v>1162</v>
      </c>
      <c r="I109" s="3" t="s">
        <v>6856</v>
      </c>
      <c r="J109" s="3" t="s">
        <v>1163</v>
      </c>
      <c r="K109" s="3" t="s">
        <v>6510</v>
      </c>
      <c r="L109" s="3" t="s">
        <v>1164</v>
      </c>
      <c r="M109" s="3" t="s">
        <v>6510</v>
      </c>
      <c r="N109" s="3" t="s">
        <v>1165</v>
      </c>
      <c r="O109" s="3" t="s">
        <v>1625</v>
      </c>
      <c r="P109" s="3" t="s">
        <v>1166</v>
      </c>
      <c r="Q109" s="3" t="s">
        <v>6580</v>
      </c>
      <c r="R109" s="3" t="s">
        <v>1167</v>
      </c>
      <c r="S109" s="3" t="s">
        <v>6857</v>
      </c>
      <c r="T109" s="3" t="s">
        <v>1169</v>
      </c>
      <c r="U109" s="3" t="s">
        <v>6858</v>
      </c>
      <c r="V109" s="3"/>
      <c r="W109" s="3"/>
      <c r="X109" s="3"/>
      <c r="Y109" s="3"/>
      <c r="Z109" s="3" t="s">
        <v>1170</v>
      </c>
      <c r="AA109" s="3" t="s">
        <v>6774</v>
      </c>
    </row>
    <row r="110" customFormat="false" ht="15" hidden="false" customHeight="true" outlineLevel="0" collapsed="false">
      <c r="A110" s="3" t="s">
        <v>1171</v>
      </c>
      <c r="B110" s="3" t="n">
        <v>2</v>
      </c>
      <c r="C110" s="3" t="n">
        <v>15</v>
      </c>
      <c r="D110" s="3" t="str">
        <f aca="false">Combined!G110</f>
        <v>Student age (≤29)</v>
      </c>
      <c r="E110" s="3" t="s">
        <v>45</v>
      </c>
      <c r="F110" s="3" t="s">
        <v>47</v>
      </c>
      <c r="G110" s="3" t="s">
        <v>47</v>
      </c>
      <c r="H110" s="3" t="s">
        <v>1174</v>
      </c>
      <c r="I110" s="3" t="s">
        <v>6539</v>
      </c>
      <c r="J110" s="3" t="s">
        <v>1175</v>
      </c>
      <c r="K110" s="3" t="s">
        <v>6559</v>
      </c>
      <c r="L110" s="3" t="s">
        <v>1176</v>
      </c>
      <c r="M110" s="3" t="s">
        <v>6859</v>
      </c>
      <c r="N110" s="3" t="s">
        <v>1177</v>
      </c>
      <c r="O110" s="3" t="s">
        <v>6517</v>
      </c>
      <c r="P110" s="3" t="s">
        <v>1178</v>
      </c>
      <c r="Q110" s="3" t="s">
        <v>6542</v>
      </c>
      <c r="R110" s="3" t="s">
        <v>1179</v>
      </c>
      <c r="S110" s="3" t="s">
        <v>6632</v>
      </c>
      <c r="T110" s="3" t="s">
        <v>1181</v>
      </c>
      <c r="U110" s="3" t="s">
        <v>6860</v>
      </c>
      <c r="V110" s="3"/>
      <c r="W110" s="3"/>
      <c r="X110" s="3"/>
      <c r="Y110" s="3"/>
      <c r="Z110" s="3" t="s">
        <v>1182</v>
      </c>
      <c r="AA110" s="3" t="s">
        <v>6861</v>
      </c>
    </row>
    <row r="111" customFormat="false" ht="15" hidden="false" customHeight="true" outlineLevel="0" collapsed="false">
      <c r="A111" s="3" t="s">
        <v>1183</v>
      </c>
      <c r="B111" s="3" t="n">
        <v>2</v>
      </c>
      <c r="C111" s="3" t="n">
        <v>48</v>
      </c>
      <c r="D111" s="3" t="str">
        <f aca="false">Combined!G111</f>
        <v>Middle-aged (30–64)</v>
      </c>
      <c r="E111" s="3" t="s">
        <v>45</v>
      </c>
      <c r="F111" s="3" t="s">
        <v>1025</v>
      </c>
      <c r="G111" s="3" t="s">
        <v>47</v>
      </c>
      <c r="H111" s="3" t="s">
        <v>1184</v>
      </c>
      <c r="I111" s="3" t="s">
        <v>6862</v>
      </c>
      <c r="J111" s="3" t="s">
        <v>1185</v>
      </c>
      <c r="K111" s="3" t="s">
        <v>6551</v>
      </c>
      <c r="L111" s="3" t="s">
        <v>1186</v>
      </c>
      <c r="M111" s="3" t="s">
        <v>6863</v>
      </c>
      <c r="N111" s="3" t="s">
        <v>98</v>
      </c>
      <c r="O111" s="3" t="s">
        <v>6517</v>
      </c>
      <c r="P111" s="3" t="s">
        <v>1187</v>
      </c>
      <c r="Q111" s="3" t="s">
        <v>6634</v>
      </c>
      <c r="R111" s="3" t="s">
        <v>1188</v>
      </c>
      <c r="S111" s="3" t="s">
        <v>6595</v>
      </c>
      <c r="T111" s="3" t="s">
        <v>1190</v>
      </c>
      <c r="U111" s="3" t="s">
        <v>6551</v>
      </c>
      <c r="V111" s="3"/>
      <c r="W111" s="3"/>
      <c r="X111" s="3"/>
      <c r="Y111" s="3"/>
      <c r="Z111" s="3" t="s">
        <v>1191</v>
      </c>
      <c r="AA111" s="3" t="s">
        <v>6864</v>
      </c>
    </row>
    <row r="112" customFormat="false" ht="15" hidden="false" customHeight="true" outlineLevel="0" collapsed="false">
      <c r="A112" s="3" t="s">
        <v>1192</v>
      </c>
      <c r="B112" s="3" t="n">
        <v>2</v>
      </c>
      <c r="C112" s="3" t="n">
        <v>20</v>
      </c>
      <c r="D112" s="3" t="str">
        <f aca="false">Combined!G112</f>
        <v>Student age (≤29)</v>
      </c>
      <c r="E112" s="3" t="s">
        <v>45</v>
      </c>
      <c r="F112" s="3" t="s">
        <v>1025</v>
      </c>
      <c r="G112" s="3" t="s">
        <v>47</v>
      </c>
      <c r="H112" s="3" t="s">
        <v>1193</v>
      </c>
      <c r="I112" s="3" t="s">
        <v>6703</v>
      </c>
      <c r="J112" s="3" t="s">
        <v>1194</v>
      </c>
      <c r="K112" s="3" t="s">
        <v>6865</v>
      </c>
      <c r="L112" s="3" t="s">
        <v>1195</v>
      </c>
      <c r="M112" s="3" t="s">
        <v>6866</v>
      </c>
      <c r="N112" s="3" t="s">
        <v>1196</v>
      </c>
      <c r="O112" s="3" t="s">
        <v>59</v>
      </c>
      <c r="P112" s="3" t="s">
        <v>1197</v>
      </c>
      <c r="Q112" s="3" t="s">
        <v>6740</v>
      </c>
      <c r="R112" s="3" t="s">
        <v>1198</v>
      </c>
      <c r="S112" s="3" t="s">
        <v>6867</v>
      </c>
      <c r="T112" s="3" t="s">
        <v>1200</v>
      </c>
      <c r="U112" s="3" t="s">
        <v>6868</v>
      </c>
      <c r="V112" s="3"/>
      <c r="W112" s="3"/>
      <c r="X112" s="3"/>
      <c r="Y112" s="3"/>
      <c r="Z112" s="3" t="s">
        <v>1201</v>
      </c>
      <c r="AA112" s="3" t="s">
        <v>6869</v>
      </c>
    </row>
    <row r="113" customFormat="false" ht="15" hidden="false" customHeight="true" outlineLevel="0" collapsed="false">
      <c r="A113" s="3" t="s">
        <v>1202</v>
      </c>
      <c r="B113" s="3" t="n">
        <v>2</v>
      </c>
      <c r="C113" s="3" t="n">
        <v>22</v>
      </c>
      <c r="D113" s="3" t="str">
        <f aca="false">Combined!G113</f>
        <v>Student age (≤29)</v>
      </c>
      <c r="E113" s="3" t="s">
        <v>45</v>
      </c>
      <c r="F113" s="3" t="s">
        <v>47</v>
      </c>
      <c r="G113" s="3" t="s">
        <v>47</v>
      </c>
      <c r="H113" s="3" t="s">
        <v>1203</v>
      </c>
      <c r="I113" s="3" t="s">
        <v>6870</v>
      </c>
      <c r="J113" s="3" t="s">
        <v>1204</v>
      </c>
      <c r="K113" s="3" t="s">
        <v>6510</v>
      </c>
      <c r="L113" s="3" t="s">
        <v>1205</v>
      </c>
      <c r="M113" s="3" t="s">
        <v>6871</v>
      </c>
      <c r="N113" s="3" t="s">
        <v>1206</v>
      </c>
      <c r="O113" s="3" t="s">
        <v>6517</v>
      </c>
      <c r="P113" s="3" t="s">
        <v>1207</v>
      </c>
      <c r="Q113" s="3" t="s">
        <v>6634</v>
      </c>
      <c r="R113" s="3" t="s">
        <v>1208</v>
      </c>
      <c r="S113" s="3" t="s">
        <v>6679</v>
      </c>
      <c r="T113" s="3" t="s">
        <v>1210</v>
      </c>
      <c r="U113" s="3" t="s">
        <v>6872</v>
      </c>
      <c r="V113" s="3"/>
      <c r="W113" s="3"/>
      <c r="X113" s="3"/>
      <c r="Y113" s="3"/>
      <c r="Z113" s="3" t="s">
        <v>1211</v>
      </c>
      <c r="AA113" s="3" t="s">
        <v>6873</v>
      </c>
    </row>
    <row r="114" customFormat="false" ht="15" hidden="false" customHeight="true" outlineLevel="0" collapsed="false">
      <c r="A114" s="3" t="s">
        <v>1212</v>
      </c>
      <c r="B114" s="3" t="n">
        <v>2</v>
      </c>
      <c r="C114" s="3" t="n">
        <v>55</v>
      </c>
      <c r="D114" s="3" t="str">
        <f aca="false">Combined!G114</f>
        <v>Middle-aged (30–64)</v>
      </c>
      <c r="E114" s="3" t="s">
        <v>83</v>
      </c>
      <c r="F114" s="3" t="s">
        <v>914</v>
      </c>
      <c r="G114" s="3" t="s">
        <v>914</v>
      </c>
      <c r="H114" s="3" t="s">
        <v>1213</v>
      </c>
      <c r="I114" s="3" t="s">
        <v>6874</v>
      </c>
      <c r="J114" s="3" t="s">
        <v>1214</v>
      </c>
      <c r="K114" s="3" t="s">
        <v>6875</v>
      </c>
      <c r="L114" s="3" t="s">
        <v>1215</v>
      </c>
      <c r="M114" s="3" t="s">
        <v>6876</v>
      </c>
      <c r="N114" s="3" t="s">
        <v>1216</v>
      </c>
      <c r="O114" s="3" t="s">
        <v>6511</v>
      </c>
      <c r="P114" s="3" t="s">
        <v>1217</v>
      </c>
      <c r="Q114" s="3" t="s">
        <v>6512</v>
      </c>
      <c r="R114" s="3" t="s">
        <v>1218</v>
      </c>
      <c r="S114" s="3" t="s">
        <v>6567</v>
      </c>
      <c r="T114" s="3" t="s">
        <v>1220</v>
      </c>
      <c r="U114" s="3" t="s">
        <v>6877</v>
      </c>
      <c r="V114" s="3"/>
      <c r="W114" s="3"/>
      <c r="X114" s="3"/>
      <c r="Y114" s="3"/>
      <c r="Z114" s="3" t="s">
        <v>1221</v>
      </c>
      <c r="AA114" s="3" t="s">
        <v>6878</v>
      </c>
    </row>
    <row r="115" customFormat="false" ht="15" hidden="false" customHeight="true" outlineLevel="0" collapsed="false">
      <c r="A115" s="3" t="s">
        <v>1222</v>
      </c>
      <c r="B115" s="3" t="n">
        <v>2</v>
      </c>
      <c r="C115" s="3" t="n">
        <v>19</v>
      </c>
      <c r="D115" s="3" t="str">
        <f aca="false">Combined!G115</f>
        <v>Student age (≤29)</v>
      </c>
      <c r="E115" s="3" t="s">
        <v>45</v>
      </c>
      <c r="F115" s="3" t="s">
        <v>47</v>
      </c>
      <c r="G115" s="3" t="s">
        <v>47</v>
      </c>
      <c r="H115" s="3" t="s">
        <v>1223</v>
      </c>
      <c r="I115" s="3" t="s">
        <v>6879</v>
      </c>
      <c r="J115" s="3" t="s">
        <v>1224</v>
      </c>
      <c r="K115" s="3" t="s">
        <v>6880</v>
      </c>
      <c r="L115" s="3" t="s">
        <v>1225</v>
      </c>
      <c r="M115" s="3" t="s">
        <v>6799</v>
      </c>
      <c r="N115" s="3" t="s">
        <v>1226</v>
      </c>
      <c r="O115" s="3" t="s">
        <v>6511</v>
      </c>
      <c r="P115" s="3" t="s">
        <v>1227</v>
      </c>
      <c r="Q115" s="3" t="s">
        <v>6881</v>
      </c>
      <c r="R115" s="3" t="s">
        <v>1228</v>
      </c>
      <c r="S115" s="3" t="s">
        <v>6551</v>
      </c>
      <c r="T115" s="3" t="s">
        <v>1230</v>
      </c>
      <c r="U115" s="3" t="s">
        <v>6602</v>
      </c>
      <c r="V115" s="3"/>
      <c r="W115" s="3"/>
      <c r="X115" s="3"/>
      <c r="Y115" s="3"/>
      <c r="Z115" s="3" t="s">
        <v>1231</v>
      </c>
      <c r="AA115" s="3" t="s">
        <v>6882</v>
      </c>
    </row>
    <row r="116" customFormat="false" ht="15" hidden="false" customHeight="true" outlineLevel="0" collapsed="false">
      <c r="A116" s="3" t="s">
        <v>1232</v>
      </c>
      <c r="B116" s="3" t="n">
        <v>2</v>
      </c>
      <c r="C116" s="3" t="n">
        <v>46</v>
      </c>
      <c r="D116" s="3" t="str">
        <f aca="false">Combined!G116</f>
        <v>Middle-aged (30–64)</v>
      </c>
      <c r="E116" s="3" t="s">
        <v>45</v>
      </c>
      <c r="F116" s="3" t="s">
        <v>1025</v>
      </c>
      <c r="G116" s="3" t="s">
        <v>47</v>
      </c>
      <c r="H116" s="3" t="s">
        <v>1233</v>
      </c>
      <c r="I116" s="3" t="s">
        <v>6883</v>
      </c>
      <c r="J116" s="3" t="s">
        <v>1234</v>
      </c>
      <c r="K116" s="3" t="s">
        <v>6884</v>
      </c>
      <c r="L116" s="3" t="s">
        <v>1235</v>
      </c>
      <c r="M116" s="3" t="s">
        <v>6720</v>
      </c>
      <c r="N116" s="3" t="s">
        <v>1236</v>
      </c>
      <c r="O116" s="3" t="s">
        <v>59</v>
      </c>
      <c r="P116" s="3" t="s">
        <v>1237</v>
      </c>
      <c r="Q116" s="3" t="s">
        <v>6640</v>
      </c>
      <c r="R116" s="3" t="s">
        <v>1238</v>
      </c>
      <c r="S116" s="3" t="s">
        <v>6885</v>
      </c>
      <c r="T116" s="3" t="s">
        <v>1240</v>
      </c>
      <c r="U116" s="3" t="s">
        <v>6669</v>
      </c>
      <c r="V116" s="3"/>
      <c r="W116" s="3"/>
      <c r="X116" s="3"/>
      <c r="Y116" s="3"/>
      <c r="Z116" s="3" t="s">
        <v>1241</v>
      </c>
      <c r="AA116" s="3" t="s">
        <v>6886</v>
      </c>
    </row>
    <row r="117" customFormat="false" ht="15" hidden="false" customHeight="true" outlineLevel="0" collapsed="false">
      <c r="A117" s="3" t="s">
        <v>1242</v>
      </c>
      <c r="B117" s="3" t="n">
        <v>2</v>
      </c>
      <c r="C117" s="3" t="n">
        <v>48</v>
      </c>
      <c r="D117" s="3" t="str">
        <f aca="false">Combined!G117</f>
        <v>Middle-aged (30–64)</v>
      </c>
      <c r="E117" s="3" t="s">
        <v>83</v>
      </c>
      <c r="F117" s="3" t="s">
        <v>1025</v>
      </c>
      <c r="G117" s="3" t="s">
        <v>47</v>
      </c>
      <c r="H117" s="3" t="s">
        <v>1243</v>
      </c>
      <c r="I117" s="3" t="s">
        <v>6623</v>
      </c>
      <c r="J117" s="3" t="s">
        <v>1244</v>
      </c>
      <c r="K117" s="3" t="s">
        <v>6887</v>
      </c>
      <c r="L117" s="3" t="s">
        <v>1245</v>
      </c>
      <c r="M117" s="3" t="s">
        <v>6888</v>
      </c>
      <c r="N117" s="3" t="s">
        <v>1246</v>
      </c>
      <c r="O117" s="3" t="s">
        <v>59</v>
      </c>
      <c r="P117" s="3" t="s">
        <v>1247</v>
      </c>
      <c r="Q117" s="3" t="s">
        <v>6640</v>
      </c>
      <c r="R117" s="3" t="s">
        <v>1248</v>
      </c>
      <c r="S117" s="3" t="s">
        <v>6889</v>
      </c>
      <c r="T117" s="3" t="s">
        <v>1250</v>
      </c>
      <c r="U117" s="3" t="s">
        <v>6890</v>
      </c>
      <c r="V117" s="3"/>
      <c r="W117" s="3"/>
      <c r="X117" s="3"/>
      <c r="Y117" s="3"/>
      <c r="Z117" s="3" t="s">
        <v>1251</v>
      </c>
      <c r="AA117" s="3" t="s">
        <v>6891</v>
      </c>
    </row>
    <row r="118" customFormat="false" ht="15" hidden="false" customHeight="true" outlineLevel="0" collapsed="false">
      <c r="A118" s="3" t="s">
        <v>1252</v>
      </c>
      <c r="B118" s="3" t="n">
        <v>2</v>
      </c>
      <c r="C118" s="3" t="n">
        <v>20</v>
      </c>
      <c r="D118" s="3" t="str">
        <f aca="false">Combined!G118</f>
        <v>Student age (≤29)</v>
      </c>
      <c r="E118" s="3" t="s">
        <v>45</v>
      </c>
      <c r="F118" s="3" t="s">
        <v>47</v>
      </c>
      <c r="G118" s="3" t="s">
        <v>47</v>
      </c>
      <c r="H118" s="3" t="s">
        <v>1253</v>
      </c>
      <c r="I118" s="3" t="s">
        <v>6842</v>
      </c>
      <c r="J118" s="3" t="s">
        <v>1254</v>
      </c>
      <c r="K118" s="3" t="s">
        <v>6520</v>
      </c>
      <c r="L118" s="3" t="s">
        <v>1255</v>
      </c>
      <c r="M118" s="3" t="s">
        <v>6892</v>
      </c>
      <c r="N118" s="3" t="s">
        <v>1256</v>
      </c>
      <c r="O118" s="3" t="s">
        <v>6517</v>
      </c>
      <c r="P118" s="3" t="s">
        <v>1257</v>
      </c>
      <c r="Q118" s="3" t="s">
        <v>6893</v>
      </c>
      <c r="R118" s="3" t="s">
        <v>857</v>
      </c>
      <c r="S118" s="3" t="s">
        <v>6679</v>
      </c>
      <c r="T118" s="3" t="s">
        <v>1259</v>
      </c>
      <c r="U118" s="3" t="s">
        <v>6894</v>
      </c>
      <c r="V118" s="3"/>
      <c r="W118" s="3"/>
      <c r="X118" s="3"/>
      <c r="Y118" s="3"/>
      <c r="Z118" s="3"/>
      <c r="AA118" s="3"/>
    </row>
    <row r="119" customFormat="false" ht="15" hidden="false" customHeight="true" outlineLevel="0" collapsed="false">
      <c r="A119" s="3" t="s">
        <v>1260</v>
      </c>
      <c r="B119" s="3" t="n">
        <v>2</v>
      </c>
      <c r="C119" s="3" t="n">
        <v>58</v>
      </c>
      <c r="D119" s="3" t="str">
        <f aca="false">Combined!G119</f>
        <v>Middle-aged (30–64)</v>
      </c>
      <c r="E119" s="3" t="s">
        <v>83</v>
      </c>
      <c r="F119" s="3" t="s">
        <v>1261</v>
      </c>
      <c r="G119" s="3" t="s">
        <v>1261</v>
      </c>
      <c r="H119" s="3" t="s">
        <v>1262</v>
      </c>
      <c r="I119" s="3" t="s">
        <v>6539</v>
      </c>
      <c r="J119" s="3" t="s">
        <v>1263</v>
      </c>
      <c r="K119" s="3" t="s">
        <v>6895</v>
      </c>
      <c r="L119" s="3" t="s">
        <v>1264</v>
      </c>
      <c r="M119" s="3" t="s">
        <v>6510</v>
      </c>
      <c r="N119" s="3" t="s">
        <v>895</v>
      </c>
      <c r="O119" s="3" t="s">
        <v>6517</v>
      </c>
      <c r="P119" s="3" t="s">
        <v>1265</v>
      </c>
      <c r="Q119" s="3" t="s">
        <v>6571</v>
      </c>
      <c r="R119" s="3" t="s">
        <v>1266</v>
      </c>
      <c r="S119" s="3" t="s">
        <v>6551</v>
      </c>
      <c r="T119" s="3" t="s">
        <v>1268</v>
      </c>
      <c r="U119" s="3" t="s">
        <v>6551</v>
      </c>
      <c r="V119" s="3"/>
      <c r="W119" s="3"/>
      <c r="X119" s="3"/>
      <c r="Y119" s="3"/>
      <c r="Z119" s="3" t="s">
        <v>1269</v>
      </c>
      <c r="AA119" s="3" t="s">
        <v>6509</v>
      </c>
    </row>
    <row r="120" customFormat="false" ht="15" hidden="false" customHeight="true" outlineLevel="0" collapsed="false">
      <c r="A120" s="3" t="s">
        <v>1270</v>
      </c>
      <c r="B120" s="3" t="n">
        <v>2</v>
      </c>
      <c r="C120" s="3" t="n">
        <v>76</v>
      </c>
      <c r="D120" s="3" t="str">
        <f aca="false">Combined!G120</f>
        <v>Elderly (65+)</v>
      </c>
      <c r="E120" s="3" t="s">
        <v>83</v>
      </c>
      <c r="F120" s="3" t="s">
        <v>47</v>
      </c>
      <c r="G120" s="3" t="s">
        <v>47</v>
      </c>
      <c r="H120" s="3" t="s">
        <v>1273</v>
      </c>
      <c r="I120" s="3" t="s">
        <v>6623</v>
      </c>
      <c r="J120" s="3" t="s">
        <v>1274</v>
      </c>
      <c r="K120" s="3" t="s">
        <v>6557</v>
      </c>
      <c r="L120" s="3" t="s">
        <v>1275</v>
      </c>
      <c r="M120" s="3" t="s">
        <v>6896</v>
      </c>
      <c r="N120" s="3" t="s">
        <v>98</v>
      </c>
      <c r="O120" s="3" t="s">
        <v>6517</v>
      </c>
      <c r="P120" s="3" t="s">
        <v>1276</v>
      </c>
      <c r="Q120" s="3" t="s">
        <v>6640</v>
      </c>
      <c r="R120" s="3" t="s">
        <v>1277</v>
      </c>
      <c r="S120" s="3" t="s">
        <v>6572</v>
      </c>
      <c r="T120" s="3" t="s">
        <v>1279</v>
      </c>
      <c r="U120" s="3" t="s">
        <v>6897</v>
      </c>
      <c r="V120" s="3"/>
      <c r="W120" s="3"/>
      <c r="X120" s="3"/>
      <c r="Y120" s="3"/>
      <c r="Z120" s="3" t="s">
        <v>1280</v>
      </c>
      <c r="AA120" s="3" t="s">
        <v>6898</v>
      </c>
    </row>
    <row r="121" customFormat="false" ht="15" hidden="false" customHeight="true" outlineLevel="0" collapsed="false">
      <c r="A121" s="3" t="s">
        <v>1281</v>
      </c>
      <c r="B121" s="3" t="n">
        <v>2</v>
      </c>
      <c r="C121" s="3" t="n">
        <v>22</v>
      </c>
      <c r="D121" s="3" t="str">
        <f aca="false">Combined!G121</f>
        <v>Student age (≤29)</v>
      </c>
      <c r="E121" s="3" t="s">
        <v>45</v>
      </c>
      <c r="F121" s="3" t="s">
        <v>47</v>
      </c>
      <c r="G121" s="3" t="s">
        <v>47</v>
      </c>
      <c r="H121" s="3" t="s">
        <v>1282</v>
      </c>
      <c r="I121" s="3" t="s">
        <v>6546</v>
      </c>
      <c r="J121" s="3" t="s">
        <v>547</v>
      </c>
      <c r="K121" s="3" t="s">
        <v>6510</v>
      </c>
      <c r="L121" s="3" t="s">
        <v>1283</v>
      </c>
      <c r="M121" s="3" t="s">
        <v>6899</v>
      </c>
      <c r="N121" s="3" t="s">
        <v>1284</v>
      </c>
      <c r="O121" s="3" t="s">
        <v>6511</v>
      </c>
      <c r="P121" s="3" t="s">
        <v>1285</v>
      </c>
      <c r="Q121" s="3" t="s">
        <v>6844</v>
      </c>
      <c r="R121" s="3" t="s">
        <v>1286</v>
      </c>
      <c r="S121" s="3" t="s">
        <v>6537</v>
      </c>
      <c r="T121" s="3" t="s">
        <v>1288</v>
      </c>
      <c r="U121" s="3" t="s">
        <v>6900</v>
      </c>
      <c r="V121" s="3"/>
      <c r="W121" s="3"/>
      <c r="X121" s="3"/>
      <c r="Y121" s="3"/>
      <c r="Z121" s="3" t="s">
        <v>1289</v>
      </c>
      <c r="AA121" s="3" t="s">
        <v>6528</v>
      </c>
    </row>
    <row r="122" customFormat="false" ht="15" hidden="false" customHeight="true" outlineLevel="0" collapsed="false">
      <c r="A122" s="3" t="s">
        <v>1290</v>
      </c>
      <c r="B122" s="3" t="n">
        <v>2</v>
      </c>
      <c r="C122" s="3" t="n">
        <v>21</v>
      </c>
      <c r="D122" s="3" t="str">
        <f aca="false">Combined!G122</f>
        <v>Student age (≤29)</v>
      </c>
      <c r="E122" s="3" t="s">
        <v>83</v>
      </c>
      <c r="F122" s="3" t="s">
        <v>47</v>
      </c>
      <c r="G122" s="3" t="s">
        <v>47</v>
      </c>
      <c r="H122" s="3" t="s">
        <v>1291</v>
      </c>
      <c r="I122" s="3" t="s">
        <v>6527</v>
      </c>
      <c r="J122" s="3" t="s">
        <v>547</v>
      </c>
      <c r="K122" s="3" t="s">
        <v>6510</v>
      </c>
      <c r="L122" s="3" t="s">
        <v>1292</v>
      </c>
      <c r="M122" s="3" t="s">
        <v>6901</v>
      </c>
      <c r="N122" s="3" t="s">
        <v>1293</v>
      </c>
      <c r="O122" s="3" t="s">
        <v>59</v>
      </c>
      <c r="P122" s="3" t="s">
        <v>1294</v>
      </c>
      <c r="Q122" s="3" t="s">
        <v>6512</v>
      </c>
      <c r="R122" s="3" t="s">
        <v>1295</v>
      </c>
      <c r="S122" s="3" t="s">
        <v>6902</v>
      </c>
      <c r="T122" s="3" t="s">
        <v>1297</v>
      </c>
      <c r="U122" s="3" t="s">
        <v>6622</v>
      </c>
      <c r="V122" s="3"/>
      <c r="W122" s="3"/>
      <c r="X122" s="3"/>
      <c r="Y122" s="3"/>
      <c r="Z122" s="3" t="s">
        <v>1298</v>
      </c>
      <c r="AA122" s="3" t="s">
        <v>6903</v>
      </c>
    </row>
    <row r="123" customFormat="false" ht="15" hidden="false" customHeight="true" outlineLevel="0" collapsed="false">
      <c r="A123" s="3" t="s">
        <v>1299</v>
      </c>
      <c r="B123" s="3" t="n">
        <v>2</v>
      </c>
      <c r="C123" s="3" t="n">
        <v>26</v>
      </c>
      <c r="D123" s="3" t="str">
        <f aca="false">Combined!G123</f>
        <v>Student age (≤29)</v>
      </c>
      <c r="E123" s="3" t="s">
        <v>83</v>
      </c>
      <c r="F123" s="3" t="s">
        <v>47</v>
      </c>
      <c r="G123" s="3" t="s">
        <v>47</v>
      </c>
      <c r="H123" s="3" t="s">
        <v>1300</v>
      </c>
      <c r="I123" s="3" t="s">
        <v>6703</v>
      </c>
      <c r="J123" s="3" t="s">
        <v>1301</v>
      </c>
      <c r="K123" s="3" t="s">
        <v>2035</v>
      </c>
      <c r="L123" s="3" t="s">
        <v>1302</v>
      </c>
      <c r="M123" s="3" t="s">
        <v>6904</v>
      </c>
      <c r="N123" s="3" t="s">
        <v>1303</v>
      </c>
      <c r="O123" s="3" t="s">
        <v>6511</v>
      </c>
      <c r="P123" s="3" t="s">
        <v>1304</v>
      </c>
      <c r="Q123" s="3" t="s">
        <v>6640</v>
      </c>
      <c r="R123" s="3" t="s">
        <v>1305</v>
      </c>
      <c r="S123" s="3" t="s">
        <v>6905</v>
      </c>
      <c r="T123" s="3" t="s">
        <v>1307</v>
      </c>
      <c r="U123" s="3" t="s">
        <v>6693</v>
      </c>
      <c r="V123" s="3"/>
      <c r="W123" s="3"/>
      <c r="X123" s="3"/>
      <c r="Y123" s="3"/>
      <c r="Z123" s="3" t="s">
        <v>1308</v>
      </c>
      <c r="AA123" s="3" t="s">
        <v>6906</v>
      </c>
    </row>
    <row r="124" customFormat="false" ht="15" hidden="false" customHeight="true" outlineLevel="0" collapsed="false">
      <c r="A124" s="3" t="s">
        <v>1309</v>
      </c>
      <c r="B124" s="3" t="n">
        <v>2</v>
      </c>
      <c r="C124" s="3" t="n">
        <v>32</v>
      </c>
      <c r="D124" s="3" t="str">
        <f aca="false">Combined!G124</f>
        <v>Middle-aged (30–64)</v>
      </c>
      <c r="E124" s="3" t="s">
        <v>83</v>
      </c>
      <c r="F124" s="3" t="s">
        <v>47</v>
      </c>
      <c r="G124" s="3" t="s">
        <v>47</v>
      </c>
      <c r="H124" s="3" t="s">
        <v>1310</v>
      </c>
      <c r="I124" s="3" t="s">
        <v>6539</v>
      </c>
      <c r="J124" s="3" t="s">
        <v>1311</v>
      </c>
      <c r="K124" s="3" t="s">
        <v>6547</v>
      </c>
      <c r="L124" s="3" t="s">
        <v>1312</v>
      </c>
      <c r="M124" s="3" t="s">
        <v>6541</v>
      </c>
      <c r="N124" s="3" t="s">
        <v>1313</v>
      </c>
      <c r="O124" s="3" t="s">
        <v>6511</v>
      </c>
      <c r="P124" s="3" t="s">
        <v>1314</v>
      </c>
      <c r="Q124" s="3" t="s">
        <v>6580</v>
      </c>
      <c r="R124" s="3" t="s">
        <v>1315</v>
      </c>
      <c r="S124" s="3" t="s">
        <v>6581</v>
      </c>
      <c r="T124" s="3" t="s">
        <v>1317</v>
      </c>
      <c r="U124" s="3" t="s">
        <v>6526</v>
      </c>
      <c r="V124" s="3"/>
      <c r="W124" s="3"/>
      <c r="X124" s="3"/>
      <c r="Y124" s="3"/>
      <c r="Z124" s="3" t="s">
        <v>1318</v>
      </c>
      <c r="AA124" s="3" t="s">
        <v>6907</v>
      </c>
    </row>
    <row r="125" customFormat="false" ht="15" hidden="false" customHeight="true" outlineLevel="0" collapsed="false">
      <c r="A125" s="3" t="s">
        <v>1319</v>
      </c>
      <c r="B125" s="3" t="n">
        <v>2</v>
      </c>
      <c r="C125" s="3" t="n">
        <v>35</v>
      </c>
      <c r="D125" s="3" t="str">
        <f aca="false">Combined!G125</f>
        <v>Middle-aged (30–64)</v>
      </c>
      <c r="E125" s="3" t="s">
        <v>45</v>
      </c>
      <c r="F125" s="3" t="s">
        <v>47</v>
      </c>
      <c r="G125" s="3" t="s">
        <v>47</v>
      </c>
      <c r="H125" s="3" t="s">
        <v>1320</v>
      </c>
      <c r="I125" s="3" t="s">
        <v>6587</v>
      </c>
      <c r="J125" s="3" t="s">
        <v>1321</v>
      </c>
      <c r="K125" s="3" t="s">
        <v>6510</v>
      </c>
      <c r="L125" s="3" t="s">
        <v>1322</v>
      </c>
      <c r="M125" s="3" t="s">
        <v>6538</v>
      </c>
      <c r="N125" s="3" t="s">
        <v>98</v>
      </c>
      <c r="O125" s="3" t="s">
        <v>6517</v>
      </c>
      <c r="P125" s="3" t="s">
        <v>1323</v>
      </c>
      <c r="Q125" s="3" t="s">
        <v>6542</v>
      </c>
      <c r="R125" s="3" t="s">
        <v>1324</v>
      </c>
      <c r="S125" s="3" t="s">
        <v>6701</v>
      </c>
      <c r="T125" s="3" t="s">
        <v>1325</v>
      </c>
      <c r="U125" s="3" t="s">
        <v>6908</v>
      </c>
      <c r="V125" s="3"/>
      <c r="W125" s="3"/>
      <c r="X125" s="3"/>
      <c r="Y125" s="3"/>
      <c r="Z125" s="3" t="s">
        <v>1326</v>
      </c>
      <c r="AA125" s="3" t="s">
        <v>6820</v>
      </c>
    </row>
    <row r="126" customFormat="false" ht="15" hidden="false" customHeight="true" outlineLevel="0" collapsed="false">
      <c r="A126" s="3" t="s">
        <v>1327</v>
      </c>
      <c r="B126" s="3" t="n">
        <v>3</v>
      </c>
      <c r="C126" s="3" t="n">
        <v>63</v>
      </c>
      <c r="D126" s="3" t="str">
        <f aca="false">Combined!G126</f>
        <v>Middle-aged (30–64)</v>
      </c>
      <c r="E126" s="3" t="s">
        <v>83</v>
      </c>
      <c r="F126" s="3" t="s">
        <v>47</v>
      </c>
      <c r="G126" s="3" t="s">
        <v>47</v>
      </c>
      <c r="H126" s="3" t="s">
        <v>1328</v>
      </c>
      <c r="I126" s="3" t="s">
        <v>6759</v>
      </c>
      <c r="J126" s="3" t="s">
        <v>1329</v>
      </c>
      <c r="K126" s="3" t="s">
        <v>6909</v>
      </c>
      <c r="L126" s="3" t="s">
        <v>1330</v>
      </c>
      <c r="M126" s="3" t="s">
        <v>6910</v>
      </c>
      <c r="N126" s="3" t="s">
        <v>1331</v>
      </c>
      <c r="O126" s="3" t="s">
        <v>6517</v>
      </c>
      <c r="P126" s="3" t="s">
        <v>1332</v>
      </c>
      <c r="Q126" s="3" t="s">
        <v>6577</v>
      </c>
      <c r="R126" s="3" t="s">
        <v>1333</v>
      </c>
      <c r="S126" s="3" t="s">
        <v>6911</v>
      </c>
      <c r="T126" s="3" t="s">
        <v>1335</v>
      </c>
      <c r="U126" s="3" t="s">
        <v>6912</v>
      </c>
      <c r="V126" s="3" t="s">
        <v>1336</v>
      </c>
      <c r="W126" s="3" t="s">
        <v>6913</v>
      </c>
      <c r="X126" s="3" t="s">
        <v>1337</v>
      </c>
      <c r="Y126" s="3" t="s">
        <v>6611</v>
      </c>
      <c r="Z126" s="3" t="s">
        <v>1338</v>
      </c>
      <c r="AA126" s="3" t="s">
        <v>6910</v>
      </c>
    </row>
    <row r="127" customFormat="false" ht="15" hidden="false" customHeight="true" outlineLevel="0" collapsed="false">
      <c r="A127" s="3" t="s">
        <v>1339</v>
      </c>
      <c r="B127" s="3" t="n">
        <v>3</v>
      </c>
      <c r="C127" s="3" t="n">
        <v>21</v>
      </c>
      <c r="D127" s="3" t="str">
        <f aca="false">Combined!G127</f>
        <v>Student age (≤29)</v>
      </c>
      <c r="E127" s="3" t="s">
        <v>45</v>
      </c>
      <c r="F127" s="3" t="s">
        <v>47</v>
      </c>
      <c r="G127" s="3" t="s">
        <v>47</v>
      </c>
      <c r="H127" s="3" t="s">
        <v>1340</v>
      </c>
      <c r="I127" s="3" t="s">
        <v>6637</v>
      </c>
      <c r="J127" s="3" t="s">
        <v>1341</v>
      </c>
      <c r="K127" s="3" t="s">
        <v>6863</v>
      </c>
      <c r="L127" s="3" t="s">
        <v>1342</v>
      </c>
      <c r="M127" s="3" t="s">
        <v>6864</v>
      </c>
      <c r="N127" s="3" t="s">
        <v>1343</v>
      </c>
      <c r="O127" s="3" t="s">
        <v>6511</v>
      </c>
      <c r="P127" s="5" t="s">
        <v>1344</v>
      </c>
      <c r="Q127" s="3" t="s">
        <v>6914</v>
      </c>
      <c r="R127" s="3" t="s">
        <v>1345</v>
      </c>
      <c r="S127" s="3" t="s">
        <v>6911</v>
      </c>
      <c r="T127" s="3" t="s">
        <v>1347</v>
      </c>
      <c r="U127" s="3" t="s">
        <v>6915</v>
      </c>
      <c r="V127" s="3" t="s">
        <v>1348</v>
      </c>
      <c r="W127" s="3" t="s">
        <v>6564</v>
      </c>
      <c r="X127" s="3" t="s">
        <v>1349</v>
      </c>
      <c r="Y127" s="3" t="s">
        <v>6564</v>
      </c>
      <c r="Z127" s="3" t="s">
        <v>1350</v>
      </c>
      <c r="AA127" s="3" t="s">
        <v>6916</v>
      </c>
    </row>
    <row r="128" customFormat="false" ht="15" hidden="false" customHeight="true" outlineLevel="0" collapsed="false">
      <c r="A128" s="3" t="s">
        <v>1351</v>
      </c>
      <c r="B128" s="3" t="n">
        <v>3</v>
      </c>
      <c r="C128" s="3" t="n">
        <v>21</v>
      </c>
      <c r="D128" s="3" t="str">
        <f aca="false">Combined!G128</f>
        <v>Student age (≤29)</v>
      </c>
      <c r="E128" s="3" t="s">
        <v>45</v>
      </c>
      <c r="F128" s="3" t="s">
        <v>47</v>
      </c>
      <c r="G128" s="3" t="s">
        <v>47</v>
      </c>
      <c r="H128" s="3" t="s">
        <v>104</v>
      </c>
      <c r="I128" s="3" t="s">
        <v>6539</v>
      </c>
      <c r="J128" s="3" t="s">
        <v>1352</v>
      </c>
      <c r="K128" s="3" t="s">
        <v>6510</v>
      </c>
      <c r="L128" s="3" t="s">
        <v>1353</v>
      </c>
      <c r="M128" s="3" t="s">
        <v>6516</v>
      </c>
      <c r="N128" s="3" t="s">
        <v>1354</v>
      </c>
      <c r="O128" s="3" t="s">
        <v>6511</v>
      </c>
      <c r="P128" s="3" t="s">
        <v>1355</v>
      </c>
      <c r="Q128" s="3" t="s">
        <v>6524</v>
      </c>
      <c r="R128" s="3" t="s">
        <v>1356</v>
      </c>
      <c r="S128" s="3" t="s">
        <v>6513</v>
      </c>
      <c r="T128" s="3" t="s">
        <v>1358</v>
      </c>
      <c r="U128" s="3" t="s">
        <v>6917</v>
      </c>
      <c r="V128" s="3" t="s">
        <v>1359</v>
      </c>
      <c r="W128" s="3" t="s">
        <v>6545</v>
      </c>
      <c r="X128" s="3" t="s">
        <v>1360</v>
      </c>
      <c r="Y128" s="3" t="s">
        <v>6545</v>
      </c>
      <c r="Z128" s="3" t="s">
        <v>1361</v>
      </c>
      <c r="AA128" s="3" t="s">
        <v>6918</v>
      </c>
    </row>
    <row r="129" customFormat="false" ht="15" hidden="false" customHeight="true" outlineLevel="0" collapsed="false">
      <c r="A129" s="3" t="s">
        <v>1362</v>
      </c>
      <c r="B129" s="3" t="n">
        <v>3</v>
      </c>
      <c r="C129" s="3" t="n">
        <v>53</v>
      </c>
      <c r="D129" s="3" t="str">
        <f aca="false">Combined!G129</f>
        <v>Middle-aged (30–64)</v>
      </c>
      <c r="E129" s="3" t="s">
        <v>45</v>
      </c>
      <c r="F129" s="3" t="s">
        <v>47</v>
      </c>
      <c r="G129" s="3" t="s">
        <v>47</v>
      </c>
      <c r="H129" s="3" t="s">
        <v>1365</v>
      </c>
      <c r="I129" s="3" t="s">
        <v>6919</v>
      </c>
      <c r="J129" s="3" t="s">
        <v>1366</v>
      </c>
      <c r="K129" s="3" t="s">
        <v>6520</v>
      </c>
      <c r="L129" s="3" t="s">
        <v>1366</v>
      </c>
      <c r="M129" s="3" t="s">
        <v>6520</v>
      </c>
      <c r="N129" s="3" t="s">
        <v>1367</v>
      </c>
      <c r="O129" s="3" t="s">
        <v>6511</v>
      </c>
      <c r="P129" s="3" t="s">
        <v>1368</v>
      </c>
      <c r="Q129" s="3" t="s">
        <v>6542</v>
      </c>
      <c r="R129" s="3" t="s">
        <v>1369</v>
      </c>
      <c r="S129" s="3" t="s">
        <v>6578</v>
      </c>
      <c r="T129" s="3" t="s">
        <v>1371</v>
      </c>
      <c r="U129" s="3" t="s">
        <v>6920</v>
      </c>
      <c r="V129" s="3" t="s">
        <v>1372</v>
      </c>
      <c r="W129" s="3" t="s">
        <v>6921</v>
      </c>
      <c r="X129" s="3" t="s">
        <v>1373</v>
      </c>
      <c r="Y129" s="3" t="s">
        <v>6758</v>
      </c>
      <c r="Z129" s="3" t="s">
        <v>1374</v>
      </c>
      <c r="AA129" s="3" t="s">
        <v>6602</v>
      </c>
    </row>
    <row r="130" customFormat="false" ht="15" hidden="false" customHeight="true" outlineLevel="0" collapsed="false">
      <c r="A130" s="3" t="s">
        <v>1375</v>
      </c>
      <c r="B130" s="3" t="n">
        <v>3</v>
      </c>
      <c r="C130" s="3" t="n">
        <v>55</v>
      </c>
      <c r="D130" s="3" t="str">
        <f aca="false">Combined!G130</f>
        <v>Middle-aged (30–64)</v>
      </c>
      <c r="E130" s="3" t="s">
        <v>45</v>
      </c>
      <c r="F130" s="3" t="s">
        <v>47</v>
      </c>
      <c r="G130" s="3" t="s">
        <v>47</v>
      </c>
      <c r="H130" s="3" t="s">
        <v>1376</v>
      </c>
      <c r="I130" s="3" t="s">
        <v>6539</v>
      </c>
      <c r="J130" s="3" t="s">
        <v>547</v>
      </c>
      <c r="K130" s="3" t="s">
        <v>6510</v>
      </c>
      <c r="L130" s="3" t="s">
        <v>1377</v>
      </c>
      <c r="M130" s="3" t="s">
        <v>6747</v>
      </c>
      <c r="N130" s="3" t="s">
        <v>1378</v>
      </c>
      <c r="O130" s="3" t="s">
        <v>6517</v>
      </c>
      <c r="P130" s="3" t="s">
        <v>1379</v>
      </c>
      <c r="Q130" s="3" t="s">
        <v>6922</v>
      </c>
      <c r="R130" s="3" t="s">
        <v>1380</v>
      </c>
      <c r="S130" s="3" t="s">
        <v>6537</v>
      </c>
      <c r="T130" s="3" t="s">
        <v>1382</v>
      </c>
      <c r="U130" s="3" t="s">
        <v>6923</v>
      </c>
      <c r="V130" s="3" t="s">
        <v>1383</v>
      </c>
      <c r="W130" s="3" t="s">
        <v>6924</v>
      </c>
      <c r="X130" s="3" t="s">
        <v>1384</v>
      </c>
      <c r="Y130" s="3" t="s">
        <v>6568</v>
      </c>
      <c r="Z130" s="3" t="s">
        <v>1385</v>
      </c>
      <c r="AA130" s="3" t="s">
        <v>6568</v>
      </c>
    </row>
    <row r="131" customFormat="false" ht="15" hidden="false" customHeight="true" outlineLevel="0" collapsed="false">
      <c r="A131" s="3" t="s">
        <v>1386</v>
      </c>
      <c r="B131" s="3" t="n">
        <v>3</v>
      </c>
      <c r="C131" s="3" t="n">
        <v>46</v>
      </c>
      <c r="D131" s="3" t="str">
        <f aca="false">Combined!G131</f>
        <v>Middle-aged (30–64)</v>
      </c>
      <c r="E131" s="3" t="s">
        <v>45</v>
      </c>
      <c r="F131" s="3" t="s">
        <v>47</v>
      </c>
      <c r="G131" s="3" t="s">
        <v>47</v>
      </c>
      <c r="H131" s="3" t="s">
        <v>1387</v>
      </c>
      <c r="I131" s="3" t="s">
        <v>6539</v>
      </c>
      <c r="J131" s="3" t="s">
        <v>1388</v>
      </c>
      <c r="K131" s="3" t="s">
        <v>6516</v>
      </c>
      <c r="L131" s="3" t="s">
        <v>1389</v>
      </c>
      <c r="M131" s="3" t="s">
        <v>6568</v>
      </c>
      <c r="N131" s="3" t="s">
        <v>1390</v>
      </c>
      <c r="O131" s="3" t="s">
        <v>6517</v>
      </c>
      <c r="P131" s="3" t="s">
        <v>1391</v>
      </c>
      <c r="Q131" s="3" t="s">
        <v>6542</v>
      </c>
      <c r="R131" s="3" t="s">
        <v>1392</v>
      </c>
      <c r="S131" s="3" t="s">
        <v>6549</v>
      </c>
      <c r="T131" s="3" t="s">
        <v>1394</v>
      </c>
      <c r="U131" s="3" t="s">
        <v>6925</v>
      </c>
      <c r="V131" s="3" t="s">
        <v>1395</v>
      </c>
      <c r="W131" s="3" t="s">
        <v>6743</v>
      </c>
      <c r="X131" s="3" t="s">
        <v>1396</v>
      </c>
      <c r="Y131" s="3" t="s">
        <v>6926</v>
      </c>
      <c r="Z131" s="3" t="s">
        <v>1397</v>
      </c>
      <c r="AA131" s="3" t="s">
        <v>6545</v>
      </c>
    </row>
    <row r="132" customFormat="false" ht="15" hidden="false" customHeight="true" outlineLevel="0" collapsed="false">
      <c r="A132" s="3" t="s">
        <v>1398</v>
      </c>
      <c r="B132" s="3" t="n">
        <v>3</v>
      </c>
      <c r="C132" s="3" t="n">
        <v>48</v>
      </c>
      <c r="D132" s="3" t="str">
        <f aca="false">Combined!G132</f>
        <v>Middle-aged (30–64)</v>
      </c>
      <c r="E132" s="3" t="s">
        <v>83</v>
      </c>
      <c r="F132" s="3" t="s">
        <v>47</v>
      </c>
      <c r="G132" s="3" t="s">
        <v>47</v>
      </c>
      <c r="H132" s="3" t="s">
        <v>1401</v>
      </c>
      <c r="I132" s="3" t="s">
        <v>6927</v>
      </c>
      <c r="J132" s="3" t="s">
        <v>1402</v>
      </c>
      <c r="K132" s="3" t="s">
        <v>6510</v>
      </c>
      <c r="L132" s="3" t="s">
        <v>1403</v>
      </c>
      <c r="M132" s="3" t="s">
        <v>6510</v>
      </c>
      <c r="N132" s="3" t="s">
        <v>1404</v>
      </c>
      <c r="O132" s="3" t="s">
        <v>59</v>
      </c>
      <c r="P132" s="3" t="s">
        <v>1405</v>
      </c>
      <c r="Q132" s="3" t="s">
        <v>6914</v>
      </c>
      <c r="R132" s="3" t="s">
        <v>1406</v>
      </c>
      <c r="S132" s="3" t="s">
        <v>6928</v>
      </c>
      <c r="T132" s="3" t="s">
        <v>1408</v>
      </c>
      <c r="U132" s="3" t="s">
        <v>6929</v>
      </c>
      <c r="V132" s="3" t="s">
        <v>1409</v>
      </c>
      <c r="W132" s="3" t="s">
        <v>6545</v>
      </c>
      <c r="X132" s="3" t="s">
        <v>1410</v>
      </c>
      <c r="Y132" s="3" t="s">
        <v>6930</v>
      </c>
      <c r="Z132" s="3"/>
      <c r="AA132" s="3"/>
    </row>
    <row r="133" customFormat="false" ht="15" hidden="false" customHeight="true" outlineLevel="0" collapsed="false">
      <c r="A133" s="3" t="s">
        <v>1411</v>
      </c>
      <c r="B133" s="3" t="n">
        <v>3</v>
      </c>
      <c r="C133" s="3" t="n">
        <v>54</v>
      </c>
      <c r="D133" s="3" t="str">
        <f aca="false">Combined!G133</f>
        <v>Middle-aged (30–64)</v>
      </c>
      <c r="E133" s="3" t="s">
        <v>45</v>
      </c>
      <c r="F133" s="3" t="s">
        <v>47</v>
      </c>
      <c r="G133" s="3" t="s">
        <v>47</v>
      </c>
      <c r="H133" s="3" t="s">
        <v>1414</v>
      </c>
      <c r="I133" s="3" t="s">
        <v>6803</v>
      </c>
      <c r="J133" s="3" t="s">
        <v>1415</v>
      </c>
      <c r="K133" s="3" t="s">
        <v>6931</v>
      </c>
      <c r="L133" s="3" t="s">
        <v>1416</v>
      </c>
      <c r="M133" s="3" t="s">
        <v>6520</v>
      </c>
      <c r="N133" s="3" t="s">
        <v>59</v>
      </c>
      <c r="O133" s="3" t="s">
        <v>59</v>
      </c>
      <c r="P133" s="3" t="s">
        <v>1417</v>
      </c>
      <c r="Q133" s="3" t="s">
        <v>6932</v>
      </c>
      <c r="R133" s="3" t="s">
        <v>1418</v>
      </c>
      <c r="S133" s="3" t="s">
        <v>6709</v>
      </c>
      <c r="T133" s="3" t="s">
        <v>1420</v>
      </c>
      <c r="U133" s="3" t="s">
        <v>6688</v>
      </c>
      <c r="V133" s="3" t="s">
        <v>1421</v>
      </c>
      <c r="W133" s="3" t="s">
        <v>6650</v>
      </c>
      <c r="X133" s="3" t="s">
        <v>1422</v>
      </c>
      <c r="Y133" s="3" t="s">
        <v>6545</v>
      </c>
      <c r="Z133" s="3"/>
      <c r="AA133" s="3"/>
    </row>
    <row r="134" customFormat="false" ht="15" hidden="false" customHeight="true" outlineLevel="0" collapsed="false">
      <c r="A134" s="3" t="s">
        <v>1423</v>
      </c>
      <c r="B134" s="3" t="n">
        <v>3</v>
      </c>
      <c r="C134" s="3" t="n">
        <v>60</v>
      </c>
      <c r="D134" s="3" t="str">
        <f aca="false">Combined!G134</f>
        <v>Middle-aged (30–64)</v>
      </c>
      <c r="E134" s="3" t="s">
        <v>45</v>
      </c>
      <c r="F134" s="3" t="s">
        <v>47</v>
      </c>
      <c r="G134" s="3" t="s">
        <v>47</v>
      </c>
      <c r="H134" s="3" t="s">
        <v>1424</v>
      </c>
      <c r="I134" s="3" t="s">
        <v>6539</v>
      </c>
      <c r="J134" s="3" t="s">
        <v>1425</v>
      </c>
      <c r="K134" s="3" t="s">
        <v>6509</v>
      </c>
      <c r="L134" s="3" t="s">
        <v>1426</v>
      </c>
      <c r="M134" s="3" t="s">
        <v>6933</v>
      </c>
      <c r="N134" s="3" t="s">
        <v>1427</v>
      </c>
      <c r="O134" s="3" t="s">
        <v>6511</v>
      </c>
      <c r="P134" s="3" t="s">
        <v>1428</v>
      </c>
      <c r="Q134" s="3" t="s">
        <v>6934</v>
      </c>
      <c r="R134" s="3" t="s">
        <v>1429</v>
      </c>
      <c r="S134" s="3" t="s">
        <v>6537</v>
      </c>
      <c r="T134" s="3" t="s">
        <v>1431</v>
      </c>
      <c r="U134" s="3" t="s">
        <v>6688</v>
      </c>
      <c r="V134" s="3" t="s">
        <v>1432</v>
      </c>
      <c r="W134" s="3" t="s">
        <v>6935</v>
      </c>
      <c r="X134" s="3" t="s">
        <v>1433</v>
      </c>
      <c r="Y134" s="3" t="s">
        <v>6568</v>
      </c>
      <c r="Z134" s="3" t="s">
        <v>1434</v>
      </c>
      <c r="AA134" s="3" t="s">
        <v>6770</v>
      </c>
    </row>
    <row r="135" customFormat="false" ht="15" hidden="false" customHeight="true" outlineLevel="0" collapsed="false">
      <c r="A135" s="3" t="s">
        <v>1435</v>
      </c>
      <c r="B135" s="3" t="n">
        <v>3</v>
      </c>
      <c r="C135" s="3" t="n">
        <v>75</v>
      </c>
      <c r="D135" s="3" t="str">
        <f aca="false">Combined!G135</f>
        <v>Elderly (65+)</v>
      </c>
      <c r="E135" s="3" t="s">
        <v>45</v>
      </c>
      <c r="F135" s="3" t="s">
        <v>47</v>
      </c>
      <c r="G135" s="3" t="s">
        <v>47</v>
      </c>
      <c r="H135" s="3" t="s">
        <v>1436</v>
      </c>
      <c r="I135" s="3" t="s">
        <v>6608</v>
      </c>
      <c r="J135" s="3" t="s">
        <v>1437</v>
      </c>
      <c r="K135" s="3" t="s">
        <v>6650</v>
      </c>
      <c r="L135" s="3" t="s">
        <v>1438</v>
      </c>
      <c r="M135" s="3" t="s">
        <v>6510</v>
      </c>
      <c r="N135" s="3" t="s">
        <v>98</v>
      </c>
      <c r="O135" s="3" t="s">
        <v>6517</v>
      </c>
      <c r="P135" s="3" t="s">
        <v>1439</v>
      </c>
      <c r="Q135" s="3" t="s">
        <v>6914</v>
      </c>
      <c r="R135" s="3" t="s">
        <v>1440</v>
      </c>
      <c r="S135" s="3" t="s">
        <v>6911</v>
      </c>
      <c r="T135" s="3" t="s">
        <v>1442</v>
      </c>
      <c r="U135" s="3" t="s">
        <v>6936</v>
      </c>
      <c r="V135" s="3" t="s">
        <v>1443</v>
      </c>
      <c r="W135" s="3" t="s">
        <v>6937</v>
      </c>
      <c r="X135" s="3" t="s">
        <v>1444</v>
      </c>
      <c r="Y135" s="3" t="s">
        <v>6545</v>
      </c>
      <c r="Z135" s="3" t="s">
        <v>1445</v>
      </c>
      <c r="AA135" s="3" t="s">
        <v>6647</v>
      </c>
    </row>
    <row r="136" customFormat="false" ht="15" hidden="false" customHeight="true" outlineLevel="0" collapsed="false">
      <c r="A136" s="3" t="s">
        <v>1446</v>
      </c>
      <c r="B136" s="3" t="n">
        <v>3</v>
      </c>
      <c r="C136" s="3" t="n">
        <v>19</v>
      </c>
      <c r="D136" s="3" t="str">
        <f aca="false">Combined!G136</f>
        <v>Student age (≤29)</v>
      </c>
      <c r="E136" s="3" t="s">
        <v>1447</v>
      </c>
      <c r="F136" s="3" t="s">
        <v>47</v>
      </c>
      <c r="G136" s="3" t="s">
        <v>47</v>
      </c>
      <c r="H136" s="3" t="s">
        <v>1448</v>
      </c>
      <c r="I136" s="3" t="s">
        <v>6546</v>
      </c>
      <c r="J136" s="3" t="s">
        <v>1449</v>
      </c>
      <c r="K136" s="3" t="s">
        <v>6938</v>
      </c>
      <c r="L136" s="3" t="s">
        <v>1450</v>
      </c>
      <c r="M136" s="3" t="s">
        <v>6939</v>
      </c>
      <c r="N136" s="3" t="s">
        <v>1390</v>
      </c>
      <c r="O136" s="3" t="s">
        <v>6517</v>
      </c>
      <c r="P136" s="3" t="s">
        <v>1451</v>
      </c>
      <c r="Q136" s="3" t="s">
        <v>6512</v>
      </c>
      <c r="R136" s="3" t="s">
        <v>1452</v>
      </c>
      <c r="S136" s="3" t="s">
        <v>6911</v>
      </c>
      <c r="T136" s="3" t="s">
        <v>1454</v>
      </c>
      <c r="U136" s="3" t="s">
        <v>6509</v>
      </c>
      <c r="V136" s="3" t="s">
        <v>1455</v>
      </c>
      <c r="W136" s="3" t="s">
        <v>6509</v>
      </c>
      <c r="X136" s="3" t="s">
        <v>1456</v>
      </c>
      <c r="Y136" s="3" t="s">
        <v>6940</v>
      </c>
      <c r="Z136" s="3" t="s">
        <v>1457</v>
      </c>
      <c r="AA136" s="3" t="s">
        <v>6941</v>
      </c>
    </row>
    <row r="137" customFormat="false" ht="15" hidden="false" customHeight="true" outlineLevel="0" collapsed="false">
      <c r="A137" s="3" t="s">
        <v>1458</v>
      </c>
      <c r="B137" s="3" t="n">
        <v>3</v>
      </c>
      <c r="C137" s="3" t="n">
        <v>57</v>
      </c>
      <c r="D137" s="3" t="str">
        <f aca="false">Combined!G137</f>
        <v>Middle-aged (30–64)</v>
      </c>
      <c r="E137" s="3" t="s">
        <v>45</v>
      </c>
      <c r="F137" s="3" t="s">
        <v>47</v>
      </c>
      <c r="G137" s="3" t="s">
        <v>47</v>
      </c>
      <c r="H137" s="3" t="s">
        <v>1459</v>
      </c>
      <c r="I137" s="3" t="s">
        <v>6539</v>
      </c>
      <c r="J137" s="3" t="s">
        <v>1460</v>
      </c>
      <c r="K137" s="3" t="s">
        <v>6568</v>
      </c>
      <c r="L137" s="3" t="s">
        <v>1461</v>
      </c>
      <c r="M137" s="3" t="s">
        <v>6568</v>
      </c>
      <c r="N137" s="3" t="s">
        <v>1462</v>
      </c>
      <c r="O137" s="3" t="s">
        <v>6511</v>
      </c>
      <c r="P137" s="3" t="s">
        <v>1463</v>
      </c>
      <c r="Q137" s="3" t="s">
        <v>6717</v>
      </c>
      <c r="R137" s="3" t="s">
        <v>1464</v>
      </c>
      <c r="S137" s="3" t="s">
        <v>6701</v>
      </c>
      <c r="T137" s="3" t="s">
        <v>1466</v>
      </c>
      <c r="U137" s="3" t="s">
        <v>6925</v>
      </c>
      <c r="V137" s="3" t="s">
        <v>1467</v>
      </c>
      <c r="W137" s="3" t="s">
        <v>6510</v>
      </c>
      <c r="X137" s="3" t="s">
        <v>1468</v>
      </c>
      <c r="Y137" s="3" t="s">
        <v>6930</v>
      </c>
      <c r="Z137" s="3" t="s">
        <v>1469</v>
      </c>
      <c r="AA137" s="3" t="s">
        <v>6847</v>
      </c>
    </row>
    <row r="138" customFormat="false" ht="15" hidden="false" customHeight="true" outlineLevel="0" collapsed="false">
      <c r="A138" s="3" t="s">
        <v>1470</v>
      </c>
      <c r="B138" s="3" t="n">
        <v>3</v>
      </c>
      <c r="C138" s="3" t="n">
        <v>52</v>
      </c>
      <c r="D138" s="3" t="str">
        <f aca="false">Combined!G138</f>
        <v>Middle-aged (30–64)</v>
      </c>
      <c r="E138" s="3" t="s">
        <v>45</v>
      </c>
      <c r="F138" s="3" t="s">
        <v>47</v>
      </c>
      <c r="G138" s="3" t="s">
        <v>47</v>
      </c>
      <c r="H138" s="3" t="s">
        <v>1471</v>
      </c>
      <c r="I138" s="3" t="s">
        <v>6927</v>
      </c>
      <c r="J138" s="3" t="s">
        <v>1472</v>
      </c>
      <c r="K138" s="3" t="s">
        <v>6568</v>
      </c>
      <c r="L138" s="3" t="s">
        <v>1473</v>
      </c>
      <c r="M138" s="3" t="s">
        <v>6942</v>
      </c>
      <c r="N138" s="3" t="s">
        <v>1474</v>
      </c>
      <c r="O138" s="3" t="s">
        <v>6511</v>
      </c>
      <c r="P138" s="5" t="s">
        <v>1475</v>
      </c>
      <c r="Q138" s="3" t="s">
        <v>6640</v>
      </c>
      <c r="R138" s="5" t="s">
        <v>1476</v>
      </c>
      <c r="S138" s="3" t="s">
        <v>6943</v>
      </c>
      <c r="T138" s="5" t="s">
        <v>1478</v>
      </c>
      <c r="U138" s="3" t="s">
        <v>6944</v>
      </c>
      <c r="V138" s="5" t="s">
        <v>1479</v>
      </c>
      <c r="W138" s="3" t="s">
        <v>6945</v>
      </c>
      <c r="X138" s="3" t="s">
        <v>1480</v>
      </c>
      <c r="Y138" s="3" t="s">
        <v>6545</v>
      </c>
      <c r="Z138" s="3" t="s">
        <v>1481</v>
      </c>
      <c r="AA138" s="3" t="s">
        <v>6847</v>
      </c>
    </row>
    <row r="139" customFormat="false" ht="15" hidden="false" customHeight="true" outlineLevel="0" collapsed="false">
      <c r="A139" s="3" t="s">
        <v>1482</v>
      </c>
      <c r="B139" s="3" t="n">
        <v>3</v>
      </c>
      <c r="C139" s="3" t="n">
        <v>51</v>
      </c>
      <c r="D139" s="3" t="str">
        <f aca="false">Combined!G139</f>
        <v>Middle-aged (30–64)</v>
      </c>
      <c r="E139" s="3" t="s">
        <v>83</v>
      </c>
      <c r="F139" s="3" t="s">
        <v>47</v>
      </c>
      <c r="G139" s="3" t="s">
        <v>47</v>
      </c>
      <c r="H139" s="3" t="s">
        <v>1483</v>
      </c>
      <c r="I139" s="3" t="s">
        <v>6946</v>
      </c>
      <c r="J139" s="3" t="s">
        <v>1484</v>
      </c>
      <c r="K139" s="3" t="s">
        <v>6676</v>
      </c>
      <c r="L139" s="3" t="s">
        <v>1485</v>
      </c>
      <c r="M139" s="3" t="s">
        <v>6947</v>
      </c>
      <c r="N139" s="3" t="s">
        <v>1486</v>
      </c>
      <c r="O139" s="3" t="s">
        <v>6511</v>
      </c>
      <c r="P139" s="3" t="s">
        <v>1487</v>
      </c>
      <c r="Q139" s="3" t="s">
        <v>6542</v>
      </c>
      <c r="R139" s="3" t="s">
        <v>1488</v>
      </c>
      <c r="S139" s="3" t="s">
        <v>6775</v>
      </c>
      <c r="T139" s="3" t="s">
        <v>1490</v>
      </c>
      <c r="U139" s="3" t="s">
        <v>6526</v>
      </c>
      <c r="V139" s="3" t="s">
        <v>1491</v>
      </c>
      <c r="W139" s="3" t="s">
        <v>6948</v>
      </c>
      <c r="X139" s="3" t="s">
        <v>1492</v>
      </c>
      <c r="Y139" s="3" t="s">
        <v>6551</v>
      </c>
      <c r="Z139" s="3" t="s">
        <v>1493</v>
      </c>
      <c r="AA139" s="3" t="s">
        <v>6918</v>
      </c>
    </row>
    <row r="140" customFormat="false" ht="15" hidden="false" customHeight="true" outlineLevel="0" collapsed="false">
      <c r="A140" s="3" t="s">
        <v>1494</v>
      </c>
      <c r="B140" s="3" t="n">
        <v>3</v>
      </c>
      <c r="C140" s="3" t="n">
        <v>21</v>
      </c>
      <c r="D140" s="3" t="str">
        <f aca="false">Combined!G140</f>
        <v>Student age (≤29)</v>
      </c>
      <c r="E140" s="3" t="s">
        <v>45</v>
      </c>
      <c r="F140" s="3" t="s">
        <v>47</v>
      </c>
      <c r="G140" s="3" t="s">
        <v>47</v>
      </c>
      <c r="H140" s="3" t="s">
        <v>1495</v>
      </c>
      <c r="I140" s="3" t="s">
        <v>6675</v>
      </c>
      <c r="J140" s="3" t="s">
        <v>1496</v>
      </c>
      <c r="K140" s="3" t="s">
        <v>6564</v>
      </c>
      <c r="L140" s="3" t="s">
        <v>1497</v>
      </c>
      <c r="M140" s="3" t="s">
        <v>6584</v>
      </c>
      <c r="N140" s="3" t="s">
        <v>1498</v>
      </c>
      <c r="O140" s="3" t="s">
        <v>6511</v>
      </c>
      <c r="P140" s="3" t="s">
        <v>1499</v>
      </c>
      <c r="Q140" s="3" t="s">
        <v>6536</v>
      </c>
      <c r="R140" s="3" t="s">
        <v>1500</v>
      </c>
      <c r="S140" s="3" t="s">
        <v>6949</v>
      </c>
      <c r="T140" s="3" t="s">
        <v>1502</v>
      </c>
      <c r="U140" s="3" t="s">
        <v>6950</v>
      </c>
      <c r="V140" s="3" t="s">
        <v>1503</v>
      </c>
      <c r="W140" s="3" t="s">
        <v>6541</v>
      </c>
      <c r="X140" s="3" t="s">
        <v>1504</v>
      </c>
      <c r="Y140" s="3" t="s">
        <v>6951</v>
      </c>
      <c r="Z140" s="3" t="s">
        <v>1505</v>
      </c>
      <c r="AA140" s="3" t="s">
        <v>6952</v>
      </c>
    </row>
    <row r="141" customFormat="false" ht="15" hidden="false" customHeight="true" outlineLevel="0" collapsed="false">
      <c r="A141" s="3" t="s">
        <v>1506</v>
      </c>
      <c r="B141" s="3" t="n">
        <v>3</v>
      </c>
      <c r="C141" s="3" t="n">
        <v>57</v>
      </c>
      <c r="D141" s="3" t="str">
        <f aca="false">Combined!G141</f>
        <v>Middle-aged (30–64)</v>
      </c>
      <c r="E141" s="3" t="s">
        <v>45</v>
      </c>
      <c r="F141" s="3" t="s">
        <v>47</v>
      </c>
      <c r="G141" s="3" t="s">
        <v>47</v>
      </c>
      <c r="H141" s="3" t="s">
        <v>1507</v>
      </c>
      <c r="I141" s="3" t="s">
        <v>6598</v>
      </c>
      <c r="J141" s="3" t="s">
        <v>1508</v>
      </c>
      <c r="K141" s="3" t="s">
        <v>6738</v>
      </c>
      <c r="L141" s="3" t="s">
        <v>1509</v>
      </c>
      <c r="M141" s="3" t="s">
        <v>6953</v>
      </c>
      <c r="N141" s="3" t="s">
        <v>1510</v>
      </c>
      <c r="O141" s="3" t="s">
        <v>6511</v>
      </c>
      <c r="P141" s="3" t="s">
        <v>1511</v>
      </c>
      <c r="Q141" s="3" t="s">
        <v>6640</v>
      </c>
      <c r="R141" s="3" t="s">
        <v>1512</v>
      </c>
      <c r="S141" s="3" t="s">
        <v>6771</v>
      </c>
      <c r="T141" s="3" t="s">
        <v>1514</v>
      </c>
      <c r="U141" s="3" t="s">
        <v>6650</v>
      </c>
      <c r="V141" s="3" t="s">
        <v>1515</v>
      </c>
      <c r="W141" s="3" t="s">
        <v>6509</v>
      </c>
      <c r="X141" s="3" t="s">
        <v>1516</v>
      </c>
      <c r="Y141" s="3" t="s">
        <v>6510</v>
      </c>
      <c r="Z141" s="3" t="s">
        <v>1517</v>
      </c>
      <c r="AA141" s="3" t="s">
        <v>6569</v>
      </c>
    </row>
    <row r="142" customFormat="false" ht="15" hidden="false" customHeight="true" outlineLevel="0" collapsed="false">
      <c r="A142" s="3" t="s">
        <v>1518</v>
      </c>
      <c r="B142" s="3" t="n">
        <v>3</v>
      </c>
      <c r="C142" s="3" t="n">
        <v>24</v>
      </c>
      <c r="D142" s="3" t="str">
        <f aca="false">Combined!G142</f>
        <v>Student age (≤29)</v>
      </c>
      <c r="E142" s="3" t="s">
        <v>45</v>
      </c>
      <c r="F142" s="3" t="s">
        <v>1519</v>
      </c>
      <c r="G142" s="3" t="s">
        <v>1519</v>
      </c>
      <c r="H142" s="3" t="s">
        <v>1520</v>
      </c>
      <c r="I142" s="3" t="s">
        <v>6954</v>
      </c>
      <c r="J142" s="5" t="s">
        <v>1521</v>
      </c>
      <c r="K142" s="3" t="s">
        <v>6955</v>
      </c>
      <c r="L142" s="5" t="s">
        <v>1522</v>
      </c>
      <c r="M142" s="3" t="s">
        <v>6956</v>
      </c>
      <c r="N142" s="3" t="s">
        <v>1523</v>
      </c>
      <c r="O142" s="3" t="s">
        <v>6511</v>
      </c>
      <c r="P142" s="5" t="s">
        <v>1524</v>
      </c>
      <c r="Q142" s="3" t="s">
        <v>6560</v>
      </c>
      <c r="R142" s="5" t="s">
        <v>1525</v>
      </c>
      <c r="S142" s="3" t="s">
        <v>6709</v>
      </c>
      <c r="T142" s="3" t="s">
        <v>1527</v>
      </c>
      <c r="U142" s="3" t="s">
        <v>6650</v>
      </c>
      <c r="V142" s="3" t="s">
        <v>1528</v>
      </c>
      <c r="W142" s="3" t="s">
        <v>6650</v>
      </c>
      <c r="X142" s="3" t="s">
        <v>1529</v>
      </c>
      <c r="Y142" s="3" t="s">
        <v>6568</v>
      </c>
      <c r="Z142" s="3" t="s">
        <v>1530</v>
      </c>
      <c r="AA142" s="3" t="s">
        <v>6820</v>
      </c>
    </row>
    <row r="143" customFormat="false" ht="15" hidden="false" customHeight="true" outlineLevel="0" collapsed="false">
      <c r="A143" s="3" t="s">
        <v>1531</v>
      </c>
      <c r="B143" s="3" t="n">
        <v>3</v>
      </c>
      <c r="C143" s="3" t="n">
        <v>22</v>
      </c>
      <c r="D143" s="3" t="str">
        <f aca="false">Combined!G143</f>
        <v>Student age (≤29)</v>
      </c>
      <c r="E143" s="3" t="s">
        <v>83</v>
      </c>
      <c r="F143" s="3" t="s">
        <v>1532</v>
      </c>
      <c r="G143" s="3" t="s">
        <v>1532</v>
      </c>
      <c r="H143" s="3" t="s">
        <v>1533</v>
      </c>
      <c r="I143" s="3" t="s">
        <v>6862</v>
      </c>
      <c r="J143" s="3" t="s">
        <v>1534</v>
      </c>
      <c r="K143" s="3" t="s">
        <v>6863</v>
      </c>
      <c r="L143" s="3" t="s">
        <v>1535</v>
      </c>
      <c r="M143" s="3" t="s">
        <v>6957</v>
      </c>
      <c r="N143" s="3" t="s">
        <v>1536</v>
      </c>
      <c r="O143" s="3" t="s">
        <v>6530</v>
      </c>
      <c r="P143" s="3" t="s">
        <v>1537</v>
      </c>
      <c r="Q143" s="3" t="s">
        <v>6958</v>
      </c>
      <c r="R143" s="3" t="s">
        <v>1538</v>
      </c>
      <c r="S143" s="3" t="s">
        <v>6885</v>
      </c>
      <c r="T143" s="3" t="s">
        <v>1540</v>
      </c>
      <c r="U143" s="3" t="s">
        <v>6688</v>
      </c>
      <c r="V143" s="3" t="s">
        <v>1541</v>
      </c>
      <c r="W143" s="3" t="s">
        <v>6959</v>
      </c>
      <c r="X143" s="3" t="s">
        <v>1542</v>
      </c>
      <c r="Y143" s="3" t="s">
        <v>6960</v>
      </c>
      <c r="Z143" s="5" t="s">
        <v>1543</v>
      </c>
      <c r="AA143" s="3" t="s">
        <v>6961</v>
      </c>
    </row>
    <row r="144" customFormat="false" ht="15" hidden="false" customHeight="true" outlineLevel="0" collapsed="false">
      <c r="A144" s="3" t="s">
        <v>1544</v>
      </c>
      <c r="B144" s="3" t="n">
        <v>3</v>
      </c>
      <c r="C144" s="3" t="n">
        <v>23</v>
      </c>
      <c r="D144" s="3" t="str">
        <f aca="false">Combined!G144</f>
        <v>Student age (≤29)</v>
      </c>
      <c r="E144" s="3" t="s">
        <v>45</v>
      </c>
      <c r="F144" s="3" t="s">
        <v>47</v>
      </c>
      <c r="G144" s="3" t="s">
        <v>47</v>
      </c>
      <c r="H144" s="3" t="s">
        <v>1545</v>
      </c>
      <c r="I144" s="3" t="s">
        <v>6759</v>
      </c>
      <c r="J144" s="3" t="s">
        <v>1546</v>
      </c>
      <c r="K144" s="3" t="s">
        <v>6516</v>
      </c>
      <c r="L144" s="3" t="s">
        <v>1547</v>
      </c>
      <c r="M144" s="3" t="s">
        <v>6962</v>
      </c>
      <c r="N144" s="3" t="s">
        <v>59</v>
      </c>
      <c r="O144" s="3" t="s">
        <v>59</v>
      </c>
      <c r="P144" s="3" t="s">
        <v>1548</v>
      </c>
      <c r="Q144" s="3" t="s">
        <v>6609</v>
      </c>
      <c r="R144" s="3" t="s">
        <v>1549</v>
      </c>
      <c r="S144" s="3" t="s">
        <v>6963</v>
      </c>
      <c r="T144" s="3" t="s">
        <v>1551</v>
      </c>
      <c r="U144" s="3" t="s">
        <v>6644</v>
      </c>
      <c r="V144" s="3" t="s">
        <v>1552</v>
      </c>
      <c r="W144" s="3" t="s">
        <v>6964</v>
      </c>
      <c r="X144" s="3" t="s">
        <v>1553</v>
      </c>
      <c r="Y144" s="3" t="s">
        <v>6545</v>
      </c>
      <c r="Z144" s="3" t="s">
        <v>1554</v>
      </c>
      <c r="AA144" s="3" t="s">
        <v>6965</v>
      </c>
    </row>
    <row r="145" customFormat="false" ht="15" hidden="false" customHeight="true" outlineLevel="0" collapsed="false">
      <c r="A145" s="3" t="s">
        <v>1555</v>
      </c>
      <c r="B145" s="3" t="n">
        <v>3</v>
      </c>
      <c r="C145" s="3" t="n">
        <v>20</v>
      </c>
      <c r="D145" s="3" t="str">
        <f aca="false">Combined!G145</f>
        <v>Student age (≤29)</v>
      </c>
      <c r="E145" s="3" t="s">
        <v>1556</v>
      </c>
      <c r="F145" s="3" t="s">
        <v>47</v>
      </c>
      <c r="G145" s="3" t="s">
        <v>47</v>
      </c>
      <c r="H145" s="3" t="s">
        <v>1557</v>
      </c>
      <c r="I145" s="3" t="s">
        <v>6763</v>
      </c>
      <c r="J145" s="3" t="s">
        <v>1558</v>
      </c>
      <c r="K145" s="3" t="s">
        <v>6966</v>
      </c>
      <c r="L145" s="3" t="s">
        <v>1559</v>
      </c>
      <c r="M145" s="3" t="s">
        <v>6967</v>
      </c>
      <c r="N145" s="3" t="s">
        <v>1560</v>
      </c>
      <c r="O145" s="3" t="s">
        <v>59</v>
      </c>
      <c r="P145" s="5" t="s">
        <v>1561</v>
      </c>
      <c r="Q145" s="3" t="s">
        <v>6968</v>
      </c>
      <c r="R145" s="3" t="s">
        <v>1562</v>
      </c>
      <c r="S145" s="3" t="s">
        <v>6969</v>
      </c>
      <c r="T145" s="3" t="s">
        <v>1564</v>
      </c>
      <c r="U145" s="3" t="s">
        <v>6970</v>
      </c>
      <c r="V145" s="3" t="s">
        <v>1565</v>
      </c>
      <c r="W145" s="3" t="s">
        <v>6971</v>
      </c>
      <c r="X145" s="3" t="s">
        <v>1566</v>
      </c>
      <c r="Y145" s="3" t="s">
        <v>6972</v>
      </c>
      <c r="Z145" s="3" t="s">
        <v>1567</v>
      </c>
      <c r="AA145" s="3" t="s">
        <v>6973</v>
      </c>
    </row>
    <row r="146" customFormat="false" ht="15" hidden="false" customHeight="true" outlineLevel="0" collapsed="false">
      <c r="A146" s="3" t="s">
        <v>1568</v>
      </c>
      <c r="B146" s="3" t="n">
        <v>3</v>
      </c>
      <c r="C146" s="3" t="n">
        <v>21</v>
      </c>
      <c r="D146" s="3" t="str">
        <f aca="false">Combined!G146</f>
        <v>Student age (≤29)</v>
      </c>
      <c r="E146" s="3" t="s">
        <v>83</v>
      </c>
      <c r="F146" s="3" t="s">
        <v>437</v>
      </c>
      <c r="G146" s="3" t="s">
        <v>437</v>
      </c>
      <c r="H146" s="3" t="s">
        <v>1571</v>
      </c>
      <c r="I146" s="3" t="s">
        <v>6769</v>
      </c>
      <c r="J146" s="3" t="s">
        <v>1572</v>
      </c>
      <c r="K146" s="3" t="s">
        <v>6564</v>
      </c>
      <c r="L146" s="3" t="s">
        <v>1573</v>
      </c>
      <c r="M146" s="3" t="s">
        <v>6974</v>
      </c>
      <c r="N146" s="3" t="s">
        <v>1574</v>
      </c>
      <c r="O146" s="3" t="s">
        <v>6511</v>
      </c>
      <c r="P146" s="3" t="s">
        <v>1575</v>
      </c>
      <c r="Q146" s="3" t="s">
        <v>6975</v>
      </c>
      <c r="R146" s="3" t="s">
        <v>1576</v>
      </c>
      <c r="S146" s="3" t="s">
        <v>6551</v>
      </c>
      <c r="T146" s="3" t="s">
        <v>1578</v>
      </c>
      <c r="U146" s="3" t="s">
        <v>6976</v>
      </c>
      <c r="V146" s="3" t="s">
        <v>1579</v>
      </c>
      <c r="W146" s="3" t="s">
        <v>6545</v>
      </c>
      <c r="X146" s="3" t="s">
        <v>1580</v>
      </c>
      <c r="Y146" s="3" t="s">
        <v>6611</v>
      </c>
      <c r="Z146" s="3" t="s">
        <v>1581</v>
      </c>
      <c r="AA146" s="3" t="s">
        <v>6646</v>
      </c>
    </row>
    <row r="147" customFormat="false" ht="15" hidden="false" customHeight="true" outlineLevel="0" collapsed="false">
      <c r="A147" s="3" t="s">
        <v>1582</v>
      </c>
      <c r="B147" s="3" t="n">
        <v>3</v>
      </c>
      <c r="C147" s="3" t="n">
        <v>21</v>
      </c>
      <c r="D147" s="3" t="str">
        <f aca="false">Combined!G147</f>
        <v>Student age (≤29)</v>
      </c>
      <c r="E147" s="3" t="s">
        <v>45</v>
      </c>
      <c r="F147" s="3" t="s">
        <v>1583</v>
      </c>
      <c r="G147" s="3" t="s">
        <v>1583</v>
      </c>
      <c r="H147" s="3" t="s">
        <v>1584</v>
      </c>
      <c r="I147" s="3" t="s">
        <v>6508</v>
      </c>
      <c r="J147" s="3" t="s">
        <v>1402</v>
      </c>
      <c r="K147" s="3" t="s">
        <v>6510</v>
      </c>
      <c r="L147" s="3" t="s">
        <v>1402</v>
      </c>
      <c r="M147" s="3" t="s">
        <v>6510</v>
      </c>
      <c r="N147" s="3" t="s">
        <v>1585</v>
      </c>
      <c r="O147" s="3" t="s">
        <v>6511</v>
      </c>
      <c r="P147" s="3" t="s">
        <v>1586</v>
      </c>
      <c r="Q147" s="3" t="s">
        <v>6518</v>
      </c>
      <c r="R147" s="3" t="s">
        <v>1587</v>
      </c>
      <c r="S147" s="3" t="s">
        <v>6771</v>
      </c>
      <c r="T147" s="3" t="s">
        <v>1589</v>
      </c>
      <c r="U147" s="3" t="s">
        <v>6754</v>
      </c>
      <c r="V147" s="3" t="s">
        <v>1590</v>
      </c>
      <c r="W147" s="3" t="s">
        <v>6977</v>
      </c>
      <c r="X147" s="3" t="s">
        <v>1591</v>
      </c>
      <c r="Y147" s="3" t="s">
        <v>6978</v>
      </c>
      <c r="Z147" s="3" t="s">
        <v>1592</v>
      </c>
      <c r="AA147" s="3" t="s">
        <v>6545</v>
      </c>
    </row>
    <row r="148" customFormat="false" ht="15" hidden="false" customHeight="true" outlineLevel="0" collapsed="false">
      <c r="A148" s="3" t="s">
        <v>1593</v>
      </c>
      <c r="B148" s="3" t="n">
        <v>3</v>
      </c>
      <c r="C148" s="3" t="n">
        <v>57</v>
      </c>
      <c r="D148" s="3" t="str">
        <f aca="false">Combined!G148</f>
        <v>Middle-aged (30–64)</v>
      </c>
      <c r="E148" s="3" t="s">
        <v>45</v>
      </c>
      <c r="F148" s="3" t="s">
        <v>47</v>
      </c>
      <c r="G148" s="3" t="s">
        <v>47</v>
      </c>
      <c r="H148" s="3" t="s">
        <v>1594</v>
      </c>
      <c r="I148" s="3" t="s">
        <v>6521</v>
      </c>
      <c r="J148" s="3" t="s">
        <v>1595</v>
      </c>
      <c r="K148" s="3" t="s">
        <v>6551</v>
      </c>
      <c r="L148" s="3" t="s">
        <v>1596</v>
      </c>
      <c r="M148" s="3" t="s">
        <v>6547</v>
      </c>
      <c r="N148" s="3" t="s">
        <v>59</v>
      </c>
      <c r="O148" s="3" t="s">
        <v>59</v>
      </c>
      <c r="P148" s="3" t="s">
        <v>1597</v>
      </c>
      <c r="Q148" s="3" t="s">
        <v>6979</v>
      </c>
      <c r="R148" s="3" t="s">
        <v>59</v>
      </c>
      <c r="S148" s="3" t="s">
        <v>6647</v>
      </c>
      <c r="T148" s="3" t="s">
        <v>1599</v>
      </c>
      <c r="U148" s="3" t="s">
        <v>6980</v>
      </c>
      <c r="V148" s="3" t="s">
        <v>1600</v>
      </c>
      <c r="W148" s="3" t="s">
        <v>6545</v>
      </c>
      <c r="X148" s="3" t="s">
        <v>1601</v>
      </c>
      <c r="Y148" s="3" t="s">
        <v>6541</v>
      </c>
      <c r="Z148" s="3" t="s">
        <v>1602</v>
      </c>
      <c r="AA148" s="3" t="s">
        <v>6538</v>
      </c>
    </row>
    <row r="149" customFormat="false" ht="15" hidden="false" customHeight="true" outlineLevel="0" collapsed="false">
      <c r="A149" s="3" t="s">
        <v>1603</v>
      </c>
      <c r="B149" s="3" t="n">
        <v>3</v>
      </c>
      <c r="C149" s="3" t="n">
        <v>19</v>
      </c>
      <c r="D149" s="3" t="str">
        <f aca="false">Combined!G149</f>
        <v>Student age (≤29)</v>
      </c>
      <c r="E149" s="3" t="s">
        <v>45</v>
      </c>
      <c r="F149" s="3" t="s">
        <v>47</v>
      </c>
      <c r="G149" s="3" t="s">
        <v>47</v>
      </c>
      <c r="H149" s="3" t="s">
        <v>311</v>
      </c>
      <c r="I149" s="3" t="s">
        <v>6539</v>
      </c>
      <c r="J149" s="3" t="s">
        <v>1604</v>
      </c>
      <c r="K149" s="3" t="s">
        <v>6540</v>
      </c>
      <c r="L149" s="3" t="s">
        <v>1605</v>
      </c>
      <c r="M149" s="3" t="s">
        <v>6981</v>
      </c>
      <c r="N149" s="3" t="s">
        <v>1606</v>
      </c>
      <c r="O149" s="3" t="s">
        <v>6511</v>
      </c>
      <c r="P149" s="3" t="s">
        <v>1607</v>
      </c>
      <c r="Q149" s="3" t="s">
        <v>6518</v>
      </c>
      <c r="R149" s="3" t="s">
        <v>1608</v>
      </c>
      <c r="S149" s="3" t="s">
        <v>6982</v>
      </c>
      <c r="T149" s="3" t="s">
        <v>1610</v>
      </c>
      <c r="U149" s="3" t="s">
        <v>6983</v>
      </c>
      <c r="V149" s="3" t="s">
        <v>1611</v>
      </c>
      <c r="W149" s="3" t="s">
        <v>6984</v>
      </c>
      <c r="X149" s="3" t="s">
        <v>1612</v>
      </c>
      <c r="Y149" s="3" t="s">
        <v>6985</v>
      </c>
      <c r="Z149" s="3" t="s">
        <v>1613</v>
      </c>
      <c r="AA149" s="3" t="s">
        <v>6986</v>
      </c>
    </row>
    <row r="150" customFormat="false" ht="15" hidden="false" customHeight="true" outlineLevel="0" collapsed="false">
      <c r="A150" s="3" t="s">
        <v>1614</v>
      </c>
      <c r="B150" s="3" t="n">
        <v>3</v>
      </c>
      <c r="C150" s="3" t="n">
        <v>39</v>
      </c>
      <c r="D150" s="3" t="str">
        <f aca="false">Combined!G150</f>
        <v>Middle-aged (30–64)</v>
      </c>
      <c r="E150" s="3" t="s">
        <v>45</v>
      </c>
      <c r="F150" s="3" t="s">
        <v>47</v>
      </c>
      <c r="G150" s="3" t="s">
        <v>47</v>
      </c>
      <c r="H150" s="3" t="s">
        <v>1615</v>
      </c>
      <c r="I150" s="3" t="s">
        <v>6539</v>
      </c>
      <c r="J150" s="3" t="s">
        <v>1616</v>
      </c>
      <c r="K150" s="3" t="s">
        <v>6540</v>
      </c>
      <c r="L150" s="3" t="s">
        <v>1617</v>
      </c>
      <c r="M150" s="3" t="s">
        <v>6828</v>
      </c>
      <c r="N150" s="3" t="s">
        <v>1618</v>
      </c>
      <c r="O150" s="3" t="s">
        <v>6511</v>
      </c>
      <c r="P150" s="3" t="s">
        <v>1619</v>
      </c>
      <c r="Q150" s="3" t="s">
        <v>6717</v>
      </c>
      <c r="R150" s="3" t="s">
        <v>1620</v>
      </c>
      <c r="S150" s="3" t="s">
        <v>6585</v>
      </c>
      <c r="T150" s="3" t="s">
        <v>1622</v>
      </c>
      <c r="U150" s="3" t="s">
        <v>6611</v>
      </c>
      <c r="V150" s="3" t="s">
        <v>1623</v>
      </c>
      <c r="W150" s="3" t="s">
        <v>6900</v>
      </c>
      <c r="X150" s="3" t="s">
        <v>1624</v>
      </c>
      <c r="Y150" s="3" t="s">
        <v>6929</v>
      </c>
      <c r="Z150" s="3" t="s">
        <v>1626</v>
      </c>
      <c r="AA150" s="3" t="s">
        <v>6538</v>
      </c>
    </row>
    <row r="151" customFormat="false" ht="15" hidden="false" customHeight="true" outlineLevel="0" collapsed="false">
      <c r="A151" s="3" t="s">
        <v>1627</v>
      </c>
      <c r="B151" s="3" t="n">
        <v>3</v>
      </c>
      <c r="C151" s="3" t="n">
        <v>23</v>
      </c>
      <c r="D151" s="3" t="str">
        <f aca="false">Combined!G151</f>
        <v>Student age (≤29)</v>
      </c>
      <c r="E151" s="3" t="s">
        <v>45</v>
      </c>
      <c r="F151" s="3" t="s">
        <v>47</v>
      </c>
      <c r="G151" s="3" t="s">
        <v>47</v>
      </c>
      <c r="H151" s="3" t="s">
        <v>1628</v>
      </c>
      <c r="I151" s="3" t="s">
        <v>6539</v>
      </c>
      <c r="J151" s="3" t="s">
        <v>1629</v>
      </c>
      <c r="K151" s="3" t="s">
        <v>6540</v>
      </c>
      <c r="L151" s="3" t="s">
        <v>1630</v>
      </c>
      <c r="M151" s="3" t="s">
        <v>6729</v>
      </c>
      <c r="N151" s="3" t="s">
        <v>1631</v>
      </c>
      <c r="O151" s="3" t="s">
        <v>6511</v>
      </c>
      <c r="P151" s="5" t="s">
        <v>1632</v>
      </c>
      <c r="Q151" s="3" t="s">
        <v>6518</v>
      </c>
      <c r="R151" s="3" t="s">
        <v>1633</v>
      </c>
      <c r="S151" s="3" t="s">
        <v>6987</v>
      </c>
      <c r="T151" s="3" t="s">
        <v>1635</v>
      </c>
      <c r="U151" s="3" t="s">
        <v>6988</v>
      </c>
      <c r="V151" s="3" t="s">
        <v>1636</v>
      </c>
      <c r="W151" s="3" t="s">
        <v>6989</v>
      </c>
      <c r="X151" s="3" t="s">
        <v>1637</v>
      </c>
      <c r="Y151" s="3" t="s">
        <v>6651</v>
      </c>
      <c r="Z151" s="3" t="s">
        <v>1638</v>
      </c>
      <c r="AA151" s="3" t="s">
        <v>6990</v>
      </c>
    </row>
    <row r="152" customFormat="false" ht="15" hidden="false" customHeight="true" outlineLevel="0" collapsed="false">
      <c r="A152" s="3" t="s">
        <v>1639</v>
      </c>
      <c r="B152" s="3" t="n">
        <v>3</v>
      </c>
      <c r="C152" s="3" t="n">
        <v>22</v>
      </c>
      <c r="D152" s="3" t="str">
        <f aca="false">Combined!G152</f>
        <v>Student age (≤29)</v>
      </c>
      <c r="E152" s="3" t="s">
        <v>83</v>
      </c>
      <c r="F152" s="3" t="s">
        <v>47</v>
      </c>
      <c r="G152" s="3" t="s">
        <v>47</v>
      </c>
      <c r="H152" s="3" t="s">
        <v>1640</v>
      </c>
      <c r="I152" s="3" t="s">
        <v>6608</v>
      </c>
      <c r="J152" s="3" t="s">
        <v>1641</v>
      </c>
      <c r="K152" s="3" t="s">
        <v>6545</v>
      </c>
      <c r="L152" s="3" t="s">
        <v>1642</v>
      </c>
      <c r="M152" s="3" t="s">
        <v>6545</v>
      </c>
      <c r="N152" s="3" t="s">
        <v>98</v>
      </c>
      <c r="O152" s="3" t="s">
        <v>6517</v>
      </c>
      <c r="P152" s="3" t="s">
        <v>1643</v>
      </c>
      <c r="Q152" s="3" t="s">
        <v>6542</v>
      </c>
      <c r="R152" s="3" t="s">
        <v>1644</v>
      </c>
      <c r="S152" s="3" t="s">
        <v>6775</v>
      </c>
      <c r="T152" s="3" t="s">
        <v>1646</v>
      </c>
      <c r="U152" s="3" t="s">
        <v>6715</v>
      </c>
      <c r="V152" s="3" t="s">
        <v>1647</v>
      </c>
      <c r="W152" s="3" t="s">
        <v>6850</v>
      </c>
      <c r="X152" s="3" t="s">
        <v>1648</v>
      </c>
      <c r="Y152" s="3" t="s">
        <v>6948</v>
      </c>
      <c r="Z152" s="3" t="s">
        <v>1649</v>
      </c>
      <c r="AA152" s="3" t="s">
        <v>6828</v>
      </c>
    </row>
    <row r="153" customFormat="false" ht="15" hidden="false" customHeight="true" outlineLevel="0" collapsed="false">
      <c r="A153" s="3" t="s">
        <v>1650</v>
      </c>
      <c r="B153" s="3" t="n">
        <v>3</v>
      </c>
      <c r="C153" s="3" t="n">
        <v>21</v>
      </c>
      <c r="D153" s="3" t="str">
        <f aca="false">Combined!G153</f>
        <v>Student age (≤29)</v>
      </c>
      <c r="E153" s="3" t="s">
        <v>45</v>
      </c>
      <c r="F153" s="3" t="s">
        <v>47</v>
      </c>
      <c r="G153" s="3" t="s">
        <v>47</v>
      </c>
      <c r="H153" s="3" t="s">
        <v>1651</v>
      </c>
      <c r="I153" s="3" t="s">
        <v>6637</v>
      </c>
      <c r="J153" s="3" t="s">
        <v>1652</v>
      </c>
      <c r="K153" s="3" t="s">
        <v>6551</v>
      </c>
      <c r="L153" s="3" t="s">
        <v>1653</v>
      </c>
      <c r="M153" s="3" t="s">
        <v>6991</v>
      </c>
      <c r="N153" s="3" t="s">
        <v>1654</v>
      </c>
      <c r="O153" s="3" t="s">
        <v>6511</v>
      </c>
      <c r="P153" s="3" t="s">
        <v>1655</v>
      </c>
      <c r="Q153" s="3" t="s">
        <v>6992</v>
      </c>
      <c r="R153" s="3" t="s">
        <v>1656</v>
      </c>
      <c r="S153" s="3" t="s">
        <v>6581</v>
      </c>
      <c r="T153" s="3" t="s">
        <v>1658</v>
      </c>
      <c r="U153" s="3" t="s">
        <v>6568</v>
      </c>
      <c r="V153" s="3" t="s">
        <v>1659</v>
      </c>
      <c r="W153" s="3" t="s">
        <v>6568</v>
      </c>
      <c r="X153" s="3" t="s">
        <v>1660</v>
      </c>
      <c r="Y153" s="3" t="s">
        <v>6545</v>
      </c>
      <c r="Z153" s="3" t="s">
        <v>1661</v>
      </c>
      <c r="AA153" s="3" t="s">
        <v>6602</v>
      </c>
    </row>
    <row r="154" customFormat="false" ht="15" hidden="false" customHeight="true" outlineLevel="0" collapsed="false">
      <c r="A154" s="3" t="s">
        <v>1662</v>
      </c>
      <c r="B154" s="3" t="n">
        <v>3</v>
      </c>
      <c r="C154" s="3" t="n">
        <v>22</v>
      </c>
      <c r="D154" s="3" t="str">
        <f aca="false">Combined!G154</f>
        <v>Student age (≤29)</v>
      </c>
      <c r="E154" s="3" t="s">
        <v>1447</v>
      </c>
      <c r="F154" s="3" t="s">
        <v>47</v>
      </c>
      <c r="G154" s="3" t="s">
        <v>47</v>
      </c>
      <c r="H154" s="3" t="s">
        <v>1663</v>
      </c>
      <c r="I154" s="3" t="s">
        <v>6993</v>
      </c>
      <c r="J154" s="3" t="s">
        <v>1664</v>
      </c>
      <c r="K154" s="3" t="s">
        <v>6994</v>
      </c>
      <c r="L154" s="3" t="s">
        <v>1665</v>
      </c>
      <c r="M154" s="3" t="s">
        <v>6995</v>
      </c>
      <c r="N154" s="3" t="s">
        <v>1666</v>
      </c>
      <c r="O154" s="3" t="s">
        <v>6511</v>
      </c>
      <c r="P154" s="3" t="s">
        <v>1667</v>
      </c>
      <c r="Q154" s="3" t="s">
        <v>6609</v>
      </c>
      <c r="R154" s="3" t="s">
        <v>1668</v>
      </c>
      <c r="S154" s="3" t="s">
        <v>6551</v>
      </c>
      <c r="T154" s="3" t="s">
        <v>1670</v>
      </c>
      <c r="U154" s="3" t="s">
        <v>6635</v>
      </c>
      <c r="V154" s="3" t="s">
        <v>1671</v>
      </c>
      <c r="W154" s="3" t="s">
        <v>6996</v>
      </c>
      <c r="X154" s="3" t="s">
        <v>1672</v>
      </c>
      <c r="Y154" s="3" t="s">
        <v>6901</v>
      </c>
      <c r="Z154" s="3" t="s">
        <v>1673</v>
      </c>
      <c r="AA154" s="3" t="s">
        <v>6568</v>
      </c>
    </row>
    <row r="155" customFormat="false" ht="15" hidden="false" customHeight="true" outlineLevel="0" collapsed="false">
      <c r="A155" s="3" t="s">
        <v>1674</v>
      </c>
      <c r="B155" s="3" t="n">
        <v>3</v>
      </c>
      <c r="C155" s="3" t="n">
        <v>19</v>
      </c>
      <c r="D155" s="3" t="str">
        <f aca="false">Combined!G155</f>
        <v>Student age (≤29)</v>
      </c>
      <c r="E155" s="3" t="s">
        <v>45</v>
      </c>
      <c r="F155" s="3" t="s">
        <v>47</v>
      </c>
      <c r="G155" s="3" t="s">
        <v>47</v>
      </c>
      <c r="H155" s="3" t="s">
        <v>1675</v>
      </c>
      <c r="I155" s="3" t="s">
        <v>6539</v>
      </c>
      <c r="J155" s="3" t="s">
        <v>1676</v>
      </c>
      <c r="K155" s="3" t="s">
        <v>6848</v>
      </c>
      <c r="L155" s="3" t="s">
        <v>1677</v>
      </c>
      <c r="M155" s="3" t="s">
        <v>6509</v>
      </c>
      <c r="N155" s="3" t="s">
        <v>1678</v>
      </c>
      <c r="O155" s="3" t="s">
        <v>6511</v>
      </c>
      <c r="P155" s="3" t="s">
        <v>1679</v>
      </c>
      <c r="Q155" s="3" t="s">
        <v>6997</v>
      </c>
      <c r="R155" s="3" t="s">
        <v>1680</v>
      </c>
      <c r="S155" s="3" t="s">
        <v>6551</v>
      </c>
      <c r="T155" s="3" t="s">
        <v>1682</v>
      </c>
      <c r="U155" s="3" t="s">
        <v>6998</v>
      </c>
      <c r="V155" s="3" t="s">
        <v>1683</v>
      </c>
      <c r="W155" s="3" t="s">
        <v>6999</v>
      </c>
      <c r="X155" s="3" t="s">
        <v>1684</v>
      </c>
      <c r="Y155" s="3" t="s">
        <v>6910</v>
      </c>
      <c r="Z155" s="3" t="s">
        <v>1685</v>
      </c>
      <c r="AA155" s="3" t="s">
        <v>6516</v>
      </c>
    </row>
    <row r="156" customFormat="false" ht="15" hidden="false" customHeight="true" outlineLevel="0" collapsed="false">
      <c r="A156" s="3" t="s">
        <v>1686</v>
      </c>
      <c r="B156" s="3" t="n">
        <v>3</v>
      </c>
      <c r="C156" s="3" t="n">
        <v>23</v>
      </c>
      <c r="D156" s="3" t="str">
        <f aca="false">Combined!G156</f>
        <v>Student age (≤29)</v>
      </c>
      <c r="E156" s="3" t="s">
        <v>45</v>
      </c>
      <c r="F156" s="3" t="s">
        <v>1687</v>
      </c>
      <c r="G156" s="3" t="s">
        <v>47</v>
      </c>
      <c r="H156" s="3" t="s">
        <v>104</v>
      </c>
      <c r="I156" s="3" t="s">
        <v>6539</v>
      </c>
      <c r="J156" s="3" t="s">
        <v>1688</v>
      </c>
      <c r="K156" s="3" t="s">
        <v>6535</v>
      </c>
      <c r="L156" s="3" t="s">
        <v>1689</v>
      </c>
      <c r="M156" s="3" t="s">
        <v>6942</v>
      </c>
      <c r="N156" s="3" t="s">
        <v>1690</v>
      </c>
      <c r="O156" s="3" t="s">
        <v>6530</v>
      </c>
      <c r="P156" s="3" t="s">
        <v>1691</v>
      </c>
      <c r="Q156" s="3" t="s">
        <v>7000</v>
      </c>
      <c r="R156" s="3" t="s">
        <v>1692</v>
      </c>
      <c r="S156" s="3" t="s">
        <v>6578</v>
      </c>
      <c r="T156" s="3" t="s">
        <v>1694</v>
      </c>
      <c r="U156" s="3" t="s">
        <v>7001</v>
      </c>
      <c r="V156" s="3" t="s">
        <v>1695</v>
      </c>
      <c r="W156" s="3" t="s">
        <v>6765</v>
      </c>
      <c r="X156" s="3" t="s">
        <v>1696</v>
      </c>
      <c r="Y156" s="3" t="s">
        <v>6820</v>
      </c>
      <c r="Z156" s="3" t="s">
        <v>1697</v>
      </c>
      <c r="AA156" s="3" t="s">
        <v>7002</v>
      </c>
    </row>
    <row r="157" customFormat="false" ht="15" hidden="false" customHeight="true" outlineLevel="0" collapsed="false">
      <c r="A157" s="3" t="s">
        <v>1698</v>
      </c>
      <c r="B157" s="3" t="n">
        <v>3</v>
      </c>
      <c r="C157" s="3" t="n">
        <v>16</v>
      </c>
      <c r="D157" s="3" t="str">
        <f aca="false">Combined!G157</f>
        <v>Student age (≤29)</v>
      </c>
      <c r="E157" s="3" t="s">
        <v>1556</v>
      </c>
      <c r="F157" s="3" t="s">
        <v>47</v>
      </c>
      <c r="G157" s="3" t="s">
        <v>47</v>
      </c>
      <c r="H157" s="3" t="s">
        <v>1699</v>
      </c>
      <c r="I157" s="3" t="s">
        <v>6539</v>
      </c>
      <c r="J157" s="3" t="s">
        <v>1700</v>
      </c>
      <c r="K157" s="3" t="s">
        <v>6534</v>
      </c>
      <c r="L157" s="3" t="s">
        <v>1701</v>
      </c>
      <c r="M157" s="3" t="s">
        <v>7003</v>
      </c>
      <c r="N157" s="3" t="s">
        <v>1702</v>
      </c>
      <c r="O157" s="3" t="s">
        <v>6511</v>
      </c>
      <c r="P157" s="3" t="s">
        <v>1703</v>
      </c>
      <c r="Q157" s="3" t="s">
        <v>6542</v>
      </c>
      <c r="R157" s="3" t="s">
        <v>1704</v>
      </c>
      <c r="S157" s="3" t="s">
        <v>6551</v>
      </c>
      <c r="T157" s="3" t="s">
        <v>1706</v>
      </c>
      <c r="U157" s="3" t="s">
        <v>6693</v>
      </c>
      <c r="V157" s="3" t="s">
        <v>1707</v>
      </c>
      <c r="W157" s="3" t="s">
        <v>6509</v>
      </c>
      <c r="X157" s="3" t="s">
        <v>1708</v>
      </c>
      <c r="Y157" s="3" t="s">
        <v>6510</v>
      </c>
      <c r="Z157" s="3" t="s">
        <v>1709</v>
      </c>
      <c r="AA157" s="3" t="s">
        <v>7004</v>
      </c>
    </row>
    <row r="158" customFormat="false" ht="15" hidden="false" customHeight="true" outlineLevel="0" collapsed="false">
      <c r="A158" s="3" t="s">
        <v>1710</v>
      </c>
      <c r="B158" s="3" t="n">
        <v>3</v>
      </c>
      <c r="C158" s="3" t="n">
        <v>20</v>
      </c>
      <c r="D158" s="3" t="str">
        <f aca="false">Combined!G158</f>
        <v>Student age (≤29)</v>
      </c>
      <c r="E158" s="3" t="s">
        <v>45</v>
      </c>
      <c r="F158" s="3" t="s">
        <v>47</v>
      </c>
      <c r="G158" s="3" t="s">
        <v>47</v>
      </c>
      <c r="H158" s="3" t="s">
        <v>311</v>
      </c>
      <c r="I158" s="3" t="s">
        <v>6539</v>
      </c>
      <c r="J158" s="3" t="s">
        <v>1711</v>
      </c>
      <c r="K158" s="3" t="s">
        <v>6509</v>
      </c>
      <c r="L158" s="3" t="s">
        <v>1712</v>
      </c>
      <c r="M158" s="3" t="s">
        <v>6896</v>
      </c>
      <c r="N158" s="3" t="s">
        <v>1713</v>
      </c>
      <c r="O158" s="3" t="s">
        <v>6511</v>
      </c>
      <c r="P158" s="3" t="s">
        <v>1714</v>
      </c>
      <c r="Q158" s="3" t="s">
        <v>6577</v>
      </c>
      <c r="R158" s="3" t="s">
        <v>1715</v>
      </c>
      <c r="S158" s="3" t="s">
        <v>6581</v>
      </c>
      <c r="T158" s="3" t="s">
        <v>1717</v>
      </c>
      <c r="U158" s="3" t="s">
        <v>6526</v>
      </c>
      <c r="V158" s="3" t="s">
        <v>1718</v>
      </c>
      <c r="W158" s="3" t="s">
        <v>6778</v>
      </c>
      <c r="X158" s="3" t="s">
        <v>1719</v>
      </c>
      <c r="Y158" s="3" t="s">
        <v>6592</v>
      </c>
      <c r="Z158" s="3" t="s">
        <v>1720</v>
      </c>
      <c r="AA158" s="3" t="s">
        <v>6965</v>
      </c>
    </row>
    <row r="159" customFormat="false" ht="15" hidden="false" customHeight="true" outlineLevel="0" collapsed="false">
      <c r="A159" s="3" t="s">
        <v>1721</v>
      </c>
      <c r="B159" s="3" t="n">
        <v>3</v>
      </c>
      <c r="C159" s="3" t="n">
        <v>53</v>
      </c>
      <c r="D159" s="3" t="str">
        <f aca="false">Combined!G159</f>
        <v>Middle-aged (30–64)</v>
      </c>
      <c r="E159" s="3" t="s">
        <v>83</v>
      </c>
      <c r="F159" s="3" t="s">
        <v>1025</v>
      </c>
      <c r="G159" s="3" t="s">
        <v>47</v>
      </c>
      <c r="H159" s="3" t="s">
        <v>1724</v>
      </c>
      <c r="I159" s="3" t="s">
        <v>6827</v>
      </c>
      <c r="J159" s="3" t="s">
        <v>1725</v>
      </c>
      <c r="K159" s="3" t="s">
        <v>6540</v>
      </c>
      <c r="L159" s="3" t="s">
        <v>1726</v>
      </c>
      <c r="M159" s="3" t="s">
        <v>6540</v>
      </c>
      <c r="N159" s="3" t="s">
        <v>1727</v>
      </c>
      <c r="O159" s="3" t="s">
        <v>6517</v>
      </c>
      <c r="P159" s="3" t="s">
        <v>1728</v>
      </c>
      <c r="Q159" s="3" t="s">
        <v>6717</v>
      </c>
      <c r="R159" s="3" t="s">
        <v>1729</v>
      </c>
      <c r="S159" s="3" t="s">
        <v>6928</v>
      </c>
      <c r="T159" s="3" t="s">
        <v>5</v>
      </c>
      <c r="U159" s="3" t="s">
        <v>6551</v>
      </c>
      <c r="V159" s="3" t="s">
        <v>1731</v>
      </c>
      <c r="W159" s="3" t="s">
        <v>6545</v>
      </c>
      <c r="X159" s="3" t="s">
        <v>1732</v>
      </c>
      <c r="Y159" s="3" t="s">
        <v>6540</v>
      </c>
      <c r="Z159" s="3"/>
      <c r="AA159" s="3"/>
    </row>
    <row r="160" customFormat="false" ht="15" hidden="false" customHeight="true" outlineLevel="0" collapsed="false">
      <c r="A160" s="3" t="s">
        <v>1733</v>
      </c>
      <c r="B160" s="3" t="n">
        <v>3</v>
      </c>
      <c r="C160" s="3" t="n">
        <v>53</v>
      </c>
      <c r="D160" s="3" t="str">
        <f aca="false">Combined!G160</f>
        <v>Middle-aged (30–64)</v>
      </c>
      <c r="E160" s="3" t="s">
        <v>83</v>
      </c>
      <c r="F160" s="3" t="s">
        <v>47</v>
      </c>
      <c r="G160" s="3" t="s">
        <v>47</v>
      </c>
      <c r="H160" s="3" t="s">
        <v>1734</v>
      </c>
      <c r="I160" s="3" t="s">
        <v>6508</v>
      </c>
      <c r="J160" s="3" t="s">
        <v>1735</v>
      </c>
      <c r="K160" s="3" t="s">
        <v>7005</v>
      </c>
      <c r="L160" s="3" t="s">
        <v>1736</v>
      </c>
      <c r="M160" s="3" t="s">
        <v>6765</v>
      </c>
      <c r="N160" s="3" t="s">
        <v>1737</v>
      </c>
      <c r="O160" s="3" t="s">
        <v>6511</v>
      </c>
      <c r="P160" s="3" t="s">
        <v>1738</v>
      </c>
      <c r="Q160" s="3" t="s">
        <v>7006</v>
      </c>
      <c r="R160" s="3" t="s">
        <v>1739</v>
      </c>
      <c r="S160" s="3" t="s">
        <v>6551</v>
      </c>
      <c r="T160" s="3" t="s">
        <v>1741</v>
      </c>
      <c r="U160" s="3" t="s">
        <v>6644</v>
      </c>
      <c r="V160" s="3" t="s">
        <v>1742</v>
      </c>
      <c r="W160" s="3" t="s">
        <v>6545</v>
      </c>
      <c r="X160" s="3" t="s">
        <v>1743</v>
      </c>
      <c r="Y160" s="3" t="s">
        <v>6545</v>
      </c>
      <c r="Z160" s="3"/>
      <c r="AA160" s="3"/>
    </row>
    <row r="161" customFormat="false" ht="15" hidden="false" customHeight="true" outlineLevel="0" collapsed="false">
      <c r="A161" s="3" t="s">
        <v>1744</v>
      </c>
      <c r="B161" s="3" t="n">
        <v>3</v>
      </c>
      <c r="C161" s="3" t="n">
        <v>32</v>
      </c>
      <c r="D161" s="3" t="str">
        <f aca="false">Combined!G161</f>
        <v>Middle-aged (30–64)</v>
      </c>
      <c r="E161" s="3" t="s">
        <v>83</v>
      </c>
      <c r="F161" s="3" t="s">
        <v>1746</v>
      </c>
      <c r="G161" s="3" t="s">
        <v>47</v>
      </c>
      <c r="H161" s="3" t="s">
        <v>1748</v>
      </c>
      <c r="I161" s="3" t="s">
        <v>6539</v>
      </c>
      <c r="J161" s="3" t="s">
        <v>1749</v>
      </c>
      <c r="K161" s="3" t="s">
        <v>6509</v>
      </c>
      <c r="L161" s="3" t="s">
        <v>1750</v>
      </c>
      <c r="M161" s="3" t="s">
        <v>6836</v>
      </c>
      <c r="N161" s="3" t="s">
        <v>1751</v>
      </c>
      <c r="O161" s="3" t="s">
        <v>6511</v>
      </c>
      <c r="P161" s="3" t="s">
        <v>1752</v>
      </c>
      <c r="Q161" s="3" t="s">
        <v>7007</v>
      </c>
      <c r="R161" s="3" t="s">
        <v>1753</v>
      </c>
      <c r="S161" s="3" t="s">
        <v>6721</v>
      </c>
      <c r="T161" s="3" t="s">
        <v>1755</v>
      </c>
      <c r="U161" s="3" t="s">
        <v>7008</v>
      </c>
      <c r="V161" s="3" t="s">
        <v>1756</v>
      </c>
      <c r="W161" s="3" t="s">
        <v>6650</v>
      </c>
      <c r="X161" s="3" t="s">
        <v>1757</v>
      </c>
      <c r="Y161" s="3" t="s">
        <v>6901</v>
      </c>
      <c r="Z161" s="3" t="s">
        <v>1758</v>
      </c>
      <c r="AA161" s="3" t="s">
        <v>6647</v>
      </c>
    </row>
    <row r="162" customFormat="false" ht="15" hidden="false" customHeight="true" outlineLevel="0" collapsed="false">
      <c r="A162" s="3" t="s">
        <v>1759</v>
      </c>
      <c r="B162" s="3" t="n">
        <v>3</v>
      </c>
      <c r="C162" s="3" t="n">
        <v>50</v>
      </c>
      <c r="D162" s="3" t="str">
        <f aca="false">Combined!G162</f>
        <v>Middle-aged (30–64)</v>
      </c>
      <c r="E162" s="3" t="s">
        <v>83</v>
      </c>
      <c r="F162" s="3" t="s">
        <v>1025</v>
      </c>
      <c r="G162" s="3" t="s">
        <v>47</v>
      </c>
      <c r="H162" s="3" t="s">
        <v>1760</v>
      </c>
      <c r="I162" s="3" t="s">
        <v>6733</v>
      </c>
      <c r="J162" s="3" t="s">
        <v>1761</v>
      </c>
      <c r="K162" s="3" t="s">
        <v>6509</v>
      </c>
      <c r="L162" s="3" t="s">
        <v>1762</v>
      </c>
      <c r="M162" s="3" t="s">
        <v>6676</v>
      </c>
      <c r="N162" s="3" t="s">
        <v>1763</v>
      </c>
      <c r="O162" s="3" t="s">
        <v>6511</v>
      </c>
      <c r="P162" s="3" t="s">
        <v>1764</v>
      </c>
      <c r="Q162" s="3" t="s">
        <v>6634</v>
      </c>
      <c r="R162" s="3" t="s">
        <v>59</v>
      </c>
      <c r="S162" s="3" t="s">
        <v>6647</v>
      </c>
      <c r="T162" s="3" t="s">
        <v>1766</v>
      </c>
      <c r="U162" s="3" t="s">
        <v>7009</v>
      </c>
      <c r="V162" s="3" t="s">
        <v>1767</v>
      </c>
      <c r="W162" s="3" t="s">
        <v>6611</v>
      </c>
      <c r="X162" s="3" t="s">
        <v>1768</v>
      </c>
      <c r="Y162" s="3" t="s">
        <v>6538</v>
      </c>
      <c r="Z162" s="3"/>
      <c r="AA162" s="3"/>
    </row>
    <row r="163" customFormat="false" ht="15" hidden="false" customHeight="true" outlineLevel="0" collapsed="false">
      <c r="A163" s="3" t="s">
        <v>1769</v>
      </c>
      <c r="B163" s="3" t="n">
        <v>3</v>
      </c>
      <c r="C163" s="3" t="n">
        <v>52</v>
      </c>
      <c r="D163" s="3" t="str">
        <f aca="false">Combined!G163</f>
        <v>Middle-aged (30–64)</v>
      </c>
      <c r="E163" s="3" t="s">
        <v>83</v>
      </c>
      <c r="F163" s="3" t="s">
        <v>47</v>
      </c>
      <c r="G163" s="3" t="s">
        <v>47</v>
      </c>
      <c r="H163" s="3" t="s">
        <v>1770</v>
      </c>
      <c r="I163" s="3" t="s">
        <v>6623</v>
      </c>
      <c r="J163" s="3" t="s">
        <v>1771</v>
      </c>
      <c r="K163" s="3" t="s">
        <v>6516</v>
      </c>
      <c r="L163" s="3" t="s">
        <v>1772</v>
      </c>
      <c r="M163" s="3" t="s">
        <v>6509</v>
      </c>
      <c r="N163" s="3" t="s">
        <v>98</v>
      </c>
      <c r="O163" s="3" t="s">
        <v>6517</v>
      </c>
      <c r="P163" s="3" t="s">
        <v>1773</v>
      </c>
      <c r="Q163" s="3" t="s">
        <v>6580</v>
      </c>
      <c r="R163" s="3" t="s">
        <v>59</v>
      </c>
      <c r="S163" s="3" t="s">
        <v>6647</v>
      </c>
      <c r="T163" s="3" t="s">
        <v>1775</v>
      </c>
      <c r="U163" s="3" t="s">
        <v>6545</v>
      </c>
      <c r="V163" s="3" t="s">
        <v>1776</v>
      </c>
      <c r="W163" s="3" t="s">
        <v>6545</v>
      </c>
      <c r="X163" s="3" t="s">
        <v>1777</v>
      </c>
      <c r="Y163" s="3" t="s">
        <v>7010</v>
      </c>
      <c r="Z163" s="3"/>
      <c r="AA163" s="3"/>
    </row>
    <row r="164" customFormat="false" ht="15" hidden="false" customHeight="true" outlineLevel="0" collapsed="false">
      <c r="A164" s="3" t="s">
        <v>1778</v>
      </c>
      <c r="B164" s="3" t="n">
        <v>3</v>
      </c>
      <c r="C164" s="3" t="n">
        <v>18</v>
      </c>
      <c r="D164" s="3" t="str">
        <f aca="false">Combined!G164</f>
        <v>Student age (≤29)</v>
      </c>
      <c r="E164" s="3" t="s">
        <v>45</v>
      </c>
      <c r="F164" s="3" t="s">
        <v>47</v>
      </c>
      <c r="G164" s="3" t="s">
        <v>47</v>
      </c>
      <c r="H164" s="3" t="s">
        <v>1779</v>
      </c>
      <c r="I164" s="3" t="s">
        <v>6598</v>
      </c>
      <c r="J164" s="3" t="s">
        <v>1780</v>
      </c>
      <c r="K164" s="3" t="s">
        <v>6510</v>
      </c>
      <c r="L164" s="3" t="s">
        <v>1781</v>
      </c>
      <c r="M164" s="3" t="s">
        <v>6568</v>
      </c>
      <c r="N164" s="3" t="s">
        <v>1782</v>
      </c>
      <c r="O164" s="3" t="s">
        <v>6511</v>
      </c>
      <c r="P164" s="3" t="s">
        <v>1783</v>
      </c>
      <c r="Q164" s="3" t="s">
        <v>7011</v>
      </c>
      <c r="R164" s="3" t="s">
        <v>1784</v>
      </c>
      <c r="S164" s="3" t="s">
        <v>6595</v>
      </c>
      <c r="T164" s="3" t="s">
        <v>1786</v>
      </c>
      <c r="U164" s="3" t="s">
        <v>6510</v>
      </c>
      <c r="V164" s="3" t="s">
        <v>1787</v>
      </c>
      <c r="W164" s="3" t="s">
        <v>6900</v>
      </c>
      <c r="X164" s="3" t="s">
        <v>1788</v>
      </c>
      <c r="Y164" s="3" t="s">
        <v>6651</v>
      </c>
      <c r="Z164" s="3" t="s">
        <v>1789</v>
      </c>
      <c r="AA164" s="3" t="s">
        <v>6929</v>
      </c>
    </row>
    <row r="165" customFormat="false" ht="15" hidden="false" customHeight="true" outlineLevel="0" collapsed="false">
      <c r="A165" s="3" t="s">
        <v>1790</v>
      </c>
      <c r="B165" s="3" t="n">
        <v>3</v>
      </c>
      <c r="C165" s="3" t="n">
        <v>45</v>
      </c>
      <c r="D165" s="3" t="str">
        <f aca="false">Combined!G165</f>
        <v>Middle-aged (30–64)</v>
      </c>
      <c r="E165" s="3" t="s">
        <v>45</v>
      </c>
      <c r="F165" s="3" t="s">
        <v>1025</v>
      </c>
      <c r="G165" s="3" t="s">
        <v>47</v>
      </c>
      <c r="H165" s="3" t="s">
        <v>1793</v>
      </c>
      <c r="I165" s="3" t="s">
        <v>7012</v>
      </c>
      <c r="J165" s="3" t="s">
        <v>1794</v>
      </c>
      <c r="K165" s="3" t="s">
        <v>6540</v>
      </c>
      <c r="L165" s="3" t="s">
        <v>1795</v>
      </c>
      <c r="M165" s="3" t="s">
        <v>6646</v>
      </c>
      <c r="N165" s="3" t="s">
        <v>1796</v>
      </c>
      <c r="O165" s="3" t="s">
        <v>6511</v>
      </c>
      <c r="P165" s="3" t="s">
        <v>1797</v>
      </c>
      <c r="Q165" s="3" t="s">
        <v>6580</v>
      </c>
      <c r="R165" s="3" t="s">
        <v>1798</v>
      </c>
      <c r="S165" s="3" t="s">
        <v>6701</v>
      </c>
      <c r="T165" s="3" t="s">
        <v>1800</v>
      </c>
      <c r="U165" s="3" t="s">
        <v>6644</v>
      </c>
      <c r="V165" s="3" t="s">
        <v>1801</v>
      </c>
      <c r="W165" s="3" t="s">
        <v>6611</v>
      </c>
      <c r="X165" s="3" t="s">
        <v>1802</v>
      </c>
      <c r="Y165" s="3" t="s">
        <v>6646</v>
      </c>
      <c r="Z165" s="3"/>
      <c r="AA165" s="3"/>
    </row>
    <row r="166" customFormat="false" ht="15" hidden="false" customHeight="true" outlineLevel="0" collapsed="false">
      <c r="A166" s="3" t="s">
        <v>1803</v>
      </c>
      <c r="B166" s="3" t="n">
        <v>3</v>
      </c>
      <c r="C166" s="3" t="n">
        <v>20</v>
      </c>
      <c r="D166" s="3" t="str">
        <f aca="false">Combined!G166</f>
        <v>Student age (≤29)</v>
      </c>
      <c r="E166" s="3" t="s">
        <v>45</v>
      </c>
      <c r="F166" s="3" t="s">
        <v>47</v>
      </c>
      <c r="G166" s="3" t="s">
        <v>47</v>
      </c>
      <c r="H166" s="3" t="s">
        <v>1055</v>
      </c>
      <c r="I166" s="3" t="s">
        <v>6539</v>
      </c>
      <c r="J166" s="3" t="s">
        <v>1804</v>
      </c>
      <c r="K166" s="3" t="s">
        <v>6547</v>
      </c>
      <c r="L166" s="3" t="s">
        <v>1805</v>
      </c>
      <c r="M166" s="3" t="s">
        <v>6569</v>
      </c>
      <c r="N166" s="3" t="s">
        <v>1806</v>
      </c>
      <c r="O166" s="3" t="s">
        <v>6517</v>
      </c>
      <c r="P166" s="3" t="s">
        <v>1807</v>
      </c>
      <c r="Q166" s="3" t="s">
        <v>7013</v>
      </c>
      <c r="R166" s="3" t="s">
        <v>1808</v>
      </c>
      <c r="S166" s="3" t="s">
        <v>7014</v>
      </c>
      <c r="T166" s="3" t="s">
        <v>1810</v>
      </c>
      <c r="U166" s="3" t="s">
        <v>7015</v>
      </c>
      <c r="V166" s="3" t="s">
        <v>1811</v>
      </c>
      <c r="W166" s="3" t="s">
        <v>6924</v>
      </c>
      <c r="X166" s="3" t="s">
        <v>1812</v>
      </c>
      <c r="Y166" s="3" t="s">
        <v>7016</v>
      </c>
      <c r="Z166" s="3" t="s">
        <v>1813</v>
      </c>
      <c r="AA166" s="3" t="s">
        <v>7016</v>
      </c>
    </row>
    <row r="167" customFormat="false" ht="15" hidden="false" customHeight="true" outlineLevel="0" collapsed="false">
      <c r="A167" s="3" t="s">
        <v>1814</v>
      </c>
      <c r="B167" s="3" t="n">
        <v>3</v>
      </c>
      <c r="C167" s="3" t="n">
        <v>20</v>
      </c>
      <c r="D167" s="3" t="str">
        <f aca="false">Combined!G167</f>
        <v>Student age (≤29)</v>
      </c>
      <c r="E167" s="3" t="s">
        <v>45</v>
      </c>
      <c r="F167" s="3" t="s">
        <v>47</v>
      </c>
      <c r="G167" s="3" t="s">
        <v>47</v>
      </c>
      <c r="H167" s="3" t="s">
        <v>1815</v>
      </c>
      <c r="I167" s="3" t="s">
        <v>6623</v>
      </c>
      <c r="J167" s="3" t="s">
        <v>1816</v>
      </c>
      <c r="K167" s="3" t="s">
        <v>6540</v>
      </c>
      <c r="L167" s="3" t="s">
        <v>1817</v>
      </c>
      <c r="M167" s="3" t="s">
        <v>6799</v>
      </c>
      <c r="N167" s="3" t="s">
        <v>1818</v>
      </c>
      <c r="O167" s="3" t="s">
        <v>6511</v>
      </c>
      <c r="P167" s="3" t="s">
        <v>1819</v>
      </c>
      <c r="Q167" s="3" t="s">
        <v>7017</v>
      </c>
      <c r="R167" s="3" t="s">
        <v>1820</v>
      </c>
      <c r="S167" s="3" t="s">
        <v>6721</v>
      </c>
      <c r="T167" s="3" t="s">
        <v>1822</v>
      </c>
      <c r="U167" s="3" t="s">
        <v>7018</v>
      </c>
      <c r="V167" s="3" t="s">
        <v>1823</v>
      </c>
      <c r="W167" s="3" t="s">
        <v>7019</v>
      </c>
      <c r="X167" s="3" t="s">
        <v>1824</v>
      </c>
      <c r="Y167" s="3" t="s">
        <v>6649</v>
      </c>
      <c r="Z167" s="3" t="s">
        <v>1825</v>
      </c>
      <c r="AA167" s="3" t="s">
        <v>6551</v>
      </c>
    </row>
    <row r="168" customFormat="false" ht="15" hidden="false" customHeight="true" outlineLevel="0" collapsed="false">
      <c r="A168" s="3" t="s">
        <v>1826</v>
      </c>
      <c r="B168" s="3" t="n">
        <v>3</v>
      </c>
      <c r="C168" s="3" t="n">
        <v>49</v>
      </c>
      <c r="D168" s="3" t="str">
        <f aca="false">Combined!G168</f>
        <v>Middle-aged (30–64)</v>
      </c>
      <c r="E168" s="3" t="s">
        <v>45</v>
      </c>
      <c r="F168" s="3" t="s">
        <v>47</v>
      </c>
      <c r="G168" s="3" t="s">
        <v>47</v>
      </c>
      <c r="H168" s="3" t="s">
        <v>1827</v>
      </c>
      <c r="I168" s="3" t="s">
        <v>6733</v>
      </c>
      <c r="J168" s="3" t="s">
        <v>1828</v>
      </c>
      <c r="K168" s="3" t="s">
        <v>6510</v>
      </c>
      <c r="L168" s="3" t="s">
        <v>1829</v>
      </c>
      <c r="M168" s="3" t="s">
        <v>6510</v>
      </c>
      <c r="N168" s="3" t="s">
        <v>98</v>
      </c>
      <c r="O168" s="3" t="s">
        <v>6517</v>
      </c>
      <c r="P168" s="3" t="s">
        <v>1830</v>
      </c>
      <c r="Q168" s="3" t="s">
        <v>6542</v>
      </c>
      <c r="R168" s="3" t="s">
        <v>1831</v>
      </c>
      <c r="S168" s="3" t="s">
        <v>6721</v>
      </c>
      <c r="T168" s="3" t="s">
        <v>1833</v>
      </c>
      <c r="U168" s="3" t="s">
        <v>6601</v>
      </c>
      <c r="V168" s="3" t="s">
        <v>1834</v>
      </c>
      <c r="W168" s="3" t="s">
        <v>6568</v>
      </c>
      <c r="X168" s="3" t="s">
        <v>1600</v>
      </c>
      <c r="Y168" s="3" t="s">
        <v>6545</v>
      </c>
      <c r="Z168" s="3" t="s">
        <v>1835</v>
      </c>
      <c r="AA168" s="3" t="s">
        <v>6820</v>
      </c>
    </row>
    <row r="169" customFormat="false" ht="15" hidden="false" customHeight="true" outlineLevel="0" collapsed="false">
      <c r="A169" s="3" t="s">
        <v>1836</v>
      </c>
      <c r="B169" s="3" t="n">
        <v>3</v>
      </c>
      <c r="C169" s="3" t="n">
        <v>49</v>
      </c>
      <c r="D169" s="3" t="str">
        <f aca="false">Combined!G169</f>
        <v>Middle-aged (30–64)</v>
      </c>
      <c r="E169" s="3" t="s">
        <v>45</v>
      </c>
      <c r="F169" s="3" t="s">
        <v>47</v>
      </c>
      <c r="G169" s="3" t="s">
        <v>47</v>
      </c>
      <c r="H169" s="3" t="s">
        <v>1837</v>
      </c>
      <c r="I169" s="3" t="s">
        <v>6691</v>
      </c>
      <c r="J169" s="3" t="s">
        <v>1838</v>
      </c>
      <c r="K169" s="3" t="s">
        <v>7020</v>
      </c>
      <c r="L169" s="3" t="s">
        <v>1839</v>
      </c>
      <c r="M169" s="3" t="s">
        <v>6548</v>
      </c>
      <c r="N169" s="3" t="s">
        <v>1840</v>
      </c>
      <c r="O169" s="3" t="s">
        <v>6511</v>
      </c>
      <c r="P169" s="3" t="s">
        <v>1841</v>
      </c>
      <c r="Q169" s="3" t="s">
        <v>6571</v>
      </c>
      <c r="R169" s="3" t="s">
        <v>59</v>
      </c>
      <c r="S169" s="3" t="s">
        <v>6647</v>
      </c>
      <c r="T169" s="3" t="s">
        <v>1843</v>
      </c>
      <c r="U169" s="3" t="s">
        <v>6551</v>
      </c>
      <c r="V169" s="3" t="s">
        <v>1844</v>
      </c>
      <c r="W169" s="3" t="s">
        <v>6900</v>
      </c>
      <c r="X169" s="3" t="s">
        <v>1845</v>
      </c>
      <c r="Y169" s="3" t="s">
        <v>6545</v>
      </c>
      <c r="Z169" s="3"/>
      <c r="AA169" s="3"/>
    </row>
    <row r="170" customFormat="false" ht="15" hidden="false" customHeight="true" outlineLevel="0" collapsed="false">
      <c r="A170" s="3" t="s">
        <v>1846</v>
      </c>
      <c r="B170" s="3" t="n">
        <v>3</v>
      </c>
      <c r="C170" s="3" t="n">
        <v>42</v>
      </c>
      <c r="D170" s="3" t="str">
        <f aca="false">Combined!G170</f>
        <v>Middle-aged (30–64)</v>
      </c>
      <c r="E170" s="3" t="s">
        <v>83</v>
      </c>
      <c r="F170" s="3" t="s">
        <v>1025</v>
      </c>
      <c r="G170" s="3" t="s">
        <v>47</v>
      </c>
      <c r="H170" s="3" t="s">
        <v>1847</v>
      </c>
      <c r="I170" s="3" t="s">
        <v>6608</v>
      </c>
      <c r="J170" s="3" t="s">
        <v>1848</v>
      </c>
      <c r="K170" s="3" t="s">
        <v>7021</v>
      </c>
      <c r="L170" s="3" t="s">
        <v>1849</v>
      </c>
      <c r="M170" s="3" t="s">
        <v>6509</v>
      </c>
      <c r="N170" s="3" t="s">
        <v>1850</v>
      </c>
      <c r="O170" s="3" t="s">
        <v>6511</v>
      </c>
      <c r="P170" s="3" t="s">
        <v>1851</v>
      </c>
      <c r="Q170" s="3" t="s">
        <v>6914</v>
      </c>
      <c r="R170" s="3" t="s">
        <v>1852</v>
      </c>
      <c r="S170" s="3" t="s">
        <v>7022</v>
      </c>
      <c r="T170" s="3" t="s">
        <v>1854</v>
      </c>
      <c r="U170" s="3" t="s">
        <v>7023</v>
      </c>
      <c r="V170" s="3" t="s">
        <v>1855</v>
      </c>
      <c r="W170" s="3" t="s">
        <v>7024</v>
      </c>
      <c r="X170" s="3" t="s">
        <v>1856</v>
      </c>
      <c r="Y170" s="3" t="s">
        <v>6699</v>
      </c>
      <c r="Z170" s="3"/>
      <c r="AA170" s="3"/>
    </row>
    <row r="171" customFormat="false" ht="15" hidden="false" customHeight="true" outlineLevel="0" collapsed="false">
      <c r="A171" s="3" t="s">
        <v>1857</v>
      </c>
      <c r="B171" s="3" t="n">
        <v>3</v>
      </c>
      <c r="C171" s="3" t="n">
        <v>41</v>
      </c>
      <c r="D171" s="3" t="str">
        <f aca="false">Combined!G171</f>
        <v>Middle-aged (30–64)</v>
      </c>
      <c r="E171" s="3" t="s">
        <v>83</v>
      </c>
      <c r="F171" s="3" t="s">
        <v>47</v>
      </c>
      <c r="G171" s="3" t="s">
        <v>47</v>
      </c>
      <c r="H171" s="3" t="s">
        <v>1858</v>
      </c>
      <c r="I171" s="3" t="s">
        <v>6555</v>
      </c>
      <c r="J171" s="3" t="s">
        <v>1859</v>
      </c>
      <c r="K171" s="3" t="s">
        <v>6540</v>
      </c>
      <c r="L171" s="3" t="s">
        <v>1860</v>
      </c>
      <c r="M171" s="3" t="s">
        <v>6510</v>
      </c>
      <c r="N171" s="3" t="s">
        <v>98</v>
      </c>
      <c r="O171" s="3" t="s">
        <v>6517</v>
      </c>
      <c r="P171" s="3" t="s">
        <v>1861</v>
      </c>
      <c r="Q171" s="3" t="s">
        <v>6577</v>
      </c>
      <c r="R171" s="3" t="s">
        <v>442</v>
      </c>
      <c r="S171" s="3" t="s">
        <v>6647</v>
      </c>
      <c r="T171" s="3" t="s">
        <v>1863</v>
      </c>
      <c r="U171" s="3" t="s">
        <v>6544</v>
      </c>
      <c r="V171" s="3" t="s">
        <v>1864</v>
      </c>
      <c r="W171" s="3" t="s">
        <v>6551</v>
      </c>
      <c r="X171" s="3" t="s">
        <v>885</v>
      </c>
      <c r="Y171" s="3" t="s">
        <v>6538</v>
      </c>
      <c r="Z171" s="3"/>
      <c r="AA171" s="3"/>
    </row>
    <row r="172" customFormat="false" ht="15" hidden="false" customHeight="true" outlineLevel="0" collapsed="false">
      <c r="A172" s="3" t="s">
        <v>1865</v>
      </c>
      <c r="B172" s="3" t="n">
        <v>3</v>
      </c>
      <c r="C172" s="3" t="n">
        <v>53</v>
      </c>
      <c r="D172" s="3" t="str">
        <f aca="false">Combined!G172</f>
        <v>Middle-aged (30–64)</v>
      </c>
      <c r="E172" s="3" t="s">
        <v>83</v>
      </c>
      <c r="F172" s="3" t="s">
        <v>47</v>
      </c>
      <c r="G172" s="3" t="s">
        <v>47</v>
      </c>
      <c r="H172" s="3" t="s">
        <v>1866</v>
      </c>
      <c r="I172" s="3" t="s">
        <v>6521</v>
      </c>
      <c r="J172" s="3" t="s">
        <v>1867</v>
      </c>
      <c r="K172" s="3" t="s">
        <v>6529</v>
      </c>
      <c r="L172" s="3" t="s">
        <v>1868</v>
      </c>
      <c r="M172" s="3" t="s">
        <v>6541</v>
      </c>
      <c r="N172" s="3" t="s">
        <v>1869</v>
      </c>
      <c r="O172" s="3" t="s">
        <v>6511</v>
      </c>
      <c r="P172" s="3" t="s">
        <v>1870</v>
      </c>
      <c r="Q172" s="3" t="s">
        <v>6560</v>
      </c>
      <c r="R172" s="3" t="s">
        <v>59</v>
      </c>
      <c r="S172" s="3" t="s">
        <v>6647</v>
      </c>
      <c r="T172" s="3" t="s">
        <v>1872</v>
      </c>
      <c r="U172" s="3" t="s">
        <v>6551</v>
      </c>
      <c r="V172" s="3" t="s">
        <v>1873</v>
      </c>
      <c r="W172" s="3" t="s">
        <v>6540</v>
      </c>
      <c r="X172" s="3" t="s">
        <v>1874</v>
      </c>
      <c r="Y172" s="3" t="s">
        <v>6651</v>
      </c>
      <c r="Z172" s="3"/>
      <c r="AA172" s="3"/>
    </row>
    <row r="173" customFormat="false" ht="15" hidden="false" customHeight="true" outlineLevel="0" collapsed="false">
      <c r="A173" s="3" t="s">
        <v>1875</v>
      </c>
      <c r="B173" s="3" t="n">
        <v>3</v>
      </c>
      <c r="C173" s="3" t="n">
        <v>53</v>
      </c>
      <c r="D173" s="3" t="str">
        <f aca="false">Combined!G173</f>
        <v>Middle-aged (30–64)</v>
      </c>
      <c r="E173" s="3" t="s">
        <v>45</v>
      </c>
      <c r="F173" s="3" t="s">
        <v>47</v>
      </c>
      <c r="G173" s="3" t="s">
        <v>47</v>
      </c>
      <c r="H173" s="3" t="s">
        <v>1876</v>
      </c>
      <c r="I173" s="3" t="s">
        <v>6733</v>
      </c>
      <c r="J173" s="3" t="s">
        <v>1204</v>
      </c>
      <c r="K173" s="3" t="s">
        <v>6510</v>
      </c>
      <c r="L173" s="3" t="s">
        <v>1877</v>
      </c>
      <c r="M173" s="3" t="s">
        <v>7025</v>
      </c>
      <c r="N173" s="3" t="s">
        <v>1878</v>
      </c>
      <c r="O173" s="3" t="s">
        <v>6511</v>
      </c>
      <c r="P173" s="3" t="s">
        <v>1879</v>
      </c>
      <c r="Q173" s="3" t="s">
        <v>6689</v>
      </c>
      <c r="R173" s="3" t="s">
        <v>1880</v>
      </c>
      <c r="S173" s="3" t="s">
        <v>6621</v>
      </c>
      <c r="T173" s="3" t="s">
        <v>1882</v>
      </c>
      <c r="U173" s="3" t="s">
        <v>7026</v>
      </c>
      <c r="V173" s="3" t="s">
        <v>1883</v>
      </c>
      <c r="W173" s="3" t="s">
        <v>6751</v>
      </c>
      <c r="X173" s="3" t="s">
        <v>1884</v>
      </c>
      <c r="Y173" s="3" t="s">
        <v>7027</v>
      </c>
      <c r="Z173" s="3"/>
      <c r="AA173" s="3"/>
    </row>
    <row r="174" customFormat="false" ht="15" hidden="false" customHeight="true" outlineLevel="0" collapsed="false">
      <c r="A174" s="3" t="s">
        <v>1885</v>
      </c>
      <c r="B174" s="3" t="n">
        <v>3</v>
      </c>
      <c r="C174" s="3" t="n">
        <v>46</v>
      </c>
      <c r="D174" s="3" t="str">
        <f aca="false">Combined!G174</f>
        <v>Middle-aged (30–64)</v>
      </c>
      <c r="E174" s="3" t="s">
        <v>45</v>
      </c>
      <c r="F174" s="3" t="s">
        <v>1025</v>
      </c>
      <c r="G174" s="3" t="s">
        <v>47</v>
      </c>
      <c r="H174" s="3" t="s">
        <v>1886</v>
      </c>
      <c r="I174" s="3" t="s">
        <v>6803</v>
      </c>
      <c r="J174" s="3" t="s">
        <v>1887</v>
      </c>
      <c r="K174" s="3" t="s">
        <v>6509</v>
      </c>
      <c r="L174" s="3" t="s">
        <v>1888</v>
      </c>
      <c r="M174" s="3" t="s">
        <v>6509</v>
      </c>
      <c r="N174" s="3" t="s">
        <v>1889</v>
      </c>
      <c r="O174" s="3" t="s">
        <v>59</v>
      </c>
      <c r="P174" s="3" t="s">
        <v>1890</v>
      </c>
      <c r="Q174" s="3" t="s">
        <v>6689</v>
      </c>
      <c r="R174" s="3" t="s">
        <v>442</v>
      </c>
      <c r="S174" s="3" t="s">
        <v>6647</v>
      </c>
      <c r="T174" s="3" t="s">
        <v>1892</v>
      </c>
      <c r="U174" s="3" t="s">
        <v>6688</v>
      </c>
      <c r="V174" s="3" t="s">
        <v>1893</v>
      </c>
      <c r="W174" s="3" t="s">
        <v>6528</v>
      </c>
      <c r="X174" s="3" t="s">
        <v>1894</v>
      </c>
      <c r="Y174" s="3" t="s">
        <v>6602</v>
      </c>
      <c r="Z174" s="3" t="s">
        <v>1895</v>
      </c>
      <c r="AA174" s="3" t="s">
        <v>7028</v>
      </c>
    </row>
    <row r="175" customFormat="false" ht="15" hidden="false" customHeight="true" outlineLevel="0" collapsed="false">
      <c r="A175" s="3" t="s">
        <v>1896</v>
      </c>
      <c r="B175" s="3" t="n">
        <v>3</v>
      </c>
      <c r="C175" s="3" t="n">
        <v>60</v>
      </c>
      <c r="D175" s="3" t="str">
        <f aca="false">Combined!G175</f>
        <v>Middle-aged (30–64)</v>
      </c>
      <c r="E175" s="3" t="s">
        <v>45</v>
      </c>
      <c r="F175" s="3" t="s">
        <v>47</v>
      </c>
      <c r="G175" s="3" t="s">
        <v>47</v>
      </c>
      <c r="H175" s="3" t="s">
        <v>73</v>
      </c>
      <c r="I175" s="3" t="s">
        <v>6521</v>
      </c>
      <c r="J175" s="3" t="s">
        <v>1204</v>
      </c>
      <c r="K175" s="3" t="s">
        <v>6510</v>
      </c>
      <c r="L175" s="3" t="s">
        <v>1897</v>
      </c>
      <c r="M175" s="3" t="s">
        <v>6516</v>
      </c>
      <c r="N175" s="3" t="s">
        <v>1898</v>
      </c>
      <c r="O175" s="3" t="s">
        <v>6511</v>
      </c>
      <c r="P175" s="3" t="s">
        <v>1899</v>
      </c>
      <c r="Q175" s="3" t="s">
        <v>6711</v>
      </c>
      <c r="R175" s="3" t="s">
        <v>1900</v>
      </c>
      <c r="S175" s="3" t="s">
        <v>6885</v>
      </c>
      <c r="T175" s="3" t="s">
        <v>1902</v>
      </c>
      <c r="U175" s="3" t="s">
        <v>6688</v>
      </c>
      <c r="V175" s="3" t="s">
        <v>1903</v>
      </c>
      <c r="W175" s="3" t="s">
        <v>6900</v>
      </c>
      <c r="X175" s="3" t="s">
        <v>1904</v>
      </c>
      <c r="Y175" s="3" t="s">
        <v>6900</v>
      </c>
      <c r="Z175" s="3"/>
      <c r="AA175" s="3"/>
    </row>
    <row r="176" customFormat="false" ht="15" hidden="false" customHeight="true" outlineLevel="0" collapsed="false">
      <c r="A176" s="3" t="s">
        <v>1905</v>
      </c>
      <c r="B176" s="3" t="n">
        <v>3</v>
      </c>
      <c r="C176" s="3" t="n">
        <v>23</v>
      </c>
      <c r="D176" s="3" t="str">
        <f aca="false">Combined!G176</f>
        <v>Student age (≤29)</v>
      </c>
      <c r="E176" s="3" t="s">
        <v>83</v>
      </c>
      <c r="F176" s="3" t="s">
        <v>47</v>
      </c>
      <c r="G176" s="3" t="s">
        <v>47</v>
      </c>
      <c r="H176" s="3" t="s">
        <v>1906</v>
      </c>
      <c r="I176" s="3" t="s">
        <v>6546</v>
      </c>
      <c r="J176" s="3" t="s">
        <v>1907</v>
      </c>
      <c r="K176" s="3" t="s">
        <v>6548</v>
      </c>
      <c r="L176" s="3" t="s">
        <v>1908</v>
      </c>
      <c r="M176" s="3" t="s">
        <v>7029</v>
      </c>
      <c r="N176" s="3" t="s">
        <v>1909</v>
      </c>
      <c r="O176" s="3" t="s">
        <v>6517</v>
      </c>
      <c r="P176" s="3" t="s">
        <v>1910</v>
      </c>
      <c r="Q176" s="3" t="s">
        <v>6542</v>
      </c>
      <c r="R176" s="3" t="s">
        <v>571</v>
      </c>
      <c r="S176" s="3" t="s">
        <v>6647</v>
      </c>
      <c r="T176" s="3" t="s">
        <v>1912</v>
      </c>
      <c r="U176" s="3" t="s">
        <v>6693</v>
      </c>
      <c r="V176" s="3" t="s">
        <v>1913</v>
      </c>
      <c r="W176" s="3" t="s">
        <v>6650</v>
      </c>
      <c r="X176" s="3" t="s">
        <v>1914</v>
      </c>
      <c r="Y176" s="3" t="s">
        <v>7030</v>
      </c>
      <c r="Z176" s="3"/>
      <c r="AA176" s="3"/>
    </row>
    <row r="177" customFormat="false" ht="15" hidden="false" customHeight="true" outlineLevel="0" collapsed="false">
      <c r="A177" s="3" t="s">
        <v>1915</v>
      </c>
      <c r="B177" s="3" t="n">
        <v>3</v>
      </c>
      <c r="C177" s="3" t="n">
        <v>22</v>
      </c>
      <c r="D177" s="3" t="str">
        <f aca="false">Combined!G177</f>
        <v>Student age (≤29)</v>
      </c>
      <c r="E177" s="3" t="s">
        <v>83</v>
      </c>
      <c r="F177" s="3" t="s">
        <v>1916</v>
      </c>
      <c r="G177" s="3" t="s">
        <v>453</v>
      </c>
      <c r="H177" s="3" t="s">
        <v>1917</v>
      </c>
      <c r="I177" s="3" t="s">
        <v>6546</v>
      </c>
      <c r="J177" s="3" t="s">
        <v>1918</v>
      </c>
      <c r="K177" s="3" t="s">
        <v>7031</v>
      </c>
      <c r="L177" s="3" t="s">
        <v>1919</v>
      </c>
      <c r="M177" s="3" t="s">
        <v>2035</v>
      </c>
      <c r="N177" s="3" t="s">
        <v>1920</v>
      </c>
      <c r="O177" s="3" t="s">
        <v>6511</v>
      </c>
      <c r="P177" s="3" t="s">
        <v>1921</v>
      </c>
      <c r="Q177" s="3" t="s">
        <v>6612</v>
      </c>
      <c r="R177" s="3" t="s">
        <v>1922</v>
      </c>
      <c r="S177" s="3" t="s">
        <v>7032</v>
      </c>
      <c r="T177" s="3" t="s">
        <v>1924</v>
      </c>
      <c r="U177" s="3" t="s">
        <v>6841</v>
      </c>
      <c r="V177" s="3" t="s">
        <v>1925</v>
      </c>
      <c r="W177" s="3" t="s">
        <v>6545</v>
      </c>
      <c r="X177" s="3" t="s">
        <v>1926</v>
      </c>
      <c r="Y177" s="3" t="s">
        <v>6568</v>
      </c>
      <c r="Z177" s="3" t="s">
        <v>1927</v>
      </c>
      <c r="AA177" s="3" t="s">
        <v>6569</v>
      </c>
    </row>
    <row r="178" customFormat="false" ht="15" hidden="false" customHeight="true" outlineLevel="0" collapsed="false">
      <c r="A178" s="3" t="s">
        <v>1928</v>
      </c>
      <c r="B178" s="3" t="n">
        <v>3</v>
      </c>
      <c r="C178" s="3" t="n">
        <v>21</v>
      </c>
      <c r="D178" s="3" t="str">
        <f aca="false">Combined!G178</f>
        <v>Student age (≤29)</v>
      </c>
      <c r="E178" s="3" t="s">
        <v>1556</v>
      </c>
      <c r="F178" s="3" t="s">
        <v>47</v>
      </c>
      <c r="G178" s="3" t="s">
        <v>47</v>
      </c>
      <c r="H178" s="3" t="s">
        <v>129</v>
      </c>
      <c r="I178" s="3" t="s">
        <v>6539</v>
      </c>
      <c r="J178" s="3" t="s">
        <v>1929</v>
      </c>
      <c r="K178" s="3" t="s">
        <v>2035</v>
      </c>
      <c r="L178" s="3" t="s">
        <v>1930</v>
      </c>
      <c r="M178" s="3" t="s">
        <v>6538</v>
      </c>
      <c r="N178" s="3" t="s">
        <v>1931</v>
      </c>
      <c r="O178" s="3" t="s">
        <v>6511</v>
      </c>
      <c r="P178" s="3" t="s">
        <v>1932</v>
      </c>
      <c r="Q178" s="3" t="s">
        <v>6560</v>
      </c>
      <c r="R178" s="3" t="s">
        <v>1933</v>
      </c>
      <c r="S178" s="3" t="s">
        <v>6779</v>
      </c>
      <c r="T178" s="5" t="s">
        <v>1935</v>
      </c>
      <c r="U178" s="3" t="s">
        <v>7033</v>
      </c>
      <c r="V178" s="3" t="s">
        <v>1936</v>
      </c>
      <c r="W178" s="3" t="s">
        <v>6551</v>
      </c>
      <c r="X178" s="3" t="s">
        <v>1937</v>
      </c>
      <c r="Y178" s="3" t="s">
        <v>6551</v>
      </c>
      <c r="Z178" s="5" t="s">
        <v>1938</v>
      </c>
      <c r="AA178" s="3" t="s">
        <v>6906</v>
      </c>
    </row>
    <row r="179" customFormat="false" ht="15" hidden="false" customHeight="true" outlineLevel="0" collapsed="false">
      <c r="A179" s="3" t="s">
        <v>1939</v>
      </c>
      <c r="B179" s="3" t="n">
        <v>3</v>
      </c>
      <c r="C179" s="3" t="n">
        <v>21</v>
      </c>
      <c r="D179" s="3" t="str">
        <f aca="false">Combined!G179</f>
        <v>Student age (≤29)</v>
      </c>
      <c r="E179" s="3" t="s">
        <v>45</v>
      </c>
      <c r="F179" s="3" t="s">
        <v>47</v>
      </c>
      <c r="G179" s="3" t="s">
        <v>47</v>
      </c>
      <c r="H179" s="3" t="s">
        <v>1940</v>
      </c>
      <c r="I179" s="3" t="s">
        <v>6691</v>
      </c>
      <c r="J179" s="3" t="s">
        <v>1941</v>
      </c>
      <c r="K179" s="3" t="s">
        <v>6799</v>
      </c>
      <c r="L179" s="3" t="s">
        <v>1942</v>
      </c>
      <c r="M179" s="3" t="s">
        <v>6545</v>
      </c>
      <c r="N179" s="3" t="s">
        <v>1943</v>
      </c>
      <c r="O179" s="3" t="s">
        <v>6511</v>
      </c>
      <c r="P179" s="3" t="s">
        <v>1944</v>
      </c>
      <c r="Q179" s="3" t="s">
        <v>6577</v>
      </c>
      <c r="R179" s="3" t="s">
        <v>1945</v>
      </c>
      <c r="S179" s="3" t="s">
        <v>6537</v>
      </c>
      <c r="T179" s="3" t="s">
        <v>1947</v>
      </c>
      <c r="U179" s="3" t="s">
        <v>7034</v>
      </c>
      <c r="V179" s="3" t="s">
        <v>1948</v>
      </c>
      <c r="W179" s="3" t="s">
        <v>6551</v>
      </c>
      <c r="X179" s="3" t="s">
        <v>1949</v>
      </c>
      <c r="Y179" s="3" t="s">
        <v>6545</v>
      </c>
      <c r="Z179" s="3"/>
      <c r="AA179" s="3"/>
    </row>
    <row r="180" customFormat="false" ht="15" hidden="false" customHeight="true" outlineLevel="0" collapsed="false">
      <c r="A180" s="3" t="s">
        <v>1950</v>
      </c>
      <c r="B180" s="3" t="n">
        <v>3</v>
      </c>
      <c r="C180" s="3" t="n">
        <v>21</v>
      </c>
      <c r="D180" s="3" t="str">
        <f aca="false">Combined!G180</f>
        <v>Student age (≤29)</v>
      </c>
      <c r="E180" s="3" t="s">
        <v>83</v>
      </c>
      <c r="F180" s="3" t="s">
        <v>47</v>
      </c>
      <c r="G180" s="3" t="s">
        <v>47</v>
      </c>
      <c r="H180" s="3" t="s">
        <v>1951</v>
      </c>
      <c r="I180" s="3" t="s">
        <v>6527</v>
      </c>
      <c r="J180" s="3" t="s">
        <v>1952</v>
      </c>
      <c r="K180" s="3" t="s">
        <v>7035</v>
      </c>
      <c r="L180" s="3" t="s">
        <v>1953</v>
      </c>
      <c r="M180" s="3" t="s">
        <v>6516</v>
      </c>
      <c r="N180" s="3" t="s">
        <v>1954</v>
      </c>
      <c r="O180" s="3" t="s">
        <v>6530</v>
      </c>
      <c r="P180" s="3" t="s">
        <v>1955</v>
      </c>
      <c r="Q180" s="3" t="s">
        <v>6640</v>
      </c>
      <c r="R180" s="3" t="s">
        <v>1956</v>
      </c>
      <c r="S180" s="3" t="s">
        <v>6911</v>
      </c>
      <c r="T180" s="3" t="s">
        <v>1958</v>
      </c>
      <c r="U180" s="3" t="s">
        <v>7036</v>
      </c>
      <c r="V180" s="3" t="s">
        <v>1959</v>
      </c>
      <c r="W180" s="3" t="s">
        <v>7037</v>
      </c>
      <c r="X180" s="3" t="s">
        <v>1960</v>
      </c>
      <c r="Y180" s="3" t="s">
        <v>6564</v>
      </c>
      <c r="Z180" s="3" t="s">
        <v>1961</v>
      </c>
      <c r="AA180" s="3" t="s">
        <v>6774</v>
      </c>
    </row>
    <row r="181" customFormat="false" ht="15" hidden="false" customHeight="true" outlineLevel="0" collapsed="false">
      <c r="A181" s="3" t="s">
        <v>1962</v>
      </c>
      <c r="B181" s="3" t="n">
        <v>3</v>
      </c>
      <c r="C181" s="3" t="n">
        <v>59</v>
      </c>
      <c r="D181" s="3" t="str">
        <f aca="false">Combined!G181</f>
        <v>Middle-aged (30–64)</v>
      </c>
      <c r="E181" s="3" t="s">
        <v>45</v>
      </c>
      <c r="F181" s="3" t="s">
        <v>47</v>
      </c>
      <c r="G181" s="3" t="s">
        <v>47</v>
      </c>
      <c r="H181" s="3" t="s">
        <v>1963</v>
      </c>
      <c r="I181" s="3" t="s">
        <v>6842</v>
      </c>
      <c r="J181" s="3" t="s">
        <v>1964</v>
      </c>
      <c r="K181" s="3" t="s">
        <v>7038</v>
      </c>
      <c r="L181" s="3" t="s">
        <v>1965</v>
      </c>
      <c r="M181" s="3" t="s">
        <v>7039</v>
      </c>
      <c r="N181" s="3" t="s">
        <v>1966</v>
      </c>
      <c r="O181" s="3" t="s">
        <v>6511</v>
      </c>
      <c r="P181" s="5" t="s">
        <v>1967</v>
      </c>
      <c r="Q181" s="3" t="s">
        <v>6542</v>
      </c>
      <c r="R181" s="3" t="s">
        <v>1968</v>
      </c>
      <c r="S181" s="3" t="s">
        <v>7040</v>
      </c>
      <c r="T181" s="3" t="s">
        <v>1970</v>
      </c>
      <c r="U181" s="3" t="s">
        <v>7041</v>
      </c>
      <c r="V181" s="3" t="s">
        <v>1971</v>
      </c>
      <c r="W181" s="3" t="s">
        <v>7042</v>
      </c>
      <c r="X181" s="3" t="s">
        <v>1972</v>
      </c>
      <c r="Y181" s="3" t="s">
        <v>7043</v>
      </c>
      <c r="Z181" s="3" t="s">
        <v>1973</v>
      </c>
      <c r="AA181" s="3" t="s">
        <v>7044</v>
      </c>
    </row>
    <row r="182" customFormat="false" ht="15" hidden="false" customHeight="true" outlineLevel="0" collapsed="false">
      <c r="A182" s="3" t="s">
        <v>1974</v>
      </c>
      <c r="B182" s="3" t="n">
        <v>3</v>
      </c>
      <c r="C182" s="3" t="n">
        <v>23</v>
      </c>
      <c r="D182" s="3" t="str">
        <f aca="false">Combined!G182</f>
        <v>Student age (≤29)</v>
      </c>
      <c r="E182" s="3" t="s">
        <v>1447</v>
      </c>
      <c r="F182" s="3" t="s">
        <v>47</v>
      </c>
      <c r="G182" s="3" t="s">
        <v>47</v>
      </c>
      <c r="H182" s="3" t="s">
        <v>1975</v>
      </c>
      <c r="I182" s="3" t="s">
        <v>6598</v>
      </c>
      <c r="J182" s="3" t="s">
        <v>1976</v>
      </c>
      <c r="K182" s="3" t="s">
        <v>6602</v>
      </c>
      <c r="L182" s="3" t="s">
        <v>1977</v>
      </c>
      <c r="M182" s="3" t="s">
        <v>7045</v>
      </c>
      <c r="N182" s="3" t="s">
        <v>1978</v>
      </c>
      <c r="O182" s="3" t="s">
        <v>6517</v>
      </c>
      <c r="P182" s="3" t="s">
        <v>1979</v>
      </c>
      <c r="Q182" s="3" t="s">
        <v>7046</v>
      </c>
      <c r="R182" s="3" t="s">
        <v>1980</v>
      </c>
      <c r="S182" s="3" t="s">
        <v>6513</v>
      </c>
      <c r="T182" s="3" t="s">
        <v>1982</v>
      </c>
      <c r="U182" s="3" t="s">
        <v>7047</v>
      </c>
      <c r="V182" s="3" t="s">
        <v>1983</v>
      </c>
      <c r="W182" s="3" t="s">
        <v>6509</v>
      </c>
      <c r="X182" s="3" t="s">
        <v>1984</v>
      </c>
      <c r="Y182" s="3" t="s">
        <v>7048</v>
      </c>
      <c r="Z182" s="3" t="s">
        <v>1985</v>
      </c>
      <c r="AA182" s="3" t="s">
        <v>6820</v>
      </c>
    </row>
    <row r="183" customFormat="false" ht="15" hidden="false" customHeight="true" outlineLevel="0" collapsed="false">
      <c r="A183" s="3" t="s">
        <v>1986</v>
      </c>
      <c r="B183" s="3" t="n">
        <v>3</v>
      </c>
      <c r="C183" s="3" t="n">
        <v>67</v>
      </c>
      <c r="D183" s="3" t="str">
        <f aca="false">Combined!G183</f>
        <v>Elderly (65+)</v>
      </c>
      <c r="E183" s="3" t="s">
        <v>45</v>
      </c>
      <c r="F183" s="3" t="s">
        <v>47</v>
      </c>
      <c r="G183" s="3" t="s">
        <v>47</v>
      </c>
      <c r="H183" s="3" t="s">
        <v>1987</v>
      </c>
      <c r="I183" s="3" t="s">
        <v>7049</v>
      </c>
      <c r="J183" s="3" t="s">
        <v>1988</v>
      </c>
      <c r="K183" s="3" t="s">
        <v>7050</v>
      </c>
      <c r="L183" s="5" t="s">
        <v>1989</v>
      </c>
      <c r="M183" s="3" t="s">
        <v>6865</v>
      </c>
      <c r="N183" s="5" t="s">
        <v>1990</v>
      </c>
      <c r="O183" s="3" t="s">
        <v>59</v>
      </c>
      <c r="P183" s="3" t="s">
        <v>1991</v>
      </c>
      <c r="Q183" s="3" t="s">
        <v>7051</v>
      </c>
      <c r="R183" s="3" t="s">
        <v>1992</v>
      </c>
      <c r="S183" s="3" t="s">
        <v>7052</v>
      </c>
      <c r="T183" s="3" t="s">
        <v>1994</v>
      </c>
      <c r="U183" s="3" t="s">
        <v>6635</v>
      </c>
      <c r="V183" s="3" t="s">
        <v>1995</v>
      </c>
      <c r="W183" s="3" t="s">
        <v>7053</v>
      </c>
      <c r="X183" s="3" t="s">
        <v>1996</v>
      </c>
      <c r="Y183" s="3" t="s">
        <v>6635</v>
      </c>
      <c r="Z183" s="3" t="s">
        <v>1997</v>
      </c>
      <c r="AA183" s="3" t="s">
        <v>7054</v>
      </c>
    </row>
    <row r="184" customFormat="false" ht="15" hidden="false" customHeight="true" outlineLevel="0" collapsed="false">
      <c r="A184" s="3" t="s">
        <v>1998</v>
      </c>
      <c r="B184" s="3" t="n">
        <v>3</v>
      </c>
      <c r="C184" s="3" t="n">
        <v>23</v>
      </c>
      <c r="D184" s="3" t="str">
        <f aca="false">Combined!G184</f>
        <v>Student age (≤29)</v>
      </c>
      <c r="E184" s="3" t="s">
        <v>45</v>
      </c>
      <c r="F184" s="3" t="s">
        <v>47</v>
      </c>
      <c r="G184" s="3" t="s">
        <v>47</v>
      </c>
      <c r="H184" s="3" t="s">
        <v>1055</v>
      </c>
      <c r="I184" s="3" t="s">
        <v>6539</v>
      </c>
      <c r="J184" s="3" t="s">
        <v>1999</v>
      </c>
      <c r="K184" s="3" t="s">
        <v>6676</v>
      </c>
      <c r="L184" s="3" t="s">
        <v>2000</v>
      </c>
      <c r="M184" s="3" t="s">
        <v>7055</v>
      </c>
      <c r="N184" s="3" t="s">
        <v>2001</v>
      </c>
      <c r="O184" s="3" t="s">
        <v>1625</v>
      </c>
      <c r="P184" s="3" t="s">
        <v>2002</v>
      </c>
      <c r="Q184" s="3" t="s">
        <v>7056</v>
      </c>
      <c r="R184" s="3" t="s">
        <v>2003</v>
      </c>
      <c r="S184" s="3" t="s">
        <v>6561</v>
      </c>
      <c r="T184" s="3" t="s">
        <v>2005</v>
      </c>
      <c r="U184" s="3" t="s">
        <v>6706</v>
      </c>
      <c r="V184" s="3" t="s">
        <v>2006</v>
      </c>
      <c r="W184" s="3" t="s">
        <v>6924</v>
      </c>
      <c r="X184" s="3" t="s">
        <v>2007</v>
      </c>
      <c r="Y184" s="3" t="s">
        <v>7057</v>
      </c>
      <c r="Z184" s="3" t="s">
        <v>2008</v>
      </c>
      <c r="AA184" s="3" t="s">
        <v>7058</v>
      </c>
    </row>
    <row r="185" customFormat="false" ht="15" hidden="false" customHeight="true" outlineLevel="0" collapsed="false">
      <c r="A185" s="3" t="s">
        <v>2009</v>
      </c>
      <c r="B185" s="3" t="n">
        <v>3</v>
      </c>
      <c r="C185" s="3" t="n">
        <v>21</v>
      </c>
      <c r="D185" s="3" t="str">
        <f aca="false">Combined!G185</f>
        <v>Student age (≤29)</v>
      </c>
      <c r="E185" s="3" t="s">
        <v>83</v>
      </c>
      <c r="F185" s="3" t="s">
        <v>47</v>
      </c>
      <c r="G185" s="3" t="s">
        <v>47</v>
      </c>
      <c r="H185" s="3" t="s">
        <v>104</v>
      </c>
      <c r="I185" s="3" t="s">
        <v>6539</v>
      </c>
      <c r="J185" s="3" t="s">
        <v>2012</v>
      </c>
      <c r="K185" s="3" t="s">
        <v>6540</v>
      </c>
      <c r="L185" s="3" t="s">
        <v>2013</v>
      </c>
      <c r="M185" s="3" t="s">
        <v>6540</v>
      </c>
      <c r="N185" s="3" t="s">
        <v>2014</v>
      </c>
      <c r="O185" s="3" t="s">
        <v>6511</v>
      </c>
      <c r="P185" s="3" t="s">
        <v>2015</v>
      </c>
      <c r="Q185" s="3" t="s">
        <v>6922</v>
      </c>
      <c r="R185" s="3" t="s">
        <v>2016</v>
      </c>
      <c r="S185" s="3" t="s">
        <v>6537</v>
      </c>
      <c r="T185" s="3" t="s">
        <v>2018</v>
      </c>
      <c r="U185" s="3" t="s">
        <v>6848</v>
      </c>
      <c r="V185" s="3" t="s">
        <v>2019</v>
      </c>
      <c r="W185" s="3" t="s">
        <v>6540</v>
      </c>
      <c r="X185" s="3" t="s">
        <v>2020</v>
      </c>
      <c r="Y185" s="3" t="s">
        <v>6820</v>
      </c>
      <c r="Z185" s="3" t="s">
        <v>2021</v>
      </c>
      <c r="AA185" s="3" t="s">
        <v>7059</v>
      </c>
    </row>
    <row r="186" customFormat="false" ht="15" hidden="false" customHeight="true" outlineLevel="0" collapsed="false">
      <c r="A186" s="3" t="s">
        <v>2022</v>
      </c>
      <c r="B186" s="3" t="n">
        <v>3</v>
      </c>
      <c r="C186" s="3" t="n">
        <v>26</v>
      </c>
      <c r="D186" s="3" t="str">
        <f aca="false">Combined!G186</f>
        <v>Student age (≤29)</v>
      </c>
      <c r="E186" s="3" t="s">
        <v>45</v>
      </c>
      <c r="F186" s="3" t="s">
        <v>47</v>
      </c>
      <c r="G186" s="3" t="s">
        <v>47</v>
      </c>
      <c r="H186" s="3" t="s">
        <v>2025</v>
      </c>
      <c r="I186" s="3" t="s">
        <v>6546</v>
      </c>
      <c r="J186" s="3" t="s">
        <v>2026</v>
      </c>
      <c r="K186" s="3" t="s">
        <v>6942</v>
      </c>
      <c r="L186" s="3" t="s">
        <v>2027</v>
      </c>
      <c r="M186" s="3" t="s">
        <v>6510</v>
      </c>
      <c r="N186" s="3" t="s">
        <v>2028</v>
      </c>
      <c r="O186" s="3" t="s">
        <v>6511</v>
      </c>
      <c r="P186" s="3" t="s">
        <v>2029</v>
      </c>
      <c r="Q186" s="3" t="s">
        <v>6518</v>
      </c>
      <c r="R186" s="3" t="s">
        <v>2030</v>
      </c>
      <c r="S186" s="3" t="s">
        <v>6721</v>
      </c>
      <c r="T186" s="3" t="s">
        <v>2032</v>
      </c>
      <c r="U186" s="3" t="s">
        <v>7060</v>
      </c>
      <c r="V186" s="3" t="s">
        <v>2033</v>
      </c>
      <c r="W186" s="3" t="s">
        <v>6650</v>
      </c>
      <c r="X186" s="3" t="s">
        <v>2034</v>
      </c>
      <c r="Y186" s="3" t="s">
        <v>6918</v>
      </c>
      <c r="Z186" s="3" t="s">
        <v>2035</v>
      </c>
      <c r="AA186" s="3" t="s">
        <v>2035</v>
      </c>
    </row>
    <row r="187" customFormat="false" ht="15" hidden="false" customHeight="true" outlineLevel="0" collapsed="false">
      <c r="A187" s="3" t="s">
        <v>2036</v>
      </c>
      <c r="B187" s="3" t="n">
        <v>3</v>
      </c>
      <c r="C187" s="3" t="n">
        <v>65</v>
      </c>
      <c r="D187" s="3" t="str">
        <f aca="false">Combined!G187</f>
        <v>Elderly (65+)</v>
      </c>
      <c r="E187" s="3" t="s">
        <v>83</v>
      </c>
      <c r="F187" s="3" t="s">
        <v>47</v>
      </c>
      <c r="G187" s="3" t="s">
        <v>47</v>
      </c>
      <c r="H187" s="3" t="s">
        <v>2037</v>
      </c>
      <c r="I187" s="3" t="s">
        <v>6539</v>
      </c>
      <c r="J187" s="3" t="s">
        <v>2038</v>
      </c>
      <c r="K187" s="3" t="s">
        <v>6942</v>
      </c>
      <c r="L187" s="3" t="s">
        <v>547</v>
      </c>
      <c r="M187" s="3" t="s">
        <v>6510</v>
      </c>
      <c r="N187" s="3" t="s">
        <v>2039</v>
      </c>
      <c r="O187" s="3" t="s">
        <v>6511</v>
      </c>
      <c r="P187" s="3" t="s">
        <v>2040</v>
      </c>
      <c r="Q187" s="3" t="s">
        <v>6560</v>
      </c>
      <c r="R187" s="3" t="s">
        <v>2041</v>
      </c>
      <c r="S187" s="3" t="s">
        <v>6685</v>
      </c>
      <c r="T187" s="3" t="s">
        <v>2043</v>
      </c>
      <c r="U187" s="3" t="s">
        <v>6693</v>
      </c>
      <c r="V187" s="3" t="s">
        <v>2044</v>
      </c>
      <c r="W187" s="3" t="s">
        <v>6551</v>
      </c>
      <c r="X187" s="3" t="s">
        <v>2045</v>
      </c>
      <c r="Y187" s="3" t="s">
        <v>6611</v>
      </c>
      <c r="Z187" s="3" t="s">
        <v>2046</v>
      </c>
      <c r="AA187" s="3" t="s">
        <v>6569</v>
      </c>
    </row>
    <row r="188" customFormat="false" ht="15" hidden="false" customHeight="true" outlineLevel="0" collapsed="false">
      <c r="A188" s="3" t="s">
        <v>2047</v>
      </c>
      <c r="B188" s="3" t="n">
        <v>3</v>
      </c>
      <c r="C188" s="3" t="n">
        <v>63</v>
      </c>
      <c r="D188" s="3" t="str">
        <f aca="false">Combined!G188</f>
        <v>Middle-aged (30–64)</v>
      </c>
      <c r="E188" s="3" t="s">
        <v>45</v>
      </c>
      <c r="F188" s="3" t="s">
        <v>47</v>
      </c>
      <c r="G188" s="3" t="s">
        <v>47</v>
      </c>
      <c r="H188" s="3" t="s">
        <v>2048</v>
      </c>
      <c r="I188" s="3" t="s">
        <v>6681</v>
      </c>
      <c r="J188" s="3" t="s">
        <v>2049</v>
      </c>
      <c r="K188" s="3" t="s">
        <v>6509</v>
      </c>
      <c r="L188" s="3" t="s">
        <v>2050</v>
      </c>
      <c r="M188" s="3" t="s">
        <v>6738</v>
      </c>
      <c r="N188" s="3" t="s">
        <v>2051</v>
      </c>
      <c r="O188" s="3" t="s">
        <v>6511</v>
      </c>
      <c r="P188" s="3" t="s">
        <v>2052</v>
      </c>
      <c r="Q188" s="3" t="s">
        <v>6571</v>
      </c>
      <c r="R188" s="3" t="s">
        <v>2053</v>
      </c>
      <c r="S188" s="3" t="s">
        <v>6949</v>
      </c>
      <c r="T188" s="3" t="s">
        <v>2055</v>
      </c>
      <c r="U188" s="3" t="s">
        <v>7061</v>
      </c>
      <c r="V188" s="3" t="s">
        <v>2056</v>
      </c>
      <c r="W188" s="3" t="s">
        <v>6545</v>
      </c>
      <c r="X188" s="3" t="s">
        <v>2057</v>
      </c>
      <c r="Y188" s="3" t="s">
        <v>7062</v>
      </c>
      <c r="Z188" s="3" t="s">
        <v>2058</v>
      </c>
      <c r="AA188" s="3" t="s">
        <v>6545</v>
      </c>
    </row>
    <row r="189" customFormat="false" ht="15" hidden="false" customHeight="true" outlineLevel="0" collapsed="false">
      <c r="A189" s="3" t="s">
        <v>2059</v>
      </c>
      <c r="B189" s="3" t="n">
        <v>3</v>
      </c>
      <c r="C189" s="3" t="n">
        <v>20</v>
      </c>
      <c r="D189" s="3" t="str">
        <f aca="false">Combined!G189</f>
        <v>Student age (≤29)</v>
      </c>
      <c r="E189" s="3" t="s">
        <v>45</v>
      </c>
      <c r="F189" s="3" t="s">
        <v>47</v>
      </c>
      <c r="G189" s="3" t="s">
        <v>47</v>
      </c>
      <c r="H189" s="3" t="s">
        <v>2060</v>
      </c>
      <c r="I189" s="3" t="s">
        <v>6803</v>
      </c>
      <c r="J189" s="3" t="s">
        <v>2061</v>
      </c>
      <c r="K189" s="3" t="s">
        <v>6569</v>
      </c>
      <c r="L189" s="3" t="s">
        <v>2062</v>
      </c>
      <c r="M189" s="3" t="s">
        <v>6569</v>
      </c>
      <c r="N189" s="3" t="s">
        <v>2063</v>
      </c>
      <c r="O189" s="3" t="s">
        <v>6511</v>
      </c>
      <c r="P189" s="3" t="s">
        <v>2064</v>
      </c>
      <c r="Q189" s="3" t="s">
        <v>6542</v>
      </c>
      <c r="R189" s="3" t="s">
        <v>2065</v>
      </c>
      <c r="S189" s="3" t="s">
        <v>7014</v>
      </c>
      <c r="T189" s="3" t="s">
        <v>2067</v>
      </c>
      <c r="U189" s="3" t="s">
        <v>6544</v>
      </c>
      <c r="V189" s="3" t="s">
        <v>2068</v>
      </c>
      <c r="W189" s="3" t="s">
        <v>6611</v>
      </c>
      <c r="X189" s="3" t="s">
        <v>2069</v>
      </c>
      <c r="Y189" s="3" t="s">
        <v>6545</v>
      </c>
      <c r="Z189" s="3" t="s">
        <v>2070</v>
      </c>
      <c r="AA189" s="3" t="s">
        <v>6647</v>
      </c>
    </row>
    <row r="190" customFormat="false" ht="15" hidden="false" customHeight="true" outlineLevel="0" collapsed="false">
      <c r="A190" s="3" t="s">
        <v>2071</v>
      </c>
      <c r="B190" s="3" t="n">
        <v>3</v>
      </c>
      <c r="C190" s="3" t="n">
        <v>24</v>
      </c>
      <c r="D190" s="3" t="str">
        <f aca="false">Combined!G190</f>
        <v>Student age (≤29)</v>
      </c>
      <c r="E190" s="3" t="s">
        <v>83</v>
      </c>
      <c r="F190" s="3" t="s">
        <v>47</v>
      </c>
      <c r="G190" s="3" t="s">
        <v>47</v>
      </c>
      <c r="H190" s="3" t="s">
        <v>2072</v>
      </c>
      <c r="I190" s="3" t="s">
        <v>6563</v>
      </c>
      <c r="J190" s="3" t="s">
        <v>2063</v>
      </c>
      <c r="K190" s="3" t="s">
        <v>6569</v>
      </c>
      <c r="L190" s="3" t="s">
        <v>2073</v>
      </c>
      <c r="M190" s="3" t="s">
        <v>6568</v>
      </c>
      <c r="N190" s="3" t="s">
        <v>1625</v>
      </c>
      <c r="O190" s="3" t="s">
        <v>1625</v>
      </c>
      <c r="P190" s="3" t="s">
        <v>2074</v>
      </c>
      <c r="Q190" s="3" t="s">
        <v>6580</v>
      </c>
      <c r="R190" s="3" t="s">
        <v>2075</v>
      </c>
      <c r="S190" s="3" t="s">
        <v>6549</v>
      </c>
      <c r="T190" s="3" t="s">
        <v>2077</v>
      </c>
      <c r="U190" s="3" t="s">
        <v>7063</v>
      </c>
      <c r="V190" s="3" t="s">
        <v>2078</v>
      </c>
      <c r="W190" s="3" t="s">
        <v>6545</v>
      </c>
      <c r="X190" s="3" t="s">
        <v>2079</v>
      </c>
      <c r="Y190" s="3" t="s">
        <v>6941</v>
      </c>
      <c r="Z190" s="3" t="s">
        <v>2080</v>
      </c>
      <c r="AA190" s="3" t="s">
        <v>6820</v>
      </c>
    </row>
    <row r="191" customFormat="false" ht="15" hidden="false" customHeight="true" outlineLevel="0" collapsed="false">
      <c r="A191" s="3" t="s">
        <v>2081</v>
      </c>
      <c r="B191" s="3" t="n">
        <v>3</v>
      </c>
      <c r="C191" s="3" t="n">
        <v>58</v>
      </c>
      <c r="D191" s="3" t="str">
        <f aca="false">Combined!G191</f>
        <v>Middle-aged (30–64)</v>
      </c>
      <c r="E191" s="3" t="s">
        <v>45</v>
      </c>
      <c r="F191" s="3" t="s">
        <v>47</v>
      </c>
      <c r="G191" s="3" t="s">
        <v>47</v>
      </c>
      <c r="H191" s="3" t="s">
        <v>2082</v>
      </c>
      <c r="I191" s="3" t="s">
        <v>6598</v>
      </c>
      <c r="J191" s="3" t="s">
        <v>2083</v>
      </c>
      <c r="K191" s="3" t="s">
        <v>6942</v>
      </c>
      <c r="L191" s="3" t="s">
        <v>2084</v>
      </c>
      <c r="M191" s="3" t="s">
        <v>7064</v>
      </c>
      <c r="N191" s="3" t="s">
        <v>2085</v>
      </c>
      <c r="O191" s="3" t="s">
        <v>6511</v>
      </c>
      <c r="P191" s="3" t="s">
        <v>2086</v>
      </c>
      <c r="Q191" s="3" t="s">
        <v>7065</v>
      </c>
      <c r="R191" s="3" t="s">
        <v>2087</v>
      </c>
      <c r="S191" s="3" t="s">
        <v>6585</v>
      </c>
      <c r="T191" s="3" t="s">
        <v>2089</v>
      </c>
      <c r="U191" s="3" t="s">
        <v>7066</v>
      </c>
      <c r="V191" s="3" t="s">
        <v>2090</v>
      </c>
      <c r="W191" s="3" t="s">
        <v>6747</v>
      </c>
      <c r="X191" s="3" t="s">
        <v>2091</v>
      </c>
      <c r="Y191" s="3" t="s">
        <v>7067</v>
      </c>
      <c r="Z191" s="3"/>
      <c r="AA191" s="3"/>
    </row>
    <row r="192" customFormat="false" ht="15" hidden="false" customHeight="true" outlineLevel="0" collapsed="false">
      <c r="A192" s="3" t="s">
        <v>2092</v>
      </c>
      <c r="B192" s="3" t="n">
        <v>3</v>
      </c>
      <c r="C192" s="3" t="n">
        <v>29</v>
      </c>
      <c r="D192" s="3" t="str">
        <f aca="false">Combined!G192</f>
        <v>Student age (≤29)</v>
      </c>
      <c r="E192" s="3" t="s">
        <v>1447</v>
      </c>
      <c r="F192" s="3" t="s">
        <v>47</v>
      </c>
      <c r="G192" s="3" t="s">
        <v>47</v>
      </c>
      <c r="H192" s="3" t="s">
        <v>2093</v>
      </c>
      <c r="I192" s="3" t="s">
        <v>7068</v>
      </c>
      <c r="J192" s="3" t="s">
        <v>2094</v>
      </c>
      <c r="K192" s="3" t="s">
        <v>7069</v>
      </c>
      <c r="L192" s="3" t="s">
        <v>2095</v>
      </c>
      <c r="M192" s="3" t="s">
        <v>6509</v>
      </c>
      <c r="N192" s="3" t="s">
        <v>2096</v>
      </c>
      <c r="O192" s="3" t="s">
        <v>6511</v>
      </c>
      <c r="P192" s="3" t="s">
        <v>2097</v>
      </c>
      <c r="Q192" s="3" t="s">
        <v>6542</v>
      </c>
      <c r="R192" s="3" t="s">
        <v>2098</v>
      </c>
      <c r="S192" s="3" t="s">
        <v>6513</v>
      </c>
      <c r="T192" s="3" t="s">
        <v>2100</v>
      </c>
      <c r="U192" s="3" t="s">
        <v>7070</v>
      </c>
      <c r="V192" s="3" t="s">
        <v>2101</v>
      </c>
      <c r="W192" s="3" t="s">
        <v>7071</v>
      </c>
      <c r="X192" s="3" t="s">
        <v>2102</v>
      </c>
      <c r="Y192" s="3" t="s">
        <v>6941</v>
      </c>
      <c r="Z192" s="3" t="s">
        <v>2103</v>
      </c>
      <c r="AA192" s="3" t="s">
        <v>7072</v>
      </c>
    </row>
    <row r="193" customFormat="false" ht="15" hidden="false" customHeight="true" outlineLevel="0" collapsed="false">
      <c r="A193" s="3" t="s">
        <v>2104</v>
      </c>
      <c r="B193" s="3" t="n">
        <v>3</v>
      </c>
      <c r="C193" s="3" t="n">
        <v>65</v>
      </c>
      <c r="D193" s="3" t="str">
        <f aca="false">Combined!G193</f>
        <v>Elderly (65+)</v>
      </c>
      <c r="E193" s="3" t="s">
        <v>45</v>
      </c>
      <c r="F193" s="3" t="s">
        <v>47</v>
      </c>
      <c r="G193" s="3" t="s">
        <v>47</v>
      </c>
      <c r="H193" s="3" t="s">
        <v>2105</v>
      </c>
      <c r="I193" s="3" t="s">
        <v>6598</v>
      </c>
      <c r="J193" s="3" t="s">
        <v>2106</v>
      </c>
      <c r="K193" s="3" t="s">
        <v>6509</v>
      </c>
      <c r="L193" s="3" t="s">
        <v>2107</v>
      </c>
      <c r="M193" s="3" t="s">
        <v>6942</v>
      </c>
      <c r="N193" s="3" t="s">
        <v>2108</v>
      </c>
      <c r="O193" s="3" t="s">
        <v>6511</v>
      </c>
      <c r="P193" s="3" t="s">
        <v>2109</v>
      </c>
      <c r="Q193" s="3" t="s">
        <v>6560</v>
      </c>
      <c r="R193" s="3" t="s">
        <v>2110</v>
      </c>
      <c r="S193" s="3" t="s">
        <v>6721</v>
      </c>
      <c r="T193" s="3" t="s">
        <v>2112</v>
      </c>
      <c r="U193" s="3" t="s">
        <v>7073</v>
      </c>
      <c r="V193" s="3" t="s">
        <v>2113</v>
      </c>
      <c r="W193" s="3" t="s">
        <v>7074</v>
      </c>
      <c r="X193" s="3" t="s">
        <v>2114</v>
      </c>
      <c r="Y193" s="3" t="s">
        <v>6602</v>
      </c>
      <c r="Z193" s="5" t="s">
        <v>2115</v>
      </c>
      <c r="AA193" s="3" t="s">
        <v>7058</v>
      </c>
    </row>
    <row r="194" customFormat="false" ht="15" hidden="false" customHeight="true" outlineLevel="0" collapsed="false">
      <c r="A194" s="3" t="s">
        <v>2116</v>
      </c>
      <c r="B194" s="3" t="n">
        <v>3</v>
      </c>
      <c r="C194" s="3" t="n">
        <v>51</v>
      </c>
      <c r="D194" s="3" t="str">
        <f aca="false">Combined!G194</f>
        <v>Middle-aged (30–64)</v>
      </c>
      <c r="E194" s="3" t="s">
        <v>83</v>
      </c>
      <c r="F194" s="3" t="s">
        <v>47</v>
      </c>
      <c r="G194" s="3" t="s">
        <v>47</v>
      </c>
      <c r="H194" s="3" t="s">
        <v>2117</v>
      </c>
      <c r="I194" s="3" t="s">
        <v>6769</v>
      </c>
      <c r="J194" s="3" t="s">
        <v>2118</v>
      </c>
      <c r="K194" s="3" t="s">
        <v>6510</v>
      </c>
      <c r="L194" s="3" t="s">
        <v>2119</v>
      </c>
      <c r="M194" s="3" t="s">
        <v>6547</v>
      </c>
      <c r="N194" s="3" t="s">
        <v>1574</v>
      </c>
      <c r="O194" s="3" t="s">
        <v>6511</v>
      </c>
      <c r="P194" s="3" t="s">
        <v>2120</v>
      </c>
      <c r="Q194" s="3" t="s">
        <v>6542</v>
      </c>
      <c r="R194" s="3" t="s">
        <v>2121</v>
      </c>
      <c r="S194" s="3" t="s">
        <v>6701</v>
      </c>
      <c r="T194" s="3" t="s">
        <v>2123</v>
      </c>
      <c r="U194" s="3" t="s">
        <v>6551</v>
      </c>
      <c r="V194" s="3" t="s">
        <v>2124</v>
      </c>
      <c r="W194" s="3" t="s">
        <v>6568</v>
      </c>
      <c r="X194" s="3" t="s">
        <v>2125</v>
      </c>
      <c r="Y194" s="3" t="s">
        <v>6568</v>
      </c>
      <c r="Z194" s="3" t="s">
        <v>2126</v>
      </c>
      <c r="AA194" s="3" t="s">
        <v>6569</v>
      </c>
    </row>
    <row r="195" customFormat="false" ht="15" hidden="false" customHeight="true" outlineLevel="0" collapsed="false">
      <c r="A195" s="3" t="s">
        <v>2127</v>
      </c>
      <c r="B195" s="3" t="n">
        <v>3</v>
      </c>
      <c r="C195" s="3" t="n">
        <v>46</v>
      </c>
      <c r="D195" s="3" t="str">
        <f aca="false">Combined!G195</f>
        <v>Middle-aged (30–64)</v>
      </c>
      <c r="E195" s="3" t="s">
        <v>45</v>
      </c>
      <c r="F195" s="3" t="s">
        <v>47</v>
      </c>
      <c r="G195" s="3" t="s">
        <v>47</v>
      </c>
      <c r="H195" s="3" t="s">
        <v>2128</v>
      </c>
      <c r="I195" s="3" t="s">
        <v>6539</v>
      </c>
      <c r="J195" s="3" t="s">
        <v>2129</v>
      </c>
      <c r="K195" s="3" t="s">
        <v>6510</v>
      </c>
      <c r="L195" s="3" t="s">
        <v>2130</v>
      </c>
      <c r="M195" s="3" t="s">
        <v>6978</v>
      </c>
      <c r="N195" s="3" t="s">
        <v>98</v>
      </c>
      <c r="O195" s="3" t="s">
        <v>6517</v>
      </c>
      <c r="P195" s="3" t="s">
        <v>2131</v>
      </c>
      <c r="Q195" s="3" t="s">
        <v>6577</v>
      </c>
      <c r="R195" s="3" t="s">
        <v>2132</v>
      </c>
      <c r="S195" s="3" t="s">
        <v>6551</v>
      </c>
      <c r="T195" s="3" t="s">
        <v>2134</v>
      </c>
      <c r="U195" s="3" t="s">
        <v>6820</v>
      </c>
      <c r="V195" s="3" t="s">
        <v>2135</v>
      </c>
      <c r="W195" s="3" t="s">
        <v>6814</v>
      </c>
      <c r="X195" s="3" t="s">
        <v>2136</v>
      </c>
      <c r="Y195" s="3" t="s">
        <v>7075</v>
      </c>
      <c r="Z195" s="3" t="s">
        <v>2137</v>
      </c>
      <c r="AA195" s="3" t="s">
        <v>6545</v>
      </c>
    </row>
    <row r="196" customFormat="false" ht="15" hidden="false" customHeight="true" outlineLevel="0" collapsed="false">
      <c r="A196" s="3" t="s">
        <v>2138</v>
      </c>
      <c r="B196" s="3" t="n">
        <v>3</v>
      </c>
      <c r="C196" s="3" t="n">
        <v>47</v>
      </c>
      <c r="D196" s="3" t="str">
        <f aca="false">Combined!G196</f>
        <v>Middle-aged (30–64)</v>
      </c>
      <c r="E196" s="3" t="s">
        <v>45</v>
      </c>
      <c r="F196" s="3" t="s">
        <v>47</v>
      </c>
      <c r="G196" s="3" t="s">
        <v>47</v>
      </c>
      <c r="H196" s="3" t="s">
        <v>2139</v>
      </c>
      <c r="I196" s="3" t="s">
        <v>6521</v>
      </c>
      <c r="J196" s="3" t="s">
        <v>2140</v>
      </c>
      <c r="K196" s="3" t="s">
        <v>6540</v>
      </c>
      <c r="L196" s="3" t="s">
        <v>2141</v>
      </c>
      <c r="M196" s="3" t="s">
        <v>6545</v>
      </c>
      <c r="N196" s="3" t="s">
        <v>2142</v>
      </c>
      <c r="O196" s="3" t="s">
        <v>6511</v>
      </c>
      <c r="P196" s="3" t="s">
        <v>2143</v>
      </c>
      <c r="Q196" s="3" t="s">
        <v>6634</v>
      </c>
      <c r="R196" s="3" t="s">
        <v>2144</v>
      </c>
      <c r="S196" s="3" t="s">
        <v>6551</v>
      </c>
      <c r="T196" s="3" t="s">
        <v>2146</v>
      </c>
      <c r="U196" s="3" t="s">
        <v>6650</v>
      </c>
      <c r="V196" s="3" t="s">
        <v>2147</v>
      </c>
      <c r="W196" s="3" t="s">
        <v>6650</v>
      </c>
      <c r="X196" s="3" t="s">
        <v>2148</v>
      </c>
      <c r="Y196" s="3" t="s">
        <v>6509</v>
      </c>
      <c r="Z196" s="3" t="s">
        <v>2149</v>
      </c>
      <c r="AA196" s="3" t="s">
        <v>6611</v>
      </c>
    </row>
    <row r="197" customFormat="false" ht="15" hidden="false" customHeight="true" outlineLevel="0" collapsed="false">
      <c r="A197" s="3" t="s">
        <v>2150</v>
      </c>
      <c r="B197" s="3" t="n">
        <v>3</v>
      </c>
      <c r="C197" s="3" t="n">
        <v>29</v>
      </c>
      <c r="D197" s="3" t="str">
        <f aca="false">Combined!G197</f>
        <v>Student age (≤29)</v>
      </c>
      <c r="E197" s="3" t="s">
        <v>45</v>
      </c>
      <c r="F197" s="3" t="s">
        <v>47</v>
      </c>
      <c r="G197" s="3" t="s">
        <v>47</v>
      </c>
      <c r="H197" s="3" t="s">
        <v>2151</v>
      </c>
      <c r="I197" s="3" t="s">
        <v>6539</v>
      </c>
      <c r="J197" s="3" t="s">
        <v>2152</v>
      </c>
      <c r="K197" s="3" t="s">
        <v>6568</v>
      </c>
      <c r="L197" s="3" t="s">
        <v>2153</v>
      </c>
      <c r="M197" s="3" t="s">
        <v>6551</v>
      </c>
      <c r="N197" s="3" t="s">
        <v>2154</v>
      </c>
      <c r="O197" s="3" t="s">
        <v>6511</v>
      </c>
      <c r="P197" s="3" t="s">
        <v>2155</v>
      </c>
      <c r="Q197" s="3" t="s">
        <v>7076</v>
      </c>
      <c r="R197" s="3" t="s">
        <v>2156</v>
      </c>
      <c r="S197" s="3" t="s">
        <v>6619</v>
      </c>
      <c r="T197" s="3" t="s">
        <v>2158</v>
      </c>
      <c r="U197" s="3" t="s">
        <v>6551</v>
      </c>
      <c r="V197" s="3" t="s">
        <v>2159</v>
      </c>
      <c r="W197" s="3" t="s">
        <v>6538</v>
      </c>
      <c r="X197" s="3" t="s">
        <v>2160</v>
      </c>
      <c r="Y197" s="3" t="s">
        <v>6882</v>
      </c>
      <c r="Z197" s="3" t="s">
        <v>2161</v>
      </c>
      <c r="AA197" s="3" t="s">
        <v>6812</v>
      </c>
    </row>
    <row r="198" customFormat="false" ht="15" hidden="false" customHeight="true" outlineLevel="0" collapsed="false">
      <c r="A198" s="3" t="s">
        <v>2162</v>
      </c>
      <c r="B198" s="3" t="n">
        <v>3</v>
      </c>
      <c r="C198" s="3" t="n">
        <v>35</v>
      </c>
      <c r="D198" s="3" t="str">
        <f aca="false">Combined!G198</f>
        <v>Middle-aged (30–64)</v>
      </c>
      <c r="E198" s="3" t="s">
        <v>45</v>
      </c>
      <c r="F198" s="3" t="s">
        <v>47</v>
      </c>
      <c r="G198" s="3" t="s">
        <v>47</v>
      </c>
      <c r="H198" s="3" t="s">
        <v>2163</v>
      </c>
      <c r="I198" s="3" t="s">
        <v>6842</v>
      </c>
      <c r="J198" s="3" t="s">
        <v>2164</v>
      </c>
      <c r="K198" s="3" t="s">
        <v>7077</v>
      </c>
      <c r="L198" s="3" t="s">
        <v>2165</v>
      </c>
      <c r="M198" s="3" t="s">
        <v>7078</v>
      </c>
      <c r="N198" s="3" t="s">
        <v>2166</v>
      </c>
      <c r="O198" s="3" t="s">
        <v>1625</v>
      </c>
      <c r="P198" s="3" t="s">
        <v>2167</v>
      </c>
      <c r="Q198" s="3" t="s">
        <v>6667</v>
      </c>
      <c r="R198" s="3" t="s">
        <v>2168</v>
      </c>
      <c r="S198" s="3" t="s">
        <v>7079</v>
      </c>
      <c r="T198" s="3" t="s">
        <v>2170</v>
      </c>
      <c r="U198" s="3" t="s">
        <v>6568</v>
      </c>
      <c r="V198" s="3" t="s">
        <v>2171</v>
      </c>
      <c r="W198" s="3" t="s">
        <v>6568</v>
      </c>
      <c r="X198" s="3" t="s">
        <v>2172</v>
      </c>
      <c r="Y198" s="3" t="s">
        <v>6545</v>
      </c>
      <c r="Z198" s="3" t="s">
        <v>2173</v>
      </c>
      <c r="AA198" s="3" t="s">
        <v>7080</v>
      </c>
    </row>
    <row r="199" customFormat="false" ht="15" hidden="false" customHeight="true" outlineLevel="0" collapsed="false">
      <c r="A199" s="3" t="s">
        <v>2174</v>
      </c>
      <c r="B199" s="3" t="n">
        <v>3</v>
      </c>
      <c r="C199" s="3" t="n">
        <v>44</v>
      </c>
      <c r="D199" s="3" t="str">
        <f aca="false">Combined!G199</f>
        <v>Middle-aged (30–64)</v>
      </c>
      <c r="E199" s="3" t="s">
        <v>45</v>
      </c>
      <c r="F199" s="3" t="s">
        <v>47</v>
      </c>
      <c r="G199" s="3" t="s">
        <v>47</v>
      </c>
      <c r="H199" s="3" t="s">
        <v>2175</v>
      </c>
      <c r="I199" s="3" t="s">
        <v>7081</v>
      </c>
      <c r="J199" s="3" t="s">
        <v>2176</v>
      </c>
      <c r="K199" s="3" t="s">
        <v>7082</v>
      </c>
      <c r="L199" s="3" t="s">
        <v>2177</v>
      </c>
      <c r="M199" s="3" t="s">
        <v>7083</v>
      </c>
      <c r="N199" s="3" t="s">
        <v>2178</v>
      </c>
      <c r="O199" s="3" t="s">
        <v>6511</v>
      </c>
      <c r="P199" s="3" t="s">
        <v>2179</v>
      </c>
      <c r="Q199" s="3" t="s">
        <v>7084</v>
      </c>
      <c r="R199" s="3" t="s">
        <v>2180</v>
      </c>
      <c r="S199" s="3" t="s">
        <v>7085</v>
      </c>
      <c r="T199" s="3" t="s">
        <v>2182</v>
      </c>
      <c r="U199" s="3" t="s">
        <v>7086</v>
      </c>
      <c r="V199" s="3" t="s">
        <v>2183</v>
      </c>
      <c r="W199" s="3" t="s">
        <v>7087</v>
      </c>
      <c r="X199" s="3" t="s">
        <v>2184</v>
      </c>
      <c r="Y199" s="3" t="s">
        <v>7088</v>
      </c>
      <c r="Z199" s="3"/>
      <c r="AA199" s="3"/>
    </row>
    <row r="200" customFormat="false" ht="15" hidden="false" customHeight="true" outlineLevel="0" collapsed="false">
      <c r="A200" s="3" t="s">
        <v>2185</v>
      </c>
      <c r="B200" s="3" t="n">
        <v>3</v>
      </c>
      <c r="C200" s="3" t="n">
        <v>21</v>
      </c>
      <c r="D200" s="3" t="str">
        <f aca="false">Combined!G200</f>
        <v>Student age (≤29)</v>
      </c>
      <c r="E200" s="3" t="s">
        <v>45</v>
      </c>
      <c r="F200" s="3" t="s">
        <v>47</v>
      </c>
      <c r="G200" s="3" t="s">
        <v>47</v>
      </c>
      <c r="H200" s="3" t="s">
        <v>2186</v>
      </c>
      <c r="I200" s="3" t="s">
        <v>6527</v>
      </c>
      <c r="J200" s="3" t="s">
        <v>2187</v>
      </c>
      <c r="K200" s="3" t="s">
        <v>6564</v>
      </c>
      <c r="L200" s="3" t="s">
        <v>2188</v>
      </c>
      <c r="M200" s="3" t="s">
        <v>6564</v>
      </c>
      <c r="N200" s="3" t="s">
        <v>2189</v>
      </c>
      <c r="O200" s="3" t="s">
        <v>6511</v>
      </c>
      <c r="P200" s="3" t="s">
        <v>2190</v>
      </c>
      <c r="Q200" s="3" t="s">
        <v>6512</v>
      </c>
      <c r="R200" s="3" t="s">
        <v>2191</v>
      </c>
      <c r="S200" s="3" t="s">
        <v>6885</v>
      </c>
      <c r="T200" s="3" t="s">
        <v>2193</v>
      </c>
      <c r="U200" s="3" t="s">
        <v>6693</v>
      </c>
      <c r="V200" s="3" t="s">
        <v>2194</v>
      </c>
      <c r="W200" s="3" t="s">
        <v>6776</v>
      </c>
      <c r="X200" s="3" t="s">
        <v>2195</v>
      </c>
      <c r="Y200" s="3" t="s">
        <v>6910</v>
      </c>
      <c r="Z200" s="3" t="s">
        <v>2196</v>
      </c>
      <c r="AA200" s="3" t="s">
        <v>6564</v>
      </c>
    </row>
    <row r="201" customFormat="false" ht="15" hidden="false" customHeight="true" outlineLevel="0" collapsed="false">
      <c r="A201" s="3" t="s">
        <v>2197</v>
      </c>
      <c r="B201" s="3" t="n">
        <v>3</v>
      </c>
      <c r="C201" s="3" t="n">
        <v>20</v>
      </c>
      <c r="D201" s="3" t="str">
        <f aca="false">Combined!G201</f>
        <v>Student age (≤29)</v>
      </c>
      <c r="E201" s="3" t="s">
        <v>45</v>
      </c>
      <c r="F201" s="3" t="s">
        <v>47</v>
      </c>
      <c r="G201" s="3" t="s">
        <v>47</v>
      </c>
      <c r="H201" s="3" t="s">
        <v>2198</v>
      </c>
      <c r="I201" s="3" t="s">
        <v>6691</v>
      </c>
      <c r="J201" s="3" t="s">
        <v>2199</v>
      </c>
      <c r="K201" s="3" t="s">
        <v>6509</v>
      </c>
      <c r="L201" s="3" t="s">
        <v>2200</v>
      </c>
      <c r="M201" s="3" t="s">
        <v>6510</v>
      </c>
      <c r="N201" s="3" t="s">
        <v>895</v>
      </c>
      <c r="O201" s="3" t="s">
        <v>6517</v>
      </c>
      <c r="P201" s="3" t="s">
        <v>2201</v>
      </c>
      <c r="Q201" s="3" t="s">
        <v>6580</v>
      </c>
      <c r="R201" s="3" t="s">
        <v>2202</v>
      </c>
      <c r="S201" s="3" t="s">
        <v>6690</v>
      </c>
      <c r="T201" s="3" t="s">
        <v>2204</v>
      </c>
      <c r="U201" s="3" t="s">
        <v>6900</v>
      </c>
      <c r="V201" s="3" t="s">
        <v>2205</v>
      </c>
      <c r="W201" s="3" t="s">
        <v>6900</v>
      </c>
      <c r="X201" s="3" t="s">
        <v>2206</v>
      </c>
      <c r="Y201" s="3" t="s">
        <v>6551</v>
      </c>
      <c r="Z201" s="3"/>
      <c r="AA201" s="3"/>
    </row>
    <row r="202" customFormat="false" ht="15" hidden="false" customHeight="true" outlineLevel="0" collapsed="false">
      <c r="A202" s="3" t="s">
        <v>2207</v>
      </c>
      <c r="B202" s="3" t="n">
        <v>3</v>
      </c>
      <c r="C202" s="3" t="n">
        <v>70</v>
      </c>
      <c r="D202" s="3" t="str">
        <f aca="false">Combined!G202</f>
        <v>Elderly (65+)</v>
      </c>
      <c r="E202" s="3" t="s">
        <v>83</v>
      </c>
      <c r="F202" s="3" t="s">
        <v>47</v>
      </c>
      <c r="G202" s="3" t="s">
        <v>47</v>
      </c>
      <c r="H202" s="3" t="s">
        <v>2208</v>
      </c>
      <c r="I202" s="3" t="s">
        <v>6759</v>
      </c>
      <c r="J202" s="3" t="s">
        <v>130</v>
      </c>
      <c r="K202" s="3" t="s">
        <v>6516</v>
      </c>
      <c r="L202" s="3" t="s">
        <v>2209</v>
      </c>
      <c r="M202" s="3" t="s">
        <v>6729</v>
      </c>
      <c r="N202" s="3" t="s">
        <v>2210</v>
      </c>
      <c r="O202" s="3" t="s">
        <v>59</v>
      </c>
      <c r="P202" s="3" t="s">
        <v>2211</v>
      </c>
      <c r="Q202" s="3" t="s">
        <v>6992</v>
      </c>
      <c r="R202" s="3" t="s">
        <v>2212</v>
      </c>
      <c r="S202" s="3" t="s">
        <v>6647</v>
      </c>
      <c r="T202" s="3" t="s">
        <v>2214</v>
      </c>
      <c r="U202" s="3" t="s">
        <v>6614</v>
      </c>
      <c r="V202" s="3" t="s">
        <v>2215</v>
      </c>
      <c r="W202" s="3" t="s">
        <v>6568</v>
      </c>
      <c r="X202" s="3" t="s">
        <v>1845</v>
      </c>
      <c r="Y202" s="3" t="s">
        <v>6545</v>
      </c>
      <c r="Z202" s="3"/>
      <c r="AA202" s="3"/>
    </row>
    <row r="203" customFormat="false" ht="15" hidden="false" customHeight="true" outlineLevel="0" collapsed="false">
      <c r="A203" s="3" t="s">
        <v>2216</v>
      </c>
      <c r="B203" s="3" t="n">
        <v>3</v>
      </c>
      <c r="C203" s="3" t="n">
        <v>60</v>
      </c>
      <c r="D203" s="3" t="str">
        <f aca="false">Combined!G203</f>
        <v>Middle-aged (30–64)</v>
      </c>
      <c r="E203" s="3" t="s">
        <v>45</v>
      </c>
      <c r="F203" s="3" t="s">
        <v>47</v>
      </c>
      <c r="G203" s="3" t="s">
        <v>47</v>
      </c>
      <c r="H203" s="3" t="s">
        <v>2217</v>
      </c>
      <c r="I203" s="3" t="s">
        <v>6759</v>
      </c>
      <c r="J203" s="3" t="s">
        <v>2218</v>
      </c>
      <c r="K203" s="3" t="s">
        <v>6510</v>
      </c>
      <c r="L203" s="3" t="s">
        <v>2219</v>
      </c>
      <c r="M203" s="3" t="s">
        <v>6529</v>
      </c>
      <c r="N203" s="3" t="s">
        <v>2220</v>
      </c>
      <c r="O203" s="3" t="s">
        <v>6517</v>
      </c>
      <c r="P203" s="3" t="s">
        <v>2221</v>
      </c>
      <c r="Q203" s="3" t="s">
        <v>6571</v>
      </c>
      <c r="R203" s="3" t="s">
        <v>2222</v>
      </c>
      <c r="S203" s="3" t="s">
        <v>6621</v>
      </c>
      <c r="T203" s="3" t="s">
        <v>2224</v>
      </c>
      <c r="U203" s="3" t="s">
        <v>7089</v>
      </c>
      <c r="V203" s="3" t="s">
        <v>1659</v>
      </c>
      <c r="W203" s="3" t="s">
        <v>6568</v>
      </c>
      <c r="X203" s="3" t="s">
        <v>2225</v>
      </c>
      <c r="Y203" s="3" t="s">
        <v>6545</v>
      </c>
      <c r="Z203" s="3" t="s">
        <v>2226</v>
      </c>
      <c r="AA203" s="3" t="s">
        <v>6647</v>
      </c>
    </row>
    <row r="204" customFormat="false" ht="15" hidden="false" customHeight="true" outlineLevel="0" collapsed="false">
      <c r="A204" s="3" t="s">
        <v>2227</v>
      </c>
      <c r="B204" s="3" t="n">
        <v>3</v>
      </c>
      <c r="C204" s="3" t="n">
        <v>21</v>
      </c>
      <c r="D204" s="3" t="str">
        <f aca="false">Combined!G204</f>
        <v>Student age (≤29)</v>
      </c>
      <c r="E204" s="3" t="s">
        <v>83</v>
      </c>
      <c r="F204" s="3" t="s">
        <v>47</v>
      </c>
      <c r="G204" s="3" t="s">
        <v>47</v>
      </c>
      <c r="H204" s="3" t="s">
        <v>104</v>
      </c>
      <c r="I204" s="3" t="s">
        <v>6539</v>
      </c>
      <c r="J204" s="3" t="s">
        <v>2230</v>
      </c>
      <c r="K204" s="3" t="s">
        <v>6569</v>
      </c>
      <c r="L204" s="3" t="s">
        <v>2231</v>
      </c>
      <c r="M204" s="3" t="s">
        <v>6942</v>
      </c>
      <c r="N204" s="3" t="s">
        <v>2232</v>
      </c>
      <c r="O204" s="3" t="s">
        <v>6511</v>
      </c>
      <c r="P204" s="3" t="s">
        <v>2233</v>
      </c>
      <c r="Q204" s="3" t="s">
        <v>7090</v>
      </c>
      <c r="R204" s="3" t="s">
        <v>2234</v>
      </c>
      <c r="S204" s="3" t="s">
        <v>6551</v>
      </c>
      <c r="T204" s="3" t="s">
        <v>2236</v>
      </c>
      <c r="U204" s="3" t="s">
        <v>6574</v>
      </c>
      <c r="V204" s="3" t="s">
        <v>2237</v>
      </c>
      <c r="W204" s="3" t="s">
        <v>6564</v>
      </c>
      <c r="X204" s="3" t="s">
        <v>2238</v>
      </c>
      <c r="Y204" s="3" t="s">
        <v>7091</v>
      </c>
      <c r="Z204" s="3" t="s">
        <v>2239</v>
      </c>
      <c r="AA204" s="3" t="s">
        <v>6778</v>
      </c>
    </row>
    <row r="205" customFormat="false" ht="15" hidden="false" customHeight="true" outlineLevel="0" collapsed="false">
      <c r="A205" s="3" t="s">
        <v>2240</v>
      </c>
      <c r="B205" s="3" t="n">
        <v>3</v>
      </c>
      <c r="C205" s="3" t="n">
        <v>45</v>
      </c>
      <c r="D205" s="3" t="str">
        <f aca="false">Combined!G205</f>
        <v>Middle-aged (30–64)</v>
      </c>
      <c r="E205" s="3" t="s">
        <v>45</v>
      </c>
      <c r="F205" s="3" t="s">
        <v>437</v>
      </c>
      <c r="G205" s="3" t="s">
        <v>437</v>
      </c>
      <c r="H205" s="3" t="s">
        <v>2241</v>
      </c>
      <c r="I205" s="3" t="s">
        <v>6623</v>
      </c>
      <c r="J205" s="3" t="s">
        <v>2243</v>
      </c>
      <c r="K205" s="3" t="s">
        <v>6924</v>
      </c>
      <c r="L205" s="3" t="s">
        <v>2244</v>
      </c>
      <c r="M205" s="3" t="s">
        <v>6611</v>
      </c>
      <c r="N205" s="3" t="s">
        <v>98</v>
      </c>
      <c r="O205" s="3" t="s">
        <v>6517</v>
      </c>
      <c r="P205" s="3" t="s">
        <v>2245</v>
      </c>
      <c r="Q205" s="3" t="s">
        <v>6717</v>
      </c>
      <c r="R205" s="3" t="s">
        <v>2246</v>
      </c>
      <c r="S205" s="3" t="s">
        <v>6551</v>
      </c>
      <c r="T205" s="3" t="s">
        <v>2248</v>
      </c>
      <c r="U205" s="3" t="s">
        <v>7092</v>
      </c>
      <c r="V205" s="3" t="s">
        <v>2249</v>
      </c>
      <c r="W205" s="3" t="s">
        <v>6568</v>
      </c>
      <c r="X205" s="3" t="s">
        <v>2250</v>
      </c>
      <c r="Y205" s="3" t="s">
        <v>6551</v>
      </c>
      <c r="Z205" s="3" t="s">
        <v>2251</v>
      </c>
      <c r="AA205" s="3" t="s">
        <v>6647</v>
      </c>
    </row>
    <row r="206" customFormat="false" ht="15" hidden="false" customHeight="true" outlineLevel="0" collapsed="false">
      <c r="A206" s="3" t="s">
        <v>2252</v>
      </c>
      <c r="B206" s="3" t="n">
        <v>3</v>
      </c>
      <c r="C206" s="3" t="n">
        <v>56</v>
      </c>
      <c r="D206" s="3" t="str">
        <f aca="false">Combined!G206</f>
        <v>Middle-aged (30–64)</v>
      </c>
      <c r="E206" s="3" t="s">
        <v>45</v>
      </c>
      <c r="F206" s="3" t="s">
        <v>437</v>
      </c>
      <c r="G206" s="3" t="s">
        <v>437</v>
      </c>
      <c r="H206" s="3" t="s">
        <v>2253</v>
      </c>
      <c r="I206" s="3" t="s">
        <v>6691</v>
      </c>
      <c r="J206" s="3" t="s">
        <v>2254</v>
      </c>
      <c r="K206" s="3" t="s">
        <v>6510</v>
      </c>
      <c r="L206" s="3" t="s">
        <v>2255</v>
      </c>
      <c r="M206" s="3" t="s">
        <v>6799</v>
      </c>
      <c r="N206" s="3" t="s">
        <v>59</v>
      </c>
      <c r="O206" s="3" t="s">
        <v>59</v>
      </c>
      <c r="P206" s="3" t="s">
        <v>2256</v>
      </c>
      <c r="Q206" s="3" t="s">
        <v>6580</v>
      </c>
      <c r="R206" s="3" t="s">
        <v>2257</v>
      </c>
      <c r="S206" s="3" t="s">
        <v>6581</v>
      </c>
      <c r="T206" s="3" t="s">
        <v>2259</v>
      </c>
      <c r="U206" s="3" t="s">
        <v>6540</v>
      </c>
      <c r="V206" s="3" t="s">
        <v>1787</v>
      </c>
      <c r="W206" s="3" t="s">
        <v>6900</v>
      </c>
      <c r="X206" s="3" t="s">
        <v>1787</v>
      </c>
      <c r="Y206" s="3" t="s">
        <v>6900</v>
      </c>
      <c r="Z206" s="3" t="s">
        <v>2260</v>
      </c>
      <c r="AA206" s="3" t="s">
        <v>6820</v>
      </c>
    </row>
    <row r="207" customFormat="false" ht="15" hidden="false" customHeight="true" outlineLevel="0" collapsed="false">
      <c r="A207" s="3" t="s">
        <v>2261</v>
      </c>
      <c r="B207" s="3" t="n">
        <v>3</v>
      </c>
      <c r="C207" s="3" t="n">
        <v>45</v>
      </c>
      <c r="D207" s="3" t="str">
        <f aca="false">Combined!G207</f>
        <v>Middle-aged (30–64)</v>
      </c>
      <c r="E207" s="3" t="s">
        <v>83</v>
      </c>
      <c r="F207" s="3" t="s">
        <v>437</v>
      </c>
      <c r="G207" s="3" t="s">
        <v>437</v>
      </c>
      <c r="H207" s="3" t="s">
        <v>2262</v>
      </c>
      <c r="I207" s="3" t="s">
        <v>6803</v>
      </c>
      <c r="J207" s="3" t="s">
        <v>2254</v>
      </c>
      <c r="K207" s="3" t="s">
        <v>6510</v>
      </c>
      <c r="L207" s="3" t="s">
        <v>2263</v>
      </c>
      <c r="M207" s="3" t="s">
        <v>7005</v>
      </c>
      <c r="N207" s="3" t="s">
        <v>98</v>
      </c>
      <c r="O207" s="3" t="s">
        <v>6517</v>
      </c>
      <c r="P207" s="3" t="s">
        <v>2264</v>
      </c>
      <c r="Q207" s="3" t="s">
        <v>6717</v>
      </c>
      <c r="R207" s="3" t="s">
        <v>2265</v>
      </c>
      <c r="S207" s="3" t="s">
        <v>6551</v>
      </c>
      <c r="T207" s="3" t="s">
        <v>2267</v>
      </c>
      <c r="U207" s="3" t="s">
        <v>6545</v>
      </c>
      <c r="V207" s="3" t="s">
        <v>2268</v>
      </c>
      <c r="W207" s="3" t="s">
        <v>6568</v>
      </c>
      <c r="X207" s="3" t="s">
        <v>2269</v>
      </c>
      <c r="Y207" s="3" t="s">
        <v>6568</v>
      </c>
      <c r="Z207" s="3" t="s">
        <v>2270</v>
      </c>
      <c r="AA207" s="3" t="s">
        <v>7093</v>
      </c>
    </row>
    <row r="208" customFormat="false" ht="15" hidden="false" customHeight="true" outlineLevel="0" collapsed="false">
      <c r="A208" s="3" t="s">
        <v>2271</v>
      </c>
      <c r="B208" s="3" t="n">
        <v>3</v>
      </c>
      <c r="C208" s="3" t="n">
        <v>46</v>
      </c>
      <c r="D208" s="3" t="str">
        <f aca="false">Combined!G208</f>
        <v>Middle-aged (30–64)</v>
      </c>
      <c r="E208" s="3" t="s">
        <v>45</v>
      </c>
      <c r="F208" s="3" t="s">
        <v>437</v>
      </c>
      <c r="G208" s="3" t="s">
        <v>437</v>
      </c>
      <c r="H208" s="3" t="s">
        <v>2272</v>
      </c>
      <c r="I208" s="3" t="s">
        <v>6623</v>
      </c>
      <c r="J208" s="3" t="s">
        <v>2273</v>
      </c>
      <c r="K208" s="3" t="s">
        <v>6564</v>
      </c>
      <c r="L208" s="3" t="s">
        <v>2274</v>
      </c>
      <c r="M208" s="3" t="s">
        <v>7094</v>
      </c>
      <c r="N208" s="3" t="s">
        <v>59</v>
      </c>
      <c r="O208" s="3" t="s">
        <v>59</v>
      </c>
      <c r="P208" s="3" t="s">
        <v>2275</v>
      </c>
      <c r="Q208" s="3" t="s">
        <v>6580</v>
      </c>
      <c r="R208" s="3" t="s">
        <v>2276</v>
      </c>
      <c r="S208" s="3" t="s">
        <v>6721</v>
      </c>
      <c r="T208" s="3" t="s">
        <v>2278</v>
      </c>
      <c r="U208" s="3" t="s">
        <v>7095</v>
      </c>
      <c r="V208" s="3" t="s">
        <v>2279</v>
      </c>
      <c r="W208" s="3" t="s">
        <v>6568</v>
      </c>
      <c r="X208" s="3" t="s">
        <v>2280</v>
      </c>
      <c r="Y208" s="3" t="s">
        <v>6602</v>
      </c>
      <c r="Z208" s="3" t="s">
        <v>2281</v>
      </c>
      <c r="AA208" s="3" t="s">
        <v>6538</v>
      </c>
    </row>
    <row r="209" customFormat="false" ht="15" hidden="false" customHeight="true" outlineLevel="0" collapsed="false">
      <c r="A209" s="3" t="s">
        <v>2282</v>
      </c>
      <c r="B209" s="3" t="n">
        <v>3</v>
      </c>
      <c r="C209" s="3" t="n">
        <v>40</v>
      </c>
      <c r="D209" s="3" t="str">
        <f aca="false">Combined!G209</f>
        <v>Middle-aged (30–64)</v>
      </c>
      <c r="E209" s="3" t="s">
        <v>45</v>
      </c>
      <c r="F209" s="3" t="s">
        <v>437</v>
      </c>
      <c r="G209" s="3" t="s">
        <v>437</v>
      </c>
      <c r="H209" s="3" t="s">
        <v>2283</v>
      </c>
      <c r="I209" s="3" t="s">
        <v>6813</v>
      </c>
      <c r="J209" s="3" t="s">
        <v>2284</v>
      </c>
      <c r="K209" s="3" t="s">
        <v>6564</v>
      </c>
      <c r="L209" s="3" t="s">
        <v>2285</v>
      </c>
      <c r="M209" s="3" t="s">
        <v>6981</v>
      </c>
      <c r="N209" s="3" t="s">
        <v>2286</v>
      </c>
      <c r="O209" s="3" t="s">
        <v>6511</v>
      </c>
      <c r="P209" s="3" t="s">
        <v>2287</v>
      </c>
      <c r="Q209" s="3" t="s">
        <v>6711</v>
      </c>
      <c r="R209" s="3" t="s">
        <v>2288</v>
      </c>
      <c r="S209" s="3" t="s">
        <v>6581</v>
      </c>
      <c r="T209" s="3" t="s">
        <v>2290</v>
      </c>
      <c r="U209" s="3" t="s">
        <v>7096</v>
      </c>
      <c r="V209" s="3" t="s">
        <v>2291</v>
      </c>
      <c r="W209" s="3" t="s">
        <v>7030</v>
      </c>
      <c r="X209" s="3" t="s">
        <v>2292</v>
      </c>
      <c r="Y209" s="3" t="s">
        <v>7097</v>
      </c>
      <c r="Z209" s="3"/>
      <c r="AA209" s="3"/>
    </row>
    <row r="210" customFormat="false" ht="15" hidden="false" customHeight="true" outlineLevel="0" collapsed="false">
      <c r="A210" s="3" t="s">
        <v>2293</v>
      </c>
      <c r="B210" s="3" t="n">
        <v>3</v>
      </c>
      <c r="C210" s="3" t="n">
        <v>46</v>
      </c>
      <c r="D210" s="3" t="str">
        <f aca="false">Combined!G210</f>
        <v>Middle-aged (30–64)</v>
      </c>
      <c r="E210" s="3" t="s">
        <v>45</v>
      </c>
      <c r="F210" s="3" t="s">
        <v>437</v>
      </c>
      <c r="G210" s="3" t="s">
        <v>437</v>
      </c>
      <c r="H210" s="3" t="s">
        <v>2272</v>
      </c>
      <c r="I210" s="3" t="s">
        <v>6623</v>
      </c>
      <c r="J210" s="3" t="s">
        <v>2294</v>
      </c>
      <c r="K210" s="3" t="s">
        <v>7098</v>
      </c>
      <c r="L210" s="3" t="s">
        <v>2295</v>
      </c>
      <c r="M210" s="3" t="s">
        <v>7099</v>
      </c>
      <c r="N210" s="3" t="s">
        <v>2296</v>
      </c>
      <c r="O210" s="3" t="s">
        <v>6511</v>
      </c>
      <c r="P210" s="3" t="s">
        <v>2297</v>
      </c>
      <c r="Q210" s="3" t="s">
        <v>6655</v>
      </c>
      <c r="R210" s="3" t="s">
        <v>2298</v>
      </c>
      <c r="S210" s="3" t="s">
        <v>7100</v>
      </c>
      <c r="T210" s="3" t="s">
        <v>2300</v>
      </c>
      <c r="U210" s="3" t="s">
        <v>7101</v>
      </c>
      <c r="V210" s="3" t="s">
        <v>2301</v>
      </c>
      <c r="W210" s="3" t="s">
        <v>7102</v>
      </c>
      <c r="X210" s="3" t="s">
        <v>2302</v>
      </c>
      <c r="Y210" s="3" t="s">
        <v>6940</v>
      </c>
      <c r="Z210" s="3" t="s">
        <v>2303</v>
      </c>
      <c r="AA210" s="3" t="s">
        <v>7103</v>
      </c>
    </row>
    <row r="211" customFormat="false" ht="15" hidden="false" customHeight="true" outlineLevel="0" collapsed="false">
      <c r="A211" s="3" t="s">
        <v>2304</v>
      </c>
      <c r="B211" s="3" t="n">
        <v>3</v>
      </c>
      <c r="C211" s="3" t="n">
        <v>38</v>
      </c>
      <c r="D211" s="3" t="str">
        <f aca="false">Combined!G211</f>
        <v>Middle-aged (30–64)</v>
      </c>
      <c r="E211" s="3" t="s">
        <v>45</v>
      </c>
      <c r="F211" s="3" t="s">
        <v>437</v>
      </c>
      <c r="G211" s="3" t="s">
        <v>437</v>
      </c>
      <c r="H211" s="3" t="s">
        <v>2305</v>
      </c>
      <c r="I211" s="3" t="s">
        <v>7104</v>
      </c>
      <c r="J211" s="3" t="s">
        <v>2306</v>
      </c>
      <c r="K211" s="3" t="s">
        <v>6516</v>
      </c>
      <c r="L211" s="3" t="s">
        <v>2307</v>
      </c>
      <c r="M211" s="3" t="s">
        <v>6799</v>
      </c>
      <c r="N211" s="3" t="s">
        <v>2308</v>
      </c>
      <c r="O211" s="3" t="s">
        <v>6511</v>
      </c>
      <c r="P211" s="3" t="s">
        <v>2309</v>
      </c>
      <c r="Q211" s="3" t="s">
        <v>6968</v>
      </c>
      <c r="R211" s="3" t="s">
        <v>2310</v>
      </c>
      <c r="S211" s="3" t="s">
        <v>6551</v>
      </c>
      <c r="T211" s="3" t="s">
        <v>2312</v>
      </c>
      <c r="U211" s="3" t="s">
        <v>6541</v>
      </c>
      <c r="V211" s="3" t="s">
        <v>2313</v>
      </c>
      <c r="W211" s="3" t="s">
        <v>6545</v>
      </c>
      <c r="X211" s="3" t="s">
        <v>1768</v>
      </c>
      <c r="Y211" s="3" t="s">
        <v>6538</v>
      </c>
      <c r="Z211" s="3" t="s">
        <v>1768</v>
      </c>
      <c r="AA211" s="3" t="s">
        <v>6538</v>
      </c>
    </row>
    <row r="212" customFormat="false" ht="15" hidden="false" customHeight="true" outlineLevel="0" collapsed="false">
      <c r="A212" s="3" t="s">
        <v>2314</v>
      </c>
      <c r="B212" s="3" t="n">
        <v>3</v>
      </c>
      <c r="C212" s="3" t="n">
        <v>49</v>
      </c>
      <c r="D212" s="3" t="str">
        <f aca="false">Combined!G212</f>
        <v>Middle-aged (30–64)</v>
      </c>
      <c r="E212" s="3" t="s">
        <v>45</v>
      </c>
      <c r="F212" s="3" t="s">
        <v>437</v>
      </c>
      <c r="G212" s="3" t="s">
        <v>437</v>
      </c>
      <c r="H212" s="3" t="s">
        <v>2315</v>
      </c>
      <c r="I212" s="3" t="s">
        <v>6608</v>
      </c>
      <c r="J212" s="3" t="s">
        <v>2316</v>
      </c>
      <c r="K212" s="3" t="s">
        <v>6611</v>
      </c>
      <c r="L212" s="3" t="s">
        <v>2317</v>
      </c>
      <c r="M212" s="3" t="s">
        <v>2035</v>
      </c>
      <c r="N212" s="3" t="s">
        <v>2318</v>
      </c>
      <c r="O212" s="3" t="s">
        <v>6511</v>
      </c>
      <c r="P212" s="3" t="s">
        <v>2319</v>
      </c>
      <c r="Q212" s="3" t="s">
        <v>7105</v>
      </c>
      <c r="R212" s="3" t="s">
        <v>2320</v>
      </c>
      <c r="S212" s="3" t="s">
        <v>7106</v>
      </c>
      <c r="T212" s="3" t="s">
        <v>2322</v>
      </c>
      <c r="U212" s="3" t="s">
        <v>7107</v>
      </c>
      <c r="V212" s="3" t="s">
        <v>2323</v>
      </c>
      <c r="W212" s="3" t="s">
        <v>6568</v>
      </c>
      <c r="X212" s="3" t="s">
        <v>2324</v>
      </c>
      <c r="Y212" s="3" t="s">
        <v>7108</v>
      </c>
      <c r="Z212" s="3" t="s">
        <v>2325</v>
      </c>
      <c r="AA212" s="3" t="s">
        <v>7109</v>
      </c>
    </row>
    <row r="213" customFormat="false" ht="15" hidden="false" customHeight="true" outlineLevel="0" collapsed="false">
      <c r="A213" s="3" t="s">
        <v>2326</v>
      </c>
      <c r="B213" s="3" t="n">
        <v>3</v>
      </c>
      <c r="C213" s="3" t="n">
        <v>50</v>
      </c>
      <c r="D213" s="3" t="str">
        <f aca="false">Combined!G213</f>
        <v>Middle-aged (30–64)</v>
      </c>
      <c r="E213" s="3" t="s">
        <v>45</v>
      </c>
      <c r="F213" s="3" t="s">
        <v>437</v>
      </c>
      <c r="G213" s="3" t="s">
        <v>437</v>
      </c>
      <c r="H213" s="3" t="s">
        <v>2327</v>
      </c>
      <c r="I213" s="3" t="s">
        <v>6759</v>
      </c>
      <c r="J213" s="3" t="s">
        <v>2328</v>
      </c>
      <c r="K213" s="3" t="s">
        <v>6564</v>
      </c>
      <c r="L213" s="3" t="s">
        <v>2329</v>
      </c>
      <c r="M213" s="3" t="s">
        <v>6564</v>
      </c>
      <c r="N213" s="3" t="s">
        <v>59</v>
      </c>
      <c r="O213" s="3" t="s">
        <v>59</v>
      </c>
      <c r="P213" s="3" t="s">
        <v>2330</v>
      </c>
      <c r="Q213" s="3" t="s">
        <v>6571</v>
      </c>
      <c r="R213" s="3" t="s">
        <v>2331</v>
      </c>
      <c r="S213" s="3" t="s">
        <v>6551</v>
      </c>
      <c r="T213" s="3" t="s">
        <v>2333</v>
      </c>
      <c r="U213" s="3" t="s">
        <v>6601</v>
      </c>
      <c r="V213" s="3" t="s">
        <v>2313</v>
      </c>
      <c r="W213" s="3" t="s">
        <v>6545</v>
      </c>
      <c r="X213" s="3" t="s">
        <v>2334</v>
      </c>
      <c r="Y213" s="3" t="s">
        <v>6545</v>
      </c>
      <c r="Z213" s="3" t="s">
        <v>2335</v>
      </c>
      <c r="AA213" s="3" t="s">
        <v>6647</v>
      </c>
    </row>
    <row r="214" customFormat="false" ht="15" hidden="false" customHeight="true" outlineLevel="0" collapsed="false">
      <c r="A214" s="3" t="s">
        <v>2336</v>
      </c>
      <c r="B214" s="3" t="n">
        <v>3</v>
      </c>
      <c r="C214" s="3" t="n">
        <v>42</v>
      </c>
      <c r="D214" s="3" t="str">
        <f aca="false">Combined!G214</f>
        <v>Middle-aged (30–64)</v>
      </c>
      <c r="E214" s="3" t="s">
        <v>45</v>
      </c>
      <c r="F214" s="3" t="s">
        <v>437</v>
      </c>
      <c r="G214" s="3" t="s">
        <v>437</v>
      </c>
      <c r="H214" s="3" t="s">
        <v>2337</v>
      </c>
      <c r="I214" s="3" t="s">
        <v>7110</v>
      </c>
      <c r="J214" s="3" t="s">
        <v>2338</v>
      </c>
      <c r="K214" s="3" t="s">
        <v>6548</v>
      </c>
      <c r="L214" s="3" t="s">
        <v>2339</v>
      </c>
      <c r="M214" s="3" t="s">
        <v>7099</v>
      </c>
      <c r="N214" s="3" t="s">
        <v>2340</v>
      </c>
      <c r="O214" s="3" t="s">
        <v>59</v>
      </c>
      <c r="P214" s="3" t="s">
        <v>2341</v>
      </c>
      <c r="Q214" s="3" t="s">
        <v>7090</v>
      </c>
      <c r="R214" s="3" t="s">
        <v>2342</v>
      </c>
      <c r="S214" s="3" t="s">
        <v>6744</v>
      </c>
      <c r="T214" s="3" t="s">
        <v>2344</v>
      </c>
      <c r="U214" s="3" t="s">
        <v>6965</v>
      </c>
      <c r="V214" s="3" t="s">
        <v>2345</v>
      </c>
      <c r="W214" s="3" t="s">
        <v>6758</v>
      </c>
      <c r="X214" s="3" t="s">
        <v>2346</v>
      </c>
      <c r="Y214" s="3" t="s">
        <v>6646</v>
      </c>
      <c r="Z214" s="3" t="s">
        <v>2347</v>
      </c>
      <c r="AA214" s="3" t="s">
        <v>6828</v>
      </c>
    </row>
    <row r="215" customFormat="false" ht="15" hidden="false" customHeight="true" outlineLevel="0" collapsed="false">
      <c r="A215" s="3" t="s">
        <v>2348</v>
      </c>
      <c r="B215" s="3" t="n">
        <v>3</v>
      </c>
      <c r="C215" s="3" t="n">
        <v>50</v>
      </c>
      <c r="D215" s="3" t="str">
        <f aca="false">Combined!G215</f>
        <v>Middle-aged (30–64)</v>
      </c>
      <c r="E215" s="3" t="s">
        <v>45</v>
      </c>
      <c r="F215" s="3" t="s">
        <v>437</v>
      </c>
      <c r="G215" s="3" t="s">
        <v>437</v>
      </c>
      <c r="H215" s="3" t="s">
        <v>2349</v>
      </c>
      <c r="I215" s="3" t="s">
        <v>6813</v>
      </c>
      <c r="J215" s="3" t="s">
        <v>2350</v>
      </c>
      <c r="K215" s="3" t="s">
        <v>7111</v>
      </c>
      <c r="L215" s="3" t="s">
        <v>2351</v>
      </c>
      <c r="M215" s="3" t="s">
        <v>7112</v>
      </c>
      <c r="N215" s="3" t="s">
        <v>2352</v>
      </c>
      <c r="O215" s="3" t="s">
        <v>59</v>
      </c>
      <c r="P215" s="3" t="s">
        <v>2353</v>
      </c>
      <c r="Q215" s="3" t="s">
        <v>6560</v>
      </c>
      <c r="R215" s="3" t="s">
        <v>2354</v>
      </c>
      <c r="S215" s="3" t="s">
        <v>7113</v>
      </c>
      <c r="T215" s="3" t="s">
        <v>2356</v>
      </c>
      <c r="U215" s="3" t="s">
        <v>7114</v>
      </c>
      <c r="V215" s="3" t="s">
        <v>2357</v>
      </c>
      <c r="W215" s="3" t="s">
        <v>7115</v>
      </c>
      <c r="X215" s="3" t="s">
        <v>2358</v>
      </c>
      <c r="Y215" s="3" t="s">
        <v>6835</v>
      </c>
      <c r="Z215" s="3" t="s">
        <v>2359</v>
      </c>
      <c r="AA215" s="3" t="s">
        <v>7116</v>
      </c>
    </row>
    <row r="216" customFormat="false" ht="15" hidden="false" customHeight="true" outlineLevel="0" collapsed="false">
      <c r="A216" s="3" t="s">
        <v>2360</v>
      </c>
      <c r="B216" s="3" t="n">
        <v>3</v>
      </c>
      <c r="C216" s="3" t="n">
        <v>46</v>
      </c>
      <c r="D216" s="3" t="str">
        <f aca="false">Combined!G216</f>
        <v>Middle-aged (30–64)</v>
      </c>
      <c r="E216" s="3" t="s">
        <v>83</v>
      </c>
      <c r="F216" s="3" t="s">
        <v>437</v>
      </c>
      <c r="G216" s="3" t="s">
        <v>437</v>
      </c>
      <c r="H216" s="3" t="s">
        <v>2361</v>
      </c>
      <c r="I216" s="3" t="s">
        <v>6691</v>
      </c>
      <c r="J216" s="3" t="s">
        <v>2362</v>
      </c>
      <c r="K216" s="3" t="s">
        <v>6569</v>
      </c>
      <c r="L216" s="3" t="s">
        <v>2363</v>
      </c>
      <c r="M216" s="3" t="s">
        <v>7005</v>
      </c>
      <c r="N216" s="3" t="s">
        <v>2364</v>
      </c>
      <c r="O216" s="3" t="s">
        <v>6511</v>
      </c>
      <c r="P216" s="3" t="s">
        <v>2365</v>
      </c>
      <c r="Q216" s="3" t="s">
        <v>6580</v>
      </c>
      <c r="R216" s="3" t="s">
        <v>2366</v>
      </c>
      <c r="S216" s="3" t="s">
        <v>6537</v>
      </c>
      <c r="T216" s="3" t="s">
        <v>2368</v>
      </c>
      <c r="U216" s="3" t="s">
        <v>6551</v>
      </c>
      <c r="V216" s="3" t="s">
        <v>2369</v>
      </c>
      <c r="W216" s="3" t="s">
        <v>7117</v>
      </c>
      <c r="X216" s="3" t="s">
        <v>2370</v>
      </c>
      <c r="Y216" s="3" t="s">
        <v>6646</v>
      </c>
      <c r="Z216" s="3" t="s">
        <v>2371</v>
      </c>
      <c r="AA216" s="3" t="s">
        <v>6551</v>
      </c>
    </row>
    <row r="217" customFormat="false" ht="15" hidden="false" customHeight="true" outlineLevel="0" collapsed="false">
      <c r="A217" s="3" t="s">
        <v>2372</v>
      </c>
      <c r="B217" s="3" t="n">
        <v>3</v>
      </c>
      <c r="C217" s="3" t="n">
        <v>54</v>
      </c>
      <c r="D217" s="3" t="str">
        <f aca="false">Combined!G217</f>
        <v>Middle-aged (30–64)</v>
      </c>
      <c r="E217" s="3" t="s">
        <v>45</v>
      </c>
      <c r="F217" s="3" t="s">
        <v>437</v>
      </c>
      <c r="G217" s="3" t="s">
        <v>437</v>
      </c>
      <c r="H217" s="3" t="s">
        <v>2373</v>
      </c>
      <c r="I217" s="3" t="s">
        <v>6946</v>
      </c>
      <c r="J217" s="3" t="s">
        <v>2374</v>
      </c>
      <c r="K217" s="3" t="s">
        <v>7118</v>
      </c>
      <c r="L217" s="3" t="s">
        <v>2375</v>
      </c>
      <c r="M217" s="3" t="s">
        <v>7005</v>
      </c>
      <c r="N217" s="3" t="s">
        <v>2376</v>
      </c>
      <c r="O217" s="3" t="s">
        <v>6511</v>
      </c>
      <c r="P217" s="3" t="s">
        <v>2377</v>
      </c>
      <c r="Q217" s="3" t="s">
        <v>6536</v>
      </c>
      <c r="R217" s="3" t="s">
        <v>2378</v>
      </c>
      <c r="S217" s="3" t="s">
        <v>7119</v>
      </c>
      <c r="T217" s="3" t="s">
        <v>2380</v>
      </c>
      <c r="U217" s="3" t="s">
        <v>7120</v>
      </c>
      <c r="V217" s="3" t="s">
        <v>2381</v>
      </c>
      <c r="W217" s="3" t="s">
        <v>7121</v>
      </c>
      <c r="X217" s="3" t="s">
        <v>2382</v>
      </c>
      <c r="Y217" s="3" t="s">
        <v>6651</v>
      </c>
      <c r="Z217" s="3"/>
      <c r="AA217" s="3"/>
    </row>
    <row r="218" customFormat="false" ht="15" hidden="false" customHeight="true" outlineLevel="0" collapsed="false">
      <c r="A218" s="3" t="s">
        <v>2383</v>
      </c>
      <c r="B218" s="3" t="n">
        <v>3</v>
      </c>
      <c r="C218" s="3" t="n">
        <v>46</v>
      </c>
      <c r="D218" s="3" t="str">
        <f aca="false">Combined!G218</f>
        <v>Middle-aged (30–64)</v>
      </c>
      <c r="E218" s="3" t="s">
        <v>45</v>
      </c>
      <c r="F218" s="3" t="s">
        <v>437</v>
      </c>
      <c r="G218" s="3" t="s">
        <v>437</v>
      </c>
      <c r="H218" s="3" t="s">
        <v>2384</v>
      </c>
      <c r="I218" s="3" t="s">
        <v>7104</v>
      </c>
      <c r="J218" s="3" t="s">
        <v>2385</v>
      </c>
      <c r="K218" s="3" t="s">
        <v>7122</v>
      </c>
      <c r="L218" s="3" t="s">
        <v>2386</v>
      </c>
      <c r="M218" s="3" t="s">
        <v>7123</v>
      </c>
      <c r="N218" s="3" t="s">
        <v>98</v>
      </c>
      <c r="O218" s="3" t="s">
        <v>6517</v>
      </c>
      <c r="P218" s="3" t="s">
        <v>2387</v>
      </c>
      <c r="Q218" s="3" t="s">
        <v>6560</v>
      </c>
      <c r="R218" s="3" t="s">
        <v>2388</v>
      </c>
      <c r="S218" s="3" t="s">
        <v>6721</v>
      </c>
      <c r="T218" s="3" t="s">
        <v>2390</v>
      </c>
      <c r="U218" s="3" t="s">
        <v>6751</v>
      </c>
      <c r="V218" s="3" t="s">
        <v>2391</v>
      </c>
      <c r="W218" s="3" t="s">
        <v>7124</v>
      </c>
      <c r="X218" s="3" t="s">
        <v>2392</v>
      </c>
      <c r="Y218" s="3" t="s">
        <v>6602</v>
      </c>
      <c r="Z218" s="3" t="s">
        <v>2393</v>
      </c>
      <c r="AA218" s="3" t="s">
        <v>6611</v>
      </c>
    </row>
    <row r="219" customFormat="false" ht="15" hidden="false" customHeight="true" outlineLevel="0" collapsed="false">
      <c r="A219" s="3" t="s">
        <v>2394</v>
      </c>
      <c r="B219" s="3" t="n">
        <v>3</v>
      </c>
      <c r="C219" s="3" t="n">
        <v>50</v>
      </c>
      <c r="D219" s="3" t="str">
        <f aca="false">Combined!G219</f>
        <v>Middle-aged (30–64)</v>
      </c>
      <c r="E219" s="3" t="s">
        <v>83</v>
      </c>
      <c r="F219" s="3" t="s">
        <v>437</v>
      </c>
      <c r="G219" s="3" t="s">
        <v>437</v>
      </c>
      <c r="H219" s="3" t="s">
        <v>2395</v>
      </c>
      <c r="I219" s="3" t="s">
        <v>6813</v>
      </c>
      <c r="J219" s="3" t="s">
        <v>2396</v>
      </c>
      <c r="K219" s="3" t="s">
        <v>7125</v>
      </c>
      <c r="L219" s="3" t="s">
        <v>2397</v>
      </c>
      <c r="M219" s="3" t="s">
        <v>6569</v>
      </c>
      <c r="N219" s="3" t="s">
        <v>2398</v>
      </c>
      <c r="O219" s="3" t="s">
        <v>6511</v>
      </c>
      <c r="P219" s="3" t="s">
        <v>2399</v>
      </c>
      <c r="Q219" s="3" t="s">
        <v>6512</v>
      </c>
      <c r="R219" s="3" t="s">
        <v>2400</v>
      </c>
      <c r="S219" s="3" t="s">
        <v>6628</v>
      </c>
      <c r="T219" s="3" t="s">
        <v>2402</v>
      </c>
      <c r="U219" s="3" t="s">
        <v>6809</v>
      </c>
      <c r="V219" s="3" t="s">
        <v>2403</v>
      </c>
      <c r="W219" s="3" t="s">
        <v>6944</v>
      </c>
      <c r="X219" s="3" t="s">
        <v>2404</v>
      </c>
      <c r="Y219" s="3" t="s">
        <v>6715</v>
      </c>
      <c r="Z219" s="3" t="s">
        <v>2405</v>
      </c>
      <c r="AA219" s="3" t="s">
        <v>6820</v>
      </c>
    </row>
    <row r="220" customFormat="false" ht="15" hidden="false" customHeight="true" outlineLevel="0" collapsed="false">
      <c r="A220" s="3" t="s">
        <v>2406</v>
      </c>
      <c r="B220" s="3" t="n">
        <v>3</v>
      </c>
      <c r="C220" s="3" t="n">
        <v>19</v>
      </c>
      <c r="D220" s="3" t="str">
        <f aca="false">Combined!G220</f>
        <v>Student age (≤29)</v>
      </c>
      <c r="E220" s="3" t="s">
        <v>45</v>
      </c>
      <c r="F220" s="3" t="s">
        <v>437</v>
      </c>
      <c r="G220" s="3" t="s">
        <v>47</v>
      </c>
      <c r="H220" s="3" t="s">
        <v>2407</v>
      </c>
      <c r="I220" s="3" t="s">
        <v>6813</v>
      </c>
      <c r="J220" s="3" t="s">
        <v>2408</v>
      </c>
      <c r="K220" s="3" t="s">
        <v>6817</v>
      </c>
      <c r="L220" s="3" t="s">
        <v>2409</v>
      </c>
      <c r="M220" s="3" t="s">
        <v>7126</v>
      </c>
      <c r="N220" s="3" t="s">
        <v>2410</v>
      </c>
      <c r="O220" s="3" t="s">
        <v>6511</v>
      </c>
      <c r="P220" s="3" t="s">
        <v>2411</v>
      </c>
      <c r="Q220" s="3" t="s">
        <v>6793</v>
      </c>
      <c r="R220" s="3" t="s">
        <v>2412</v>
      </c>
      <c r="S220" s="3" t="s">
        <v>6721</v>
      </c>
      <c r="T220" s="3" t="s">
        <v>2414</v>
      </c>
      <c r="U220" s="3" t="s">
        <v>7127</v>
      </c>
      <c r="V220" s="3" t="s">
        <v>2415</v>
      </c>
      <c r="W220" s="3" t="s">
        <v>6528</v>
      </c>
      <c r="X220" s="3" t="s">
        <v>2416</v>
      </c>
      <c r="Y220" s="3" t="s">
        <v>7128</v>
      </c>
      <c r="Z220" s="3" t="s">
        <v>2417</v>
      </c>
      <c r="AA220" s="3" t="s">
        <v>7129</v>
      </c>
    </row>
    <row r="221" customFormat="false" ht="15" hidden="false" customHeight="true" outlineLevel="0" collapsed="false">
      <c r="A221" s="3" t="s">
        <v>2418</v>
      </c>
      <c r="B221" s="3" t="n">
        <v>3</v>
      </c>
      <c r="C221" s="3" t="n">
        <v>48</v>
      </c>
      <c r="D221" s="3" t="str">
        <f aca="false">Combined!G221</f>
        <v>Middle-aged (30–64)</v>
      </c>
      <c r="E221" s="3" t="s">
        <v>83</v>
      </c>
      <c r="F221" s="3" t="s">
        <v>437</v>
      </c>
      <c r="G221" s="3" t="s">
        <v>437</v>
      </c>
      <c r="H221" s="3" t="s">
        <v>2419</v>
      </c>
      <c r="I221" s="3" t="s">
        <v>6539</v>
      </c>
      <c r="J221" s="3" t="s">
        <v>2420</v>
      </c>
      <c r="K221" s="3" t="s">
        <v>6900</v>
      </c>
      <c r="L221" s="3" t="s">
        <v>2421</v>
      </c>
      <c r="M221" s="3" t="s">
        <v>7005</v>
      </c>
      <c r="N221" s="3" t="s">
        <v>59</v>
      </c>
      <c r="O221" s="3" t="s">
        <v>59</v>
      </c>
      <c r="P221" s="3" t="s">
        <v>2422</v>
      </c>
      <c r="Q221" s="3" t="s">
        <v>7130</v>
      </c>
      <c r="R221" s="3" t="s">
        <v>2423</v>
      </c>
      <c r="S221" s="3" t="s">
        <v>6532</v>
      </c>
      <c r="T221" s="3" t="s">
        <v>2425</v>
      </c>
      <c r="U221" s="3" t="s">
        <v>6551</v>
      </c>
      <c r="V221" s="3" t="s">
        <v>2426</v>
      </c>
      <c r="W221" s="3" t="s">
        <v>6568</v>
      </c>
      <c r="X221" s="3" t="s">
        <v>2427</v>
      </c>
      <c r="Y221" s="3" t="s">
        <v>6670</v>
      </c>
      <c r="Z221" s="3" t="s">
        <v>2428</v>
      </c>
      <c r="AA221" s="3" t="s">
        <v>6551</v>
      </c>
    </row>
    <row r="222" customFormat="false" ht="15" hidden="false" customHeight="true" outlineLevel="0" collapsed="false">
      <c r="A222" s="3" t="s">
        <v>2429</v>
      </c>
      <c r="B222" s="3" t="n">
        <v>3</v>
      </c>
      <c r="C222" s="3" t="n">
        <v>45</v>
      </c>
      <c r="D222" s="3" t="str">
        <f aca="false">Combined!G222</f>
        <v>Middle-aged (30–64)</v>
      </c>
      <c r="E222" s="3" t="s">
        <v>45</v>
      </c>
      <c r="F222" s="3" t="s">
        <v>437</v>
      </c>
      <c r="G222" s="3" t="s">
        <v>437</v>
      </c>
      <c r="H222" s="3" t="s">
        <v>2430</v>
      </c>
      <c r="I222" s="3" t="s">
        <v>6675</v>
      </c>
      <c r="J222" s="3" t="s">
        <v>2431</v>
      </c>
      <c r="K222" s="3" t="s">
        <v>7131</v>
      </c>
      <c r="L222" s="3" t="s">
        <v>2432</v>
      </c>
      <c r="M222" s="3" t="s">
        <v>7132</v>
      </c>
      <c r="N222" s="3" t="s">
        <v>59</v>
      </c>
      <c r="O222" s="3" t="s">
        <v>59</v>
      </c>
      <c r="P222" s="3" t="s">
        <v>2433</v>
      </c>
      <c r="Q222" s="3" t="s">
        <v>6692</v>
      </c>
      <c r="R222" s="3" t="s">
        <v>582</v>
      </c>
      <c r="S222" s="3" t="s">
        <v>6551</v>
      </c>
      <c r="T222" s="3" t="s">
        <v>2435</v>
      </c>
      <c r="U222" s="3" t="s">
        <v>7133</v>
      </c>
      <c r="V222" s="3" t="s">
        <v>2313</v>
      </c>
      <c r="W222" s="3" t="s">
        <v>6545</v>
      </c>
      <c r="X222" s="3" t="s">
        <v>2436</v>
      </c>
      <c r="Y222" s="3" t="s">
        <v>6986</v>
      </c>
      <c r="Z222" s="3" t="s">
        <v>2437</v>
      </c>
      <c r="AA222" s="3" t="s">
        <v>6551</v>
      </c>
    </row>
    <row r="223" customFormat="false" ht="15" hidden="false" customHeight="true" outlineLevel="0" collapsed="false">
      <c r="A223" s="3" t="s">
        <v>2438</v>
      </c>
      <c r="B223" s="3" t="n">
        <v>3</v>
      </c>
      <c r="C223" s="3" t="n">
        <v>43</v>
      </c>
      <c r="D223" s="3" t="str">
        <f aca="false">Combined!G223</f>
        <v>Middle-aged (30–64)</v>
      </c>
      <c r="E223" s="3" t="s">
        <v>45</v>
      </c>
      <c r="F223" s="3" t="s">
        <v>437</v>
      </c>
      <c r="G223" s="3" t="s">
        <v>437</v>
      </c>
      <c r="H223" s="3" t="s">
        <v>2439</v>
      </c>
      <c r="I223" s="3" t="s">
        <v>6763</v>
      </c>
      <c r="J223" s="3" t="s">
        <v>2440</v>
      </c>
      <c r="K223" s="3" t="s">
        <v>6510</v>
      </c>
      <c r="L223" s="3" t="s">
        <v>2441</v>
      </c>
      <c r="M223" s="3" t="s">
        <v>7134</v>
      </c>
      <c r="N223" s="3" t="s">
        <v>2442</v>
      </c>
      <c r="O223" s="3" t="s">
        <v>6511</v>
      </c>
      <c r="P223" s="3" t="s">
        <v>2443</v>
      </c>
      <c r="Q223" s="3" t="s">
        <v>6717</v>
      </c>
      <c r="R223" s="3" t="s">
        <v>2444</v>
      </c>
      <c r="S223" s="3" t="s">
        <v>6581</v>
      </c>
      <c r="T223" s="3" t="s">
        <v>2446</v>
      </c>
      <c r="U223" s="3" t="s">
        <v>6602</v>
      </c>
      <c r="V223" s="3" t="s">
        <v>2447</v>
      </c>
      <c r="W223" s="3" t="s">
        <v>6945</v>
      </c>
      <c r="X223" s="3" t="s">
        <v>2448</v>
      </c>
      <c r="Y223" s="3" t="s">
        <v>7135</v>
      </c>
      <c r="Z223" s="3" t="s">
        <v>2449</v>
      </c>
      <c r="AA223" s="3" t="s">
        <v>6820</v>
      </c>
    </row>
    <row r="224" customFormat="false" ht="15" hidden="false" customHeight="true" outlineLevel="0" collapsed="false">
      <c r="A224" s="3" t="s">
        <v>2451</v>
      </c>
      <c r="B224" s="3" t="n">
        <v>3</v>
      </c>
      <c r="C224" s="3" t="n">
        <v>31</v>
      </c>
      <c r="D224" s="3" t="str">
        <f aca="false">Combined!G224</f>
        <v>Middle-aged (30–64)</v>
      </c>
      <c r="E224" s="3" t="s">
        <v>45</v>
      </c>
      <c r="F224" s="3" t="s">
        <v>437</v>
      </c>
      <c r="G224" s="3" t="s">
        <v>437</v>
      </c>
      <c r="H224" s="3" t="s">
        <v>2452</v>
      </c>
      <c r="I224" s="3" t="s">
        <v>7136</v>
      </c>
      <c r="J224" s="3" t="s">
        <v>2453</v>
      </c>
      <c r="K224" s="3" t="s">
        <v>6516</v>
      </c>
      <c r="L224" s="3" t="s">
        <v>2454</v>
      </c>
      <c r="M224" s="3" t="s">
        <v>6516</v>
      </c>
      <c r="N224" s="3" t="s">
        <v>2455</v>
      </c>
      <c r="O224" s="3" t="s">
        <v>6511</v>
      </c>
      <c r="P224" s="3" t="s">
        <v>2456</v>
      </c>
      <c r="Q224" s="3" t="s">
        <v>6560</v>
      </c>
      <c r="R224" s="3" t="s">
        <v>2457</v>
      </c>
      <c r="S224" s="3" t="s">
        <v>6537</v>
      </c>
      <c r="T224" s="3" t="s">
        <v>2459</v>
      </c>
      <c r="U224" s="3" t="s">
        <v>6540</v>
      </c>
      <c r="V224" s="3" t="s">
        <v>2460</v>
      </c>
      <c r="W224" s="3" t="s">
        <v>7030</v>
      </c>
      <c r="X224" s="3" t="s">
        <v>2461</v>
      </c>
      <c r="Y224" s="3" t="s">
        <v>6774</v>
      </c>
      <c r="Z224" s="3" t="s">
        <v>2462</v>
      </c>
      <c r="AA224" s="3" t="s">
        <v>6538</v>
      </c>
    </row>
    <row r="225" customFormat="false" ht="15" hidden="false" customHeight="true" outlineLevel="0" collapsed="false">
      <c r="A225" s="3" t="s">
        <v>2464</v>
      </c>
      <c r="B225" s="3" t="n">
        <v>3</v>
      </c>
      <c r="C225" s="3" t="n">
        <v>17</v>
      </c>
      <c r="D225" s="3" t="str">
        <f aca="false">Combined!G225</f>
        <v>Student age (≤29)</v>
      </c>
      <c r="E225" s="3" t="s">
        <v>83</v>
      </c>
      <c r="F225" s="3" t="s">
        <v>437</v>
      </c>
      <c r="G225" s="3" t="s">
        <v>2465</v>
      </c>
      <c r="H225" s="3" t="s">
        <v>2466</v>
      </c>
      <c r="I225" s="3" t="s">
        <v>6623</v>
      </c>
      <c r="J225" s="3" t="s">
        <v>2467</v>
      </c>
      <c r="K225" s="3" t="s">
        <v>6547</v>
      </c>
      <c r="L225" s="3" t="s">
        <v>2468</v>
      </c>
      <c r="M225" s="3" t="s">
        <v>6564</v>
      </c>
      <c r="N225" s="3" t="s">
        <v>2469</v>
      </c>
      <c r="O225" s="3" t="s">
        <v>6511</v>
      </c>
      <c r="P225" s="3" t="s">
        <v>2470</v>
      </c>
      <c r="Q225" s="3" t="s">
        <v>6542</v>
      </c>
      <c r="R225" s="3" t="s">
        <v>2471</v>
      </c>
      <c r="S225" s="3" t="s">
        <v>7137</v>
      </c>
      <c r="T225" s="3" t="s">
        <v>2473</v>
      </c>
      <c r="U225" s="3" t="s">
        <v>6551</v>
      </c>
      <c r="V225" s="3" t="s">
        <v>2474</v>
      </c>
      <c r="W225" s="3" t="s">
        <v>6545</v>
      </c>
      <c r="X225" s="3" t="s">
        <v>2475</v>
      </c>
      <c r="Y225" s="3" t="s">
        <v>7138</v>
      </c>
      <c r="Z225" s="3" t="s">
        <v>2476</v>
      </c>
      <c r="AA225" s="3" t="s">
        <v>6783</v>
      </c>
    </row>
    <row r="226" customFormat="false" ht="15" hidden="false" customHeight="true" outlineLevel="0" collapsed="false">
      <c r="A226" s="3" t="s">
        <v>2478</v>
      </c>
      <c r="B226" s="3" t="n">
        <v>3</v>
      </c>
      <c r="C226" s="3" t="n">
        <v>30</v>
      </c>
      <c r="D226" s="3" t="str">
        <f aca="false">Combined!G226</f>
        <v>Middle-aged (30–64)</v>
      </c>
      <c r="E226" s="3" t="s">
        <v>45</v>
      </c>
      <c r="F226" s="3" t="s">
        <v>437</v>
      </c>
      <c r="G226" s="3" t="s">
        <v>437</v>
      </c>
      <c r="H226" s="3" t="s">
        <v>2479</v>
      </c>
      <c r="I226" s="3" t="s">
        <v>6538</v>
      </c>
      <c r="J226" s="3" t="s">
        <v>2479</v>
      </c>
      <c r="K226" s="3" t="s">
        <v>6538</v>
      </c>
      <c r="L226" s="3" t="s">
        <v>2479</v>
      </c>
      <c r="M226" s="3" t="s">
        <v>6538</v>
      </c>
      <c r="N226" s="3" t="s">
        <v>2479</v>
      </c>
      <c r="O226" s="3" t="s">
        <v>1625</v>
      </c>
      <c r="P226" s="3" t="s">
        <v>2479</v>
      </c>
      <c r="Q226" s="3" t="s">
        <v>6538</v>
      </c>
      <c r="R226" s="3" t="s">
        <v>2479</v>
      </c>
      <c r="S226" s="3" t="s">
        <v>6538</v>
      </c>
      <c r="T226" s="3" t="s">
        <v>2479</v>
      </c>
      <c r="U226" s="3" t="s">
        <v>6538</v>
      </c>
      <c r="V226" s="3" t="s">
        <v>2479</v>
      </c>
      <c r="W226" s="3" t="s">
        <v>6538</v>
      </c>
      <c r="X226" s="3" t="s">
        <v>2479</v>
      </c>
      <c r="Y226" s="3" t="s">
        <v>6538</v>
      </c>
      <c r="Z226" s="3" t="s">
        <v>2479</v>
      </c>
      <c r="AA226" s="3" t="s">
        <v>6538</v>
      </c>
    </row>
    <row r="227" customFormat="false" ht="15" hidden="false" customHeight="true" outlineLevel="0" collapsed="false">
      <c r="A227" s="3" t="s">
        <v>2480</v>
      </c>
      <c r="B227" s="3" t="n">
        <v>3</v>
      </c>
      <c r="C227" s="3" t="n">
        <v>21</v>
      </c>
      <c r="D227" s="3" t="str">
        <f aca="false">Combined!G227</f>
        <v>Student age (≤29)</v>
      </c>
      <c r="E227" s="3" t="s">
        <v>45</v>
      </c>
      <c r="F227" s="3" t="s">
        <v>437</v>
      </c>
      <c r="G227" s="3" t="s">
        <v>47</v>
      </c>
      <c r="H227" s="3" t="s">
        <v>2481</v>
      </c>
      <c r="I227" s="3" t="s">
        <v>6862</v>
      </c>
      <c r="J227" s="3" t="s">
        <v>2482</v>
      </c>
      <c r="K227" s="3" t="s">
        <v>7139</v>
      </c>
      <c r="L227" s="3" t="s">
        <v>2483</v>
      </c>
      <c r="M227" s="3" t="s">
        <v>7069</v>
      </c>
      <c r="N227" s="3" t="s">
        <v>2484</v>
      </c>
      <c r="O227" s="3" t="s">
        <v>6530</v>
      </c>
      <c r="P227" s="3" t="s">
        <v>2485</v>
      </c>
      <c r="Q227" s="3" t="s">
        <v>6958</v>
      </c>
      <c r="R227" s="3" t="s">
        <v>2486</v>
      </c>
      <c r="S227" s="3" t="s">
        <v>7140</v>
      </c>
      <c r="T227" s="3" t="s">
        <v>2488</v>
      </c>
      <c r="U227" s="3" t="s">
        <v>7141</v>
      </c>
      <c r="V227" s="3" t="s">
        <v>2489</v>
      </c>
      <c r="W227" s="3" t="s">
        <v>7120</v>
      </c>
      <c r="X227" s="3" t="s">
        <v>2490</v>
      </c>
      <c r="Y227" s="3" t="s">
        <v>7142</v>
      </c>
      <c r="Z227" s="3" t="s">
        <v>2491</v>
      </c>
      <c r="AA227" s="3" t="s">
        <v>6620</v>
      </c>
    </row>
    <row r="228" customFormat="false" ht="15" hidden="false" customHeight="true" outlineLevel="0" collapsed="false">
      <c r="A228" s="3" t="s">
        <v>2492</v>
      </c>
      <c r="B228" s="3" t="n">
        <v>4</v>
      </c>
      <c r="C228" s="3" t="n">
        <v>25</v>
      </c>
      <c r="D228" s="3" t="str">
        <f aca="false">Combined!G228</f>
        <v>Student age (≤29)</v>
      </c>
      <c r="E228" s="3" t="s">
        <v>83</v>
      </c>
      <c r="F228" s="3" t="s">
        <v>47</v>
      </c>
      <c r="G228" s="3" t="s">
        <v>47</v>
      </c>
      <c r="H228" s="3" t="s">
        <v>806</v>
      </c>
      <c r="I228" s="3" t="s">
        <v>6539</v>
      </c>
      <c r="J228" s="3" t="s">
        <v>2493</v>
      </c>
      <c r="K228" s="3" t="s">
        <v>6540</v>
      </c>
      <c r="L228" s="3" t="s">
        <v>2494</v>
      </c>
      <c r="M228" s="3" t="s">
        <v>6520</v>
      </c>
      <c r="N228" s="3" t="s">
        <v>1690</v>
      </c>
      <c r="O228" s="3" t="s">
        <v>6530</v>
      </c>
      <c r="P228" s="3" t="s">
        <v>2496</v>
      </c>
      <c r="Q228" s="3" t="s">
        <v>7143</v>
      </c>
      <c r="R228" s="3" t="s">
        <v>2497</v>
      </c>
      <c r="S228" s="3" t="s">
        <v>6551</v>
      </c>
      <c r="T228" s="3" t="s">
        <v>2499</v>
      </c>
      <c r="U228" s="3" t="s">
        <v>7144</v>
      </c>
      <c r="V228" s="3"/>
      <c r="W228" s="3"/>
      <c r="X228" s="3" t="s">
        <v>2500</v>
      </c>
      <c r="Y228" s="3" t="s">
        <v>6538</v>
      </c>
      <c r="Z228" s="3"/>
      <c r="AA228" s="3"/>
    </row>
    <row r="229" customFormat="false" ht="15" hidden="false" customHeight="true" outlineLevel="0" collapsed="false">
      <c r="A229" s="3" t="s">
        <v>2501</v>
      </c>
      <c r="B229" s="3" t="n">
        <v>4</v>
      </c>
      <c r="C229" s="3" t="n">
        <v>24</v>
      </c>
      <c r="D229" s="3" t="str">
        <f aca="false">Combined!G229</f>
        <v>Student age (≤29)</v>
      </c>
      <c r="E229" s="3" t="s">
        <v>83</v>
      </c>
      <c r="F229" s="3" t="s">
        <v>437</v>
      </c>
      <c r="G229" s="3" t="s">
        <v>437</v>
      </c>
      <c r="H229" s="3" t="s">
        <v>806</v>
      </c>
      <c r="I229" s="3" t="s">
        <v>6539</v>
      </c>
      <c r="J229" s="3" t="s">
        <v>2502</v>
      </c>
      <c r="K229" s="3" t="s">
        <v>6540</v>
      </c>
      <c r="L229" s="3" t="s">
        <v>2503</v>
      </c>
      <c r="M229" s="3" t="s">
        <v>6920</v>
      </c>
      <c r="N229" s="3" t="s">
        <v>1690</v>
      </c>
      <c r="O229" s="3" t="s">
        <v>6530</v>
      </c>
      <c r="P229" s="3" t="s">
        <v>2504</v>
      </c>
      <c r="Q229" s="3" t="s">
        <v>7145</v>
      </c>
      <c r="R229" s="3" t="s">
        <v>2505</v>
      </c>
      <c r="S229" s="3" t="s">
        <v>6647</v>
      </c>
      <c r="T229" s="3" t="s">
        <v>2507</v>
      </c>
      <c r="U229" s="3" t="s">
        <v>6586</v>
      </c>
      <c r="V229" s="3"/>
      <c r="W229" s="3"/>
      <c r="X229" s="3" t="s">
        <v>2508</v>
      </c>
      <c r="Y229" s="3" t="s">
        <v>6568</v>
      </c>
      <c r="Z229" s="3"/>
      <c r="AA229" s="3"/>
    </row>
    <row r="230" customFormat="false" ht="15" hidden="false" customHeight="true" outlineLevel="0" collapsed="false">
      <c r="A230" s="3" t="s">
        <v>2509</v>
      </c>
      <c r="B230" s="3" t="n">
        <v>4</v>
      </c>
      <c r="C230" s="3" t="n">
        <v>14</v>
      </c>
      <c r="D230" s="3" t="str">
        <f aca="false">Combined!G230</f>
        <v>Student age (≤29)</v>
      </c>
      <c r="E230" s="3" t="s">
        <v>83</v>
      </c>
      <c r="F230" s="3" t="s">
        <v>437</v>
      </c>
      <c r="G230" s="3" t="s">
        <v>437</v>
      </c>
      <c r="H230" s="3" t="s">
        <v>806</v>
      </c>
      <c r="I230" s="3" t="s">
        <v>6539</v>
      </c>
      <c r="J230" s="3" t="s">
        <v>2493</v>
      </c>
      <c r="K230" s="3" t="s">
        <v>6540</v>
      </c>
      <c r="L230" s="3" t="s">
        <v>2510</v>
      </c>
      <c r="M230" s="3" t="s">
        <v>6540</v>
      </c>
      <c r="N230" s="3" t="s">
        <v>2242</v>
      </c>
      <c r="O230" s="3" t="s">
        <v>1625</v>
      </c>
      <c r="P230" s="3" t="s">
        <v>2511</v>
      </c>
      <c r="Q230" s="3" t="s">
        <v>7146</v>
      </c>
      <c r="R230" s="3" t="s">
        <v>2242</v>
      </c>
      <c r="S230" s="3" t="s">
        <v>6538</v>
      </c>
      <c r="T230" s="3" t="s">
        <v>2513</v>
      </c>
      <c r="U230" s="3" t="s">
        <v>6586</v>
      </c>
      <c r="V230" s="3"/>
      <c r="W230" s="3"/>
      <c r="X230" s="3" t="s">
        <v>2508</v>
      </c>
      <c r="Y230" s="3" t="s">
        <v>6568</v>
      </c>
      <c r="Z230" s="3"/>
      <c r="AA230" s="3"/>
    </row>
    <row r="231" customFormat="false" ht="15" hidden="false" customHeight="true" outlineLevel="0" collapsed="false">
      <c r="A231" s="3" t="s">
        <v>2514</v>
      </c>
      <c r="B231" s="3" t="n">
        <v>4</v>
      </c>
      <c r="C231" s="3" t="n">
        <v>23</v>
      </c>
      <c r="D231" s="3" t="str">
        <f aca="false">Combined!G231</f>
        <v>Student age (≤29)</v>
      </c>
      <c r="E231" s="3" t="s">
        <v>45</v>
      </c>
      <c r="F231" s="3" t="s">
        <v>47</v>
      </c>
      <c r="G231" s="3" t="s">
        <v>47</v>
      </c>
      <c r="H231" s="3" t="s">
        <v>2515</v>
      </c>
      <c r="I231" s="3" t="s">
        <v>6508</v>
      </c>
      <c r="J231" s="3" t="s">
        <v>2502</v>
      </c>
      <c r="K231" s="3" t="s">
        <v>6540</v>
      </c>
      <c r="L231" s="3" t="s">
        <v>2494</v>
      </c>
      <c r="M231" s="3" t="s">
        <v>6520</v>
      </c>
      <c r="N231" s="3" t="s">
        <v>1690</v>
      </c>
      <c r="O231" s="3" t="s">
        <v>6530</v>
      </c>
      <c r="P231" s="3" t="s">
        <v>2516</v>
      </c>
      <c r="Q231" s="3" t="s">
        <v>7146</v>
      </c>
      <c r="R231" s="3" t="s">
        <v>2505</v>
      </c>
      <c r="S231" s="3" t="s">
        <v>6647</v>
      </c>
      <c r="T231" s="3" t="s">
        <v>2518</v>
      </c>
      <c r="U231" s="3" t="s">
        <v>7147</v>
      </c>
      <c r="V231" s="3"/>
      <c r="W231" s="3"/>
      <c r="X231" s="3" t="s">
        <v>2519</v>
      </c>
      <c r="Y231" s="3" t="s">
        <v>6651</v>
      </c>
      <c r="Z231" s="3"/>
      <c r="AA231" s="3"/>
    </row>
    <row r="232" customFormat="false" ht="15" hidden="false" customHeight="true" outlineLevel="0" collapsed="false">
      <c r="A232" s="3" t="s">
        <v>2520</v>
      </c>
      <c r="B232" s="3" t="n">
        <v>4</v>
      </c>
      <c r="C232" s="3" t="n">
        <v>27</v>
      </c>
      <c r="D232" s="3" t="str">
        <f aca="false">Combined!G232</f>
        <v>Student age (≤29)</v>
      </c>
      <c r="E232" s="3" t="s">
        <v>83</v>
      </c>
      <c r="F232" s="3" t="s">
        <v>47</v>
      </c>
      <c r="G232" s="3" t="s">
        <v>47</v>
      </c>
      <c r="H232" s="3" t="s">
        <v>806</v>
      </c>
      <c r="I232" s="3" t="s">
        <v>6539</v>
      </c>
      <c r="J232" s="3" t="s">
        <v>2523</v>
      </c>
      <c r="K232" s="3" t="s">
        <v>6540</v>
      </c>
      <c r="L232" s="3" t="s">
        <v>2524</v>
      </c>
      <c r="M232" s="3" t="s">
        <v>7148</v>
      </c>
      <c r="N232" s="3" t="s">
        <v>1690</v>
      </c>
      <c r="O232" s="3" t="s">
        <v>6530</v>
      </c>
      <c r="P232" s="3" t="s">
        <v>2525</v>
      </c>
      <c r="Q232" s="3" t="s">
        <v>7149</v>
      </c>
      <c r="R232" s="3" t="s">
        <v>2497</v>
      </c>
      <c r="S232" s="3" t="s">
        <v>6551</v>
      </c>
      <c r="T232" s="3" t="s">
        <v>2527</v>
      </c>
      <c r="U232" s="3" t="s">
        <v>7150</v>
      </c>
      <c r="V232" s="3"/>
      <c r="W232" s="3"/>
      <c r="X232" s="3" t="s">
        <v>2508</v>
      </c>
      <c r="Y232" s="3" t="s">
        <v>6568</v>
      </c>
      <c r="Z232" s="3"/>
      <c r="AA232" s="3"/>
    </row>
    <row r="233" customFormat="false" ht="15" hidden="false" customHeight="true" outlineLevel="0" collapsed="false">
      <c r="A233" s="3" t="s">
        <v>2528</v>
      </c>
      <c r="B233" s="3" t="n">
        <v>4</v>
      </c>
      <c r="C233" s="3" t="n">
        <v>57</v>
      </c>
      <c r="D233" s="3" t="str">
        <f aca="false">Combined!G233</f>
        <v>Middle-aged (30–64)</v>
      </c>
      <c r="E233" s="3" t="s">
        <v>45</v>
      </c>
      <c r="F233" s="3" t="s">
        <v>437</v>
      </c>
      <c r="G233" s="3" t="s">
        <v>437</v>
      </c>
      <c r="H233" s="3" t="s">
        <v>2242</v>
      </c>
      <c r="I233" s="3" t="s">
        <v>6538</v>
      </c>
      <c r="J233" s="3" t="s">
        <v>2523</v>
      </c>
      <c r="K233" s="3" t="s">
        <v>6540</v>
      </c>
      <c r="L233" s="3" t="s">
        <v>2242</v>
      </c>
      <c r="M233" s="3" t="s">
        <v>6538</v>
      </c>
      <c r="N233" s="3" t="s">
        <v>2242</v>
      </c>
      <c r="O233" s="3" t="s">
        <v>1625</v>
      </c>
      <c r="P233" s="3" t="s">
        <v>2529</v>
      </c>
      <c r="Q233" s="3" t="s">
        <v>6518</v>
      </c>
      <c r="R233" s="3" t="s">
        <v>2497</v>
      </c>
      <c r="S233" s="3" t="s">
        <v>6551</v>
      </c>
      <c r="T233" s="3" t="s">
        <v>2531</v>
      </c>
      <c r="U233" s="3" t="s">
        <v>6596</v>
      </c>
      <c r="V233" s="3"/>
      <c r="W233" s="3"/>
      <c r="X233" s="3" t="s">
        <v>2508</v>
      </c>
      <c r="Y233" s="3" t="s">
        <v>6568</v>
      </c>
      <c r="Z233" s="3"/>
      <c r="AA233" s="3"/>
    </row>
    <row r="234" customFormat="false" ht="15" hidden="false" customHeight="true" outlineLevel="0" collapsed="false">
      <c r="A234" s="3" t="s">
        <v>2532</v>
      </c>
      <c r="B234" s="3" t="n">
        <v>4</v>
      </c>
      <c r="C234" s="3" t="n">
        <v>25</v>
      </c>
      <c r="D234" s="3" t="str">
        <f aca="false">Combined!G234</f>
        <v>Student age (≤29)</v>
      </c>
      <c r="E234" s="3" t="s">
        <v>45</v>
      </c>
      <c r="F234" s="3" t="s">
        <v>47</v>
      </c>
      <c r="G234" s="3" t="s">
        <v>47</v>
      </c>
      <c r="H234" s="3" t="s">
        <v>2515</v>
      </c>
      <c r="I234" s="3" t="s">
        <v>6508</v>
      </c>
      <c r="J234" s="3" t="s">
        <v>2494</v>
      </c>
      <c r="K234" s="3" t="s">
        <v>6520</v>
      </c>
      <c r="L234" s="3" t="s">
        <v>2503</v>
      </c>
      <c r="M234" s="3" t="s">
        <v>6920</v>
      </c>
      <c r="N234" s="3" t="s">
        <v>2242</v>
      </c>
      <c r="O234" s="3" t="s">
        <v>1625</v>
      </c>
      <c r="P234" s="3" t="s">
        <v>2534</v>
      </c>
      <c r="Q234" s="3" t="s">
        <v>6730</v>
      </c>
      <c r="R234" s="3" t="s">
        <v>2505</v>
      </c>
      <c r="S234" s="3" t="s">
        <v>6647</v>
      </c>
      <c r="T234" s="3" t="s">
        <v>2535</v>
      </c>
      <c r="U234" s="3" t="s">
        <v>7151</v>
      </c>
      <c r="V234" s="3"/>
      <c r="W234" s="3"/>
      <c r="X234" s="3" t="s">
        <v>2536</v>
      </c>
      <c r="Y234" s="3" t="s">
        <v>6651</v>
      </c>
      <c r="Z234" s="3"/>
      <c r="AA234" s="3"/>
    </row>
    <row r="235" customFormat="false" ht="15" hidden="false" customHeight="true" outlineLevel="0" collapsed="false">
      <c r="A235" s="3" t="s">
        <v>2537</v>
      </c>
      <c r="B235" s="3" t="n">
        <v>4</v>
      </c>
      <c r="C235" s="3" t="n">
        <v>24</v>
      </c>
      <c r="D235" s="3" t="str">
        <f aca="false">Combined!G235</f>
        <v>Student age (≤29)</v>
      </c>
      <c r="E235" s="3" t="s">
        <v>83</v>
      </c>
      <c r="F235" s="3" t="s">
        <v>437</v>
      </c>
      <c r="G235" s="3" t="s">
        <v>47</v>
      </c>
      <c r="H235" s="3" t="s">
        <v>2538</v>
      </c>
      <c r="I235" s="3" t="s">
        <v>6616</v>
      </c>
      <c r="J235" s="3" t="s">
        <v>2539</v>
      </c>
      <c r="K235" s="3" t="s">
        <v>6541</v>
      </c>
      <c r="L235" s="3" t="s">
        <v>2540</v>
      </c>
      <c r="M235" s="3" t="s">
        <v>6540</v>
      </c>
      <c r="N235" s="3" t="s">
        <v>1690</v>
      </c>
      <c r="O235" s="3" t="s">
        <v>6530</v>
      </c>
      <c r="P235" s="3" t="s">
        <v>2529</v>
      </c>
      <c r="Q235" s="3" t="s">
        <v>6518</v>
      </c>
      <c r="R235" s="3" t="s">
        <v>2497</v>
      </c>
      <c r="S235" s="3" t="s">
        <v>6551</v>
      </c>
      <c r="T235" s="3" t="s">
        <v>2542</v>
      </c>
      <c r="U235" s="3" t="s">
        <v>7147</v>
      </c>
      <c r="V235" s="3"/>
      <c r="W235" s="3"/>
      <c r="X235" s="3" t="s">
        <v>2508</v>
      </c>
      <c r="Y235" s="3" t="s">
        <v>6568</v>
      </c>
      <c r="Z235" s="3"/>
      <c r="AA235" s="3"/>
    </row>
    <row r="236" customFormat="false" ht="15" hidden="false" customHeight="true" outlineLevel="0" collapsed="false">
      <c r="A236" s="3" t="s">
        <v>2543</v>
      </c>
      <c r="B236" s="3" t="n">
        <v>4</v>
      </c>
      <c r="C236" s="3" t="n">
        <v>24</v>
      </c>
      <c r="D236" s="3" t="str">
        <f aca="false">Combined!G236</f>
        <v>Student age (≤29)</v>
      </c>
      <c r="E236" s="3" t="s">
        <v>83</v>
      </c>
      <c r="F236" s="3" t="s">
        <v>437</v>
      </c>
      <c r="G236" s="3" t="s">
        <v>47</v>
      </c>
      <c r="H236" s="3" t="s">
        <v>2538</v>
      </c>
      <c r="I236" s="3" t="s">
        <v>6616</v>
      </c>
      <c r="J236" s="3" t="s">
        <v>2539</v>
      </c>
      <c r="K236" s="3" t="s">
        <v>6541</v>
      </c>
      <c r="L236" s="3" t="s">
        <v>2502</v>
      </c>
      <c r="M236" s="3" t="s">
        <v>6540</v>
      </c>
      <c r="N236" s="3" t="s">
        <v>59</v>
      </c>
      <c r="O236" s="3" t="s">
        <v>59</v>
      </c>
      <c r="P236" s="3" t="s">
        <v>2545</v>
      </c>
      <c r="Q236" s="3" t="s">
        <v>6560</v>
      </c>
      <c r="R236" s="3" t="s">
        <v>2546</v>
      </c>
      <c r="S236" s="3" t="s">
        <v>6581</v>
      </c>
      <c r="T236" s="3" t="s">
        <v>2548</v>
      </c>
      <c r="U236" s="3" t="s">
        <v>7144</v>
      </c>
      <c r="V236" s="3"/>
      <c r="W236" s="3"/>
      <c r="X236" s="3" t="s">
        <v>2549</v>
      </c>
      <c r="Y236" s="3" t="s">
        <v>6646</v>
      </c>
      <c r="Z236" s="3"/>
      <c r="AA236" s="3"/>
    </row>
    <row r="237" customFormat="false" ht="15" hidden="false" customHeight="true" outlineLevel="0" collapsed="false">
      <c r="A237" s="3" t="s">
        <v>2550</v>
      </c>
      <c r="B237" s="3" t="n">
        <v>4</v>
      </c>
      <c r="C237" s="3" t="n">
        <v>22</v>
      </c>
      <c r="D237" s="3" t="str">
        <f aca="false">Combined!G237</f>
        <v>Student age (≤29)</v>
      </c>
      <c r="E237" s="3" t="s">
        <v>83</v>
      </c>
      <c r="F237" s="3" t="s">
        <v>437</v>
      </c>
      <c r="G237" s="3" t="s">
        <v>47</v>
      </c>
      <c r="H237" s="3" t="s">
        <v>2515</v>
      </c>
      <c r="I237" s="3" t="s">
        <v>6508</v>
      </c>
      <c r="J237" s="3" t="s">
        <v>2502</v>
      </c>
      <c r="K237" s="3" t="s">
        <v>6540</v>
      </c>
      <c r="L237" s="3" t="s">
        <v>2502</v>
      </c>
      <c r="M237" s="3" t="s">
        <v>6540</v>
      </c>
      <c r="N237" s="3" t="s">
        <v>1690</v>
      </c>
      <c r="O237" s="3" t="s">
        <v>6530</v>
      </c>
      <c r="P237" s="3" t="s">
        <v>2516</v>
      </c>
      <c r="Q237" s="3" t="s">
        <v>7146</v>
      </c>
      <c r="R237" s="3" t="s">
        <v>2551</v>
      </c>
      <c r="S237" s="3" t="s">
        <v>6679</v>
      </c>
      <c r="T237" s="3" t="s">
        <v>2553</v>
      </c>
      <c r="U237" s="3" t="s">
        <v>7150</v>
      </c>
      <c r="V237" s="3"/>
      <c r="W237" s="3"/>
      <c r="X237" s="3" t="s">
        <v>2508</v>
      </c>
      <c r="Y237" s="3" t="s">
        <v>6568</v>
      </c>
      <c r="Z237" s="3"/>
      <c r="AA237" s="3"/>
    </row>
    <row r="238" customFormat="false" ht="15" hidden="false" customHeight="true" outlineLevel="0" collapsed="false">
      <c r="A238" s="3" t="s">
        <v>2554</v>
      </c>
      <c r="B238" s="3" t="n">
        <v>4</v>
      </c>
      <c r="C238" s="3" t="n">
        <v>23</v>
      </c>
      <c r="D238" s="3" t="str">
        <f aca="false">Combined!G238</f>
        <v>Student age (≤29)</v>
      </c>
      <c r="E238" s="3" t="s">
        <v>83</v>
      </c>
      <c r="F238" s="3" t="s">
        <v>437</v>
      </c>
      <c r="G238" s="3" t="s">
        <v>47</v>
      </c>
      <c r="H238" s="3" t="s">
        <v>2515</v>
      </c>
      <c r="I238" s="3" t="s">
        <v>6508</v>
      </c>
      <c r="J238" s="3" t="s">
        <v>2493</v>
      </c>
      <c r="K238" s="3" t="s">
        <v>6540</v>
      </c>
      <c r="L238" s="3" t="s">
        <v>2503</v>
      </c>
      <c r="M238" s="3" t="s">
        <v>6920</v>
      </c>
      <c r="N238" s="3" t="s">
        <v>59</v>
      </c>
      <c r="O238" s="3" t="s">
        <v>59</v>
      </c>
      <c r="P238" s="3" t="s">
        <v>2516</v>
      </c>
      <c r="Q238" s="3" t="s">
        <v>7146</v>
      </c>
      <c r="R238" s="3" t="s">
        <v>2497</v>
      </c>
      <c r="S238" s="3" t="s">
        <v>6551</v>
      </c>
      <c r="T238" s="3" t="s">
        <v>2557</v>
      </c>
      <c r="U238" s="3" t="s">
        <v>7152</v>
      </c>
      <c r="V238" s="3"/>
      <c r="W238" s="3"/>
      <c r="X238" s="3" t="s">
        <v>2519</v>
      </c>
      <c r="Y238" s="3" t="s">
        <v>6651</v>
      </c>
      <c r="Z238" s="3"/>
      <c r="AA238" s="3"/>
    </row>
    <row r="239" customFormat="false" ht="15" hidden="false" customHeight="true" outlineLevel="0" collapsed="false">
      <c r="A239" s="3" t="s">
        <v>2558</v>
      </c>
      <c r="B239" s="3" t="n">
        <v>4</v>
      </c>
      <c r="C239" s="3" t="n">
        <v>55</v>
      </c>
      <c r="D239" s="3" t="str">
        <f aca="false">Combined!G239</f>
        <v>Middle-aged (30–64)</v>
      </c>
      <c r="E239" s="3" t="s">
        <v>83</v>
      </c>
      <c r="F239" s="3" t="s">
        <v>437</v>
      </c>
      <c r="G239" s="3" t="s">
        <v>437</v>
      </c>
      <c r="H239" s="3" t="s">
        <v>806</v>
      </c>
      <c r="I239" s="3" t="s">
        <v>6539</v>
      </c>
      <c r="J239" s="3" t="s">
        <v>2540</v>
      </c>
      <c r="K239" s="3" t="s">
        <v>6540</v>
      </c>
      <c r="L239" s="3" t="s">
        <v>2540</v>
      </c>
      <c r="M239" s="3" t="s">
        <v>6540</v>
      </c>
      <c r="N239" s="3" t="s">
        <v>1690</v>
      </c>
      <c r="O239" s="3" t="s">
        <v>6530</v>
      </c>
      <c r="P239" s="3" t="s">
        <v>2504</v>
      </c>
      <c r="Q239" s="3" t="s">
        <v>7145</v>
      </c>
      <c r="R239" s="3" t="s">
        <v>2497</v>
      </c>
      <c r="S239" s="3" t="s">
        <v>6551</v>
      </c>
      <c r="T239" s="3" t="s">
        <v>2560</v>
      </c>
      <c r="U239" s="3" t="s">
        <v>7153</v>
      </c>
      <c r="V239" s="3"/>
      <c r="W239" s="3"/>
      <c r="X239" s="3" t="s">
        <v>2549</v>
      </c>
      <c r="Y239" s="3" t="s">
        <v>6646</v>
      </c>
      <c r="Z239" s="3"/>
      <c r="AA239" s="3"/>
    </row>
    <row r="240" customFormat="false" ht="15" hidden="false" customHeight="true" outlineLevel="0" collapsed="false">
      <c r="A240" s="3" t="s">
        <v>2561</v>
      </c>
      <c r="B240" s="3" t="n">
        <v>4</v>
      </c>
      <c r="C240" s="3" t="n">
        <v>22</v>
      </c>
      <c r="D240" s="3" t="str">
        <f aca="false">Combined!G240</f>
        <v>Student age (≤29)</v>
      </c>
      <c r="E240" s="3" t="s">
        <v>83</v>
      </c>
      <c r="F240" s="3" t="s">
        <v>437</v>
      </c>
      <c r="G240" s="3" t="s">
        <v>47</v>
      </c>
      <c r="H240" s="3" t="s">
        <v>806</v>
      </c>
      <c r="I240" s="3" t="s">
        <v>6539</v>
      </c>
      <c r="J240" s="3" t="s">
        <v>2494</v>
      </c>
      <c r="K240" s="3" t="s">
        <v>6520</v>
      </c>
      <c r="L240" s="3" t="s">
        <v>2540</v>
      </c>
      <c r="M240" s="3" t="s">
        <v>6540</v>
      </c>
      <c r="N240" s="3" t="s">
        <v>1690</v>
      </c>
      <c r="O240" s="3" t="s">
        <v>6530</v>
      </c>
      <c r="P240" s="3" t="s">
        <v>2562</v>
      </c>
      <c r="Q240" s="3" t="s">
        <v>7145</v>
      </c>
      <c r="R240" s="3" t="s">
        <v>2497</v>
      </c>
      <c r="S240" s="3" t="s">
        <v>6551</v>
      </c>
      <c r="T240" s="3" t="s">
        <v>2564</v>
      </c>
      <c r="U240" s="3" t="s">
        <v>7154</v>
      </c>
      <c r="V240" s="3"/>
      <c r="W240" s="3"/>
      <c r="X240" s="3" t="s">
        <v>2508</v>
      </c>
      <c r="Y240" s="3" t="s">
        <v>6568</v>
      </c>
      <c r="Z240" s="3"/>
      <c r="AA240" s="3"/>
    </row>
    <row r="241" customFormat="false" ht="15" hidden="false" customHeight="true" outlineLevel="0" collapsed="false">
      <c r="A241" s="3" t="s">
        <v>2566</v>
      </c>
      <c r="B241" s="3" t="n">
        <v>4</v>
      </c>
      <c r="C241" s="3" t="n">
        <v>21</v>
      </c>
      <c r="D241" s="3" t="str">
        <f aca="false">Combined!G241</f>
        <v>Student age (≤29)</v>
      </c>
      <c r="E241" s="3" t="s">
        <v>45</v>
      </c>
      <c r="F241" s="3" t="s">
        <v>437</v>
      </c>
      <c r="G241" s="3" t="s">
        <v>47</v>
      </c>
      <c r="H241" s="3" t="s">
        <v>2538</v>
      </c>
      <c r="I241" s="3" t="s">
        <v>6616</v>
      </c>
      <c r="J241" s="3" t="s">
        <v>2494</v>
      </c>
      <c r="K241" s="3" t="s">
        <v>6520</v>
      </c>
      <c r="L241" s="3" t="s">
        <v>2540</v>
      </c>
      <c r="M241" s="3" t="s">
        <v>6540</v>
      </c>
      <c r="N241" s="3" t="s">
        <v>59</v>
      </c>
      <c r="O241" s="3" t="s">
        <v>59</v>
      </c>
      <c r="P241" s="3" t="s">
        <v>2516</v>
      </c>
      <c r="Q241" s="3" t="s">
        <v>7146</v>
      </c>
      <c r="R241" s="3" t="s">
        <v>2546</v>
      </c>
      <c r="S241" s="3" t="s">
        <v>6581</v>
      </c>
      <c r="T241" s="3" t="s">
        <v>2568</v>
      </c>
      <c r="U241" s="3" t="s">
        <v>7155</v>
      </c>
      <c r="V241" s="3"/>
      <c r="W241" s="3"/>
      <c r="X241" s="3" t="s">
        <v>2508</v>
      </c>
      <c r="Y241" s="3" t="s">
        <v>6568</v>
      </c>
      <c r="Z241" s="3"/>
      <c r="AA241" s="3"/>
    </row>
    <row r="242" customFormat="false" ht="15" hidden="false" customHeight="true" outlineLevel="0" collapsed="false">
      <c r="A242" s="3" t="s">
        <v>2569</v>
      </c>
      <c r="B242" s="3" t="n">
        <v>4</v>
      </c>
      <c r="C242" s="3" t="n">
        <v>22</v>
      </c>
      <c r="D242" s="3" t="str">
        <f aca="false">Combined!G242</f>
        <v>Student age (≤29)</v>
      </c>
      <c r="E242" s="3" t="s">
        <v>45</v>
      </c>
      <c r="F242" s="3" t="s">
        <v>437</v>
      </c>
      <c r="G242" s="3" t="s">
        <v>47</v>
      </c>
      <c r="H242" s="3" t="s">
        <v>2538</v>
      </c>
      <c r="I242" s="3" t="s">
        <v>6616</v>
      </c>
      <c r="J242" s="3" t="s">
        <v>2494</v>
      </c>
      <c r="K242" s="3" t="s">
        <v>6520</v>
      </c>
      <c r="L242" s="3" t="s">
        <v>2493</v>
      </c>
      <c r="M242" s="3" t="s">
        <v>6540</v>
      </c>
      <c r="N242" s="3" t="s">
        <v>1690</v>
      </c>
      <c r="O242" s="3" t="s">
        <v>6530</v>
      </c>
      <c r="P242" s="3" t="s">
        <v>2570</v>
      </c>
      <c r="Q242" s="3" t="s">
        <v>7156</v>
      </c>
      <c r="R242" s="3" t="s">
        <v>2497</v>
      </c>
      <c r="S242" s="3" t="s">
        <v>6551</v>
      </c>
      <c r="T242" s="3" t="s">
        <v>2572</v>
      </c>
      <c r="U242" s="3" t="s">
        <v>7150</v>
      </c>
      <c r="V242" s="3"/>
      <c r="W242" s="3"/>
      <c r="X242" s="3" t="s">
        <v>2508</v>
      </c>
      <c r="Y242" s="3" t="s">
        <v>6568</v>
      </c>
      <c r="Z242" s="3"/>
      <c r="AA242" s="3"/>
    </row>
    <row r="243" customFormat="false" ht="15" hidden="false" customHeight="true" outlineLevel="0" collapsed="false">
      <c r="A243" s="3" t="s">
        <v>2573</v>
      </c>
      <c r="B243" s="3" t="n">
        <v>4</v>
      </c>
      <c r="C243" s="3" t="n">
        <v>21</v>
      </c>
      <c r="D243" s="3" t="str">
        <f aca="false">Combined!G243</f>
        <v>Student age (≤29)</v>
      </c>
      <c r="E243" s="3" t="s">
        <v>83</v>
      </c>
      <c r="F243" s="3" t="s">
        <v>437</v>
      </c>
      <c r="G243" s="3" t="s">
        <v>2574</v>
      </c>
      <c r="H243" s="3" t="s">
        <v>2242</v>
      </c>
      <c r="I243" s="3" t="s">
        <v>6538</v>
      </c>
      <c r="J243" s="3" t="s">
        <v>2539</v>
      </c>
      <c r="K243" s="3" t="s">
        <v>6541</v>
      </c>
      <c r="L243" s="3" t="s">
        <v>2502</v>
      </c>
      <c r="M243" s="3" t="s">
        <v>6540</v>
      </c>
      <c r="N243" s="3" t="s">
        <v>1690</v>
      </c>
      <c r="O243" s="3" t="s">
        <v>6530</v>
      </c>
      <c r="P243" s="3" t="s">
        <v>2575</v>
      </c>
      <c r="Q243" s="3" t="s">
        <v>7157</v>
      </c>
      <c r="R243" s="3" t="s">
        <v>2546</v>
      </c>
      <c r="S243" s="3" t="s">
        <v>6581</v>
      </c>
      <c r="T243" s="3" t="s">
        <v>2577</v>
      </c>
      <c r="U243" s="3" t="s">
        <v>7147</v>
      </c>
      <c r="V243" s="3"/>
      <c r="W243" s="3"/>
      <c r="X243" s="3" t="s">
        <v>2500</v>
      </c>
      <c r="Y243" s="3" t="s">
        <v>6538</v>
      </c>
      <c r="Z243" s="3"/>
      <c r="AA243" s="3"/>
    </row>
    <row r="244" customFormat="false" ht="15" hidden="false" customHeight="true" outlineLevel="0" collapsed="false">
      <c r="A244" s="3" t="s">
        <v>2578</v>
      </c>
      <c r="B244" s="3" t="n">
        <v>4</v>
      </c>
      <c r="C244" s="3" t="n">
        <v>21</v>
      </c>
      <c r="D244" s="3" t="str">
        <f aca="false">Combined!G244</f>
        <v>Student age (≤29)</v>
      </c>
      <c r="E244" s="3" t="s">
        <v>83</v>
      </c>
      <c r="F244" s="3" t="s">
        <v>437</v>
      </c>
      <c r="G244" s="3" t="s">
        <v>47</v>
      </c>
      <c r="H244" s="3" t="s">
        <v>806</v>
      </c>
      <c r="I244" s="3" t="s">
        <v>6539</v>
      </c>
      <c r="J244" s="3" t="s">
        <v>2493</v>
      </c>
      <c r="K244" s="3" t="s">
        <v>6540</v>
      </c>
      <c r="L244" s="3" t="s">
        <v>2503</v>
      </c>
      <c r="M244" s="3" t="s">
        <v>6920</v>
      </c>
      <c r="N244" s="3" t="s">
        <v>59</v>
      </c>
      <c r="O244" s="3" t="s">
        <v>59</v>
      </c>
      <c r="P244" s="3" t="s">
        <v>2504</v>
      </c>
      <c r="Q244" s="3" t="s">
        <v>7145</v>
      </c>
      <c r="R244" s="3" t="s">
        <v>2505</v>
      </c>
      <c r="S244" s="3" t="s">
        <v>6647</v>
      </c>
      <c r="T244" s="3" t="s">
        <v>2580</v>
      </c>
      <c r="U244" s="3" t="s">
        <v>7158</v>
      </c>
      <c r="V244" s="3"/>
      <c r="W244" s="3"/>
      <c r="X244" s="3" t="s">
        <v>2549</v>
      </c>
      <c r="Y244" s="3" t="s">
        <v>6646</v>
      </c>
      <c r="Z244" s="3"/>
      <c r="AA244" s="3"/>
    </row>
    <row r="245" customFormat="false" ht="15" hidden="false" customHeight="true" outlineLevel="0" collapsed="false">
      <c r="A245" s="3" t="s">
        <v>2581</v>
      </c>
      <c r="B245" s="3" t="n">
        <v>4</v>
      </c>
      <c r="C245" s="3" t="n">
        <v>24</v>
      </c>
      <c r="D245" s="3" t="str">
        <f aca="false">Combined!G245</f>
        <v>Student age (≤29)</v>
      </c>
      <c r="E245" s="3" t="s">
        <v>83</v>
      </c>
      <c r="F245" s="3" t="s">
        <v>437</v>
      </c>
      <c r="G245" s="3" t="s">
        <v>453</v>
      </c>
      <c r="H245" s="3" t="s">
        <v>806</v>
      </c>
      <c r="I245" s="3" t="s">
        <v>6539</v>
      </c>
      <c r="J245" s="3" t="s">
        <v>2493</v>
      </c>
      <c r="K245" s="3" t="s">
        <v>6540</v>
      </c>
      <c r="L245" s="3" t="s">
        <v>2524</v>
      </c>
      <c r="M245" s="3" t="s">
        <v>7148</v>
      </c>
      <c r="N245" s="3" t="s">
        <v>1690</v>
      </c>
      <c r="O245" s="3" t="s">
        <v>6530</v>
      </c>
      <c r="P245" s="3" t="s">
        <v>2529</v>
      </c>
      <c r="Q245" s="3" t="s">
        <v>6518</v>
      </c>
      <c r="R245" s="3" t="s">
        <v>2497</v>
      </c>
      <c r="S245" s="3" t="s">
        <v>6551</v>
      </c>
      <c r="T245" s="3" t="s">
        <v>2577</v>
      </c>
      <c r="U245" s="3" t="s">
        <v>7147</v>
      </c>
      <c r="V245" s="3"/>
      <c r="W245" s="3"/>
      <c r="X245" s="3" t="s">
        <v>2519</v>
      </c>
      <c r="Y245" s="3" t="s">
        <v>6651</v>
      </c>
      <c r="Z245" s="3"/>
      <c r="AA245" s="3"/>
    </row>
    <row r="246" customFormat="false" ht="15" hidden="false" customHeight="true" outlineLevel="0" collapsed="false">
      <c r="A246" s="3" t="s">
        <v>2584</v>
      </c>
      <c r="B246" s="3" t="n">
        <v>4</v>
      </c>
      <c r="C246" s="3" t="n">
        <v>20</v>
      </c>
      <c r="D246" s="3" t="str">
        <f aca="false">Combined!G246</f>
        <v>Student age (≤29)</v>
      </c>
      <c r="E246" s="3" t="s">
        <v>83</v>
      </c>
      <c r="F246" s="3" t="s">
        <v>437</v>
      </c>
      <c r="G246" s="3" t="s">
        <v>47</v>
      </c>
      <c r="H246" s="3" t="s">
        <v>806</v>
      </c>
      <c r="I246" s="3" t="s">
        <v>6539</v>
      </c>
      <c r="J246" s="3" t="s">
        <v>2493</v>
      </c>
      <c r="K246" s="3" t="s">
        <v>6540</v>
      </c>
      <c r="L246" s="3" t="s">
        <v>2539</v>
      </c>
      <c r="M246" s="3" t="s">
        <v>6541</v>
      </c>
      <c r="N246" s="3" t="s">
        <v>2242</v>
      </c>
      <c r="O246" s="3" t="s">
        <v>1625</v>
      </c>
      <c r="P246" s="3" t="s">
        <v>2516</v>
      </c>
      <c r="Q246" s="3" t="s">
        <v>7146</v>
      </c>
      <c r="R246" s="3" t="s">
        <v>2546</v>
      </c>
      <c r="S246" s="3" t="s">
        <v>6581</v>
      </c>
      <c r="T246" s="3" t="s">
        <v>2586</v>
      </c>
      <c r="U246" s="3" t="s">
        <v>7151</v>
      </c>
      <c r="V246" s="3"/>
      <c r="W246" s="3"/>
      <c r="X246" s="3" t="s">
        <v>2508</v>
      </c>
      <c r="Y246" s="3" t="s">
        <v>6568</v>
      </c>
      <c r="Z246" s="3"/>
      <c r="AA246" s="3"/>
    </row>
    <row r="247" customFormat="false" ht="15" hidden="false" customHeight="true" outlineLevel="0" collapsed="false">
      <c r="A247" s="3" t="s">
        <v>2587</v>
      </c>
      <c r="B247" s="3" t="n">
        <v>4</v>
      </c>
      <c r="C247" s="3" t="n">
        <v>55</v>
      </c>
      <c r="D247" s="3" t="str">
        <f aca="false">Combined!G247</f>
        <v>Middle-aged (30–64)</v>
      </c>
      <c r="E247" s="3" t="s">
        <v>83</v>
      </c>
      <c r="F247" s="3" t="s">
        <v>437</v>
      </c>
      <c r="G247" s="3" t="s">
        <v>437</v>
      </c>
      <c r="H247" s="3" t="s">
        <v>2538</v>
      </c>
      <c r="I247" s="3" t="s">
        <v>6616</v>
      </c>
      <c r="J247" s="3" t="s">
        <v>2540</v>
      </c>
      <c r="K247" s="3" t="s">
        <v>6540</v>
      </c>
      <c r="L247" s="3" t="s">
        <v>2494</v>
      </c>
      <c r="M247" s="3" t="s">
        <v>6520</v>
      </c>
      <c r="N247" s="3" t="s">
        <v>59</v>
      </c>
      <c r="O247" s="3" t="s">
        <v>59</v>
      </c>
      <c r="P247" s="3" t="s">
        <v>2504</v>
      </c>
      <c r="Q247" s="3" t="s">
        <v>7145</v>
      </c>
      <c r="R247" s="3" t="s">
        <v>2546</v>
      </c>
      <c r="S247" s="3" t="s">
        <v>6581</v>
      </c>
      <c r="T247" s="3" t="s">
        <v>2589</v>
      </c>
      <c r="U247" s="3" t="s">
        <v>7152</v>
      </c>
      <c r="V247" s="3"/>
      <c r="W247" s="3"/>
      <c r="X247" s="3" t="s">
        <v>2519</v>
      </c>
      <c r="Y247" s="3" t="s">
        <v>6651</v>
      </c>
      <c r="Z247" s="3"/>
      <c r="AA247" s="3"/>
    </row>
    <row r="248" customFormat="false" ht="15" hidden="false" customHeight="true" outlineLevel="0" collapsed="false">
      <c r="A248" s="3" t="s">
        <v>2590</v>
      </c>
      <c r="B248" s="3" t="n">
        <v>4</v>
      </c>
      <c r="C248" s="3" t="n">
        <v>26</v>
      </c>
      <c r="D248" s="3" t="str">
        <f aca="false">Combined!G248</f>
        <v>Student age (≤29)</v>
      </c>
      <c r="E248" s="3" t="s">
        <v>83</v>
      </c>
      <c r="F248" s="3" t="s">
        <v>47</v>
      </c>
      <c r="G248" s="3" t="s">
        <v>47</v>
      </c>
      <c r="H248" s="3" t="s">
        <v>806</v>
      </c>
      <c r="I248" s="3" t="s">
        <v>6539</v>
      </c>
      <c r="J248" s="3" t="s">
        <v>2523</v>
      </c>
      <c r="K248" s="3" t="s">
        <v>6540</v>
      </c>
      <c r="L248" s="3" t="s">
        <v>2494</v>
      </c>
      <c r="M248" s="3" t="s">
        <v>6520</v>
      </c>
      <c r="N248" s="3" t="s">
        <v>59</v>
      </c>
      <c r="O248" s="3" t="s">
        <v>59</v>
      </c>
      <c r="P248" s="3" t="s">
        <v>2591</v>
      </c>
      <c r="Q248" s="3" t="s">
        <v>7159</v>
      </c>
      <c r="R248" s="3" t="s">
        <v>2497</v>
      </c>
      <c r="S248" s="3" t="s">
        <v>6551</v>
      </c>
      <c r="T248" s="3" t="s">
        <v>2593</v>
      </c>
      <c r="U248" s="3" t="s">
        <v>7160</v>
      </c>
      <c r="V248" s="3"/>
      <c r="W248" s="3"/>
      <c r="X248" s="3" t="s">
        <v>2508</v>
      </c>
      <c r="Y248" s="3" t="s">
        <v>6568</v>
      </c>
      <c r="Z248" s="3"/>
      <c r="AA248" s="3"/>
    </row>
    <row r="249" customFormat="false" ht="15" hidden="false" customHeight="true" outlineLevel="0" collapsed="false">
      <c r="A249" s="3" t="s">
        <v>2594</v>
      </c>
      <c r="B249" s="3" t="n">
        <v>4</v>
      </c>
      <c r="C249" s="3" t="n">
        <v>25</v>
      </c>
      <c r="D249" s="3" t="str">
        <f aca="false">Combined!G249</f>
        <v>Student age (≤29)</v>
      </c>
      <c r="E249" s="3" t="s">
        <v>45</v>
      </c>
      <c r="F249" s="3" t="s">
        <v>47</v>
      </c>
      <c r="G249" s="3" t="s">
        <v>47</v>
      </c>
      <c r="H249" s="3" t="s">
        <v>2538</v>
      </c>
      <c r="I249" s="3" t="s">
        <v>6616</v>
      </c>
      <c r="J249" s="3" t="s">
        <v>2523</v>
      </c>
      <c r="K249" s="3" t="s">
        <v>6540</v>
      </c>
      <c r="L249" s="3" t="s">
        <v>2539</v>
      </c>
      <c r="M249" s="3" t="s">
        <v>6541</v>
      </c>
      <c r="N249" s="3" t="s">
        <v>59</v>
      </c>
      <c r="O249" s="3" t="s">
        <v>59</v>
      </c>
      <c r="P249" s="3" t="s">
        <v>2595</v>
      </c>
      <c r="Q249" s="3" t="s">
        <v>7161</v>
      </c>
      <c r="R249" s="3" t="s">
        <v>2551</v>
      </c>
      <c r="S249" s="3" t="s">
        <v>6679</v>
      </c>
      <c r="T249" s="3" t="s">
        <v>2597</v>
      </c>
      <c r="U249" s="3" t="s">
        <v>7147</v>
      </c>
      <c r="V249" s="3"/>
      <c r="W249" s="3"/>
      <c r="X249" s="3" t="s">
        <v>2508</v>
      </c>
      <c r="Y249" s="3" t="s">
        <v>6568</v>
      </c>
      <c r="Z249" s="3"/>
      <c r="AA249" s="3"/>
    </row>
    <row r="250" customFormat="false" ht="15" hidden="false" customHeight="true" outlineLevel="0" collapsed="false">
      <c r="A250" s="3" t="s">
        <v>2598</v>
      </c>
      <c r="B250" s="3" t="n">
        <v>4</v>
      </c>
      <c r="C250" s="3" t="n">
        <v>25</v>
      </c>
      <c r="D250" s="3" t="str">
        <f aca="false">Combined!G250</f>
        <v>Student age (≤29)</v>
      </c>
      <c r="E250" s="3" t="s">
        <v>45</v>
      </c>
      <c r="F250" s="3" t="s">
        <v>437</v>
      </c>
      <c r="G250" s="3" t="s">
        <v>2574</v>
      </c>
      <c r="H250" s="3" t="s">
        <v>2515</v>
      </c>
      <c r="I250" s="3" t="s">
        <v>6508</v>
      </c>
      <c r="J250" s="3" t="s">
        <v>2493</v>
      </c>
      <c r="K250" s="3" t="s">
        <v>6540</v>
      </c>
      <c r="L250" s="3" t="s">
        <v>2524</v>
      </c>
      <c r="M250" s="3" t="s">
        <v>7148</v>
      </c>
      <c r="N250" s="3" t="s">
        <v>1690</v>
      </c>
      <c r="O250" s="3" t="s">
        <v>6530</v>
      </c>
      <c r="P250" s="3" t="s">
        <v>2504</v>
      </c>
      <c r="Q250" s="3" t="s">
        <v>7145</v>
      </c>
      <c r="R250" s="3" t="s">
        <v>2497</v>
      </c>
      <c r="S250" s="3" t="s">
        <v>6551</v>
      </c>
      <c r="T250" s="3" t="s">
        <v>2542</v>
      </c>
      <c r="U250" s="3" t="s">
        <v>7147</v>
      </c>
      <c r="V250" s="3"/>
      <c r="W250" s="3"/>
      <c r="X250" s="3" t="s">
        <v>2508</v>
      </c>
      <c r="Y250" s="3" t="s">
        <v>6568</v>
      </c>
      <c r="Z250" s="3"/>
      <c r="AA250" s="3"/>
    </row>
    <row r="251" customFormat="false" ht="15" hidden="false" customHeight="true" outlineLevel="0" collapsed="false">
      <c r="A251" s="3" t="s">
        <v>2600</v>
      </c>
      <c r="B251" s="3" t="n">
        <v>4</v>
      </c>
      <c r="C251" s="3" t="n">
        <v>28</v>
      </c>
      <c r="D251" s="3" t="str">
        <f aca="false">Combined!G251</f>
        <v>Student age (≤29)</v>
      </c>
      <c r="E251" s="3" t="s">
        <v>83</v>
      </c>
      <c r="F251" s="3" t="s">
        <v>47</v>
      </c>
      <c r="G251" s="3" t="s">
        <v>47</v>
      </c>
      <c r="H251" s="3" t="s">
        <v>806</v>
      </c>
      <c r="I251" s="3" t="s">
        <v>6539</v>
      </c>
      <c r="J251" s="3" t="s">
        <v>2494</v>
      </c>
      <c r="K251" s="3" t="s">
        <v>6520</v>
      </c>
      <c r="L251" s="3" t="s">
        <v>2494</v>
      </c>
      <c r="M251" s="3" t="s">
        <v>6520</v>
      </c>
      <c r="N251" s="3" t="s">
        <v>2242</v>
      </c>
      <c r="O251" s="3" t="s">
        <v>1625</v>
      </c>
      <c r="P251" s="3" t="s">
        <v>2529</v>
      </c>
      <c r="Q251" s="3" t="s">
        <v>6518</v>
      </c>
      <c r="R251" s="3" t="s">
        <v>2497</v>
      </c>
      <c r="S251" s="3" t="s">
        <v>6551</v>
      </c>
      <c r="T251" s="3" t="s">
        <v>2518</v>
      </c>
      <c r="U251" s="3" t="s">
        <v>7147</v>
      </c>
      <c r="V251" s="3"/>
      <c r="W251" s="3"/>
      <c r="X251" s="3" t="s">
        <v>2519</v>
      </c>
      <c r="Y251" s="3" t="s">
        <v>6651</v>
      </c>
      <c r="Z251" s="3"/>
      <c r="AA251" s="3"/>
    </row>
    <row r="252" customFormat="false" ht="15" hidden="false" customHeight="true" outlineLevel="0" collapsed="false">
      <c r="A252" s="3" t="s">
        <v>2601</v>
      </c>
      <c r="B252" s="3" t="n">
        <v>4</v>
      </c>
      <c r="C252" s="3" t="n">
        <v>22</v>
      </c>
      <c r="D252" s="3" t="str">
        <f aca="false">Combined!G252</f>
        <v>Student age (≤29)</v>
      </c>
      <c r="E252" s="3" t="s">
        <v>83</v>
      </c>
      <c r="F252" s="3" t="s">
        <v>437</v>
      </c>
      <c r="G252" s="3" t="s">
        <v>47</v>
      </c>
      <c r="H252" s="3" t="s">
        <v>2515</v>
      </c>
      <c r="I252" s="3" t="s">
        <v>6508</v>
      </c>
      <c r="J252" s="3" t="s">
        <v>2502</v>
      </c>
      <c r="K252" s="3" t="s">
        <v>6540</v>
      </c>
      <c r="L252" s="3" t="s">
        <v>2539</v>
      </c>
      <c r="M252" s="3" t="s">
        <v>6541</v>
      </c>
      <c r="N252" s="3" t="s">
        <v>59</v>
      </c>
      <c r="O252" s="3" t="s">
        <v>59</v>
      </c>
      <c r="P252" s="3" t="s">
        <v>2602</v>
      </c>
      <c r="Q252" s="3" t="s">
        <v>7157</v>
      </c>
      <c r="R252" s="3" t="s">
        <v>2497</v>
      </c>
      <c r="S252" s="3" t="s">
        <v>6551</v>
      </c>
      <c r="T252" s="3" t="s">
        <v>2604</v>
      </c>
      <c r="U252" s="3" t="s">
        <v>7144</v>
      </c>
      <c r="V252" s="3"/>
      <c r="W252" s="3"/>
      <c r="X252" s="3" t="s">
        <v>2500</v>
      </c>
      <c r="Y252" s="3" t="s">
        <v>6538</v>
      </c>
      <c r="Z252" s="3"/>
      <c r="AA252" s="3"/>
    </row>
    <row r="253" customFormat="false" ht="15" hidden="false" customHeight="true" outlineLevel="0" collapsed="false">
      <c r="A253" s="3" t="s">
        <v>2605</v>
      </c>
      <c r="B253" s="3" t="n">
        <v>4</v>
      </c>
      <c r="C253" s="3" t="n">
        <v>54</v>
      </c>
      <c r="D253" s="3" t="str">
        <f aca="false">Combined!G253</f>
        <v>Middle-aged (30–64)</v>
      </c>
      <c r="E253" s="3" t="s">
        <v>83</v>
      </c>
      <c r="F253" s="3" t="s">
        <v>437</v>
      </c>
      <c r="G253" s="3" t="s">
        <v>47</v>
      </c>
      <c r="H253" s="3" t="s">
        <v>2515</v>
      </c>
      <c r="I253" s="3" t="s">
        <v>6508</v>
      </c>
      <c r="J253" s="3" t="s">
        <v>2510</v>
      </c>
      <c r="K253" s="3" t="s">
        <v>6540</v>
      </c>
      <c r="L253" s="3" t="s">
        <v>2493</v>
      </c>
      <c r="M253" s="3" t="s">
        <v>6540</v>
      </c>
      <c r="N253" s="3" t="s">
        <v>59</v>
      </c>
      <c r="O253" s="3" t="s">
        <v>59</v>
      </c>
      <c r="P253" s="3" t="s">
        <v>2504</v>
      </c>
      <c r="Q253" s="3" t="s">
        <v>7145</v>
      </c>
      <c r="R253" s="3" t="s">
        <v>2546</v>
      </c>
      <c r="S253" s="3" t="s">
        <v>6581</v>
      </c>
      <c r="T253" s="3" t="s">
        <v>2607</v>
      </c>
      <c r="U253" s="3" t="s">
        <v>7147</v>
      </c>
      <c r="V253" s="3"/>
      <c r="W253" s="3"/>
      <c r="X253" s="3" t="s">
        <v>2608</v>
      </c>
      <c r="Y253" s="3" t="s">
        <v>6918</v>
      </c>
      <c r="Z253" s="3"/>
      <c r="AA253" s="3"/>
    </row>
    <row r="254" customFormat="false" ht="15" hidden="false" customHeight="true" outlineLevel="0" collapsed="false">
      <c r="A254" s="3" t="s">
        <v>2609</v>
      </c>
      <c r="B254" s="3" t="n">
        <v>4</v>
      </c>
      <c r="C254" s="3" t="n">
        <v>58</v>
      </c>
      <c r="D254" s="3" t="str">
        <f aca="false">Combined!G254</f>
        <v>Middle-aged (30–64)</v>
      </c>
      <c r="E254" s="3" t="s">
        <v>83</v>
      </c>
      <c r="F254" s="3" t="s">
        <v>437</v>
      </c>
      <c r="G254" s="3" t="s">
        <v>437</v>
      </c>
      <c r="H254" s="3" t="s">
        <v>2538</v>
      </c>
      <c r="I254" s="3" t="s">
        <v>6616</v>
      </c>
      <c r="J254" s="3" t="s">
        <v>2510</v>
      </c>
      <c r="K254" s="3" t="s">
        <v>6540</v>
      </c>
      <c r="L254" s="3" t="s">
        <v>2503</v>
      </c>
      <c r="M254" s="3" t="s">
        <v>6920</v>
      </c>
      <c r="N254" s="3" t="s">
        <v>2242</v>
      </c>
      <c r="O254" s="3" t="s">
        <v>1625</v>
      </c>
      <c r="P254" s="3" t="s">
        <v>2610</v>
      </c>
      <c r="Q254" s="3" t="s">
        <v>6609</v>
      </c>
      <c r="R254" s="3" t="s">
        <v>2497</v>
      </c>
      <c r="S254" s="3" t="s">
        <v>6551</v>
      </c>
      <c r="T254" s="3" t="s">
        <v>2612</v>
      </c>
      <c r="U254" s="3" t="s">
        <v>7155</v>
      </c>
      <c r="V254" s="3"/>
      <c r="W254" s="3"/>
      <c r="X254" s="3" t="s">
        <v>2508</v>
      </c>
      <c r="Y254" s="3" t="s">
        <v>6568</v>
      </c>
      <c r="Z254" s="3"/>
      <c r="AA254" s="3"/>
    </row>
    <row r="255" customFormat="false" ht="15" hidden="false" customHeight="true" outlineLevel="0" collapsed="false">
      <c r="A255" s="3" t="s">
        <v>2613</v>
      </c>
      <c r="B255" s="3" t="n">
        <v>4</v>
      </c>
      <c r="C255" s="3" t="n">
        <v>55</v>
      </c>
      <c r="D255" s="3" t="str">
        <f aca="false">Combined!G255</f>
        <v>Middle-aged (30–64)</v>
      </c>
      <c r="E255" s="3" t="s">
        <v>83</v>
      </c>
      <c r="F255" s="3" t="s">
        <v>437</v>
      </c>
      <c r="G255" s="3" t="s">
        <v>47</v>
      </c>
      <c r="H255" s="3" t="s">
        <v>2614</v>
      </c>
      <c r="I255" s="3" t="s">
        <v>6813</v>
      </c>
      <c r="J255" s="3" t="s">
        <v>2493</v>
      </c>
      <c r="K255" s="3" t="s">
        <v>6540</v>
      </c>
      <c r="L255" s="3" t="s">
        <v>2540</v>
      </c>
      <c r="M255" s="3" t="s">
        <v>6540</v>
      </c>
      <c r="N255" s="3" t="s">
        <v>1690</v>
      </c>
      <c r="O255" s="3" t="s">
        <v>6530</v>
      </c>
      <c r="P255" s="3" t="s">
        <v>2529</v>
      </c>
      <c r="Q255" s="3" t="s">
        <v>6518</v>
      </c>
      <c r="R255" s="3" t="s">
        <v>2505</v>
      </c>
      <c r="S255" s="3" t="s">
        <v>6647</v>
      </c>
      <c r="T255" s="3" t="s">
        <v>2615</v>
      </c>
      <c r="U255" s="3" t="s">
        <v>7162</v>
      </c>
      <c r="V255" s="3"/>
      <c r="W255" s="3"/>
      <c r="X255" s="3" t="s">
        <v>2500</v>
      </c>
      <c r="Y255" s="3" t="s">
        <v>6538</v>
      </c>
      <c r="Z255" s="3"/>
      <c r="AA255" s="3"/>
    </row>
    <row r="256" customFormat="false" ht="15" hidden="false" customHeight="true" outlineLevel="0" collapsed="false">
      <c r="A256" s="3" t="s">
        <v>2616</v>
      </c>
      <c r="B256" s="3" t="n">
        <v>4</v>
      </c>
      <c r="C256" s="3" t="n">
        <v>55</v>
      </c>
      <c r="D256" s="3" t="str">
        <f aca="false">Combined!G256</f>
        <v>Middle-aged (30–64)</v>
      </c>
      <c r="E256" s="3" t="s">
        <v>45</v>
      </c>
      <c r="F256" s="3" t="s">
        <v>437</v>
      </c>
      <c r="G256" s="3" t="s">
        <v>437</v>
      </c>
      <c r="H256" s="3" t="s">
        <v>2538</v>
      </c>
      <c r="I256" s="3" t="s">
        <v>6616</v>
      </c>
      <c r="J256" s="3" t="s">
        <v>2493</v>
      </c>
      <c r="K256" s="3" t="s">
        <v>6540</v>
      </c>
      <c r="L256" s="3" t="s">
        <v>2493</v>
      </c>
      <c r="M256" s="3" t="s">
        <v>6540</v>
      </c>
      <c r="N256" s="3" t="s">
        <v>59</v>
      </c>
      <c r="O256" s="3" t="s">
        <v>59</v>
      </c>
      <c r="P256" s="3" t="s">
        <v>2617</v>
      </c>
      <c r="Q256" s="3" t="s">
        <v>7163</v>
      </c>
      <c r="R256" s="3" t="s">
        <v>2546</v>
      </c>
      <c r="S256" s="3" t="s">
        <v>6581</v>
      </c>
      <c r="T256" s="3" t="s">
        <v>2568</v>
      </c>
      <c r="U256" s="3" t="s">
        <v>7155</v>
      </c>
      <c r="V256" s="3"/>
      <c r="W256" s="3"/>
      <c r="X256" s="3" t="s">
        <v>2519</v>
      </c>
      <c r="Y256" s="3" t="s">
        <v>6651</v>
      </c>
      <c r="Z256" s="3"/>
      <c r="AA256" s="3"/>
    </row>
    <row r="257" customFormat="false" ht="15" hidden="false" customHeight="true" outlineLevel="0" collapsed="false">
      <c r="A257" s="3" t="s">
        <v>2619</v>
      </c>
      <c r="B257" s="3" t="n">
        <v>4</v>
      </c>
      <c r="C257" s="3" t="n">
        <v>23</v>
      </c>
      <c r="D257" s="3" t="str">
        <f aca="false">Combined!G257</f>
        <v>Student age (≤29)</v>
      </c>
      <c r="E257" s="3" t="s">
        <v>83</v>
      </c>
      <c r="F257" s="3" t="s">
        <v>437</v>
      </c>
      <c r="G257" s="3" t="s">
        <v>47</v>
      </c>
      <c r="H257" s="3" t="s">
        <v>2515</v>
      </c>
      <c r="I257" s="3" t="s">
        <v>6508</v>
      </c>
      <c r="J257" s="3" t="s">
        <v>2524</v>
      </c>
      <c r="K257" s="3" t="s">
        <v>7148</v>
      </c>
      <c r="L257" s="3" t="s">
        <v>2524</v>
      </c>
      <c r="M257" s="3" t="s">
        <v>7148</v>
      </c>
      <c r="N257" s="3" t="s">
        <v>59</v>
      </c>
      <c r="O257" s="3" t="s">
        <v>59</v>
      </c>
      <c r="P257" s="3" t="s">
        <v>2529</v>
      </c>
      <c r="Q257" s="3" t="s">
        <v>6518</v>
      </c>
      <c r="R257" s="3" t="s">
        <v>2546</v>
      </c>
      <c r="S257" s="3" t="s">
        <v>6581</v>
      </c>
      <c r="T257" s="3" t="s">
        <v>2621</v>
      </c>
      <c r="U257" s="3" t="s">
        <v>7150</v>
      </c>
      <c r="V257" s="3"/>
      <c r="W257" s="3"/>
      <c r="X257" s="3" t="s">
        <v>2500</v>
      </c>
      <c r="Y257" s="3" t="s">
        <v>6538</v>
      </c>
      <c r="Z257" s="3"/>
      <c r="AA257" s="3"/>
    </row>
    <row r="258" customFormat="false" ht="15" hidden="false" customHeight="true" outlineLevel="0" collapsed="false">
      <c r="A258" s="3" t="s">
        <v>2622</v>
      </c>
      <c r="B258" s="3" t="n">
        <v>4</v>
      </c>
      <c r="C258" s="3" t="n">
        <v>23</v>
      </c>
      <c r="D258" s="3" t="str">
        <f aca="false">Combined!G258</f>
        <v>Student age (≤29)</v>
      </c>
      <c r="E258" s="3" t="s">
        <v>45</v>
      </c>
      <c r="F258" s="3" t="s">
        <v>437</v>
      </c>
      <c r="G258" s="3" t="s">
        <v>437</v>
      </c>
      <c r="H258" s="3" t="s">
        <v>2515</v>
      </c>
      <c r="I258" s="3" t="s">
        <v>6508</v>
      </c>
      <c r="J258" s="3" t="s">
        <v>2540</v>
      </c>
      <c r="K258" s="3" t="s">
        <v>6540</v>
      </c>
      <c r="L258" s="3" t="s">
        <v>2493</v>
      </c>
      <c r="M258" s="3" t="s">
        <v>6540</v>
      </c>
      <c r="N258" s="3" t="s">
        <v>2242</v>
      </c>
      <c r="O258" s="3" t="s">
        <v>1625</v>
      </c>
      <c r="P258" s="3" t="s">
        <v>2529</v>
      </c>
      <c r="Q258" s="3" t="s">
        <v>6518</v>
      </c>
      <c r="R258" s="3" t="s">
        <v>2551</v>
      </c>
      <c r="S258" s="3" t="s">
        <v>6679</v>
      </c>
      <c r="T258" s="3" t="s">
        <v>2542</v>
      </c>
      <c r="U258" s="3" t="s">
        <v>7147</v>
      </c>
      <c r="V258" s="3"/>
      <c r="W258" s="3"/>
      <c r="X258" s="3" t="s">
        <v>2608</v>
      </c>
      <c r="Y258" s="3" t="s">
        <v>6918</v>
      </c>
      <c r="Z258" s="3"/>
      <c r="AA258" s="3"/>
    </row>
    <row r="259" customFormat="false" ht="15" hidden="false" customHeight="true" outlineLevel="0" collapsed="false">
      <c r="A259" s="3" t="s">
        <v>2624</v>
      </c>
      <c r="B259" s="3" t="n">
        <v>4</v>
      </c>
      <c r="C259" s="3" t="n">
        <v>22</v>
      </c>
      <c r="D259" s="3" t="str">
        <f aca="false">Combined!G259</f>
        <v>Student age (≤29)</v>
      </c>
      <c r="E259" s="3" t="s">
        <v>83</v>
      </c>
      <c r="F259" s="3" t="s">
        <v>437</v>
      </c>
      <c r="G259" s="3" t="s">
        <v>47</v>
      </c>
      <c r="H259" s="3" t="s">
        <v>2614</v>
      </c>
      <c r="I259" s="3" t="s">
        <v>6813</v>
      </c>
      <c r="J259" s="3" t="s">
        <v>2494</v>
      </c>
      <c r="K259" s="3" t="s">
        <v>6520</v>
      </c>
      <c r="L259" s="3" t="s">
        <v>2540</v>
      </c>
      <c r="M259" s="3" t="s">
        <v>6540</v>
      </c>
      <c r="N259" s="3" t="s">
        <v>1690</v>
      </c>
      <c r="O259" s="3" t="s">
        <v>6530</v>
      </c>
      <c r="P259" s="3" t="s">
        <v>2625</v>
      </c>
      <c r="Q259" s="3" t="s">
        <v>6979</v>
      </c>
      <c r="R259" s="3" t="s">
        <v>2546</v>
      </c>
      <c r="S259" s="3" t="s">
        <v>6581</v>
      </c>
      <c r="T259" s="3" t="s">
        <v>2627</v>
      </c>
      <c r="U259" s="3" t="s">
        <v>7164</v>
      </c>
      <c r="V259" s="3"/>
      <c r="W259" s="3"/>
      <c r="X259" s="3" t="s">
        <v>2628</v>
      </c>
      <c r="Y259" s="3" t="s">
        <v>6820</v>
      </c>
      <c r="Z259" s="3"/>
      <c r="AA259" s="3"/>
    </row>
    <row r="260" customFormat="false" ht="15" hidden="false" customHeight="true" outlineLevel="0" collapsed="false">
      <c r="A260" s="3" t="s">
        <v>2629</v>
      </c>
      <c r="B260" s="3" t="n">
        <v>4</v>
      </c>
      <c r="C260" s="3" t="n">
        <v>24</v>
      </c>
      <c r="D260" s="3" t="str">
        <f aca="false">Combined!G260</f>
        <v>Student age (≤29)</v>
      </c>
      <c r="E260" s="3" t="s">
        <v>83</v>
      </c>
      <c r="F260" s="3" t="s">
        <v>437</v>
      </c>
      <c r="G260" s="3" t="s">
        <v>47</v>
      </c>
      <c r="H260" s="3" t="s">
        <v>2515</v>
      </c>
      <c r="I260" s="3" t="s">
        <v>6508</v>
      </c>
      <c r="J260" s="3" t="s">
        <v>2494</v>
      </c>
      <c r="K260" s="3" t="s">
        <v>6520</v>
      </c>
      <c r="L260" s="3" t="s">
        <v>2494</v>
      </c>
      <c r="M260" s="3" t="s">
        <v>6520</v>
      </c>
      <c r="N260" s="3" t="s">
        <v>2242</v>
      </c>
      <c r="O260" s="3" t="s">
        <v>1625</v>
      </c>
      <c r="P260" s="3" t="s">
        <v>2562</v>
      </c>
      <c r="Q260" s="3" t="s">
        <v>7145</v>
      </c>
      <c r="R260" s="3" t="s">
        <v>2497</v>
      </c>
      <c r="S260" s="3" t="s">
        <v>6551</v>
      </c>
      <c r="T260" s="3" t="s">
        <v>2631</v>
      </c>
      <c r="U260" s="3" t="s">
        <v>7150</v>
      </c>
      <c r="V260" s="3"/>
      <c r="W260" s="3"/>
      <c r="X260" s="3" t="s">
        <v>2508</v>
      </c>
      <c r="Y260" s="3" t="s">
        <v>6568</v>
      </c>
      <c r="Z260" s="3"/>
      <c r="AA260" s="3"/>
    </row>
    <row r="261" customFormat="false" ht="15" hidden="false" customHeight="true" outlineLevel="0" collapsed="false">
      <c r="A261" s="3" t="s">
        <v>2632</v>
      </c>
      <c r="B261" s="3" t="n">
        <v>4</v>
      </c>
      <c r="C261" s="3" t="n">
        <v>24</v>
      </c>
      <c r="D261" s="3" t="str">
        <f aca="false">Combined!G261</f>
        <v>Student age (≤29)</v>
      </c>
      <c r="E261" s="3" t="s">
        <v>83</v>
      </c>
      <c r="F261" s="3" t="s">
        <v>47</v>
      </c>
      <c r="G261" s="3" t="s">
        <v>47</v>
      </c>
      <c r="H261" s="3" t="s">
        <v>2515</v>
      </c>
      <c r="I261" s="3" t="s">
        <v>6508</v>
      </c>
      <c r="J261" s="3" t="s">
        <v>2502</v>
      </c>
      <c r="K261" s="3" t="s">
        <v>6540</v>
      </c>
      <c r="L261" s="3" t="s">
        <v>2539</v>
      </c>
      <c r="M261" s="3" t="s">
        <v>6541</v>
      </c>
      <c r="N261" s="3" t="s">
        <v>1690</v>
      </c>
      <c r="O261" s="3" t="s">
        <v>6530</v>
      </c>
      <c r="P261" s="3" t="s">
        <v>2633</v>
      </c>
      <c r="Q261" s="3" t="s">
        <v>7161</v>
      </c>
      <c r="R261" s="3" t="s">
        <v>2546</v>
      </c>
      <c r="S261" s="3" t="s">
        <v>6581</v>
      </c>
      <c r="T261" s="3" t="s">
        <v>2635</v>
      </c>
      <c r="U261" s="3" t="s">
        <v>7165</v>
      </c>
      <c r="V261" s="3"/>
      <c r="W261" s="3"/>
      <c r="X261" s="3" t="s">
        <v>2508</v>
      </c>
      <c r="Y261" s="3" t="s">
        <v>6568</v>
      </c>
      <c r="Z261" s="3"/>
      <c r="AA261" s="3"/>
    </row>
    <row r="262" customFormat="false" ht="15" hidden="false" customHeight="true" outlineLevel="0" collapsed="false">
      <c r="A262" s="3" t="s">
        <v>2636</v>
      </c>
      <c r="B262" s="3" t="n">
        <v>4</v>
      </c>
      <c r="C262" s="3" t="n">
        <v>25</v>
      </c>
      <c r="D262" s="3" t="str">
        <f aca="false">Combined!G262</f>
        <v>Student age (≤29)</v>
      </c>
      <c r="E262" s="3" t="s">
        <v>45</v>
      </c>
      <c r="F262" s="3" t="s">
        <v>47</v>
      </c>
      <c r="G262" s="3" t="s">
        <v>47</v>
      </c>
      <c r="H262" s="3" t="s">
        <v>2515</v>
      </c>
      <c r="I262" s="3" t="s">
        <v>6508</v>
      </c>
      <c r="J262" s="3" t="s">
        <v>2510</v>
      </c>
      <c r="K262" s="3" t="s">
        <v>6540</v>
      </c>
      <c r="L262" s="3" t="s">
        <v>2539</v>
      </c>
      <c r="M262" s="3" t="s">
        <v>6541</v>
      </c>
      <c r="N262" s="3" t="s">
        <v>1690</v>
      </c>
      <c r="O262" s="3" t="s">
        <v>6530</v>
      </c>
      <c r="P262" s="3" t="s">
        <v>2496</v>
      </c>
      <c r="Q262" s="3" t="s">
        <v>7143</v>
      </c>
      <c r="R262" s="3" t="s">
        <v>2546</v>
      </c>
      <c r="S262" s="3" t="s">
        <v>6581</v>
      </c>
      <c r="T262" s="3" t="s">
        <v>2638</v>
      </c>
      <c r="U262" s="3" t="s">
        <v>7153</v>
      </c>
      <c r="V262" s="3"/>
      <c r="W262" s="3"/>
      <c r="X262" s="3" t="s">
        <v>2549</v>
      </c>
      <c r="Y262" s="3" t="s">
        <v>6646</v>
      </c>
      <c r="Z262" s="3"/>
      <c r="AA262" s="3"/>
    </row>
    <row r="263" customFormat="false" ht="15" hidden="false" customHeight="true" outlineLevel="0" collapsed="false">
      <c r="A263" s="3" t="s">
        <v>2639</v>
      </c>
      <c r="B263" s="3" t="n">
        <v>4</v>
      </c>
      <c r="C263" s="3" t="n">
        <v>23</v>
      </c>
      <c r="D263" s="3" t="str">
        <f aca="false">Combined!G263</f>
        <v>Student age (≤29)</v>
      </c>
      <c r="E263" s="3" t="s">
        <v>45</v>
      </c>
      <c r="F263" s="3" t="s">
        <v>437</v>
      </c>
      <c r="G263" s="3" t="s">
        <v>2640</v>
      </c>
      <c r="H263" s="3" t="s">
        <v>2515</v>
      </c>
      <c r="I263" s="3" t="s">
        <v>6508</v>
      </c>
      <c r="J263" s="3" t="s">
        <v>2510</v>
      </c>
      <c r="K263" s="3" t="s">
        <v>6540</v>
      </c>
      <c r="L263" s="3" t="s">
        <v>2510</v>
      </c>
      <c r="M263" s="3" t="s">
        <v>6540</v>
      </c>
      <c r="N263" s="3" t="s">
        <v>1690</v>
      </c>
      <c r="O263" s="3" t="s">
        <v>6530</v>
      </c>
      <c r="P263" s="3" t="s">
        <v>2641</v>
      </c>
      <c r="Q263" s="3" t="s">
        <v>6571</v>
      </c>
      <c r="R263" s="3" t="s">
        <v>2546</v>
      </c>
      <c r="S263" s="3" t="s">
        <v>6581</v>
      </c>
      <c r="T263" s="3" t="s">
        <v>2643</v>
      </c>
      <c r="U263" s="3" t="s">
        <v>7151</v>
      </c>
      <c r="V263" s="3"/>
      <c r="W263" s="3"/>
      <c r="X263" s="3" t="s">
        <v>2549</v>
      </c>
      <c r="Y263" s="3" t="s">
        <v>6646</v>
      </c>
      <c r="Z263" s="3"/>
      <c r="AA263" s="3"/>
    </row>
    <row r="264" customFormat="false" ht="15" hidden="false" customHeight="true" outlineLevel="0" collapsed="false">
      <c r="A264" s="3" t="s">
        <v>2644</v>
      </c>
      <c r="B264" s="3" t="n">
        <v>4</v>
      </c>
      <c r="C264" s="3" t="n">
        <v>50</v>
      </c>
      <c r="D264" s="3" t="str">
        <f aca="false">Combined!G264</f>
        <v>Middle-aged (30–64)</v>
      </c>
      <c r="E264" s="3" t="s">
        <v>83</v>
      </c>
      <c r="F264" s="3" t="s">
        <v>47</v>
      </c>
      <c r="G264" s="3" t="s">
        <v>47</v>
      </c>
      <c r="H264" s="3" t="s">
        <v>806</v>
      </c>
      <c r="I264" s="3" t="s">
        <v>6539</v>
      </c>
      <c r="J264" s="3" t="s">
        <v>2523</v>
      </c>
      <c r="K264" s="3" t="s">
        <v>6540</v>
      </c>
      <c r="L264" s="3" t="s">
        <v>2539</v>
      </c>
      <c r="M264" s="3" t="s">
        <v>6541</v>
      </c>
      <c r="N264" s="3" t="s">
        <v>1690</v>
      </c>
      <c r="O264" s="3" t="s">
        <v>6530</v>
      </c>
      <c r="P264" s="3" t="s">
        <v>2516</v>
      </c>
      <c r="Q264" s="3" t="s">
        <v>7146</v>
      </c>
      <c r="R264" s="3" t="s">
        <v>2546</v>
      </c>
      <c r="S264" s="3" t="s">
        <v>6581</v>
      </c>
      <c r="T264" s="3" t="s">
        <v>2527</v>
      </c>
      <c r="U264" s="3" t="s">
        <v>7150</v>
      </c>
      <c r="V264" s="3"/>
      <c r="W264" s="3"/>
      <c r="X264" s="3" t="s">
        <v>2549</v>
      </c>
      <c r="Y264" s="3" t="s">
        <v>6646</v>
      </c>
      <c r="Z264" s="3"/>
      <c r="AA264" s="3"/>
    </row>
    <row r="265" customFormat="false" ht="15" hidden="false" customHeight="true" outlineLevel="0" collapsed="false">
      <c r="A265" s="3" t="s">
        <v>2646</v>
      </c>
      <c r="B265" s="3" t="n">
        <v>4</v>
      </c>
      <c r="C265" s="3" t="n">
        <v>46</v>
      </c>
      <c r="D265" s="3" t="str">
        <f aca="false">Combined!G265</f>
        <v>Middle-aged (30–64)</v>
      </c>
      <c r="E265" s="3" t="s">
        <v>45</v>
      </c>
      <c r="F265" s="3" t="s">
        <v>333</v>
      </c>
      <c r="G265" s="3" t="s">
        <v>47</v>
      </c>
      <c r="H265" s="3" t="s">
        <v>2515</v>
      </c>
      <c r="I265" s="3" t="s">
        <v>6508</v>
      </c>
      <c r="J265" s="3" t="s">
        <v>2540</v>
      </c>
      <c r="K265" s="3" t="s">
        <v>6540</v>
      </c>
      <c r="L265" s="3" t="s">
        <v>2540</v>
      </c>
      <c r="M265" s="3" t="s">
        <v>6540</v>
      </c>
      <c r="N265" s="3" t="s">
        <v>1690</v>
      </c>
      <c r="O265" s="3" t="s">
        <v>6530</v>
      </c>
      <c r="P265" s="3" t="s">
        <v>2496</v>
      </c>
      <c r="Q265" s="3" t="s">
        <v>7143</v>
      </c>
      <c r="R265" s="3" t="s">
        <v>2546</v>
      </c>
      <c r="S265" s="3" t="s">
        <v>6581</v>
      </c>
      <c r="T265" s="3" t="s">
        <v>2607</v>
      </c>
      <c r="U265" s="3" t="s">
        <v>7147</v>
      </c>
      <c r="V265" s="3"/>
      <c r="W265" s="3"/>
      <c r="X265" s="3" t="s">
        <v>2608</v>
      </c>
      <c r="Y265" s="3" t="s">
        <v>6918</v>
      </c>
      <c r="Z265" s="3"/>
      <c r="AA265" s="3"/>
    </row>
    <row r="266" customFormat="false" ht="15" hidden="false" customHeight="true" outlineLevel="0" collapsed="false">
      <c r="A266" s="3" t="s">
        <v>2648</v>
      </c>
      <c r="B266" s="3" t="n">
        <v>4</v>
      </c>
      <c r="C266" s="3" t="n">
        <v>34</v>
      </c>
      <c r="D266" s="3" t="str">
        <f aca="false">Combined!G266</f>
        <v>Middle-aged (30–64)</v>
      </c>
      <c r="E266" s="3" t="s">
        <v>83</v>
      </c>
      <c r="F266" s="3" t="s">
        <v>437</v>
      </c>
      <c r="G266" s="3" t="s">
        <v>47</v>
      </c>
      <c r="H266" s="3" t="s">
        <v>2614</v>
      </c>
      <c r="I266" s="3" t="s">
        <v>6813</v>
      </c>
      <c r="J266" s="3" t="s">
        <v>2540</v>
      </c>
      <c r="K266" s="3" t="s">
        <v>6540</v>
      </c>
      <c r="L266" s="3" t="s">
        <v>2503</v>
      </c>
      <c r="M266" s="3" t="s">
        <v>6920</v>
      </c>
      <c r="N266" s="3" t="s">
        <v>1690</v>
      </c>
      <c r="O266" s="3" t="s">
        <v>6530</v>
      </c>
      <c r="P266" s="3" t="s">
        <v>2504</v>
      </c>
      <c r="Q266" s="3" t="s">
        <v>7145</v>
      </c>
      <c r="R266" s="3" t="s">
        <v>2546</v>
      </c>
      <c r="S266" s="3" t="s">
        <v>6581</v>
      </c>
      <c r="T266" s="3" t="s">
        <v>2542</v>
      </c>
      <c r="U266" s="3" t="s">
        <v>7147</v>
      </c>
      <c r="V266" s="3"/>
      <c r="W266" s="3"/>
      <c r="X266" s="3" t="s">
        <v>2628</v>
      </c>
      <c r="Y266" s="3" t="s">
        <v>6820</v>
      </c>
      <c r="Z266" s="3"/>
      <c r="AA266" s="3"/>
    </row>
    <row r="267" customFormat="false" ht="15" hidden="false" customHeight="true" outlineLevel="0" collapsed="false">
      <c r="A267" s="3" t="s">
        <v>2650</v>
      </c>
      <c r="B267" s="3" t="n">
        <v>4</v>
      </c>
      <c r="C267" s="3" t="n">
        <v>22</v>
      </c>
      <c r="D267" s="3" t="str">
        <f aca="false">Combined!G267</f>
        <v>Student age (≤29)</v>
      </c>
      <c r="E267" s="3" t="s">
        <v>45</v>
      </c>
      <c r="F267" s="3" t="s">
        <v>437</v>
      </c>
      <c r="G267" s="3" t="s">
        <v>2651</v>
      </c>
      <c r="H267" s="3" t="s">
        <v>2538</v>
      </c>
      <c r="I267" s="3" t="s">
        <v>6616</v>
      </c>
      <c r="J267" s="3" t="s">
        <v>2494</v>
      </c>
      <c r="K267" s="3" t="s">
        <v>6520</v>
      </c>
      <c r="L267" s="3" t="s">
        <v>2494</v>
      </c>
      <c r="M267" s="3" t="s">
        <v>6520</v>
      </c>
      <c r="N267" s="3" t="s">
        <v>1690</v>
      </c>
      <c r="O267" s="3" t="s">
        <v>6530</v>
      </c>
      <c r="P267" s="3" t="s">
        <v>2652</v>
      </c>
      <c r="Q267" s="3" t="s">
        <v>7166</v>
      </c>
      <c r="R267" s="3" t="s">
        <v>2546</v>
      </c>
      <c r="S267" s="3" t="s">
        <v>6581</v>
      </c>
      <c r="T267" s="3" t="s">
        <v>2653</v>
      </c>
      <c r="U267" s="3" t="s">
        <v>6596</v>
      </c>
      <c r="V267" s="3"/>
      <c r="W267" s="3"/>
      <c r="X267" s="3" t="s">
        <v>2519</v>
      </c>
      <c r="Y267" s="3" t="s">
        <v>6651</v>
      </c>
      <c r="Z267" s="3"/>
      <c r="AA267" s="3"/>
    </row>
    <row r="268" customFormat="false" ht="15" hidden="false" customHeight="true" outlineLevel="0" collapsed="false">
      <c r="A268" s="3" t="s">
        <v>2654</v>
      </c>
      <c r="B268" s="3" t="n">
        <v>4</v>
      </c>
      <c r="C268" s="3" t="n">
        <v>37</v>
      </c>
      <c r="D268" s="3" t="str">
        <f aca="false">Combined!G268</f>
        <v>Middle-aged (30–64)</v>
      </c>
      <c r="E268" s="3" t="s">
        <v>45</v>
      </c>
      <c r="F268" s="3" t="s">
        <v>437</v>
      </c>
      <c r="G268" s="3" t="s">
        <v>47</v>
      </c>
      <c r="H268" s="3" t="s">
        <v>2515</v>
      </c>
      <c r="I268" s="3" t="s">
        <v>6508</v>
      </c>
      <c r="J268" s="3" t="s">
        <v>2523</v>
      </c>
      <c r="K268" s="3" t="s">
        <v>6540</v>
      </c>
      <c r="L268" s="3" t="s">
        <v>2502</v>
      </c>
      <c r="M268" s="3" t="s">
        <v>6540</v>
      </c>
      <c r="N268" s="3" t="s">
        <v>59</v>
      </c>
      <c r="O268" s="3" t="s">
        <v>59</v>
      </c>
      <c r="P268" s="3" t="s">
        <v>2496</v>
      </c>
      <c r="Q268" s="3" t="s">
        <v>7143</v>
      </c>
      <c r="R268" s="3" t="s">
        <v>2551</v>
      </c>
      <c r="S268" s="3" t="s">
        <v>6679</v>
      </c>
      <c r="T268" s="3" t="s">
        <v>2507</v>
      </c>
      <c r="U268" s="3" t="s">
        <v>6586</v>
      </c>
      <c r="V268" s="3"/>
      <c r="W268" s="3"/>
      <c r="X268" s="3" t="s">
        <v>2508</v>
      </c>
      <c r="Y268" s="3" t="s">
        <v>6568</v>
      </c>
      <c r="Z268" s="3"/>
      <c r="AA268" s="3"/>
    </row>
    <row r="269" customFormat="false" ht="15" hidden="false" customHeight="true" outlineLevel="0" collapsed="false">
      <c r="A269" s="3" t="s">
        <v>2656</v>
      </c>
      <c r="B269" s="3" t="n">
        <v>4</v>
      </c>
      <c r="C269" s="3" t="n">
        <v>22</v>
      </c>
      <c r="D269" s="3" t="str">
        <f aca="false">Combined!G269</f>
        <v>Student age (≤29)</v>
      </c>
      <c r="E269" s="3" t="s">
        <v>45</v>
      </c>
      <c r="F269" s="3" t="s">
        <v>437</v>
      </c>
      <c r="G269" s="3" t="s">
        <v>47</v>
      </c>
      <c r="H269" s="3" t="s">
        <v>2515</v>
      </c>
      <c r="I269" s="3" t="s">
        <v>6508</v>
      </c>
      <c r="J269" s="3" t="s">
        <v>2524</v>
      </c>
      <c r="K269" s="3" t="s">
        <v>7148</v>
      </c>
      <c r="L269" s="3" t="s">
        <v>2524</v>
      </c>
      <c r="M269" s="3" t="s">
        <v>7148</v>
      </c>
      <c r="N269" s="3" t="s">
        <v>59</v>
      </c>
      <c r="O269" s="3" t="s">
        <v>59</v>
      </c>
      <c r="P269" s="3" t="s">
        <v>2504</v>
      </c>
      <c r="Q269" s="3" t="s">
        <v>7145</v>
      </c>
      <c r="R269" s="3" t="s">
        <v>2497</v>
      </c>
      <c r="S269" s="3" t="s">
        <v>6551</v>
      </c>
      <c r="T269" s="3" t="s">
        <v>2597</v>
      </c>
      <c r="U269" s="3" t="s">
        <v>7147</v>
      </c>
      <c r="V269" s="3"/>
      <c r="W269" s="3"/>
      <c r="X269" s="3" t="s">
        <v>2508</v>
      </c>
      <c r="Y269" s="3" t="s">
        <v>6568</v>
      </c>
      <c r="Z269" s="3"/>
      <c r="AA269" s="3"/>
    </row>
    <row r="270" customFormat="false" ht="15" hidden="false" customHeight="true" outlineLevel="0" collapsed="false">
      <c r="A270" s="3" t="s">
        <v>2658</v>
      </c>
      <c r="B270" s="3" t="n">
        <v>4</v>
      </c>
      <c r="C270" s="3" t="n">
        <v>22</v>
      </c>
      <c r="D270" s="3" t="str">
        <f aca="false">Combined!G270</f>
        <v>Student age (≤29)</v>
      </c>
      <c r="E270" s="3" t="s">
        <v>45</v>
      </c>
      <c r="F270" s="3" t="s">
        <v>437</v>
      </c>
      <c r="G270" s="3" t="s">
        <v>47</v>
      </c>
      <c r="H270" s="3" t="s">
        <v>2515</v>
      </c>
      <c r="I270" s="3" t="s">
        <v>6508</v>
      </c>
      <c r="J270" s="3" t="s">
        <v>2539</v>
      </c>
      <c r="K270" s="3" t="s">
        <v>6541</v>
      </c>
      <c r="L270" s="3" t="s">
        <v>2523</v>
      </c>
      <c r="M270" s="3" t="s">
        <v>6540</v>
      </c>
      <c r="N270" s="3" t="s">
        <v>59</v>
      </c>
      <c r="O270" s="3" t="s">
        <v>59</v>
      </c>
      <c r="P270" s="3" t="s">
        <v>2659</v>
      </c>
      <c r="Q270" s="3" t="s">
        <v>6922</v>
      </c>
      <c r="R270" s="3" t="s">
        <v>2497</v>
      </c>
      <c r="S270" s="3" t="s">
        <v>6551</v>
      </c>
      <c r="T270" s="3" t="s">
        <v>2513</v>
      </c>
      <c r="U270" s="3" t="s">
        <v>6586</v>
      </c>
      <c r="V270" s="3"/>
      <c r="W270" s="3"/>
      <c r="X270" s="3" t="s">
        <v>2608</v>
      </c>
      <c r="Y270" s="3" t="s">
        <v>6918</v>
      </c>
      <c r="Z270" s="3"/>
      <c r="AA270" s="3"/>
    </row>
    <row r="271" customFormat="false" ht="15" hidden="false" customHeight="true" outlineLevel="0" collapsed="false">
      <c r="A271" s="3" t="s">
        <v>2661</v>
      </c>
      <c r="B271" s="3" t="n">
        <v>4</v>
      </c>
      <c r="C271" s="3" t="n">
        <v>23</v>
      </c>
      <c r="D271" s="3" t="str">
        <f aca="false">Combined!G271</f>
        <v>Student age (≤29)</v>
      </c>
      <c r="E271" s="3" t="s">
        <v>45</v>
      </c>
      <c r="F271" s="3" t="s">
        <v>437</v>
      </c>
      <c r="G271" s="3" t="s">
        <v>47</v>
      </c>
      <c r="H271" s="3" t="s">
        <v>2538</v>
      </c>
      <c r="I271" s="3" t="s">
        <v>6616</v>
      </c>
      <c r="J271" s="3" t="s">
        <v>2540</v>
      </c>
      <c r="K271" s="3" t="s">
        <v>6540</v>
      </c>
      <c r="L271" s="3" t="s">
        <v>2539</v>
      </c>
      <c r="M271" s="3" t="s">
        <v>6541</v>
      </c>
      <c r="N271" s="3" t="s">
        <v>59</v>
      </c>
      <c r="O271" s="3" t="s">
        <v>59</v>
      </c>
      <c r="P271" s="3" t="s">
        <v>2504</v>
      </c>
      <c r="Q271" s="3" t="s">
        <v>7145</v>
      </c>
      <c r="R271" s="3" t="s">
        <v>2497</v>
      </c>
      <c r="S271" s="3" t="s">
        <v>6551</v>
      </c>
      <c r="T271" s="3" t="s">
        <v>2518</v>
      </c>
      <c r="U271" s="3" t="s">
        <v>7147</v>
      </c>
      <c r="V271" s="3"/>
      <c r="W271" s="3"/>
      <c r="X271" s="3" t="s">
        <v>2608</v>
      </c>
      <c r="Y271" s="3" t="s">
        <v>6918</v>
      </c>
      <c r="Z271" s="3"/>
      <c r="AA271" s="3"/>
    </row>
    <row r="272" customFormat="false" ht="15" hidden="false" customHeight="true" outlineLevel="0" collapsed="false">
      <c r="A272" s="3" t="s">
        <v>2663</v>
      </c>
      <c r="B272" s="3" t="n">
        <v>4</v>
      </c>
      <c r="C272" s="3" t="n">
        <v>18</v>
      </c>
      <c r="D272" s="3" t="str">
        <f aca="false">Combined!G272</f>
        <v>Student age (≤29)</v>
      </c>
      <c r="E272" s="3" t="s">
        <v>45</v>
      </c>
      <c r="F272" s="3" t="s">
        <v>437</v>
      </c>
      <c r="G272" s="3" t="s">
        <v>437</v>
      </c>
      <c r="H272" s="3" t="s">
        <v>2614</v>
      </c>
      <c r="I272" s="3" t="s">
        <v>6813</v>
      </c>
      <c r="J272" s="3" t="s">
        <v>2503</v>
      </c>
      <c r="K272" s="3" t="s">
        <v>6920</v>
      </c>
      <c r="L272" s="3" t="s">
        <v>2493</v>
      </c>
      <c r="M272" s="3" t="s">
        <v>6540</v>
      </c>
      <c r="N272" s="3" t="s">
        <v>98</v>
      </c>
      <c r="O272" s="3" t="s">
        <v>6517</v>
      </c>
      <c r="P272" s="3" t="s">
        <v>2664</v>
      </c>
      <c r="Q272" s="3" t="s">
        <v>7167</v>
      </c>
      <c r="R272" s="3" t="s">
        <v>2505</v>
      </c>
      <c r="S272" s="3" t="s">
        <v>6647</v>
      </c>
      <c r="T272" s="3" t="s">
        <v>2666</v>
      </c>
      <c r="U272" s="3" t="s">
        <v>7160</v>
      </c>
      <c r="V272" s="3"/>
      <c r="W272" s="3"/>
      <c r="X272" s="3" t="s">
        <v>2628</v>
      </c>
      <c r="Y272" s="3" t="s">
        <v>6820</v>
      </c>
      <c r="Z272" s="3"/>
      <c r="AA272" s="3"/>
    </row>
    <row r="273" customFormat="false" ht="15" hidden="false" customHeight="true" outlineLevel="0" collapsed="false">
      <c r="A273" s="3" t="s">
        <v>2668</v>
      </c>
      <c r="B273" s="3" t="n">
        <v>4</v>
      </c>
      <c r="C273" s="3" t="n">
        <v>22</v>
      </c>
      <c r="D273" s="3" t="str">
        <f aca="false">Combined!G273</f>
        <v>Student age (≤29)</v>
      </c>
      <c r="E273" s="3" t="s">
        <v>83</v>
      </c>
      <c r="F273" s="3" t="s">
        <v>437</v>
      </c>
      <c r="G273" s="3" t="s">
        <v>47</v>
      </c>
      <c r="H273" s="3" t="s">
        <v>2515</v>
      </c>
      <c r="I273" s="3" t="s">
        <v>6508</v>
      </c>
      <c r="J273" s="3" t="s">
        <v>2523</v>
      </c>
      <c r="K273" s="3" t="s">
        <v>6540</v>
      </c>
      <c r="L273" s="3" t="s">
        <v>2539</v>
      </c>
      <c r="M273" s="3" t="s">
        <v>6541</v>
      </c>
      <c r="N273" s="3" t="s">
        <v>59</v>
      </c>
      <c r="O273" s="3" t="s">
        <v>59</v>
      </c>
      <c r="P273" s="3" t="s">
        <v>2610</v>
      </c>
      <c r="Q273" s="3" t="s">
        <v>6609</v>
      </c>
      <c r="R273" s="3" t="s">
        <v>2497</v>
      </c>
      <c r="S273" s="3" t="s">
        <v>6551</v>
      </c>
      <c r="T273" s="3" t="s">
        <v>2542</v>
      </c>
      <c r="U273" s="3" t="s">
        <v>7147</v>
      </c>
      <c r="V273" s="3"/>
      <c r="W273" s="3"/>
      <c r="X273" s="3" t="s">
        <v>2500</v>
      </c>
      <c r="Y273" s="3" t="s">
        <v>6538</v>
      </c>
      <c r="Z273" s="3"/>
      <c r="AA273" s="3"/>
    </row>
    <row r="274" customFormat="false" ht="15" hidden="false" customHeight="true" outlineLevel="0" collapsed="false">
      <c r="A274" s="3" t="s">
        <v>2670</v>
      </c>
      <c r="B274" s="3" t="n">
        <v>4</v>
      </c>
      <c r="C274" s="3" t="n">
        <v>22</v>
      </c>
      <c r="D274" s="3" t="str">
        <f aca="false">Combined!G274</f>
        <v>Student age (≤29)</v>
      </c>
      <c r="E274" s="3" t="s">
        <v>45</v>
      </c>
      <c r="F274" s="3" t="s">
        <v>437</v>
      </c>
      <c r="G274" s="3" t="s">
        <v>47</v>
      </c>
      <c r="H274" s="3" t="s">
        <v>2538</v>
      </c>
      <c r="I274" s="3" t="s">
        <v>6616</v>
      </c>
      <c r="J274" s="3" t="s">
        <v>2523</v>
      </c>
      <c r="K274" s="3" t="s">
        <v>6540</v>
      </c>
      <c r="L274" s="3" t="s">
        <v>2523</v>
      </c>
      <c r="M274" s="3" t="s">
        <v>6540</v>
      </c>
      <c r="N274" s="3" t="s">
        <v>2242</v>
      </c>
      <c r="O274" s="3" t="s">
        <v>1625</v>
      </c>
      <c r="P274" s="3" t="s">
        <v>2504</v>
      </c>
      <c r="Q274" s="3" t="s">
        <v>7145</v>
      </c>
      <c r="R274" s="3" t="s">
        <v>2551</v>
      </c>
      <c r="S274" s="3" t="s">
        <v>6679</v>
      </c>
      <c r="T274" s="3" t="s">
        <v>2542</v>
      </c>
      <c r="U274" s="3" t="s">
        <v>7147</v>
      </c>
      <c r="V274" s="3"/>
      <c r="W274" s="3"/>
      <c r="X274" s="3" t="s">
        <v>2508</v>
      </c>
      <c r="Y274" s="3" t="s">
        <v>6568</v>
      </c>
      <c r="Z274" s="3"/>
      <c r="AA274" s="3"/>
    </row>
    <row r="275" customFormat="false" ht="15" hidden="false" customHeight="true" outlineLevel="0" collapsed="false">
      <c r="A275" s="3" t="s">
        <v>2672</v>
      </c>
      <c r="B275" s="3" t="n">
        <v>4</v>
      </c>
      <c r="C275" s="3" t="n">
        <v>22</v>
      </c>
      <c r="D275" s="3" t="str">
        <f aca="false">Combined!G275</f>
        <v>Student age (≤29)</v>
      </c>
      <c r="E275" s="3" t="s">
        <v>45</v>
      </c>
      <c r="F275" s="3" t="s">
        <v>437</v>
      </c>
      <c r="G275" s="3" t="s">
        <v>437</v>
      </c>
      <c r="H275" s="3" t="s">
        <v>2538</v>
      </c>
      <c r="I275" s="3" t="s">
        <v>6616</v>
      </c>
      <c r="J275" s="3" t="s">
        <v>2523</v>
      </c>
      <c r="K275" s="3" t="s">
        <v>6540</v>
      </c>
      <c r="L275" s="3" t="s">
        <v>2523</v>
      </c>
      <c r="M275" s="3" t="s">
        <v>6540</v>
      </c>
      <c r="N275" s="3" t="s">
        <v>2242</v>
      </c>
      <c r="O275" s="3" t="s">
        <v>1625</v>
      </c>
      <c r="P275" s="3" t="s">
        <v>2504</v>
      </c>
      <c r="Q275" s="3" t="s">
        <v>7145</v>
      </c>
      <c r="R275" s="3" t="s">
        <v>2497</v>
      </c>
      <c r="S275" s="3" t="s">
        <v>6551</v>
      </c>
      <c r="T275" s="3" t="s">
        <v>2674</v>
      </c>
      <c r="U275" s="3" t="s">
        <v>7147</v>
      </c>
      <c r="V275" s="3"/>
      <c r="W275" s="3"/>
      <c r="X275" s="3" t="s">
        <v>2519</v>
      </c>
      <c r="Y275" s="3" t="s">
        <v>6651</v>
      </c>
      <c r="Z275" s="3"/>
      <c r="AA275" s="3"/>
    </row>
    <row r="276" customFormat="false" ht="15" hidden="false" customHeight="true" outlineLevel="0" collapsed="false">
      <c r="A276" s="3" t="s">
        <v>2675</v>
      </c>
      <c r="B276" s="3" t="n">
        <v>4</v>
      </c>
      <c r="C276" s="3" t="n">
        <v>21</v>
      </c>
      <c r="D276" s="3" t="str">
        <f aca="false">Combined!G276</f>
        <v>Student age (≤29)</v>
      </c>
      <c r="E276" s="3" t="s">
        <v>45</v>
      </c>
      <c r="F276" s="3" t="s">
        <v>437</v>
      </c>
      <c r="G276" s="3" t="s">
        <v>47</v>
      </c>
      <c r="H276" s="3" t="s">
        <v>2614</v>
      </c>
      <c r="I276" s="3" t="s">
        <v>6813</v>
      </c>
      <c r="J276" s="3" t="s">
        <v>2493</v>
      </c>
      <c r="K276" s="3" t="s">
        <v>6540</v>
      </c>
      <c r="L276" s="3" t="s">
        <v>2540</v>
      </c>
      <c r="M276" s="3" t="s">
        <v>6540</v>
      </c>
      <c r="N276" s="3" t="s">
        <v>98</v>
      </c>
      <c r="O276" s="3" t="s">
        <v>6517</v>
      </c>
      <c r="P276" s="3" t="s">
        <v>2504</v>
      </c>
      <c r="Q276" s="3" t="s">
        <v>7145</v>
      </c>
      <c r="R276" s="3" t="s">
        <v>2497</v>
      </c>
      <c r="S276" s="3" t="s">
        <v>6551</v>
      </c>
      <c r="T276" s="3" t="s">
        <v>2542</v>
      </c>
      <c r="U276" s="3" t="s">
        <v>7147</v>
      </c>
      <c r="V276" s="3"/>
      <c r="W276" s="3"/>
      <c r="X276" s="3" t="s">
        <v>2549</v>
      </c>
      <c r="Y276" s="3" t="s">
        <v>6646</v>
      </c>
      <c r="Z276" s="3"/>
      <c r="AA276" s="3"/>
    </row>
    <row r="277" customFormat="false" ht="15" hidden="false" customHeight="true" outlineLevel="0" collapsed="false">
      <c r="A277" s="3" t="s">
        <v>2677</v>
      </c>
      <c r="B277" s="3" t="n">
        <v>4</v>
      </c>
      <c r="C277" s="3" t="n">
        <v>22</v>
      </c>
      <c r="D277" s="3" t="str">
        <f aca="false">Combined!G277</f>
        <v>Student age (≤29)</v>
      </c>
      <c r="E277" s="3" t="s">
        <v>45</v>
      </c>
      <c r="F277" s="3" t="s">
        <v>437</v>
      </c>
      <c r="G277" s="3" t="s">
        <v>47</v>
      </c>
      <c r="H277" s="3" t="s">
        <v>2515</v>
      </c>
      <c r="I277" s="3" t="s">
        <v>6508</v>
      </c>
      <c r="J277" s="3" t="s">
        <v>2510</v>
      </c>
      <c r="K277" s="3" t="s">
        <v>6540</v>
      </c>
      <c r="L277" s="3" t="s">
        <v>2494</v>
      </c>
      <c r="M277" s="3" t="s">
        <v>6520</v>
      </c>
      <c r="N277" s="3" t="s">
        <v>2242</v>
      </c>
      <c r="O277" s="3" t="s">
        <v>1625</v>
      </c>
      <c r="P277" s="3" t="s">
        <v>2678</v>
      </c>
      <c r="Q277" s="3" t="s">
        <v>7168</v>
      </c>
      <c r="R277" s="3" t="s">
        <v>2546</v>
      </c>
      <c r="S277" s="3" t="s">
        <v>6581</v>
      </c>
      <c r="T277" s="3" t="s">
        <v>2679</v>
      </c>
      <c r="U277" s="3" t="s">
        <v>7147</v>
      </c>
      <c r="V277" s="3"/>
      <c r="W277" s="3"/>
      <c r="X277" s="3"/>
      <c r="Y277" s="3"/>
      <c r="Z277" s="3"/>
      <c r="AA277" s="3"/>
    </row>
    <row r="278" customFormat="false" ht="15" hidden="false" customHeight="true" outlineLevel="0" collapsed="false">
      <c r="A278" s="3" t="s">
        <v>2680</v>
      </c>
      <c r="B278" s="3" t="n">
        <v>4</v>
      </c>
      <c r="C278" s="3" t="n">
        <v>23</v>
      </c>
      <c r="D278" s="3" t="str">
        <f aca="false">Combined!G278</f>
        <v>Student age (≤29)</v>
      </c>
      <c r="E278" s="3"/>
      <c r="F278" s="3" t="s">
        <v>437</v>
      </c>
      <c r="G278" s="3" t="s">
        <v>47</v>
      </c>
      <c r="H278" s="3" t="s">
        <v>2538</v>
      </c>
      <c r="I278" s="3" t="s">
        <v>6616</v>
      </c>
      <c r="J278" s="3" t="s">
        <v>2493</v>
      </c>
      <c r="K278" s="3" t="s">
        <v>6540</v>
      </c>
      <c r="L278" s="3" t="s">
        <v>2539</v>
      </c>
      <c r="M278" s="3" t="s">
        <v>6541</v>
      </c>
      <c r="N278" s="3" t="s">
        <v>1690</v>
      </c>
      <c r="O278" s="3" t="s">
        <v>6530</v>
      </c>
      <c r="P278" s="3" t="s">
        <v>2516</v>
      </c>
      <c r="Q278" s="3" t="s">
        <v>7146</v>
      </c>
      <c r="R278" s="3" t="s">
        <v>2505</v>
      </c>
      <c r="S278" s="3" t="s">
        <v>6647</v>
      </c>
      <c r="T278" s="3" t="s">
        <v>2653</v>
      </c>
      <c r="U278" s="3" t="s">
        <v>6596</v>
      </c>
      <c r="V278" s="3"/>
      <c r="W278" s="3"/>
      <c r="X278" s="3" t="s">
        <v>2508</v>
      </c>
      <c r="Y278" s="3" t="s">
        <v>6568</v>
      </c>
      <c r="Z278" s="3"/>
      <c r="AA278" s="3"/>
    </row>
    <row r="279" customFormat="false" ht="15" hidden="false" customHeight="true" outlineLevel="0" collapsed="false">
      <c r="A279" s="3" t="s">
        <v>2682</v>
      </c>
      <c r="B279" s="3" t="n">
        <v>4</v>
      </c>
      <c r="C279" s="3" t="n">
        <v>22</v>
      </c>
      <c r="D279" s="3" t="str">
        <f aca="false">Combined!G279</f>
        <v>Student age (≤29)</v>
      </c>
      <c r="E279" s="3" t="s">
        <v>83</v>
      </c>
      <c r="F279" s="3" t="s">
        <v>437</v>
      </c>
      <c r="G279" s="3" t="s">
        <v>47</v>
      </c>
      <c r="H279" s="3" t="s">
        <v>2242</v>
      </c>
      <c r="I279" s="3" t="s">
        <v>6538</v>
      </c>
      <c r="J279" s="3" t="s">
        <v>2510</v>
      </c>
      <c r="K279" s="3" t="s">
        <v>6540</v>
      </c>
      <c r="L279" s="3" t="s">
        <v>2539</v>
      </c>
      <c r="M279" s="3" t="s">
        <v>6541</v>
      </c>
      <c r="N279" s="3" t="s">
        <v>2242</v>
      </c>
      <c r="O279" s="3" t="s">
        <v>1625</v>
      </c>
      <c r="P279" s="3" t="s">
        <v>2683</v>
      </c>
      <c r="Q279" s="3" t="s">
        <v>7169</v>
      </c>
      <c r="R279" s="3" t="s">
        <v>2242</v>
      </c>
      <c r="S279" s="3" t="s">
        <v>6538</v>
      </c>
      <c r="T279" s="3" t="s">
        <v>2499</v>
      </c>
      <c r="U279" s="3" t="s">
        <v>7144</v>
      </c>
      <c r="V279" s="3"/>
      <c r="W279" s="3"/>
      <c r="X279" s="3" t="s">
        <v>2500</v>
      </c>
      <c r="Y279" s="3" t="s">
        <v>6538</v>
      </c>
      <c r="Z279" s="3"/>
      <c r="AA279" s="3"/>
    </row>
    <row r="280" customFormat="false" ht="15" hidden="false" customHeight="true" outlineLevel="0" collapsed="false">
      <c r="A280" s="3" t="s">
        <v>2685</v>
      </c>
      <c r="B280" s="3" t="n">
        <v>4</v>
      </c>
      <c r="C280" s="3" t="n">
        <v>24</v>
      </c>
      <c r="D280" s="3" t="str">
        <f aca="false">Combined!G280</f>
        <v>Student age (≤29)</v>
      </c>
      <c r="E280" s="3" t="s">
        <v>45</v>
      </c>
      <c r="F280" s="3" t="s">
        <v>437</v>
      </c>
      <c r="G280" s="3" t="s">
        <v>437</v>
      </c>
      <c r="H280" s="3" t="s">
        <v>2614</v>
      </c>
      <c r="I280" s="3" t="s">
        <v>6813</v>
      </c>
      <c r="J280" s="3" t="s">
        <v>2494</v>
      </c>
      <c r="K280" s="3" t="s">
        <v>6520</v>
      </c>
      <c r="L280" s="3" t="s">
        <v>2493</v>
      </c>
      <c r="M280" s="3" t="s">
        <v>6540</v>
      </c>
      <c r="N280" s="3" t="s">
        <v>1690</v>
      </c>
      <c r="O280" s="3" t="s">
        <v>6530</v>
      </c>
      <c r="P280" s="3" t="s">
        <v>2686</v>
      </c>
      <c r="Q280" s="3" t="s">
        <v>7170</v>
      </c>
      <c r="R280" s="3" t="s">
        <v>2497</v>
      </c>
      <c r="S280" s="3" t="s">
        <v>6551</v>
      </c>
      <c r="T280" s="3" t="s">
        <v>2688</v>
      </c>
      <c r="U280" s="3" t="s">
        <v>7152</v>
      </c>
      <c r="V280" s="3"/>
      <c r="W280" s="3"/>
      <c r="X280" s="3" t="s">
        <v>2628</v>
      </c>
      <c r="Y280" s="3" t="s">
        <v>6820</v>
      </c>
      <c r="Z280" s="3"/>
      <c r="AA280" s="3"/>
    </row>
    <row r="281" customFormat="false" ht="15" hidden="false" customHeight="true" outlineLevel="0" collapsed="false">
      <c r="A281" s="3" t="s">
        <v>2689</v>
      </c>
      <c r="B281" s="3" t="n">
        <v>4</v>
      </c>
      <c r="C281" s="3" t="n">
        <v>22</v>
      </c>
      <c r="D281" s="3" t="str">
        <f aca="false">Combined!G281</f>
        <v>Student age (≤29)</v>
      </c>
      <c r="E281" s="3" t="s">
        <v>45</v>
      </c>
      <c r="F281" s="3" t="s">
        <v>47</v>
      </c>
      <c r="G281" s="3" t="s">
        <v>47</v>
      </c>
      <c r="H281" s="3" t="s">
        <v>2538</v>
      </c>
      <c r="I281" s="3" t="s">
        <v>6616</v>
      </c>
      <c r="J281" s="3" t="s">
        <v>2523</v>
      </c>
      <c r="K281" s="3" t="s">
        <v>6540</v>
      </c>
      <c r="L281" s="3" t="s">
        <v>2540</v>
      </c>
      <c r="M281" s="3" t="s">
        <v>6540</v>
      </c>
      <c r="N281" s="3" t="s">
        <v>59</v>
      </c>
      <c r="O281" s="3" t="s">
        <v>59</v>
      </c>
      <c r="P281" s="3" t="s">
        <v>2690</v>
      </c>
      <c r="Q281" s="3" t="s">
        <v>7171</v>
      </c>
      <c r="R281" s="3" t="s">
        <v>2505</v>
      </c>
      <c r="S281" s="3" t="s">
        <v>6647</v>
      </c>
      <c r="T281" s="3" t="s">
        <v>2692</v>
      </c>
      <c r="U281" s="3" t="s">
        <v>6596</v>
      </c>
      <c r="V281" s="3"/>
      <c r="W281" s="3"/>
      <c r="X281" s="3" t="s">
        <v>2508</v>
      </c>
      <c r="Y281" s="3" t="s">
        <v>6568</v>
      </c>
      <c r="Z281" s="3"/>
      <c r="AA281" s="3"/>
    </row>
    <row r="282" customFormat="false" ht="15" hidden="false" customHeight="true" outlineLevel="0" collapsed="false">
      <c r="A282" s="3" t="s">
        <v>2693</v>
      </c>
      <c r="B282" s="3" t="n">
        <v>4</v>
      </c>
      <c r="C282" s="3" t="n">
        <v>22</v>
      </c>
      <c r="D282" s="3" t="str">
        <f aca="false">Combined!G282</f>
        <v>Student age (≤29)</v>
      </c>
      <c r="E282" s="3" t="s">
        <v>45</v>
      </c>
      <c r="F282" s="3" t="s">
        <v>437</v>
      </c>
      <c r="G282" s="3" t="s">
        <v>47</v>
      </c>
      <c r="H282" s="3" t="s">
        <v>2538</v>
      </c>
      <c r="I282" s="3" t="s">
        <v>6616</v>
      </c>
      <c r="J282" s="3" t="s">
        <v>2503</v>
      </c>
      <c r="K282" s="3" t="s">
        <v>6920</v>
      </c>
      <c r="L282" s="3" t="s">
        <v>2503</v>
      </c>
      <c r="M282" s="3" t="s">
        <v>6920</v>
      </c>
      <c r="N282" s="3" t="s">
        <v>1690</v>
      </c>
      <c r="O282" s="3" t="s">
        <v>6530</v>
      </c>
      <c r="P282" s="3" t="s">
        <v>2496</v>
      </c>
      <c r="Q282" s="3" t="s">
        <v>7143</v>
      </c>
      <c r="R282" s="3" t="s">
        <v>2551</v>
      </c>
      <c r="S282" s="3" t="s">
        <v>6679</v>
      </c>
      <c r="T282" s="3" t="s">
        <v>2695</v>
      </c>
      <c r="U282" s="3" t="s">
        <v>7144</v>
      </c>
      <c r="V282" s="3"/>
      <c r="W282" s="3"/>
      <c r="X282" s="3" t="s">
        <v>2549</v>
      </c>
      <c r="Y282" s="3" t="s">
        <v>6646</v>
      </c>
      <c r="Z282" s="3"/>
      <c r="AA282" s="3"/>
    </row>
    <row r="283" customFormat="false" ht="15" hidden="false" customHeight="true" outlineLevel="0" collapsed="false">
      <c r="A283" s="3" t="s">
        <v>2696</v>
      </c>
      <c r="B283" s="3" t="n">
        <v>4</v>
      </c>
      <c r="C283" s="3" t="n">
        <v>22</v>
      </c>
      <c r="D283" s="3" t="str">
        <f aca="false">Combined!G283</f>
        <v>Student age (≤29)</v>
      </c>
      <c r="E283" s="3" t="s">
        <v>83</v>
      </c>
      <c r="F283" s="3" t="s">
        <v>437</v>
      </c>
      <c r="G283" s="3" t="s">
        <v>47</v>
      </c>
      <c r="H283" s="3" t="s">
        <v>806</v>
      </c>
      <c r="I283" s="3" t="s">
        <v>6539</v>
      </c>
      <c r="J283" s="3" t="s">
        <v>2539</v>
      </c>
      <c r="K283" s="3" t="s">
        <v>6541</v>
      </c>
      <c r="L283" s="3" t="s">
        <v>2493</v>
      </c>
      <c r="M283" s="3" t="s">
        <v>6540</v>
      </c>
      <c r="N283" s="3" t="s">
        <v>59</v>
      </c>
      <c r="O283" s="3" t="s">
        <v>59</v>
      </c>
      <c r="P283" s="3" t="s">
        <v>2659</v>
      </c>
      <c r="Q283" s="3" t="s">
        <v>6922</v>
      </c>
      <c r="R283" s="3" t="s">
        <v>2497</v>
      </c>
      <c r="S283" s="3" t="s">
        <v>6551</v>
      </c>
      <c r="T283" s="3" t="s">
        <v>2698</v>
      </c>
      <c r="U283" s="3" t="s">
        <v>7154</v>
      </c>
      <c r="V283" s="3"/>
      <c r="W283" s="3"/>
      <c r="X283" s="3" t="s">
        <v>2508</v>
      </c>
      <c r="Y283" s="3" t="s">
        <v>6568</v>
      </c>
      <c r="Z283" s="3"/>
      <c r="AA283" s="3"/>
    </row>
    <row r="284" customFormat="false" ht="15" hidden="false" customHeight="true" outlineLevel="0" collapsed="false">
      <c r="A284" s="3" t="s">
        <v>2699</v>
      </c>
      <c r="B284" s="3" t="n">
        <v>4</v>
      </c>
      <c r="C284" s="3" t="n">
        <v>22</v>
      </c>
      <c r="D284" s="3" t="str">
        <f aca="false">Combined!G284</f>
        <v>Student age (≤29)</v>
      </c>
      <c r="E284" s="3" t="s">
        <v>45</v>
      </c>
      <c r="F284" s="3" t="s">
        <v>437</v>
      </c>
      <c r="G284" s="3" t="s">
        <v>47</v>
      </c>
      <c r="H284" s="3" t="s">
        <v>2614</v>
      </c>
      <c r="I284" s="3" t="s">
        <v>6813</v>
      </c>
      <c r="J284" s="3" t="s">
        <v>2502</v>
      </c>
      <c r="K284" s="3" t="s">
        <v>6540</v>
      </c>
      <c r="L284" s="3" t="s">
        <v>2540</v>
      </c>
      <c r="M284" s="3" t="s">
        <v>6540</v>
      </c>
      <c r="N284" s="3"/>
      <c r="O284" s="3"/>
      <c r="P284" s="3" t="s">
        <v>2700</v>
      </c>
      <c r="Q284" s="3" t="s">
        <v>7172</v>
      </c>
      <c r="R284" s="3" t="s">
        <v>2546</v>
      </c>
      <c r="S284" s="3" t="s">
        <v>6581</v>
      </c>
      <c r="T284" s="3" t="s">
        <v>2701</v>
      </c>
      <c r="U284" s="3" t="s">
        <v>7147</v>
      </c>
      <c r="V284" s="3"/>
      <c r="W284" s="3"/>
      <c r="X284" s="3" t="s">
        <v>2549</v>
      </c>
      <c r="Y284" s="3" t="s">
        <v>6646</v>
      </c>
      <c r="Z284" s="3"/>
      <c r="AA284" s="3"/>
    </row>
    <row r="285" customFormat="false" ht="15" hidden="false" customHeight="true" outlineLevel="0" collapsed="false">
      <c r="A285" s="3" t="s">
        <v>2702</v>
      </c>
      <c r="B285" s="3" t="n">
        <v>4</v>
      </c>
      <c r="C285" s="3" t="n">
        <v>22</v>
      </c>
      <c r="D285" s="3" t="str">
        <f aca="false">Combined!G285</f>
        <v>Student age (≤29)</v>
      </c>
      <c r="E285" s="3" t="s">
        <v>83</v>
      </c>
      <c r="F285" s="3" t="s">
        <v>437</v>
      </c>
      <c r="G285" s="3" t="s">
        <v>47</v>
      </c>
      <c r="H285" s="3" t="s">
        <v>2515</v>
      </c>
      <c r="I285" s="3" t="s">
        <v>6508</v>
      </c>
      <c r="J285" s="3" t="s">
        <v>2502</v>
      </c>
      <c r="K285" s="3" t="s">
        <v>6540</v>
      </c>
      <c r="L285" s="3" t="s">
        <v>2502</v>
      </c>
      <c r="M285" s="3" t="s">
        <v>6540</v>
      </c>
      <c r="N285" s="3" t="s">
        <v>59</v>
      </c>
      <c r="O285" s="3" t="s">
        <v>59</v>
      </c>
      <c r="P285" s="3" t="s">
        <v>2504</v>
      </c>
      <c r="Q285" s="3" t="s">
        <v>7145</v>
      </c>
      <c r="R285" s="3" t="s">
        <v>2546</v>
      </c>
      <c r="S285" s="3" t="s">
        <v>6581</v>
      </c>
      <c r="T285" s="3" t="s">
        <v>2527</v>
      </c>
      <c r="U285" s="3" t="s">
        <v>7150</v>
      </c>
      <c r="V285" s="3"/>
      <c r="W285" s="3"/>
      <c r="X285" s="3" t="s">
        <v>2549</v>
      </c>
      <c r="Y285" s="3" t="s">
        <v>6646</v>
      </c>
      <c r="Z285" s="3"/>
      <c r="AA285" s="3"/>
    </row>
    <row r="286" customFormat="false" ht="15" hidden="false" customHeight="true" outlineLevel="0" collapsed="false">
      <c r="A286" s="3" t="s">
        <v>2703</v>
      </c>
      <c r="B286" s="3" t="n">
        <v>4</v>
      </c>
      <c r="C286" s="3" t="n">
        <v>22</v>
      </c>
      <c r="D286" s="3" t="str">
        <f aca="false">Combined!G286</f>
        <v>Student age (≤29)</v>
      </c>
      <c r="E286" s="3" t="s">
        <v>45</v>
      </c>
      <c r="F286" s="3" t="s">
        <v>437</v>
      </c>
      <c r="G286" s="3" t="s">
        <v>47</v>
      </c>
      <c r="H286" s="3" t="s">
        <v>2614</v>
      </c>
      <c r="I286" s="3" t="s">
        <v>6813</v>
      </c>
      <c r="J286" s="3" t="s">
        <v>2540</v>
      </c>
      <c r="K286" s="3" t="s">
        <v>6540</v>
      </c>
      <c r="L286" s="3" t="s">
        <v>2502</v>
      </c>
      <c r="M286" s="3" t="s">
        <v>6540</v>
      </c>
      <c r="N286" s="3" t="s">
        <v>1690</v>
      </c>
      <c r="O286" s="3" t="s">
        <v>6530</v>
      </c>
      <c r="P286" s="3" t="s">
        <v>2504</v>
      </c>
      <c r="Q286" s="3" t="s">
        <v>7145</v>
      </c>
      <c r="R286" s="3" t="s">
        <v>2546</v>
      </c>
      <c r="S286" s="3" t="s">
        <v>6581</v>
      </c>
      <c r="T286" s="3" t="s">
        <v>2705</v>
      </c>
      <c r="U286" s="3" t="s">
        <v>7162</v>
      </c>
      <c r="V286" s="3"/>
      <c r="W286" s="3"/>
      <c r="X286" s="3" t="s">
        <v>2508</v>
      </c>
      <c r="Y286" s="3" t="s">
        <v>6568</v>
      </c>
      <c r="Z286" s="3"/>
      <c r="AA286" s="3"/>
    </row>
    <row r="287" customFormat="false" ht="15" hidden="false" customHeight="true" outlineLevel="0" collapsed="false">
      <c r="A287" s="3" t="s">
        <v>2706</v>
      </c>
      <c r="B287" s="3" t="n">
        <v>4</v>
      </c>
      <c r="C287" s="3" t="n">
        <v>22</v>
      </c>
      <c r="D287" s="3" t="str">
        <f aca="false">Combined!G287</f>
        <v>Student age (≤29)</v>
      </c>
      <c r="E287" s="3" t="s">
        <v>83</v>
      </c>
      <c r="F287" s="3" t="s">
        <v>437</v>
      </c>
      <c r="G287" s="3" t="s">
        <v>47</v>
      </c>
      <c r="H287" s="3" t="s">
        <v>2538</v>
      </c>
      <c r="I287" s="3" t="s">
        <v>6616</v>
      </c>
      <c r="J287" s="3" t="s">
        <v>2540</v>
      </c>
      <c r="K287" s="3" t="s">
        <v>6540</v>
      </c>
      <c r="L287" s="3" t="s">
        <v>2502</v>
      </c>
      <c r="M287" s="3" t="s">
        <v>6540</v>
      </c>
      <c r="N287" s="3" t="s">
        <v>1690</v>
      </c>
      <c r="O287" s="3" t="s">
        <v>6530</v>
      </c>
      <c r="P287" s="3" t="s">
        <v>2659</v>
      </c>
      <c r="Q287" s="3" t="s">
        <v>6922</v>
      </c>
      <c r="R287" s="3" t="s">
        <v>2505</v>
      </c>
      <c r="S287" s="3" t="s">
        <v>6647</v>
      </c>
      <c r="T287" s="3" t="s">
        <v>2708</v>
      </c>
      <c r="U287" s="3" t="s">
        <v>7173</v>
      </c>
      <c r="V287" s="3"/>
      <c r="W287" s="3"/>
      <c r="X287" s="3" t="s">
        <v>2549</v>
      </c>
      <c r="Y287" s="3" t="s">
        <v>6646</v>
      </c>
      <c r="Z287" s="3"/>
      <c r="AA287" s="3"/>
    </row>
    <row r="288" customFormat="false" ht="15" hidden="false" customHeight="true" outlineLevel="0" collapsed="false">
      <c r="A288" s="3" t="s">
        <v>2709</v>
      </c>
      <c r="B288" s="3" t="n">
        <v>4</v>
      </c>
      <c r="C288" s="3" t="n">
        <v>23</v>
      </c>
      <c r="D288" s="3" t="str">
        <f aca="false">Combined!G288</f>
        <v>Student age (≤29)</v>
      </c>
      <c r="E288" s="3" t="s">
        <v>45</v>
      </c>
      <c r="F288" s="3" t="s">
        <v>437</v>
      </c>
      <c r="G288" s="3" t="s">
        <v>47</v>
      </c>
      <c r="H288" s="3" t="s">
        <v>2614</v>
      </c>
      <c r="I288" s="3" t="s">
        <v>6813</v>
      </c>
      <c r="J288" s="3" t="s">
        <v>2524</v>
      </c>
      <c r="K288" s="3" t="s">
        <v>7148</v>
      </c>
      <c r="L288" s="3" t="s">
        <v>2524</v>
      </c>
      <c r="M288" s="3" t="s">
        <v>7148</v>
      </c>
      <c r="N288" s="3" t="s">
        <v>2242</v>
      </c>
      <c r="O288" s="3" t="s">
        <v>1625</v>
      </c>
      <c r="P288" s="3" t="s">
        <v>2591</v>
      </c>
      <c r="Q288" s="3" t="s">
        <v>7159</v>
      </c>
      <c r="R288" s="3" t="s">
        <v>2505</v>
      </c>
      <c r="S288" s="3" t="s">
        <v>6647</v>
      </c>
      <c r="T288" s="3" t="s">
        <v>2711</v>
      </c>
      <c r="U288" s="3" t="s">
        <v>7147</v>
      </c>
      <c r="V288" s="3"/>
      <c r="W288" s="3"/>
      <c r="X288" s="3" t="s">
        <v>2549</v>
      </c>
      <c r="Y288" s="3" t="s">
        <v>6646</v>
      </c>
      <c r="Z288" s="3"/>
      <c r="AA288" s="3"/>
    </row>
    <row r="289" customFormat="false" ht="15" hidden="false" customHeight="true" outlineLevel="0" collapsed="false">
      <c r="A289" s="3" t="s">
        <v>2712</v>
      </c>
      <c r="B289" s="3" t="n">
        <v>4</v>
      </c>
      <c r="C289" s="3" t="n">
        <v>23</v>
      </c>
      <c r="D289" s="3" t="str">
        <f aca="false">Combined!G289</f>
        <v>Student age (≤29)</v>
      </c>
      <c r="E289" s="3" t="s">
        <v>83</v>
      </c>
      <c r="F289" s="3" t="s">
        <v>437</v>
      </c>
      <c r="G289" s="3" t="s">
        <v>47</v>
      </c>
      <c r="H289" s="3" t="s">
        <v>2614</v>
      </c>
      <c r="I289" s="3" t="s">
        <v>6813</v>
      </c>
      <c r="J289" s="3" t="s">
        <v>2494</v>
      </c>
      <c r="K289" s="3" t="s">
        <v>6520</v>
      </c>
      <c r="L289" s="3" t="s">
        <v>2494</v>
      </c>
      <c r="M289" s="3" t="s">
        <v>6520</v>
      </c>
      <c r="N289" s="3" t="s">
        <v>59</v>
      </c>
      <c r="O289" s="3" t="s">
        <v>59</v>
      </c>
      <c r="P289" s="3" t="s">
        <v>2504</v>
      </c>
      <c r="Q289" s="3" t="s">
        <v>7145</v>
      </c>
      <c r="R289" s="3" t="s">
        <v>2497</v>
      </c>
      <c r="S289" s="3" t="s">
        <v>6551</v>
      </c>
      <c r="T289" s="3" t="s">
        <v>2507</v>
      </c>
      <c r="U289" s="3" t="s">
        <v>6586</v>
      </c>
      <c r="V289" s="3"/>
      <c r="W289" s="3"/>
      <c r="X289" s="3" t="s">
        <v>2508</v>
      </c>
      <c r="Y289" s="3" t="s">
        <v>6568</v>
      </c>
      <c r="Z289" s="3"/>
      <c r="AA289" s="3"/>
    </row>
    <row r="290" customFormat="false" ht="15" hidden="false" customHeight="true" outlineLevel="0" collapsed="false">
      <c r="A290" s="3" t="s">
        <v>2714</v>
      </c>
      <c r="B290" s="3" t="n">
        <v>4</v>
      </c>
      <c r="C290" s="3" t="n">
        <v>23</v>
      </c>
      <c r="D290" s="3" t="str">
        <f aca="false">Combined!G290</f>
        <v>Student age (≤29)</v>
      </c>
      <c r="E290" s="3" t="s">
        <v>45</v>
      </c>
      <c r="F290" s="3" t="s">
        <v>437</v>
      </c>
      <c r="G290" s="3" t="s">
        <v>47</v>
      </c>
      <c r="H290" s="3" t="s">
        <v>806</v>
      </c>
      <c r="I290" s="3" t="s">
        <v>6539</v>
      </c>
      <c r="J290" s="3" t="s">
        <v>2493</v>
      </c>
      <c r="K290" s="3" t="s">
        <v>6540</v>
      </c>
      <c r="L290" s="3" t="s">
        <v>2493</v>
      </c>
      <c r="M290" s="3" t="s">
        <v>6540</v>
      </c>
      <c r="N290" s="3" t="s">
        <v>59</v>
      </c>
      <c r="O290" s="3" t="s">
        <v>59</v>
      </c>
      <c r="P290" s="3" t="s">
        <v>2504</v>
      </c>
      <c r="Q290" s="3" t="s">
        <v>7145</v>
      </c>
      <c r="R290" s="3" t="s">
        <v>2546</v>
      </c>
      <c r="S290" s="3" t="s">
        <v>6581</v>
      </c>
      <c r="T290" s="3" t="s">
        <v>2701</v>
      </c>
      <c r="U290" s="3" t="s">
        <v>7147</v>
      </c>
      <c r="V290" s="3"/>
      <c r="W290" s="3"/>
      <c r="X290" s="3" t="s">
        <v>2549</v>
      </c>
      <c r="Y290" s="3" t="s">
        <v>6646</v>
      </c>
      <c r="Z290" s="3"/>
      <c r="AA290" s="3"/>
    </row>
    <row r="291" customFormat="false" ht="15" hidden="false" customHeight="true" outlineLevel="0" collapsed="false">
      <c r="A291" s="3" t="s">
        <v>2715</v>
      </c>
      <c r="B291" s="3" t="n">
        <v>4</v>
      </c>
      <c r="C291" s="3" t="n">
        <v>22</v>
      </c>
      <c r="D291" s="3" t="str">
        <f aca="false">Combined!G291</f>
        <v>Student age (≤29)</v>
      </c>
      <c r="E291" s="3" t="s">
        <v>45</v>
      </c>
      <c r="F291" s="3" t="s">
        <v>47</v>
      </c>
      <c r="G291" s="3" t="s">
        <v>47</v>
      </c>
      <c r="H291" s="3" t="s">
        <v>2538</v>
      </c>
      <c r="I291" s="3" t="s">
        <v>6616</v>
      </c>
      <c r="J291" s="3" t="s">
        <v>2494</v>
      </c>
      <c r="K291" s="3" t="s">
        <v>6520</v>
      </c>
      <c r="L291" s="3" t="s">
        <v>2540</v>
      </c>
      <c r="M291" s="3" t="s">
        <v>6540</v>
      </c>
      <c r="N291" s="3" t="s">
        <v>59</v>
      </c>
      <c r="O291" s="3" t="s">
        <v>59</v>
      </c>
      <c r="P291" s="3" t="s">
        <v>2496</v>
      </c>
      <c r="Q291" s="3" t="s">
        <v>7143</v>
      </c>
      <c r="R291" s="3" t="s">
        <v>2497</v>
      </c>
      <c r="S291" s="3" t="s">
        <v>6551</v>
      </c>
      <c r="T291" s="3" t="s">
        <v>2717</v>
      </c>
      <c r="U291" s="3" t="s">
        <v>7151</v>
      </c>
      <c r="V291" s="3"/>
      <c r="W291" s="3"/>
      <c r="X291" s="3" t="s">
        <v>2508</v>
      </c>
      <c r="Y291" s="3" t="s">
        <v>6568</v>
      </c>
      <c r="Z291" s="3"/>
      <c r="AA291" s="3"/>
    </row>
    <row r="292" customFormat="false" ht="15" hidden="false" customHeight="true" outlineLevel="0" collapsed="false">
      <c r="A292" s="3" t="s">
        <v>2718</v>
      </c>
      <c r="B292" s="3" t="n">
        <v>4</v>
      </c>
      <c r="C292" s="3" t="n">
        <v>23</v>
      </c>
      <c r="D292" s="3" t="str">
        <f aca="false">Combined!G292</f>
        <v>Student age (≤29)</v>
      </c>
      <c r="E292" s="3" t="s">
        <v>45</v>
      </c>
      <c r="F292" s="3" t="s">
        <v>437</v>
      </c>
      <c r="G292" s="3" t="s">
        <v>47</v>
      </c>
      <c r="H292" s="3" t="s">
        <v>2538</v>
      </c>
      <c r="I292" s="3" t="s">
        <v>6616</v>
      </c>
      <c r="J292" s="3" t="s">
        <v>2524</v>
      </c>
      <c r="K292" s="3" t="s">
        <v>7148</v>
      </c>
      <c r="L292" s="3" t="s">
        <v>2524</v>
      </c>
      <c r="M292" s="3" t="s">
        <v>7148</v>
      </c>
      <c r="N292" s="3" t="s">
        <v>1690</v>
      </c>
      <c r="O292" s="3" t="s">
        <v>6530</v>
      </c>
      <c r="P292" s="3" t="s">
        <v>2496</v>
      </c>
      <c r="Q292" s="3" t="s">
        <v>7143</v>
      </c>
      <c r="R292" s="3" t="s">
        <v>2497</v>
      </c>
      <c r="S292" s="3" t="s">
        <v>6551</v>
      </c>
      <c r="T292" s="3" t="s">
        <v>2719</v>
      </c>
      <c r="U292" s="3" t="s">
        <v>7152</v>
      </c>
      <c r="V292" s="3"/>
      <c r="W292" s="3"/>
      <c r="X292" s="3" t="s">
        <v>2508</v>
      </c>
      <c r="Y292" s="3" t="s">
        <v>6568</v>
      </c>
      <c r="Z292" s="3"/>
      <c r="AA292" s="3"/>
    </row>
    <row r="293" customFormat="false" ht="15" hidden="false" customHeight="true" outlineLevel="0" collapsed="false">
      <c r="A293" s="3" t="s">
        <v>2720</v>
      </c>
      <c r="B293" s="3" t="n">
        <v>4</v>
      </c>
      <c r="C293" s="3" t="n">
        <v>22</v>
      </c>
      <c r="D293" s="3" t="str">
        <f aca="false">Combined!G293</f>
        <v>Student age (≤29)</v>
      </c>
      <c r="E293" s="3" t="s">
        <v>45</v>
      </c>
      <c r="F293" s="3" t="s">
        <v>437</v>
      </c>
      <c r="G293" s="3" t="s">
        <v>47</v>
      </c>
      <c r="H293" s="3" t="s">
        <v>2515</v>
      </c>
      <c r="I293" s="3" t="s">
        <v>6508</v>
      </c>
      <c r="J293" s="3" t="s">
        <v>2540</v>
      </c>
      <c r="K293" s="3" t="s">
        <v>6540</v>
      </c>
      <c r="L293" s="3" t="s">
        <v>2523</v>
      </c>
      <c r="M293" s="3" t="s">
        <v>6540</v>
      </c>
      <c r="N293" s="3" t="s">
        <v>59</v>
      </c>
      <c r="O293" s="3" t="s">
        <v>59</v>
      </c>
      <c r="P293" s="3" t="s">
        <v>2641</v>
      </c>
      <c r="Q293" s="3" t="s">
        <v>6571</v>
      </c>
      <c r="R293" s="3" t="s">
        <v>2497</v>
      </c>
      <c r="S293" s="3" t="s">
        <v>6551</v>
      </c>
      <c r="T293" s="3" t="s">
        <v>2711</v>
      </c>
      <c r="U293" s="3" t="s">
        <v>7147</v>
      </c>
      <c r="V293" s="3"/>
      <c r="W293" s="3"/>
      <c r="X293" s="3" t="s">
        <v>2549</v>
      </c>
      <c r="Y293" s="3" t="s">
        <v>6646</v>
      </c>
      <c r="Z293" s="3"/>
      <c r="AA293" s="3"/>
    </row>
    <row r="294" customFormat="false" ht="15" hidden="false" customHeight="true" outlineLevel="0" collapsed="false">
      <c r="A294" s="3" t="s">
        <v>2722</v>
      </c>
      <c r="B294" s="3" t="n">
        <v>4</v>
      </c>
      <c r="C294" s="3" t="n">
        <v>51</v>
      </c>
      <c r="D294" s="3" t="str">
        <f aca="false">Combined!G294</f>
        <v>Middle-aged (30–64)</v>
      </c>
      <c r="E294" s="3" t="s">
        <v>83</v>
      </c>
      <c r="F294" s="3" t="s">
        <v>437</v>
      </c>
      <c r="G294" s="3" t="s">
        <v>47</v>
      </c>
      <c r="H294" s="3" t="s">
        <v>2538</v>
      </c>
      <c r="I294" s="3" t="s">
        <v>6616</v>
      </c>
      <c r="J294" s="3" t="s">
        <v>2540</v>
      </c>
      <c r="K294" s="3" t="s">
        <v>6540</v>
      </c>
      <c r="L294" s="3" t="s">
        <v>2524</v>
      </c>
      <c r="M294" s="3" t="s">
        <v>7148</v>
      </c>
      <c r="N294" s="3" t="s">
        <v>1690</v>
      </c>
      <c r="O294" s="3" t="s">
        <v>6530</v>
      </c>
      <c r="P294" s="3" t="s">
        <v>2723</v>
      </c>
      <c r="Q294" s="3" t="s">
        <v>7146</v>
      </c>
      <c r="R294" s="3" t="s">
        <v>2546</v>
      </c>
      <c r="S294" s="3" t="s">
        <v>6581</v>
      </c>
      <c r="T294" s="3" t="s">
        <v>2542</v>
      </c>
      <c r="U294" s="3" t="s">
        <v>7147</v>
      </c>
      <c r="V294" s="3"/>
      <c r="W294" s="3"/>
      <c r="X294" s="3" t="s">
        <v>2508</v>
      </c>
      <c r="Y294" s="3" t="s">
        <v>6568</v>
      </c>
      <c r="Z294" s="3"/>
      <c r="AA294" s="3"/>
    </row>
    <row r="295" customFormat="false" ht="15" hidden="false" customHeight="true" outlineLevel="0" collapsed="false">
      <c r="A295" s="3" t="s">
        <v>2725</v>
      </c>
      <c r="B295" s="3" t="n">
        <v>4</v>
      </c>
      <c r="C295" s="3" t="n">
        <v>22</v>
      </c>
      <c r="D295" s="3" t="str">
        <f aca="false">Combined!G295</f>
        <v>Student age (≤29)</v>
      </c>
      <c r="E295" s="3" t="s">
        <v>83</v>
      </c>
      <c r="F295" s="3" t="s">
        <v>437</v>
      </c>
      <c r="G295" s="3" t="s">
        <v>47</v>
      </c>
      <c r="H295" s="3" t="s">
        <v>2538</v>
      </c>
      <c r="I295" s="3" t="s">
        <v>6616</v>
      </c>
      <c r="J295" s="3" t="s">
        <v>2510</v>
      </c>
      <c r="K295" s="3" t="s">
        <v>6540</v>
      </c>
      <c r="L295" s="3" t="s">
        <v>2510</v>
      </c>
      <c r="M295" s="3" t="s">
        <v>6540</v>
      </c>
      <c r="N295" s="3" t="s">
        <v>98</v>
      </c>
      <c r="O295" s="3" t="s">
        <v>6517</v>
      </c>
      <c r="P295" s="3" t="s">
        <v>2496</v>
      </c>
      <c r="Q295" s="3" t="s">
        <v>7143</v>
      </c>
      <c r="R295" s="3"/>
      <c r="S295" s="3"/>
      <c r="T295" s="3" t="s">
        <v>2577</v>
      </c>
      <c r="U295" s="3" t="s">
        <v>7147</v>
      </c>
      <c r="V295" s="3"/>
      <c r="W295" s="3"/>
      <c r="X295" s="3" t="s">
        <v>2549</v>
      </c>
      <c r="Y295" s="3" t="s">
        <v>6646</v>
      </c>
      <c r="Z295" s="3"/>
      <c r="AA295" s="3"/>
    </row>
    <row r="296" customFormat="false" ht="15" hidden="false" customHeight="true" outlineLevel="0" collapsed="false">
      <c r="A296" s="3" t="s">
        <v>2726</v>
      </c>
      <c r="B296" s="3" t="n">
        <v>4</v>
      </c>
      <c r="C296" s="3" t="n">
        <v>21</v>
      </c>
      <c r="D296" s="3" t="str">
        <f aca="false">Combined!G296</f>
        <v>Student age (≤29)</v>
      </c>
      <c r="E296" s="3" t="s">
        <v>83</v>
      </c>
      <c r="F296" s="3" t="s">
        <v>437</v>
      </c>
      <c r="G296" s="3" t="s">
        <v>453</v>
      </c>
      <c r="H296" s="3" t="s">
        <v>2538</v>
      </c>
      <c r="I296" s="3" t="s">
        <v>6616</v>
      </c>
      <c r="J296" s="3" t="s">
        <v>2493</v>
      </c>
      <c r="K296" s="3" t="s">
        <v>6540</v>
      </c>
      <c r="L296" s="3" t="s">
        <v>2540</v>
      </c>
      <c r="M296" s="3" t="s">
        <v>6540</v>
      </c>
      <c r="N296" s="3" t="s">
        <v>1690</v>
      </c>
      <c r="O296" s="3" t="s">
        <v>6530</v>
      </c>
      <c r="P296" s="3" t="s">
        <v>2496</v>
      </c>
      <c r="Q296" s="3" t="s">
        <v>7143</v>
      </c>
      <c r="R296" s="3" t="s">
        <v>2551</v>
      </c>
      <c r="S296" s="3" t="s">
        <v>6679</v>
      </c>
      <c r="T296" s="3" t="s">
        <v>2727</v>
      </c>
      <c r="U296" s="3" t="s">
        <v>7144</v>
      </c>
      <c r="V296" s="3"/>
      <c r="W296" s="3"/>
      <c r="X296" s="3" t="s">
        <v>2608</v>
      </c>
      <c r="Y296" s="3" t="s">
        <v>6918</v>
      </c>
      <c r="Z296" s="3"/>
      <c r="AA296" s="3"/>
    </row>
    <row r="297" customFormat="false" ht="15" hidden="false" customHeight="true" outlineLevel="0" collapsed="false">
      <c r="A297" s="3" t="s">
        <v>2728</v>
      </c>
      <c r="B297" s="3" t="n">
        <v>4</v>
      </c>
      <c r="C297" s="3" t="n">
        <v>22</v>
      </c>
      <c r="D297" s="3" t="str">
        <f aca="false">Combined!G297</f>
        <v>Student age (≤29)</v>
      </c>
      <c r="E297" s="3" t="s">
        <v>45</v>
      </c>
      <c r="F297" s="3" t="s">
        <v>437</v>
      </c>
      <c r="G297" s="3" t="s">
        <v>47</v>
      </c>
      <c r="H297" s="3" t="s">
        <v>2614</v>
      </c>
      <c r="I297" s="3" t="s">
        <v>6813</v>
      </c>
      <c r="J297" s="3" t="s">
        <v>2493</v>
      </c>
      <c r="K297" s="3" t="s">
        <v>6540</v>
      </c>
      <c r="L297" s="3" t="s">
        <v>2503</v>
      </c>
      <c r="M297" s="3" t="s">
        <v>6920</v>
      </c>
      <c r="N297" s="3" t="s">
        <v>1690</v>
      </c>
      <c r="O297" s="3" t="s">
        <v>6530</v>
      </c>
      <c r="P297" s="3" t="s">
        <v>2496</v>
      </c>
      <c r="Q297" s="3" t="s">
        <v>7143</v>
      </c>
      <c r="R297" s="3" t="s">
        <v>2505</v>
      </c>
      <c r="S297" s="3" t="s">
        <v>6647</v>
      </c>
      <c r="T297" s="3" t="s">
        <v>2730</v>
      </c>
      <c r="U297" s="3" t="s">
        <v>7160</v>
      </c>
      <c r="V297" s="3"/>
      <c r="W297" s="3"/>
      <c r="X297" s="3" t="s">
        <v>2549</v>
      </c>
      <c r="Y297" s="3" t="s">
        <v>6646</v>
      </c>
      <c r="Z297" s="3"/>
      <c r="AA297" s="3"/>
    </row>
    <row r="298" customFormat="false" ht="15" hidden="false" customHeight="true" outlineLevel="0" collapsed="false">
      <c r="A298" s="3" t="s">
        <v>2731</v>
      </c>
      <c r="B298" s="3" t="n">
        <v>4</v>
      </c>
      <c r="C298" s="3" t="n">
        <v>27</v>
      </c>
      <c r="D298" s="3" t="str">
        <f aca="false">Combined!G298</f>
        <v>Student age (≤29)</v>
      </c>
      <c r="E298" s="3" t="s">
        <v>83</v>
      </c>
      <c r="F298" s="3" t="s">
        <v>437</v>
      </c>
      <c r="G298" s="3" t="s">
        <v>47</v>
      </c>
      <c r="H298" s="3" t="s">
        <v>2515</v>
      </c>
      <c r="I298" s="3" t="s">
        <v>6508</v>
      </c>
      <c r="J298" s="3" t="s">
        <v>2494</v>
      </c>
      <c r="K298" s="3" t="s">
        <v>6520</v>
      </c>
      <c r="L298" s="3" t="s">
        <v>2502</v>
      </c>
      <c r="M298" s="3" t="s">
        <v>6540</v>
      </c>
      <c r="N298" s="3" t="s">
        <v>1690</v>
      </c>
      <c r="O298" s="3" t="s">
        <v>6530</v>
      </c>
      <c r="P298" s="3" t="s">
        <v>2496</v>
      </c>
      <c r="Q298" s="3" t="s">
        <v>7143</v>
      </c>
      <c r="R298" s="3" t="s">
        <v>2505</v>
      </c>
      <c r="S298" s="3" t="s">
        <v>6647</v>
      </c>
      <c r="T298" s="3" t="s">
        <v>2577</v>
      </c>
      <c r="U298" s="3" t="s">
        <v>7147</v>
      </c>
      <c r="V298" s="3"/>
      <c r="W298" s="3"/>
      <c r="X298" s="3" t="s">
        <v>2508</v>
      </c>
      <c r="Y298" s="3" t="s">
        <v>6568</v>
      </c>
      <c r="Z298" s="3"/>
      <c r="AA298" s="3"/>
    </row>
    <row r="299" customFormat="false" ht="15" hidden="false" customHeight="true" outlineLevel="0" collapsed="false">
      <c r="A299" s="3" t="s">
        <v>2733</v>
      </c>
      <c r="B299" s="3" t="n">
        <v>4</v>
      </c>
      <c r="C299" s="3" t="n">
        <v>23</v>
      </c>
      <c r="D299" s="3" t="str">
        <f aca="false">Combined!G299</f>
        <v>Student age (≤29)</v>
      </c>
      <c r="E299" s="3" t="s">
        <v>83</v>
      </c>
      <c r="F299" s="3" t="s">
        <v>437</v>
      </c>
      <c r="G299" s="3" t="s">
        <v>47</v>
      </c>
      <c r="H299" s="3" t="s">
        <v>2734</v>
      </c>
      <c r="I299" s="3" t="s">
        <v>6551</v>
      </c>
      <c r="J299" s="3" t="s">
        <v>2494</v>
      </c>
      <c r="K299" s="3" t="s">
        <v>6520</v>
      </c>
      <c r="L299" s="3" t="s">
        <v>2539</v>
      </c>
      <c r="M299" s="3" t="s">
        <v>6541</v>
      </c>
      <c r="N299" s="3" t="s">
        <v>59</v>
      </c>
      <c r="O299" s="3" t="s">
        <v>59</v>
      </c>
      <c r="P299" s="3" t="s">
        <v>2617</v>
      </c>
      <c r="Q299" s="3" t="s">
        <v>7163</v>
      </c>
      <c r="R299" s="3" t="s">
        <v>2497</v>
      </c>
      <c r="S299" s="3" t="s">
        <v>6551</v>
      </c>
      <c r="T299" s="3" t="s">
        <v>2736</v>
      </c>
      <c r="U299" s="3" t="s">
        <v>7160</v>
      </c>
      <c r="V299" s="3"/>
      <c r="W299" s="3"/>
      <c r="X299" s="3" t="s">
        <v>2508</v>
      </c>
      <c r="Y299" s="3" t="s">
        <v>6568</v>
      </c>
      <c r="Z299" s="3"/>
      <c r="AA299" s="3"/>
    </row>
    <row r="300" customFormat="false" ht="15" hidden="false" customHeight="true" outlineLevel="0" collapsed="false">
      <c r="A300" s="3" t="s">
        <v>2737</v>
      </c>
      <c r="B300" s="3" t="n">
        <v>4</v>
      </c>
      <c r="C300" s="3" t="n">
        <v>22</v>
      </c>
      <c r="D300" s="3" t="str">
        <f aca="false">Combined!G300</f>
        <v>Student age (≤29)</v>
      </c>
      <c r="E300" s="3" t="s">
        <v>45</v>
      </c>
      <c r="F300" s="3" t="s">
        <v>437</v>
      </c>
      <c r="G300" s="3" t="s">
        <v>47</v>
      </c>
      <c r="H300" s="3" t="s">
        <v>2538</v>
      </c>
      <c r="I300" s="3" t="s">
        <v>6616</v>
      </c>
      <c r="J300" s="3" t="s">
        <v>2540</v>
      </c>
      <c r="K300" s="3" t="s">
        <v>6540</v>
      </c>
      <c r="L300" s="3" t="s">
        <v>2540</v>
      </c>
      <c r="M300" s="3" t="s">
        <v>6540</v>
      </c>
      <c r="N300" s="3" t="s">
        <v>2242</v>
      </c>
      <c r="O300" s="3" t="s">
        <v>1625</v>
      </c>
      <c r="P300" s="3" t="s">
        <v>2738</v>
      </c>
      <c r="Q300" s="3" t="s">
        <v>7174</v>
      </c>
      <c r="R300" s="3" t="s">
        <v>2546</v>
      </c>
      <c r="S300" s="3" t="s">
        <v>6581</v>
      </c>
      <c r="T300" s="3" t="s">
        <v>2740</v>
      </c>
      <c r="U300" s="3" t="s">
        <v>7162</v>
      </c>
      <c r="V300" s="3"/>
      <c r="W300" s="3"/>
      <c r="X300" s="3" t="s">
        <v>2519</v>
      </c>
      <c r="Y300" s="3" t="s">
        <v>6651</v>
      </c>
      <c r="Z300" s="3"/>
      <c r="AA300" s="3"/>
    </row>
    <row r="301" customFormat="false" ht="15" hidden="false" customHeight="true" outlineLevel="0" collapsed="false">
      <c r="A301" s="3" t="s">
        <v>2741</v>
      </c>
      <c r="B301" s="3" t="n">
        <v>4</v>
      </c>
      <c r="C301" s="3" t="n">
        <v>21</v>
      </c>
      <c r="D301" s="3" t="str">
        <f aca="false">Combined!G301</f>
        <v>Student age (≤29)</v>
      </c>
      <c r="E301" s="3" t="s">
        <v>83</v>
      </c>
      <c r="F301" s="3" t="s">
        <v>437</v>
      </c>
      <c r="G301" s="3" t="s">
        <v>453</v>
      </c>
      <c r="H301" s="3" t="s">
        <v>2538</v>
      </c>
      <c r="I301" s="3" t="s">
        <v>6616</v>
      </c>
      <c r="J301" s="3" t="s">
        <v>2494</v>
      </c>
      <c r="K301" s="3" t="s">
        <v>6520</v>
      </c>
      <c r="L301" s="3" t="s">
        <v>2524</v>
      </c>
      <c r="M301" s="3" t="s">
        <v>7148</v>
      </c>
      <c r="N301" s="3" t="s">
        <v>1690</v>
      </c>
      <c r="O301" s="3" t="s">
        <v>6530</v>
      </c>
      <c r="P301" s="3" t="s">
        <v>2504</v>
      </c>
      <c r="Q301" s="3" t="s">
        <v>7145</v>
      </c>
      <c r="R301" s="3" t="s">
        <v>2497</v>
      </c>
      <c r="S301" s="3" t="s">
        <v>6551</v>
      </c>
      <c r="T301" s="3" t="s">
        <v>2743</v>
      </c>
      <c r="U301" s="3" t="s">
        <v>7152</v>
      </c>
      <c r="V301" s="3"/>
      <c r="W301" s="3"/>
      <c r="X301" s="3" t="s">
        <v>2608</v>
      </c>
      <c r="Y301" s="3" t="s">
        <v>6918</v>
      </c>
      <c r="Z301" s="3"/>
      <c r="AA301" s="3"/>
    </row>
    <row r="302" customFormat="false" ht="15" hidden="false" customHeight="true" outlineLevel="0" collapsed="false">
      <c r="A302" s="3" t="s">
        <v>2744</v>
      </c>
      <c r="B302" s="3" t="n">
        <v>4</v>
      </c>
      <c r="C302" s="3" t="n">
        <v>22</v>
      </c>
      <c r="D302" s="3" t="str">
        <f aca="false">Combined!G302</f>
        <v>Student age (≤29)</v>
      </c>
      <c r="E302" s="3" t="s">
        <v>45</v>
      </c>
      <c r="F302" s="3" t="s">
        <v>47</v>
      </c>
      <c r="G302" s="3" t="s">
        <v>47</v>
      </c>
      <c r="H302" s="3" t="s">
        <v>2515</v>
      </c>
      <c r="I302" s="3" t="s">
        <v>6508</v>
      </c>
      <c r="J302" s="3" t="s">
        <v>2539</v>
      </c>
      <c r="K302" s="3" t="s">
        <v>6541</v>
      </c>
      <c r="L302" s="3" t="s">
        <v>2539</v>
      </c>
      <c r="M302" s="3" t="s">
        <v>6541</v>
      </c>
      <c r="N302" s="3" t="s">
        <v>59</v>
      </c>
      <c r="O302" s="3" t="s">
        <v>59</v>
      </c>
      <c r="P302" s="3" t="s">
        <v>2516</v>
      </c>
      <c r="Q302" s="3" t="s">
        <v>7146</v>
      </c>
      <c r="R302" s="3" t="s">
        <v>2497</v>
      </c>
      <c r="S302" s="3" t="s">
        <v>6551</v>
      </c>
      <c r="T302" s="3" t="s">
        <v>2746</v>
      </c>
      <c r="U302" s="3" t="s">
        <v>7144</v>
      </c>
      <c r="V302" s="3"/>
      <c r="W302" s="3"/>
      <c r="X302" s="3" t="s">
        <v>2519</v>
      </c>
      <c r="Y302" s="3" t="s">
        <v>6651</v>
      </c>
      <c r="Z302" s="3"/>
      <c r="AA302" s="3"/>
    </row>
    <row r="303" customFormat="false" ht="15" hidden="false" customHeight="true" outlineLevel="0" collapsed="false">
      <c r="A303" s="3" t="s">
        <v>2747</v>
      </c>
      <c r="B303" s="3" t="n">
        <v>4</v>
      </c>
      <c r="C303" s="3" t="n">
        <v>23</v>
      </c>
      <c r="D303" s="3" t="str">
        <f aca="false">Combined!G303</f>
        <v>Student age (≤29)</v>
      </c>
      <c r="E303" s="3" t="s">
        <v>83</v>
      </c>
      <c r="F303" s="3" t="s">
        <v>437</v>
      </c>
      <c r="G303" s="3" t="s">
        <v>47</v>
      </c>
      <c r="H303" s="3" t="s">
        <v>2515</v>
      </c>
      <c r="I303" s="3" t="s">
        <v>6508</v>
      </c>
      <c r="J303" s="3" t="s">
        <v>2540</v>
      </c>
      <c r="K303" s="3" t="s">
        <v>6540</v>
      </c>
      <c r="L303" s="3" t="s">
        <v>2539</v>
      </c>
      <c r="M303" s="3" t="s">
        <v>6541</v>
      </c>
      <c r="N303" s="3" t="s">
        <v>59</v>
      </c>
      <c r="O303" s="3" t="s">
        <v>59</v>
      </c>
      <c r="P303" s="3" t="s">
        <v>2511</v>
      </c>
      <c r="Q303" s="3" t="s">
        <v>7146</v>
      </c>
      <c r="R303" s="3" t="s">
        <v>2497</v>
      </c>
      <c r="S303" s="3" t="s">
        <v>6551</v>
      </c>
      <c r="T303" s="3" t="s">
        <v>2749</v>
      </c>
      <c r="U303" s="3" t="s">
        <v>7144</v>
      </c>
      <c r="V303" s="3"/>
      <c r="W303" s="3"/>
      <c r="X303" s="3" t="s">
        <v>2628</v>
      </c>
      <c r="Y303" s="3" t="s">
        <v>6820</v>
      </c>
      <c r="Z303" s="3"/>
      <c r="AA303" s="3"/>
    </row>
    <row r="304" customFormat="false" ht="15" hidden="false" customHeight="true" outlineLevel="0" collapsed="false">
      <c r="A304" s="3" t="s">
        <v>2750</v>
      </c>
      <c r="B304" s="3" t="n">
        <v>4</v>
      </c>
      <c r="C304" s="3" t="n">
        <v>24</v>
      </c>
      <c r="D304" s="3" t="str">
        <f aca="false">Combined!G304</f>
        <v>Student age (≤29)</v>
      </c>
      <c r="E304" s="3" t="s">
        <v>83</v>
      </c>
      <c r="F304" s="3" t="s">
        <v>437</v>
      </c>
      <c r="G304" s="3" t="s">
        <v>437</v>
      </c>
      <c r="H304" s="3" t="s">
        <v>2515</v>
      </c>
      <c r="I304" s="3" t="s">
        <v>6508</v>
      </c>
      <c r="J304" s="3" t="s">
        <v>2523</v>
      </c>
      <c r="K304" s="3" t="s">
        <v>6540</v>
      </c>
      <c r="L304" s="3" t="s">
        <v>2539</v>
      </c>
      <c r="M304" s="3" t="s">
        <v>6541</v>
      </c>
      <c r="N304" s="3" t="s">
        <v>1690</v>
      </c>
      <c r="O304" s="3" t="s">
        <v>6530</v>
      </c>
      <c r="P304" s="3" t="s">
        <v>2496</v>
      </c>
      <c r="Q304" s="3" t="s">
        <v>7143</v>
      </c>
      <c r="R304" s="3" t="s">
        <v>2497</v>
      </c>
      <c r="S304" s="3" t="s">
        <v>6551</v>
      </c>
      <c r="T304" s="3" t="s">
        <v>2753</v>
      </c>
      <c r="U304" s="3" t="s">
        <v>7160</v>
      </c>
      <c r="V304" s="3"/>
      <c r="W304" s="3"/>
      <c r="X304" s="3" t="s">
        <v>2508</v>
      </c>
      <c r="Y304" s="3" t="s">
        <v>6568</v>
      </c>
      <c r="Z304" s="3"/>
      <c r="AA304" s="3"/>
    </row>
    <row r="305" customFormat="false" ht="15" hidden="false" customHeight="true" outlineLevel="0" collapsed="false">
      <c r="A305" s="3" t="s">
        <v>2754</v>
      </c>
      <c r="B305" s="3" t="n">
        <v>4</v>
      </c>
      <c r="C305" s="3" t="n">
        <v>23</v>
      </c>
      <c r="D305" s="3" t="str">
        <f aca="false">Combined!G305</f>
        <v>Student age (≤29)</v>
      </c>
      <c r="E305" s="3" t="s">
        <v>45</v>
      </c>
      <c r="F305" s="3" t="s">
        <v>437</v>
      </c>
      <c r="G305" s="3" t="s">
        <v>47</v>
      </c>
      <c r="H305" s="3" t="s">
        <v>806</v>
      </c>
      <c r="I305" s="3" t="s">
        <v>6539</v>
      </c>
      <c r="J305" s="3" t="s">
        <v>2510</v>
      </c>
      <c r="K305" s="3" t="s">
        <v>6540</v>
      </c>
      <c r="L305" s="3" t="s">
        <v>2510</v>
      </c>
      <c r="M305" s="3" t="s">
        <v>6540</v>
      </c>
      <c r="N305" s="3" t="s">
        <v>1690</v>
      </c>
      <c r="O305" s="3" t="s">
        <v>6530</v>
      </c>
      <c r="P305" s="3" t="s">
        <v>2641</v>
      </c>
      <c r="Q305" s="3" t="s">
        <v>6571</v>
      </c>
      <c r="R305" s="3" t="s">
        <v>2497</v>
      </c>
      <c r="S305" s="3" t="s">
        <v>6551</v>
      </c>
      <c r="T305" s="3" t="s">
        <v>2756</v>
      </c>
      <c r="U305" s="3" t="s">
        <v>7160</v>
      </c>
      <c r="V305" s="3"/>
      <c r="W305" s="3"/>
      <c r="X305" s="3" t="s">
        <v>2628</v>
      </c>
      <c r="Y305" s="3" t="s">
        <v>6820</v>
      </c>
      <c r="Z305" s="3"/>
      <c r="AA305" s="3"/>
    </row>
    <row r="306" customFormat="false" ht="15" hidden="false" customHeight="true" outlineLevel="0" collapsed="false">
      <c r="A306" s="3" t="s">
        <v>2757</v>
      </c>
      <c r="B306" s="3" t="n">
        <v>4</v>
      </c>
      <c r="C306" s="3" t="n">
        <v>27</v>
      </c>
      <c r="D306" s="3" t="str">
        <f aca="false">Combined!G306</f>
        <v>Student age (≤29)</v>
      </c>
      <c r="E306" s="3" t="s">
        <v>83</v>
      </c>
      <c r="F306" s="3" t="s">
        <v>437</v>
      </c>
      <c r="G306" s="3" t="s">
        <v>453</v>
      </c>
      <c r="H306" s="3" t="s">
        <v>2538</v>
      </c>
      <c r="I306" s="3" t="s">
        <v>6616</v>
      </c>
      <c r="J306" s="3" t="s">
        <v>2510</v>
      </c>
      <c r="K306" s="3" t="s">
        <v>6540</v>
      </c>
      <c r="L306" s="3" t="s">
        <v>2524</v>
      </c>
      <c r="M306" s="3" t="s">
        <v>7148</v>
      </c>
      <c r="N306" s="3" t="s">
        <v>59</v>
      </c>
      <c r="O306" s="3" t="s">
        <v>59</v>
      </c>
      <c r="P306" s="3" t="s">
        <v>2683</v>
      </c>
      <c r="Q306" s="3" t="s">
        <v>7169</v>
      </c>
      <c r="R306" s="3" t="s">
        <v>2546</v>
      </c>
      <c r="S306" s="3" t="s">
        <v>6581</v>
      </c>
      <c r="T306" s="3" t="s">
        <v>2759</v>
      </c>
      <c r="U306" s="3" t="s">
        <v>7152</v>
      </c>
      <c r="V306" s="3"/>
      <c r="W306" s="3"/>
      <c r="X306" s="3" t="s">
        <v>2628</v>
      </c>
      <c r="Y306" s="3" t="s">
        <v>6820</v>
      </c>
      <c r="Z306" s="3"/>
      <c r="AA306" s="3"/>
    </row>
    <row r="307" customFormat="false" ht="15" hidden="false" customHeight="true" outlineLevel="0" collapsed="false">
      <c r="A307" s="3" t="s">
        <v>2760</v>
      </c>
      <c r="B307" s="3" t="n">
        <v>4</v>
      </c>
      <c r="C307" s="3" t="n">
        <v>22</v>
      </c>
      <c r="D307" s="3" t="str">
        <f aca="false">Combined!G307</f>
        <v>Student age (≤29)</v>
      </c>
      <c r="E307" s="3" t="s">
        <v>83</v>
      </c>
      <c r="F307" s="3" t="s">
        <v>437</v>
      </c>
      <c r="G307" s="3" t="s">
        <v>437</v>
      </c>
      <c r="H307" s="3" t="s">
        <v>2614</v>
      </c>
      <c r="I307" s="3" t="s">
        <v>6813</v>
      </c>
      <c r="J307" s="3" t="s">
        <v>2540</v>
      </c>
      <c r="K307" s="3" t="s">
        <v>6540</v>
      </c>
      <c r="L307" s="3" t="s">
        <v>2493</v>
      </c>
      <c r="M307" s="3" t="s">
        <v>6540</v>
      </c>
      <c r="N307" s="3" t="s">
        <v>1690</v>
      </c>
      <c r="O307" s="3" t="s">
        <v>6530</v>
      </c>
      <c r="P307" s="3" t="s">
        <v>2529</v>
      </c>
      <c r="Q307" s="3" t="s">
        <v>6518</v>
      </c>
      <c r="R307" s="3" t="s">
        <v>2505</v>
      </c>
      <c r="S307" s="3" t="s">
        <v>6647</v>
      </c>
      <c r="T307" s="3" t="s">
        <v>2698</v>
      </c>
      <c r="U307" s="3" t="s">
        <v>7154</v>
      </c>
      <c r="V307" s="3"/>
      <c r="W307" s="3"/>
      <c r="X307" s="3" t="s">
        <v>2608</v>
      </c>
      <c r="Y307" s="3" t="s">
        <v>6918</v>
      </c>
      <c r="Z307" s="3"/>
      <c r="AA307" s="3"/>
    </row>
    <row r="308" customFormat="false" ht="15" hidden="false" customHeight="true" outlineLevel="0" collapsed="false">
      <c r="A308" s="3" t="s">
        <v>2762</v>
      </c>
      <c r="B308" s="3" t="n">
        <v>4</v>
      </c>
      <c r="C308" s="3" t="n">
        <v>22</v>
      </c>
      <c r="D308" s="3" t="str">
        <f aca="false">Combined!G308</f>
        <v>Student age (≤29)</v>
      </c>
      <c r="E308" s="3" t="s">
        <v>45</v>
      </c>
      <c r="F308" s="3" t="s">
        <v>437</v>
      </c>
      <c r="G308" s="3" t="s">
        <v>47</v>
      </c>
      <c r="H308" s="3" t="s">
        <v>2538</v>
      </c>
      <c r="I308" s="3" t="s">
        <v>6616</v>
      </c>
      <c r="J308" s="3" t="s">
        <v>2503</v>
      </c>
      <c r="K308" s="3" t="s">
        <v>6920</v>
      </c>
      <c r="L308" s="3" t="s">
        <v>2540</v>
      </c>
      <c r="M308" s="3" t="s">
        <v>6540</v>
      </c>
      <c r="N308" s="3" t="s">
        <v>1690</v>
      </c>
      <c r="O308" s="3" t="s">
        <v>6530</v>
      </c>
      <c r="P308" s="3" t="s">
        <v>2610</v>
      </c>
      <c r="Q308" s="3" t="s">
        <v>6609</v>
      </c>
      <c r="R308" s="3" t="s">
        <v>2497</v>
      </c>
      <c r="S308" s="3" t="s">
        <v>6551</v>
      </c>
      <c r="T308" s="3"/>
      <c r="U308" s="3"/>
      <c r="V308" s="3"/>
      <c r="W308" s="3"/>
      <c r="X308" s="3"/>
      <c r="Y308" s="3"/>
      <c r="Z308" s="3"/>
      <c r="AA308" s="3"/>
    </row>
    <row r="309" customFormat="false" ht="15" hidden="false" customHeight="true" outlineLevel="0" collapsed="false">
      <c r="A309" s="3" t="s">
        <v>2763</v>
      </c>
      <c r="B309" s="3" t="n">
        <v>4</v>
      </c>
      <c r="C309" s="3" t="n">
        <v>22</v>
      </c>
      <c r="D309" s="3" t="str">
        <f aca="false">Combined!G309</f>
        <v>Student age (≤29)</v>
      </c>
      <c r="E309" s="3" t="s">
        <v>45</v>
      </c>
      <c r="F309" s="3" t="s">
        <v>47</v>
      </c>
      <c r="G309" s="3" t="s">
        <v>47</v>
      </c>
      <c r="H309" s="3" t="s">
        <v>2538</v>
      </c>
      <c r="I309" s="3" t="s">
        <v>6616</v>
      </c>
      <c r="J309" s="3" t="s">
        <v>2523</v>
      </c>
      <c r="K309" s="3" t="s">
        <v>6540</v>
      </c>
      <c r="L309" s="3" t="s">
        <v>2539</v>
      </c>
      <c r="M309" s="3" t="s">
        <v>6541</v>
      </c>
      <c r="N309" s="3" t="s">
        <v>59</v>
      </c>
      <c r="O309" s="3" t="s">
        <v>59</v>
      </c>
      <c r="P309" s="3" t="s">
        <v>2496</v>
      </c>
      <c r="Q309" s="3" t="s">
        <v>7143</v>
      </c>
      <c r="R309" s="3" t="s">
        <v>2546</v>
      </c>
      <c r="S309" s="3" t="s">
        <v>6581</v>
      </c>
      <c r="T309" s="3" t="s">
        <v>2765</v>
      </c>
      <c r="U309" s="3" t="s">
        <v>7144</v>
      </c>
      <c r="V309" s="3"/>
      <c r="W309" s="3"/>
      <c r="X309" s="3" t="s">
        <v>2508</v>
      </c>
      <c r="Y309" s="3" t="s">
        <v>6568</v>
      </c>
      <c r="Z309" s="3"/>
      <c r="AA309" s="3"/>
    </row>
    <row r="310" customFormat="false" ht="15" hidden="false" customHeight="true" outlineLevel="0" collapsed="false">
      <c r="A310" s="3" t="s">
        <v>2767</v>
      </c>
      <c r="B310" s="3" t="n">
        <v>4</v>
      </c>
      <c r="C310" s="3" t="n">
        <v>24</v>
      </c>
      <c r="D310" s="3" t="str">
        <f aca="false">Combined!G310</f>
        <v>Student age (≤29)</v>
      </c>
      <c r="E310" s="3" t="s">
        <v>83</v>
      </c>
      <c r="F310" s="3" t="s">
        <v>437</v>
      </c>
      <c r="G310" s="3" t="s">
        <v>47</v>
      </c>
      <c r="H310" s="3" t="s">
        <v>2538</v>
      </c>
      <c r="I310" s="3" t="s">
        <v>6616</v>
      </c>
      <c r="J310" s="3" t="s">
        <v>2524</v>
      </c>
      <c r="K310" s="3" t="s">
        <v>7148</v>
      </c>
      <c r="L310" s="3" t="s">
        <v>2524</v>
      </c>
      <c r="M310" s="3" t="s">
        <v>7148</v>
      </c>
      <c r="N310" s="3" t="s">
        <v>1690</v>
      </c>
      <c r="O310" s="3" t="s">
        <v>6530</v>
      </c>
      <c r="P310" s="3" t="s">
        <v>2504</v>
      </c>
      <c r="Q310" s="3" t="s">
        <v>7145</v>
      </c>
      <c r="R310" s="3" t="s">
        <v>2546</v>
      </c>
      <c r="S310" s="3" t="s">
        <v>6581</v>
      </c>
      <c r="T310" s="3" t="s">
        <v>2631</v>
      </c>
      <c r="U310" s="3" t="s">
        <v>7150</v>
      </c>
      <c r="V310" s="3"/>
      <c r="W310" s="3"/>
      <c r="X310" s="3" t="s">
        <v>2508</v>
      </c>
      <c r="Y310" s="3" t="s">
        <v>6568</v>
      </c>
      <c r="Z310" s="3"/>
      <c r="AA310" s="3"/>
    </row>
    <row r="311" customFormat="false" ht="15" hidden="false" customHeight="true" outlineLevel="0" collapsed="false">
      <c r="A311" s="3" t="s">
        <v>2768</v>
      </c>
      <c r="B311" s="3" t="n">
        <v>4</v>
      </c>
      <c r="C311" s="3" t="n">
        <v>21</v>
      </c>
      <c r="D311" s="3" t="str">
        <f aca="false">Combined!G311</f>
        <v>Student age (≤29)</v>
      </c>
      <c r="E311" s="3" t="s">
        <v>45</v>
      </c>
      <c r="F311" s="3" t="s">
        <v>437</v>
      </c>
      <c r="G311" s="3" t="s">
        <v>47</v>
      </c>
      <c r="H311" s="3" t="s">
        <v>2515</v>
      </c>
      <c r="I311" s="3" t="s">
        <v>6508</v>
      </c>
      <c r="J311" s="3" t="s">
        <v>2494</v>
      </c>
      <c r="K311" s="3" t="s">
        <v>6520</v>
      </c>
      <c r="L311" s="3" t="s">
        <v>2539</v>
      </c>
      <c r="M311" s="3" t="s">
        <v>6541</v>
      </c>
      <c r="N311" s="3" t="s">
        <v>59</v>
      </c>
      <c r="O311" s="3" t="s">
        <v>59</v>
      </c>
      <c r="P311" s="3" t="s">
        <v>2516</v>
      </c>
      <c r="Q311" s="3" t="s">
        <v>7146</v>
      </c>
      <c r="R311" s="3" t="s">
        <v>2551</v>
      </c>
      <c r="S311" s="3" t="s">
        <v>6679</v>
      </c>
      <c r="T311" s="3" t="s">
        <v>2770</v>
      </c>
      <c r="U311" s="3" t="s">
        <v>7162</v>
      </c>
      <c r="V311" s="3"/>
      <c r="W311" s="3"/>
      <c r="X311" s="3" t="s">
        <v>2549</v>
      </c>
      <c r="Y311" s="3" t="s">
        <v>6646</v>
      </c>
      <c r="Z311" s="3"/>
      <c r="AA311" s="3"/>
    </row>
    <row r="312" customFormat="false" ht="15" hidden="false" customHeight="true" outlineLevel="0" collapsed="false">
      <c r="A312" s="3" t="s">
        <v>2771</v>
      </c>
      <c r="B312" s="3" t="n">
        <v>4</v>
      </c>
      <c r="C312" s="3" t="n">
        <v>22</v>
      </c>
      <c r="D312" s="3" t="str">
        <f aca="false">Combined!G312</f>
        <v>Student age (≤29)</v>
      </c>
      <c r="E312" s="3" t="s">
        <v>45</v>
      </c>
      <c r="F312" s="3" t="s">
        <v>437</v>
      </c>
      <c r="G312" s="3" t="s">
        <v>47</v>
      </c>
      <c r="H312" s="3" t="s">
        <v>806</v>
      </c>
      <c r="I312" s="3" t="s">
        <v>6539</v>
      </c>
      <c r="J312" s="3" t="s">
        <v>2523</v>
      </c>
      <c r="K312" s="3" t="s">
        <v>6540</v>
      </c>
      <c r="L312" s="3" t="s">
        <v>2524</v>
      </c>
      <c r="M312" s="3" t="s">
        <v>7148</v>
      </c>
      <c r="N312" s="3" t="s">
        <v>59</v>
      </c>
      <c r="O312" s="3" t="s">
        <v>59</v>
      </c>
      <c r="P312" s="3" t="s">
        <v>2496</v>
      </c>
      <c r="Q312" s="3" t="s">
        <v>7143</v>
      </c>
      <c r="R312" s="3" t="s">
        <v>2546</v>
      </c>
      <c r="S312" s="3" t="s">
        <v>6581</v>
      </c>
      <c r="T312" s="3" t="s">
        <v>2773</v>
      </c>
      <c r="U312" s="3" t="s">
        <v>7147</v>
      </c>
      <c r="V312" s="3"/>
      <c r="W312" s="3"/>
      <c r="X312" s="3" t="s">
        <v>2508</v>
      </c>
      <c r="Y312" s="3" t="s">
        <v>6568</v>
      </c>
      <c r="Z312" s="3"/>
      <c r="AA312" s="3"/>
    </row>
    <row r="313" customFormat="false" ht="15" hidden="false" customHeight="true" outlineLevel="0" collapsed="false">
      <c r="A313" s="3" t="s">
        <v>2774</v>
      </c>
      <c r="B313" s="3" t="n">
        <v>4</v>
      </c>
      <c r="C313" s="3" t="n">
        <v>22</v>
      </c>
      <c r="D313" s="3" t="str">
        <f aca="false">Combined!G313</f>
        <v>Student age (≤29)</v>
      </c>
      <c r="E313" s="3" t="s">
        <v>83</v>
      </c>
      <c r="F313" s="3" t="s">
        <v>437</v>
      </c>
      <c r="G313" s="3" t="s">
        <v>47</v>
      </c>
      <c r="H313" s="3" t="s">
        <v>2538</v>
      </c>
      <c r="I313" s="3" t="s">
        <v>6616</v>
      </c>
      <c r="J313" s="3" t="s">
        <v>2539</v>
      </c>
      <c r="K313" s="3" t="s">
        <v>6541</v>
      </c>
      <c r="L313" s="3" t="s">
        <v>2539</v>
      </c>
      <c r="M313" s="3" t="s">
        <v>6541</v>
      </c>
      <c r="N313" s="3" t="s">
        <v>59</v>
      </c>
      <c r="O313" s="3" t="s">
        <v>59</v>
      </c>
      <c r="P313" s="3" t="s">
        <v>2504</v>
      </c>
      <c r="Q313" s="3" t="s">
        <v>7145</v>
      </c>
      <c r="R313" s="3" t="s">
        <v>2497</v>
      </c>
      <c r="S313" s="3" t="s">
        <v>6551</v>
      </c>
      <c r="T313" s="3" t="s">
        <v>2692</v>
      </c>
      <c r="U313" s="3" t="s">
        <v>6596</v>
      </c>
      <c r="V313" s="3"/>
      <c r="W313" s="3"/>
      <c r="X313" s="3" t="s">
        <v>2508</v>
      </c>
      <c r="Y313" s="3" t="s">
        <v>6568</v>
      </c>
      <c r="Z313" s="3"/>
      <c r="AA313" s="3"/>
    </row>
    <row r="314" customFormat="false" ht="15" hidden="false" customHeight="true" outlineLevel="0" collapsed="false">
      <c r="A314" s="3" t="s">
        <v>2776</v>
      </c>
      <c r="B314" s="3" t="n">
        <v>4</v>
      </c>
      <c r="C314" s="3" t="n">
        <v>23</v>
      </c>
      <c r="D314" s="3" t="str">
        <f aca="false">Combined!G314</f>
        <v>Student age (≤29)</v>
      </c>
      <c r="E314" s="3" t="s">
        <v>45</v>
      </c>
      <c r="F314" s="3" t="s">
        <v>437</v>
      </c>
      <c r="G314" s="3" t="s">
        <v>47</v>
      </c>
      <c r="H314" s="3" t="s">
        <v>2538</v>
      </c>
      <c r="I314" s="3" t="s">
        <v>6616</v>
      </c>
      <c r="J314" s="3" t="s">
        <v>2540</v>
      </c>
      <c r="K314" s="3" t="s">
        <v>6540</v>
      </c>
      <c r="L314" s="3" t="s">
        <v>2493</v>
      </c>
      <c r="M314" s="3" t="s">
        <v>6540</v>
      </c>
      <c r="N314" s="3" t="s">
        <v>59</v>
      </c>
      <c r="O314" s="3" t="s">
        <v>59</v>
      </c>
      <c r="P314" s="3" t="s">
        <v>2777</v>
      </c>
      <c r="Q314" s="3" t="s">
        <v>7175</v>
      </c>
      <c r="R314" s="3" t="s">
        <v>2505</v>
      </c>
      <c r="S314" s="3" t="s">
        <v>6647</v>
      </c>
      <c r="T314" s="3" t="s">
        <v>2779</v>
      </c>
      <c r="U314" s="3" t="s">
        <v>7155</v>
      </c>
      <c r="V314" s="3"/>
      <c r="W314" s="3"/>
      <c r="X314" s="3" t="s">
        <v>2628</v>
      </c>
      <c r="Y314" s="3" t="s">
        <v>6820</v>
      </c>
      <c r="Z314" s="3"/>
      <c r="AA314" s="3"/>
    </row>
    <row r="315" customFormat="false" ht="15" hidden="false" customHeight="true" outlineLevel="0" collapsed="false">
      <c r="A315" s="3" t="s">
        <v>2780</v>
      </c>
      <c r="B315" s="3" t="n">
        <v>4</v>
      </c>
      <c r="C315" s="3" t="n">
        <v>21</v>
      </c>
      <c r="D315" s="3" t="str">
        <f aca="false">Combined!G315</f>
        <v>Student age (≤29)</v>
      </c>
      <c r="E315" s="3" t="s">
        <v>45</v>
      </c>
      <c r="F315" s="3" t="s">
        <v>437</v>
      </c>
      <c r="G315" s="3" t="s">
        <v>47</v>
      </c>
      <c r="H315" s="3" t="s">
        <v>2515</v>
      </c>
      <c r="I315" s="3" t="s">
        <v>6508</v>
      </c>
      <c r="J315" s="3" t="s">
        <v>2493</v>
      </c>
      <c r="K315" s="3" t="s">
        <v>6540</v>
      </c>
      <c r="L315" s="3" t="s">
        <v>2540</v>
      </c>
      <c r="M315" s="3" t="s">
        <v>6540</v>
      </c>
      <c r="N315" s="3" t="s">
        <v>98</v>
      </c>
      <c r="O315" s="3" t="s">
        <v>6517</v>
      </c>
      <c r="P315" s="3" t="s">
        <v>2529</v>
      </c>
      <c r="Q315" s="3" t="s">
        <v>6518</v>
      </c>
      <c r="R315" s="3" t="s">
        <v>2546</v>
      </c>
      <c r="S315" s="3" t="s">
        <v>6581</v>
      </c>
      <c r="T315" s="3" t="s">
        <v>2782</v>
      </c>
      <c r="U315" s="3" t="s">
        <v>7150</v>
      </c>
      <c r="V315" s="3"/>
      <c r="W315" s="3"/>
      <c r="X315" s="3" t="s">
        <v>2508</v>
      </c>
      <c r="Y315" s="3" t="s">
        <v>6568</v>
      </c>
      <c r="Z315" s="3"/>
      <c r="AA315" s="3"/>
    </row>
    <row r="316" customFormat="false" ht="15" hidden="false" customHeight="true" outlineLevel="0" collapsed="false">
      <c r="A316" s="3" t="s">
        <v>2783</v>
      </c>
      <c r="B316" s="3" t="n">
        <v>4</v>
      </c>
      <c r="C316" s="3" t="n">
        <v>22</v>
      </c>
      <c r="D316" s="3" t="str">
        <f aca="false">Combined!G316</f>
        <v>Student age (≤29)</v>
      </c>
      <c r="E316" s="3" t="s">
        <v>83</v>
      </c>
      <c r="F316" s="3" t="s">
        <v>437</v>
      </c>
      <c r="G316" s="3" t="s">
        <v>47</v>
      </c>
      <c r="H316" s="3" t="s">
        <v>2515</v>
      </c>
      <c r="I316" s="3" t="s">
        <v>6508</v>
      </c>
      <c r="J316" s="3" t="s">
        <v>2493</v>
      </c>
      <c r="K316" s="3" t="s">
        <v>6540</v>
      </c>
      <c r="L316" s="3" t="s">
        <v>2539</v>
      </c>
      <c r="M316" s="3" t="s">
        <v>6541</v>
      </c>
      <c r="N316" s="3" t="s">
        <v>59</v>
      </c>
      <c r="O316" s="3" t="s">
        <v>59</v>
      </c>
      <c r="P316" s="3" t="s">
        <v>2516</v>
      </c>
      <c r="Q316" s="3" t="s">
        <v>7146</v>
      </c>
      <c r="R316" s="3" t="s">
        <v>2497</v>
      </c>
      <c r="S316" s="3" t="s">
        <v>6551</v>
      </c>
      <c r="T316" s="3" t="s">
        <v>2577</v>
      </c>
      <c r="U316" s="3" t="s">
        <v>7147</v>
      </c>
      <c r="V316" s="3"/>
      <c r="W316" s="3"/>
      <c r="X316" s="3" t="s">
        <v>2508</v>
      </c>
      <c r="Y316" s="3" t="s">
        <v>6568</v>
      </c>
      <c r="Z316" s="3"/>
      <c r="AA316" s="3"/>
    </row>
    <row r="317" customFormat="false" ht="15" hidden="false" customHeight="true" outlineLevel="0" collapsed="false">
      <c r="A317" s="3" t="s">
        <v>2785</v>
      </c>
      <c r="B317" s="3" t="n">
        <v>4</v>
      </c>
      <c r="C317" s="3" t="n">
        <v>20</v>
      </c>
      <c r="D317" s="3" t="str">
        <f aca="false">Combined!G317</f>
        <v>Student age (≤29)</v>
      </c>
      <c r="E317" s="3" t="s">
        <v>83</v>
      </c>
      <c r="F317" s="3" t="s">
        <v>437</v>
      </c>
      <c r="G317" s="3" t="s">
        <v>47</v>
      </c>
      <c r="H317" s="3" t="s">
        <v>2614</v>
      </c>
      <c r="I317" s="3" t="s">
        <v>6813</v>
      </c>
      <c r="J317" s="3" t="s">
        <v>2540</v>
      </c>
      <c r="K317" s="3" t="s">
        <v>6540</v>
      </c>
      <c r="L317" s="3" t="s">
        <v>2540</v>
      </c>
      <c r="M317" s="3" t="s">
        <v>6540</v>
      </c>
      <c r="N317" s="3" t="s">
        <v>59</v>
      </c>
      <c r="O317" s="3" t="s">
        <v>59</v>
      </c>
      <c r="P317" s="3" t="s">
        <v>2504</v>
      </c>
      <c r="Q317" s="3" t="s">
        <v>7145</v>
      </c>
      <c r="R317" s="3" t="s">
        <v>2546</v>
      </c>
      <c r="S317" s="3" t="s">
        <v>6581</v>
      </c>
      <c r="T317" s="3" t="s">
        <v>2787</v>
      </c>
      <c r="U317" s="3" t="s">
        <v>7147</v>
      </c>
      <c r="V317" s="3"/>
      <c r="W317" s="3"/>
      <c r="X317" s="3" t="s">
        <v>2628</v>
      </c>
      <c r="Y317" s="3" t="s">
        <v>6820</v>
      </c>
      <c r="Z317" s="3"/>
      <c r="AA317" s="3"/>
    </row>
    <row r="318" customFormat="false" ht="15" hidden="false" customHeight="true" outlineLevel="0" collapsed="false">
      <c r="A318" s="3" t="s">
        <v>2788</v>
      </c>
      <c r="B318" s="3" t="n">
        <v>4</v>
      </c>
      <c r="C318" s="3" t="n">
        <v>21</v>
      </c>
      <c r="D318" s="3" t="str">
        <f aca="false">Combined!G318</f>
        <v>Student age (≤29)</v>
      </c>
      <c r="E318" s="3" t="s">
        <v>45</v>
      </c>
      <c r="F318" s="3" t="s">
        <v>437</v>
      </c>
      <c r="G318" s="3" t="s">
        <v>47</v>
      </c>
      <c r="H318" s="3" t="s">
        <v>2515</v>
      </c>
      <c r="I318" s="3" t="s">
        <v>6508</v>
      </c>
      <c r="J318" s="3" t="s">
        <v>2510</v>
      </c>
      <c r="K318" s="3" t="s">
        <v>6540</v>
      </c>
      <c r="L318" s="3" t="s">
        <v>2523</v>
      </c>
      <c r="M318" s="3" t="s">
        <v>6540</v>
      </c>
      <c r="N318" s="3" t="s">
        <v>1690</v>
      </c>
      <c r="O318" s="3" t="s">
        <v>6530</v>
      </c>
      <c r="P318" s="3" t="s">
        <v>2789</v>
      </c>
      <c r="Q318" s="3" t="s">
        <v>7176</v>
      </c>
      <c r="R318" s="3" t="s">
        <v>2546</v>
      </c>
      <c r="S318" s="3" t="s">
        <v>6581</v>
      </c>
      <c r="T318" s="3" t="s">
        <v>2791</v>
      </c>
      <c r="U318" s="3" t="s">
        <v>7151</v>
      </c>
      <c r="V318" s="3"/>
      <c r="W318" s="3"/>
      <c r="X318" s="3" t="s">
        <v>2628</v>
      </c>
      <c r="Y318" s="3" t="s">
        <v>6820</v>
      </c>
      <c r="Z318" s="3"/>
      <c r="AA318" s="3"/>
    </row>
    <row r="319" customFormat="false" ht="15" hidden="false" customHeight="true" outlineLevel="0" collapsed="false">
      <c r="A319" s="3" t="s">
        <v>2792</v>
      </c>
      <c r="B319" s="3" t="n">
        <v>4</v>
      </c>
      <c r="C319" s="3" t="n">
        <v>22</v>
      </c>
      <c r="D319" s="3" t="str">
        <f aca="false">Combined!G319</f>
        <v>Student age (≤29)</v>
      </c>
      <c r="E319" s="3" t="s">
        <v>83</v>
      </c>
      <c r="F319" s="3" t="s">
        <v>437</v>
      </c>
      <c r="G319" s="3" t="s">
        <v>47</v>
      </c>
      <c r="H319" s="3" t="s">
        <v>2515</v>
      </c>
      <c r="I319" s="3" t="s">
        <v>6508</v>
      </c>
      <c r="J319" s="3" t="s">
        <v>2503</v>
      </c>
      <c r="K319" s="3" t="s">
        <v>6920</v>
      </c>
      <c r="L319" s="3" t="s">
        <v>2493</v>
      </c>
      <c r="M319" s="3" t="s">
        <v>6540</v>
      </c>
      <c r="N319" s="3" t="s">
        <v>1690</v>
      </c>
      <c r="O319" s="3" t="s">
        <v>6530</v>
      </c>
      <c r="P319" s="3" t="s">
        <v>2516</v>
      </c>
      <c r="Q319" s="3" t="s">
        <v>7146</v>
      </c>
      <c r="R319" s="3" t="s">
        <v>2497</v>
      </c>
      <c r="S319" s="3" t="s">
        <v>6551</v>
      </c>
      <c r="T319" s="3" t="s">
        <v>2794</v>
      </c>
      <c r="U319" s="3" t="s">
        <v>7155</v>
      </c>
      <c r="V319" s="3"/>
      <c r="W319" s="3"/>
      <c r="X319" s="3" t="s">
        <v>2628</v>
      </c>
      <c r="Y319" s="3" t="s">
        <v>6820</v>
      </c>
      <c r="Z319" s="3"/>
      <c r="AA319" s="3"/>
    </row>
    <row r="320" customFormat="false" ht="15" hidden="false" customHeight="true" outlineLevel="0" collapsed="false">
      <c r="A320" s="3" t="s">
        <v>2795</v>
      </c>
      <c r="B320" s="3" t="n">
        <v>4</v>
      </c>
      <c r="C320" s="3" t="n">
        <v>22</v>
      </c>
      <c r="D320" s="3" t="str">
        <f aca="false">Combined!G320</f>
        <v>Student age (≤29)</v>
      </c>
      <c r="E320" s="3" t="s">
        <v>83</v>
      </c>
      <c r="F320" s="3" t="s">
        <v>437</v>
      </c>
      <c r="G320" s="3" t="s">
        <v>47</v>
      </c>
      <c r="H320" s="3" t="s">
        <v>806</v>
      </c>
      <c r="I320" s="3" t="s">
        <v>6539</v>
      </c>
      <c r="J320" s="3" t="s">
        <v>2524</v>
      </c>
      <c r="K320" s="3" t="s">
        <v>7148</v>
      </c>
      <c r="L320" s="3" t="s">
        <v>2539</v>
      </c>
      <c r="M320" s="3" t="s">
        <v>6541</v>
      </c>
      <c r="N320" s="3" t="s">
        <v>1690</v>
      </c>
      <c r="O320" s="3" t="s">
        <v>6530</v>
      </c>
      <c r="P320" s="3" t="s">
        <v>2796</v>
      </c>
      <c r="Q320" s="3" t="s">
        <v>6560</v>
      </c>
      <c r="R320" s="3" t="s">
        <v>2497</v>
      </c>
      <c r="S320" s="3" t="s">
        <v>6551</v>
      </c>
      <c r="T320" s="3" t="s">
        <v>2797</v>
      </c>
      <c r="U320" s="3" t="s">
        <v>7154</v>
      </c>
      <c r="V320" s="3"/>
      <c r="W320" s="3"/>
      <c r="X320" s="3" t="s">
        <v>2549</v>
      </c>
      <c r="Y320" s="3" t="s">
        <v>6646</v>
      </c>
      <c r="Z320" s="3"/>
      <c r="AA320" s="3"/>
    </row>
    <row r="321" customFormat="false" ht="15" hidden="false" customHeight="true" outlineLevel="0" collapsed="false">
      <c r="A321" s="3" t="s">
        <v>2798</v>
      </c>
      <c r="B321" s="3" t="n">
        <v>4</v>
      </c>
      <c r="C321" s="3" t="n">
        <v>22</v>
      </c>
      <c r="D321" s="3" t="str">
        <f aca="false">Combined!G321</f>
        <v>Student age (≤29)</v>
      </c>
      <c r="E321" s="3" t="s">
        <v>83</v>
      </c>
      <c r="F321" s="3" t="s">
        <v>437</v>
      </c>
      <c r="G321" s="3" t="s">
        <v>47</v>
      </c>
      <c r="H321" s="3" t="s">
        <v>2614</v>
      </c>
      <c r="I321" s="3" t="s">
        <v>6813</v>
      </c>
      <c r="J321" s="3" t="s">
        <v>2523</v>
      </c>
      <c r="K321" s="3" t="s">
        <v>6540</v>
      </c>
      <c r="L321" s="3" t="s">
        <v>2540</v>
      </c>
      <c r="M321" s="3" t="s">
        <v>6540</v>
      </c>
      <c r="N321" s="3" t="s">
        <v>1690</v>
      </c>
      <c r="O321" s="3" t="s">
        <v>6530</v>
      </c>
      <c r="P321" s="3" t="s">
        <v>2641</v>
      </c>
      <c r="Q321" s="3" t="s">
        <v>6571</v>
      </c>
      <c r="R321" s="3" t="s">
        <v>2505</v>
      </c>
      <c r="S321" s="3" t="s">
        <v>6647</v>
      </c>
      <c r="T321" s="3" t="s">
        <v>2499</v>
      </c>
      <c r="U321" s="3" t="s">
        <v>7144</v>
      </c>
      <c r="V321" s="3"/>
      <c r="W321" s="3"/>
      <c r="X321" s="3" t="s">
        <v>2508</v>
      </c>
      <c r="Y321" s="3" t="s">
        <v>6568</v>
      </c>
      <c r="Z321" s="3"/>
      <c r="AA321" s="3"/>
    </row>
    <row r="322" customFormat="false" ht="15" hidden="false" customHeight="true" outlineLevel="0" collapsed="false">
      <c r="A322" s="3" t="s">
        <v>2800</v>
      </c>
      <c r="B322" s="3" t="n">
        <v>4</v>
      </c>
      <c r="C322" s="3" t="n">
        <v>22</v>
      </c>
      <c r="D322" s="3" t="str">
        <f aca="false">Combined!G322</f>
        <v>Student age (≤29)</v>
      </c>
      <c r="E322" s="3" t="s">
        <v>45</v>
      </c>
      <c r="F322" s="3" t="s">
        <v>437</v>
      </c>
      <c r="G322" s="3" t="s">
        <v>2651</v>
      </c>
      <c r="H322" s="3" t="s">
        <v>2538</v>
      </c>
      <c r="I322" s="3" t="s">
        <v>6616</v>
      </c>
      <c r="J322" s="3" t="s">
        <v>2523</v>
      </c>
      <c r="K322" s="3" t="s">
        <v>6540</v>
      </c>
      <c r="L322" s="3" t="s">
        <v>2523</v>
      </c>
      <c r="M322" s="3" t="s">
        <v>6540</v>
      </c>
      <c r="N322" s="3" t="s">
        <v>1690</v>
      </c>
      <c r="O322" s="3" t="s">
        <v>6530</v>
      </c>
      <c r="P322" s="3" t="s">
        <v>2801</v>
      </c>
      <c r="Q322" s="3" t="s">
        <v>7167</v>
      </c>
      <c r="R322" s="3" t="s">
        <v>2497</v>
      </c>
      <c r="S322" s="3" t="s">
        <v>6551</v>
      </c>
      <c r="T322" s="3" t="s">
        <v>2803</v>
      </c>
      <c r="U322" s="3" t="s">
        <v>7144</v>
      </c>
      <c r="V322" s="3"/>
      <c r="W322" s="3"/>
      <c r="X322" s="3" t="s">
        <v>2508</v>
      </c>
      <c r="Y322" s="3" t="s">
        <v>6568</v>
      </c>
      <c r="Z322" s="3"/>
      <c r="AA322" s="3"/>
    </row>
    <row r="323" customFormat="false" ht="15" hidden="false" customHeight="true" outlineLevel="0" collapsed="false">
      <c r="A323" s="3" t="s">
        <v>2804</v>
      </c>
      <c r="B323" s="3" t="n">
        <v>4</v>
      </c>
      <c r="C323" s="3" t="n">
        <v>31</v>
      </c>
      <c r="D323" s="3" t="str">
        <f aca="false">Combined!G323</f>
        <v>Middle-aged (30–64)</v>
      </c>
      <c r="E323" s="3" t="s">
        <v>83</v>
      </c>
      <c r="F323" s="3" t="s">
        <v>437</v>
      </c>
      <c r="G323" s="3" t="s">
        <v>437</v>
      </c>
      <c r="H323" s="3" t="s">
        <v>2614</v>
      </c>
      <c r="I323" s="3" t="s">
        <v>6813</v>
      </c>
      <c r="J323" s="3" t="s">
        <v>2493</v>
      </c>
      <c r="K323" s="3" t="s">
        <v>6540</v>
      </c>
      <c r="L323" s="3" t="s">
        <v>2539</v>
      </c>
      <c r="M323" s="3" t="s">
        <v>6541</v>
      </c>
      <c r="N323" s="3" t="s">
        <v>1690</v>
      </c>
      <c r="O323" s="3" t="s">
        <v>6530</v>
      </c>
      <c r="P323" s="3" t="s">
        <v>2529</v>
      </c>
      <c r="Q323" s="3" t="s">
        <v>6518</v>
      </c>
      <c r="R323" s="3" t="s">
        <v>2497</v>
      </c>
      <c r="S323" s="3" t="s">
        <v>6551</v>
      </c>
      <c r="T323" s="3" t="s">
        <v>2806</v>
      </c>
      <c r="U323" s="3" t="s">
        <v>7152</v>
      </c>
      <c r="V323" s="3"/>
      <c r="W323" s="3"/>
      <c r="X323" s="3" t="s">
        <v>2508</v>
      </c>
      <c r="Y323" s="3" t="s">
        <v>6568</v>
      </c>
      <c r="Z323" s="3"/>
      <c r="AA323" s="3"/>
    </row>
    <row r="324" customFormat="false" ht="15" hidden="false" customHeight="true" outlineLevel="0" collapsed="false">
      <c r="A324" s="3" t="s">
        <v>2807</v>
      </c>
      <c r="B324" s="3" t="n">
        <v>4</v>
      </c>
      <c r="C324" s="3" t="n">
        <v>26</v>
      </c>
      <c r="D324" s="3" t="str">
        <f aca="false">Combined!G324</f>
        <v>Student age (≤29)</v>
      </c>
      <c r="E324" s="3" t="s">
        <v>83</v>
      </c>
      <c r="F324" s="3" t="s">
        <v>437</v>
      </c>
      <c r="G324" s="3" t="s">
        <v>437</v>
      </c>
      <c r="H324" s="3" t="s">
        <v>2538</v>
      </c>
      <c r="I324" s="3" t="s">
        <v>6616</v>
      </c>
      <c r="J324" s="3" t="s">
        <v>2493</v>
      </c>
      <c r="K324" s="3" t="s">
        <v>6540</v>
      </c>
      <c r="L324" s="3" t="s">
        <v>2493</v>
      </c>
      <c r="M324" s="3" t="s">
        <v>6540</v>
      </c>
      <c r="N324" s="3" t="s">
        <v>1690</v>
      </c>
      <c r="O324" s="3" t="s">
        <v>6530</v>
      </c>
      <c r="P324" s="3" t="s">
        <v>2602</v>
      </c>
      <c r="Q324" s="3" t="s">
        <v>7157</v>
      </c>
      <c r="R324" s="3" t="s">
        <v>2546</v>
      </c>
      <c r="S324" s="3" t="s">
        <v>6581</v>
      </c>
      <c r="T324" s="3" t="s">
        <v>2808</v>
      </c>
      <c r="U324" s="3" t="s">
        <v>7151</v>
      </c>
      <c r="V324" s="3"/>
      <c r="W324" s="3"/>
      <c r="X324" s="3" t="s">
        <v>2508</v>
      </c>
      <c r="Y324" s="3" t="s">
        <v>6568</v>
      </c>
      <c r="Z324" s="3"/>
      <c r="AA324" s="3"/>
    </row>
    <row r="325" customFormat="false" ht="15" hidden="false" customHeight="true" outlineLevel="0" collapsed="false">
      <c r="A325" s="3" t="s">
        <v>2809</v>
      </c>
      <c r="B325" s="3" t="n">
        <v>4</v>
      </c>
      <c r="C325" s="3" t="n">
        <v>22</v>
      </c>
      <c r="D325" s="3" t="str">
        <f aca="false">Combined!G325</f>
        <v>Student age (≤29)</v>
      </c>
      <c r="E325" s="3" t="s">
        <v>45</v>
      </c>
      <c r="F325" s="3" t="s">
        <v>437</v>
      </c>
      <c r="G325" s="3" t="s">
        <v>2651</v>
      </c>
      <c r="H325" s="3" t="s">
        <v>2538</v>
      </c>
      <c r="I325" s="3" t="s">
        <v>6616</v>
      </c>
      <c r="J325" s="3" t="s">
        <v>2523</v>
      </c>
      <c r="K325" s="3" t="s">
        <v>6540</v>
      </c>
      <c r="L325" s="3" t="s">
        <v>2524</v>
      </c>
      <c r="M325" s="3" t="s">
        <v>7148</v>
      </c>
      <c r="N325" s="3" t="s">
        <v>1690</v>
      </c>
      <c r="O325" s="3" t="s">
        <v>6530</v>
      </c>
      <c r="P325" s="3" t="s">
        <v>2511</v>
      </c>
      <c r="Q325" s="3" t="s">
        <v>7146</v>
      </c>
      <c r="R325" s="3" t="s">
        <v>2505</v>
      </c>
      <c r="S325" s="3" t="s">
        <v>6647</v>
      </c>
      <c r="T325" s="3" t="s">
        <v>2813</v>
      </c>
      <c r="U325" s="3" t="s">
        <v>7162</v>
      </c>
      <c r="V325" s="3"/>
      <c r="W325" s="3"/>
      <c r="X325" s="3" t="s">
        <v>2549</v>
      </c>
      <c r="Y325" s="3" t="s">
        <v>6646</v>
      </c>
      <c r="Z325" s="3"/>
      <c r="AA325" s="3"/>
    </row>
    <row r="326" customFormat="false" ht="15" hidden="false" customHeight="true" outlineLevel="0" collapsed="false">
      <c r="A326" s="3" t="s">
        <v>2814</v>
      </c>
      <c r="B326" s="3" t="n">
        <v>4</v>
      </c>
      <c r="C326" s="3" t="n">
        <v>22</v>
      </c>
      <c r="D326" s="3" t="str">
        <f aca="false">Combined!G326</f>
        <v>Student age (≤29)</v>
      </c>
      <c r="E326" s="3" t="s">
        <v>45</v>
      </c>
      <c r="F326" s="3" t="s">
        <v>437</v>
      </c>
      <c r="G326" s="3" t="s">
        <v>47</v>
      </c>
      <c r="H326" s="3" t="s">
        <v>2515</v>
      </c>
      <c r="I326" s="3" t="s">
        <v>6508</v>
      </c>
      <c r="J326" s="3" t="s">
        <v>2493</v>
      </c>
      <c r="K326" s="3" t="s">
        <v>6540</v>
      </c>
      <c r="L326" s="3" t="s">
        <v>2503</v>
      </c>
      <c r="M326" s="3" t="s">
        <v>6920</v>
      </c>
      <c r="N326" s="3" t="s">
        <v>1690</v>
      </c>
      <c r="O326" s="3" t="s">
        <v>6530</v>
      </c>
      <c r="P326" s="3" t="s">
        <v>2504</v>
      </c>
      <c r="Q326" s="3" t="s">
        <v>7145</v>
      </c>
      <c r="R326" s="3" t="s">
        <v>2242</v>
      </c>
      <c r="S326" s="3" t="s">
        <v>6538</v>
      </c>
      <c r="T326" s="3" t="s">
        <v>2816</v>
      </c>
      <c r="U326" s="3" t="s">
        <v>7155</v>
      </c>
      <c r="V326" s="3"/>
      <c r="W326" s="3"/>
      <c r="X326" s="3" t="s">
        <v>2549</v>
      </c>
      <c r="Y326" s="3" t="s">
        <v>6646</v>
      </c>
      <c r="Z326" s="3"/>
      <c r="AA326" s="3"/>
    </row>
    <row r="327" customFormat="false" ht="15" hidden="false" customHeight="true" outlineLevel="0" collapsed="false">
      <c r="A327" s="3" t="s">
        <v>2817</v>
      </c>
      <c r="B327" s="3" t="n">
        <v>4</v>
      </c>
      <c r="C327" s="3" t="n">
        <v>22</v>
      </c>
      <c r="D327" s="3" t="str">
        <f aca="false">Combined!G327</f>
        <v>Student age (≤29)</v>
      </c>
      <c r="E327" s="3" t="s">
        <v>45</v>
      </c>
      <c r="F327" s="3" t="s">
        <v>437</v>
      </c>
      <c r="G327" s="3" t="s">
        <v>47</v>
      </c>
      <c r="H327" s="3" t="s">
        <v>806</v>
      </c>
      <c r="I327" s="3" t="s">
        <v>6539</v>
      </c>
      <c r="J327" s="3" t="s">
        <v>2540</v>
      </c>
      <c r="K327" s="3" t="s">
        <v>6540</v>
      </c>
      <c r="L327" s="3" t="s">
        <v>2540</v>
      </c>
      <c r="M327" s="3" t="s">
        <v>6540</v>
      </c>
      <c r="N327" s="3" t="s">
        <v>59</v>
      </c>
      <c r="O327" s="3" t="s">
        <v>59</v>
      </c>
      <c r="P327" s="3" t="s">
        <v>2610</v>
      </c>
      <c r="Q327" s="3" t="s">
        <v>6609</v>
      </c>
      <c r="R327" s="3" t="s">
        <v>2551</v>
      </c>
      <c r="S327" s="3" t="s">
        <v>6679</v>
      </c>
      <c r="T327" s="3" t="s">
        <v>2818</v>
      </c>
      <c r="U327" s="3" t="s">
        <v>7144</v>
      </c>
      <c r="V327" s="3"/>
      <c r="W327" s="3"/>
      <c r="X327" s="3" t="s">
        <v>2500</v>
      </c>
      <c r="Y327" s="3" t="s">
        <v>6538</v>
      </c>
      <c r="Z327" s="3"/>
      <c r="AA327" s="3"/>
    </row>
    <row r="328" customFormat="false" ht="15" hidden="false" customHeight="true" outlineLevel="0" collapsed="false">
      <c r="A328" s="3" t="s">
        <v>2819</v>
      </c>
      <c r="B328" s="3" t="n">
        <v>4</v>
      </c>
      <c r="C328" s="3" t="n">
        <v>22</v>
      </c>
      <c r="D328" s="3" t="str">
        <f aca="false">Combined!G328</f>
        <v>Student age (≤29)</v>
      </c>
      <c r="E328" s="3" t="s">
        <v>83</v>
      </c>
      <c r="F328" s="3" t="s">
        <v>437</v>
      </c>
      <c r="G328" s="3" t="s">
        <v>47</v>
      </c>
      <c r="H328" s="3" t="s">
        <v>2515</v>
      </c>
      <c r="I328" s="3" t="s">
        <v>6508</v>
      </c>
      <c r="J328" s="3" t="s">
        <v>2523</v>
      </c>
      <c r="K328" s="3" t="s">
        <v>6540</v>
      </c>
      <c r="L328" s="3" t="s">
        <v>2523</v>
      </c>
      <c r="M328" s="3" t="s">
        <v>6540</v>
      </c>
      <c r="N328" s="3" t="s">
        <v>2242</v>
      </c>
      <c r="O328" s="3" t="s">
        <v>1625</v>
      </c>
      <c r="P328" s="3" t="s">
        <v>2496</v>
      </c>
      <c r="Q328" s="3" t="s">
        <v>7143</v>
      </c>
      <c r="R328" s="3" t="s">
        <v>2497</v>
      </c>
      <c r="S328" s="3" t="s">
        <v>6551</v>
      </c>
      <c r="T328" s="3" t="s">
        <v>2820</v>
      </c>
      <c r="U328" s="3" t="s">
        <v>7160</v>
      </c>
      <c r="V328" s="3"/>
      <c r="W328" s="3"/>
      <c r="X328" s="3" t="s">
        <v>2508</v>
      </c>
      <c r="Y328" s="3" t="s">
        <v>6568</v>
      </c>
      <c r="Z328" s="3"/>
      <c r="AA328" s="3"/>
    </row>
    <row r="329" customFormat="false" ht="15" hidden="false" customHeight="true" outlineLevel="0" collapsed="false">
      <c r="A329" s="3" t="s">
        <v>2821</v>
      </c>
      <c r="B329" s="3" t="n">
        <v>4</v>
      </c>
      <c r="C329" s="3" t="n">
        <v>52</v>
      </c>
      <c r="D329" s="3" t="str">
        <f aca="false">Combined!G329</f>
        <v>Middle-aged (30–64)</v>
      </c>
      <c r="E329" s="3" t="s">
        <v>45</v>
      </c>
      <c r="F329" s="3" t="s">
        <v>437</v>
      </c>
      <c r="G329" s="3" t="s">
        <v>437</v>
      </c>
      <c r="H329" s="3" t="s">
        <v>2614</v>
      </c>
      <c r="I329" s="3" t="s">
        <v>6813</v>
      </c>
      <c r="J329" s="3" t="s">
        <v>2523</v>
      </c>
      <c r="K329" s="3" t="s">
        <v>6540</v>
      </c>
      <c r="L329" s="3" t="s">
        <v>2523</v>
      </c>
      <c r="M329" s="3" t="s">
        <v>6540</v>
      </c>
      <c r="N329" s="3" t="s">
        <v>2242</v>
      </c>
      <c r="O329" s="3" t="s">
        <v>1625</v>
      </c>
      <c r="P329" s="3" t="s">
        <v>2525</v>
      </c>
      <c r="Q329" s="3" t="s">
        <v>7149</v>
      </c>
      <c r="R329" s="3" t="s">
        <v>2546</v>
      </c>
      <c r="S329" s="3" t="s">
        <v>6581</v>
      </c>
      <c r="T329" s="3" t="s">
        <v>2542</v>
      </c>
      <c r="U329" s="3" t="s">
        <v>7147</v>
      </c>
      <c r="V329" s="3"/>
      <c r="W329" s="3"/>
      <c r="X329" s="3" t="s">
        <v>2508</v>
      </c>
      <c r="Y329" s="3" t="s">
        <v>6568</v>
      </c>
      <c r="Z329" s="3"/>
      <c r="AA329" s="3"/>
    </row>
    <row r="330" customFormat="false" ht="15" hidden="false" customHeight="true" outlineLevel="0" collapsed="false">
      <c r="A330" s="3" t="s">
        <v>2823</v>
      </c>
      <c r="B330" s="3" t="n">
        <v>4</v>
      </c>
      <c r="C330" s="3" t="n">
        <v>25</v>
      </c>
      <c r="D330" s="3" t="str">
        <f aca="false">Combined!G330</f>
        <v>Student age (≤29)</v>
      </c>
      <c r="E330" s="3" t="s">
        <v>83</v>
      </c>
      <c r="F330" s="3" t="s">
        <v>47</v>
      </c>
      <c r="G330" s="3" t="s">
        <v>47</v>
      </c>
      <c r="H330" s="3" t="s">
        <v>2515</v>
      </c>
      <c r="I330" s="3" t="s">
        <v>6508</v>
      </c>
      <c r="J330" s="3" t="s">
        <v>2523</v>
      </c>
      <c r="K330" s="3" t="s">
        <v>6540</v>
      </c>
      <c r="L330" s="3" t="s">
        <v>2503</v>
      </c>
      <c r="M330" s="3" t="s">
        <v>6920</v>
      </c>
      <c r="N330" s="3" t="s">
        <v>2242</v>
      </c>
      <c r="O330" s="3" t="s">
        <v>1625</v>
      </c>
      <c r="P330" s="3" t="s">
        <v>2516</v>
      </c>
      <c r="Q330" s="3" t="s">
        <v>7146</v>
      </c>
      <c r="R330" s="3" t="s">
        <v>2546</v>
      </c>
      <c r="S330" s="3" t="s">
        <v>6581</v>
      </c>
      <c r="T330" s="3" t="s">
        <v>2825</v>
      </c>
      <c r="U330" s="3" t="s">
        <v>7151</v>
      </c>
      <c r="V330" s="3"/>
      <c r="W330" s="3"/>
      <c r="X330" s="3" t="s">
        <v>2628</v>
      </c>
      <c r="Y330" s="3" t="s">
        <v>6820</v>
      </c>
      <c r="Z330" s="3"/>
      <c r="AA330" s="3"/>
    </row>
    <row r="331" customFormat="false" ht="15" hidden="false" customHeight="true" outlineLevel="0" collapsed="false">
      <c r="A331" s="3" t="s">
        <v>2826</v>
      </c>
      <c r="B331" s="3" t="n">
        <v>4</v>
      </c>
      <c r="C331" s="3" t="n">
        <v>43</v>
      </c>
      <c r="D331" s="3" t="str">
        <f aca="false">Combined!G331</f>
        <v>Middle-aged (30–64)</v>
      </c>
      <c r="E331" s="3" t="s">
        <v>45</v>
      </c>
      <c r="F331" s="3" t="s">
        <v>437</v>
      </c>
      <c r="G331" s="3" t="s">
        <v>47</v>
      </c>
      <c r="H331" s="3" t="s">
        <v>2515</v>
      </c>
      <c r="I331" s="3" t="s">
        <v>6508</v>
      </c>
      <c r="J331" s="3" t="s">
        <v>2494</v>
      </c>
      <c r="K331" s="3" t="s">
        <v>6520</v>
      </c>
      <c r="L331" s="3" t="s">
        <v>2494</v>
      </c>
      <c r="M331" s="3" t="s">
        <v>6520</v>
      </c>
      <c r="N331" s="3" t="s">
        <v>59</v>
      </c>
      <c r="O331" s="3" t="s">
        <v>59</v>
      </c>
      <c r="P331" s="3" t="s">
        <v>2617</v>
      </c>
      <c r="Q331" s="3" t="s">
        <v>7163</v>
      </c>
      <c r="R331" s="3" t="s">
        <v>2497</v>
      </c>
      <c r="S331" s="3" t="s">
        <v>6551</v>
      </c>
      <c r="T331" s="3" t="s">
        <v>2542</v>
      </c>
      <c r="U331" s="3" t="s">
        <v>7147</v>
      </c>
      <c r="V331" s="3"/>
      <c r="W331" s="3"/>
      <c r="X331" s="3" t="s">
        <v>2628</v>
      </c>
      <c r="Y331" s="3" t="s">
        <v>6820</v>
      </c>
      <c r="Z331" s="3"/>
      <c r="AA331" s="3"/>
    </row>
    <row r="332" customFormat="false" ht="15" hidden="false" customHeight="true" outlineLevel="0" collapsed="false">
      <c r="A332" s="3" t="s">
        <v>2827</v>
      </c>
      <c r="B332" s="3" t="n">
        <v>4</v>
      </c>
      <c r="C332" s="3" t="n">
        <v>28</v>
      </c>
      <c r="D332" s="3" t="str">
        <f aca="false">Combined!G332</f>
        <v>Student age (≤29)</v>
      </c>
      <c r="E332" s="3" t="s">
        <v>83</v>
      </c>
      <c r="F332" s="3" t="s">
        <v>47</v>
      </c>
      <c r="G332" s="3" t="s">
        <v>47</v>
      </c>
      <c r="H332" s="3" t="s">
        <v>2515</v>
      </c>
      <c r="I332" s="3" t="s">
        <v>6508</v>
      </c>
      <c r="J332" s="3" t="s">
        <v>2494</v>
      </c>
      <c r="K332" s="3" t="s">
        <v>6520</v>
      </c>
      <c r="L332" s="3" t="s">
        <v>2539</v>
      </c>
      <c r="M332" s="3" t="s">
        <v>6541</v>
      </c>
      <c r="N332" s="3" t="s">
        <v>1690</v>
      </c>
      <c r="O332" s="3" t="s">
        <v>6530</v>
      </c>
      <c r="P332" s="3" t="s">
        <v>2496</v>
      </c>
      <c r="Q332" s="3" t="s">
        <v>7143</v>
      </c>
      <c r="R332" s="3" t="s">
        <v>2497</v>
      </c>
      <c r="S332" s="3" t="s">
        <v>6551</v>
      </c>
      <c r="T332" s="3" t="s">
        <v>2829</v>
      </c>
      <c r="U332" s="3" t="s">
        <v>7151</v>
      </c>
      <c r="V332" s="3"/>
      <c r="W332" s="3"/>
      <c r="X332" s="3" t="s">
        <v>2608</v>
      </c>
      <c r="Y332" s="3" t="s">
        <v>6918</v>
      </c>
      <c r="Z332" s="3"/>
      <c r="AA332" s="3"/>
    </row>
    <row r="333" customFormat="false" ht="15" hidden="false" customHeight="true" outlineLevel="0" collapsed="false">
      <c r="A333" s="3" t="s">
        <v>2830</v>
      </c>
      <c r="B333" s="3" t="n">
        <v>4</v>
      </c>
      <c r="C333" s="3" t="n">
        <v>24</v>
      </c>
      <c r="D333" s="3" t="str">
        <f aca="false">Combined!G333</f>
        <v>Student age (≤29)</v>
      </c>
      <c r="E333" s="3" t="s">
        <v>83</v>
      </c>
      <c r="F333" s="3" t="s">
        <v>437</v>
      </c>
      <c r="G333" s="3" t="s">
        <v>47</v>
      </c>
      <c r="H333" s="3" t="s">
        <v>2538</v>
      </c>
      <c r="I333" s="3" t="s">
        <v>6616</v>
      </c>
      <c r="J333" s="3" t="s">
        <v>2493</v>
      </c>
      <c r="K333" s="3" t="s">
        <v>6540</v>
      </c>
      <c r="L333" s="3" t="s">
        <v>2524</v>
      </c>
      <c r="M333" s="3" t="s">
        <v>7148</v>
      </c>
      <c r="N333" s="3" t="s">
        <v>1690</v>
      </c>
      <c r="O333" s="3" t="s">
        <v>6530</v>
      </c>
      <c r="P333" s="3" t="s">
        <v>2516</v>
      </c>
      <c r="Q333" s="3" t="s">
        <v>7146</v>
      </c>
      <c r="R333" s="3" t="s">
        <v>2546</v>
      </c>
      <c r="S333" s="3" t="s">
        <v>6581</v>
      </c>
      <c r="T333" s="3" t="s">
        <v>2829</v>
      </c>
      <c r="U333" s="3" t="s">
        <v>7151</v>
      </c>
      <c r="V333" s="3"/>
      <c r="W333" s="3"/>
      <c r="X333" s="3" t="s">
        <v>2519</v>
      </c>
      <c r="Y333" s="3" t="s">
        <v>6651</v>
      </c>
      <c r="Z333" s="3"/>
      <c r="AA333" s="3"/>
    </row>
    <row r="334" customFormat="false" ht="15" hidden="false" customHeight="true" outlineLevel="0" collapsed="false">
      <c r="A334" s="3" t="s">
        <v>2832</v>
      </c>
      <c r="B334" s="3" t="n">
        <v>5</v>
      </c>
      <c r="C334" s="3" t="n">
        <v>24</v>
      </c>
      <c r="D334" s="3" t="str">
        <f aca="false">Combined!G334</f>
        <v>Student age (≤29)</v>
      </c>
      <c r="E334" s="3" t="s">
        <v>45</v>
      </c>
      <c r="F334" s="3" t="s">
        <v>47</v>
      </c>
      <c r="G334" s="3" t="s">
        <v>47</v>
      </c>
      <c r="H334" s="3" t="s">
        <v>2833</v>
      </c>
      <c r="I334" s="3" t="s">
        <v>6675</v>
      </c>
      <c r="J334" s="3" t="s">
        <v>2834</v>
      </c>
      <c r="K334" s="3" t="s">
        <v>6611</v>
      </c>
      <c r="L334" s="3" t="s">
        <v>2835</v>
      </c>
      <c r="M334" s="3" t="s">
        <v>7177</v>
      </c>
      <c r="N334" s="3" t="s">
        <v>98</v>
      </c>
      <c r="O334" s="3" t="s">
        <v>6517</v>
      </c>
      <c r="P334" s="3" t="s">
        <v>2836</v>
      </c>
      <c r="Q334" s="3" t="s">
        <v>6580</v>
      </c>
      <c r="R334" s="3" t="s">
        <v>2837</v>
      </c>
      <c r="S334" s="3" t="s">
        <v>6690</v>
      </c>
      <c r="T334" s="3" t="s">
        <v>2839</v>
      </c>
      <c r="U334" s="3" t="s">
        <v>6551</v>
      </c>
      <c r="V334" s="3" t="s">
        <v>2840</v>
      </c>
      <c r="W334" s="3" t="s">
        <v>6540</v>
      </c>
      <c r="X334" s="3" t="s">
        <v>2841</v>
      </c>
      <c r="Y334" s="3" t="s">
        <v>6568</v>
      </c>
      <c r="Z334" s="3"/>
      <c r="AA334" s="3"/>
    </row>
    <row r="335" customFormat="false" ht="15" hidden="false" customHeight="true" outlineLevel="0" collapsed="false">
      <c r="A335" s="3" t="s">
        <v>2842</v>
      </c>
      <c r="B335" s="3" t="n">
        <v>5</v>
      </c>
      <c r="C335" s="3" t="n">
        <v>56</v>
      </c>
      <c r="D335" s="3" t="str">
        <f aca="false">Combined!G335</f>
        <v>Middle-aged (30–64)</v>
      </c>
      <c r="E335" s="3" t="s">
        <v>83</v>
      </c>
      <c r="F335" s="3" t="s">
        <v>47</v>
      </c>
      <c r="G335" s="3" t="s">
        <v>47</v>
      </c>
      <c r="H335" s="3" t="s">
        <v>2843</v>
      </c>
      <c r="I335" s="3" t="s">
        <v>7104</v>
      </c>
      <c r="J335" s="3" t="s">
        <v>2844</v>
      </c>
      <c r="K335" s="3" t="s">
        <v>6516</v>
      </c>
      <c r="L335" s="3" t="s">
        <v>2845</v>
      </c>
      <c r="M335" s="3" t="s">
        <v>7025</v>
      </c>
      <c r="N335" s="3" t="s">
        <v>2846</v>
      </c>
      <c r="O335" s="3" t="s">
        <v>6511</v>
      </c>
      <c r="P335" s="3" t="s">
        <v>2847</v>
      </c>
      <c r="Q335" s="3" t="s">
        <v>6512</v>
      </c>
      <c r="R335" s="3" t="s">
        <v>2848</v>
      </c>
      <c r="S335" s="3" t="s">
        <v>6632</v>
      </c>
      <c r="T335" s="3" t="s">
        <v>2850</v>
      </c>
      <c r="U335" s="3" t="s">
        <v>6551</v>
      </c>
      <c r="V335" s="3" t="s">
        <v>2851</v>
      </c>
      <c r="W335" s="3" t="s">
        <v>6522</v>
      </c>
      <c r="X335" s="3" t="s">
        <v>2852</v>
      </c>
      <c r="Y335" s="3" t="s">
        <v>7178</v>
      </c>
      <c r="Z335" s="3" t="s">
        <v>2853</v>
      </c>
      <c r="AA335" s="3" t="s">
        <v>6906</v>
      </c>
    </row>
    <row r="336" customFormat="false" ht="15" hidden="false" customHeight="true" outlineLevel="0" collapsed="false">
      <c r="A336" s="3" t="s">
        <v>2855</v>
      </c>
      <c r="B336" s="3" t="n">
        <v>5</v>
      </c>
      <c r="C336" s="3" t="n">
        <v>23</v>
      </c>
      <c r="D336" s="3" t="str">
        <f aca="false">Combined!G336</f>
        <v>Student age (≤29)</v>
      </c>
      <c r="E336" s="3" t="s">
        <v>83</v>
      </c>
      <c r="F336" s="3" t="s">
        <v>47</v>
      </c>
      <c r="G336" s="3" t="s">
        <v>47</v>
      </c>
      <c r="H336" s="3" t="s">
        <v>2856</v>
      </c>
      <c r="I336" s="3" t="s">
        <v>6539</v>
      </c>
      <c r="J336" s="3" t="s">
        <v>2857</v>
      </c>
      <c r="K336" s="3" t="s">
        <v>6956</v>
      </c>
      <c r="L336" s="3" t="s">
        <v>2858</v>
      </c>
      <c r="M336" s="3" t="s">
        <v>6569</v>
      </c>
      <c r="N336" s="3" t="s">
        <v>2859</v>
      </c>
      <c r="O336" s="3" t="s">
        <v>6511</v>
      </c>
      <c r="P336" s="3" t="s">
        <v>2860</v>
      </c>
      <c r="Q336" s="3" t="s">
        <v>6634</v>
      </c>
      <c r="R336" s="3" t="s">
        <v>2861</v>
      </c>
      <c r="S336" s="3" t="s">
        <v>6685</v>
      </c>
      <c r="T336" s="3" t="s">
        <v>2863</v>
      </c>
      <c r="U336" s="3" t="s">
        <v>6706</v>
      </c>
      <c r="V336" s="3" t="s">
        <v>2864</v>
      </c>
      <c r="W336" s="3" t="s">
        <v>6568</v>
      </c>
      <c r="X336" s="3" t="s">
        <v>2865</v>
      </c>
      <c r="Y336" s="3" t="s">
        <v>6545</v>
      </c>
      <c r="Z336" s="3" t="s">
        <v>2866</v>
      </c>
      <c r="AA336" s="3" t="s">
        <v>6545</v>
      </c>
    </row>
    <row r="337" customFormat="false" ht="15" hidden="false" customHeight="true" outlineLevel="0" collapsed="false">
      <c r="A337" s="3" t="s">
        <v>2869</v>
      </c>
      <c r="B337" s="3" t="n">
        <v>5</v>
      </c>
      <c r="C337" s="3" t="n">
        <v>50</v>
      </c>
      <c r="D337" s="3" t="str">
        <f aca="false">Combined!G337</f>
        <v>Middle-aged (30–64)</v>
      </c>
      <c r="E337" s="3" t="s">
        <v>45</v>
      </c>
      <c r="F337" s="3" t="s">
        <v>47</v>
      </c>
      <c r="G337" s="3" t="s">
        <v>47</v>
      </c>
      <c r="H337" s="3" t="s">
        <v>2870</v>
      </c>
      <c r="I337" s="3" t="s">
        <v>6539</v>
      </c>
      <c r="J337" s="3" t="s">
        <v>2871</v>
      </c>
      <c r="K337" s="3" t="s">
        <v>6836</v>
      </c>
      <c r="L337" s="3" t="s">
        <v>2872</v>
      </c>
      <c r="M337" s="3" t="s">
        <v>7179</v>
      </c>
      <c r="N337" s="3" t="s">
        <v>2873</v>
      </c>
      <c r="O337" s="3" t="s">
        <v>6511</v>
      </c>
      <c r="P337" s="3" t="s">
        <v>2874</v>
      </c>
      <c r="Q337" s="3" t="s">
        <v>6571</v>
      </c>
      <c r="R337" s="3" t="s">
        <v>2875</v>
      </c>
      <c r="S337" s="3" t="s">
        <v>6685</v>
      </c>
      <c r="T337" s="3" t="s">
        <v>2877</v>
      </c>
      <c r="U337" s="3" t="s">
        <v>6688</v>
      </c>
      <c r="V337" s="3" t="s">
        <v>2878</v>
      </c>
      <c r="W337" s="3" t="s">
        <v>6568</v>
      </c>
      <c r="X337" s="3" t="s">
        <v>2879</v>
      </c>
      <c r="Y337" s="3" t="s">
        <v>6551</v>
      </c>
      <c r="Z337" s="3" t="s">
        <v>2880</v>
      </c>
      <c r="AA337" s="3" t="s">
        <v>6569</v>
      </c>
    </row>
    <row r="338" customFormat="false" ht="15" hidden="false" customHeight="true" outlineLevel="0" collapsed="false">
      <c r="A338" s="3" t="s">
        <v>2883</v>
      </c>
      <c r="B338" s="3" t="n">
        <v>5</v>
      </c>
      <c r="C338" s="3" t="n">
        <v>57</v>
      </c>
      <c r="D338" s="3" t="str">
        <f aca="false">Combined!G338</f>
        <v>Middle-aged (30–64)</v>
      </c>
      <c r="E338" s="3" t="s">
        <v>45</v>
      </c>
      <c r="F338" s="3" t="s">
        <v>2884</v>
      </c>
      <c r="G338" s="3" t="s">
        <v>47</v>
      </c>
      <c r="H338" s="3" t="s">
        <v>2885</v>
      </c>
      <c r="I338" s="3" t="s">
        <v>6539</v>
      </c>
      <c r="J338" s="3" t="s">
        <v>130</v>
      </c>
      <c r="K338" s="3" t="s">
        <v>6516</v>
      </c>
      <c r="L338" s="3" t="s">
        <v>2886</v>
      </c>
      <c r="M338" s="3" t="s">
        <v>6540</v>
      </c>
      <c r="N338" s="3" t="s">
        <v>2887</v>
      </c>
      <c r="O338" s="3" t="s">
        <v>6511</v>
      </c>
      <c r="P338" s="3" t="s">
        <v>2886</v>
      </c>
      <c r="Q338" s="3" t="s">
        <v>6580</v>
      </c>
      <c r="R338" s="3" t="s">
        <v>2888</v>
      </c>
      <c r="S338" s="3" t="s">
        <v>6581</v>
      </c>
      <c r="T338" s="3" t="s">
        <v>2890</v>
      </c>
      <c r="U338" s="3" t="s">
        <v>6923</v>
      </c>
      <c r="V338" s="3" t="s">
        <v>2891</v>
      </c>
      <c r="W338" s="3" t="s">
        <v>7180</v>
      </c>
      <c r="X338" s="3" t="s">
        <v>2892</v>
      </c>
      <c r="Y338" s="3" t="s">
        <v>6564</v>
      </c>
      <c r="Z338" s="3" t="s">
        <v>2893</v>
      </c>
      <c r="AA338" s="3" t="s">
        <v>6635</v>
      </c>
    </row>
    <row r="339" customFormat="false" ht="15" hidden="false" customHeight="true" outlineLevel="0" collapsed="false">
      <c r="A339" s="3" t="s">
        <v>2897</v>
      </c>
      <c r="B339" s="3" t="n">
        <v>5</v>
      </c>
      <c r="C339" s="3" t="n">
        <v>17</v>
      </c>
      <c r="D339" s="3" t="str">
        <f aca="false">Combined!G339</f>
        <v>Student age (≤29)</v>
      </c>
      <c r="E339" s="3" t="s">
        <v>45</v>
      </c>
      <c r="F339" s="3" t="s">
        <v>47</v>
      </c>
      <c r="G339" s="3" t="s">
        <v>47</v>
      </c>
      <c r="H339" s="3" t="s">
        <v>2898</v>
      </c>
      <c r="I339" s="3" t="s">
        <v>6598</v>
      </c>
      <c r="J339" s="3" t="s">
        <v>2899</v>
      </c>
      <c r="K339" s="3" t="s">
        <v>6592</v>
      </c>
      <c r="L339" s="3" t="s">
        <v>2900</v>
      </c>
      <c r="M339" s="3" t="s">
        <v>7181</v>
      </c>
      <c r="N339" s="3" t="s">
        <v>2901</v>
      </c>
      <c r="O339" s="3" t="s">
        <v>6530</v>
      </c>
      <c r="P339" s="3" t="s">
        <v>2902</v>
      </c>
      <c r="Q339" s="3" t="s">
        <v>6844</v>
      </c>
      <c r="R339" s="3" t="s">
        <v>2903</v>
      </c>
      <c r="S339" s="3" t="s">
        <v>6721</v>
      </c>
      <c r="T339" s="3" t="s">
        <v>2905</v>
      </c>
      <c r="U339" s="3" t="s">
        <v>7182</v>
      </c>
      <c r="V339" s="3" t="s">
        <v>2906</v>
      </c>
      <c r="W339" s="3" t="s">
        <v>6635</v>
      </c>
      <c r="X339" s="3" t="s">
        <v>2907</v>
      </c>
      <c r="Y339" s="3" t="s">
        <v>6526</v>
      </c>
      <c r="Z339" s="3" t="s">
        <v>2908</v>
      </c>
      <c r="AA339" s="3" t="s">
        <v>6882</v>
      </c>
    </row>
    <row r="340" customFormat="false" ht="15" hidden="false" customHeight="true" outlineLevel="0" collapsed="false">
      <c r="A340" s="3" t="s">
        <v>2910</v>
      </c>
      <c r="B340" s="3" t="n">
        <v>5</v>
      </c>
      <c r="C340" s="3" t="n">
        <v>48</v>
      </c>
      <c r="D340" s="3" t="str">
        <f aca="false">Combined!G340</f>
        <v>Middle-aged (30–64)</v>
      </c>
      <c r="E340" s="3" t="s">
        <v>45</v>
      </c>
      <c r="F340" s="3" t="s">
        <v>2911</v>
      </c>
      <c r="G340" s="3" t="s">
        <v>47</v>
      </c>
      <c r="H340" s="3" t="s">
        <v>2912</v>
      </c>
      <c r="I340" s="3" t="s">
        <v>6759</v>
      </c>
      <c r="J340" s="3" t="s">
        <v>2913</v>
      </c>
      <c r="K340" s="3" t="s">
        <v>6529</v>
      </c>
      <c r="L340" s="3" t="s">
        <v>2914</v>
      </c>
      <c r="M340" s="3" t="s">
        <v>6529</v>
      </c>
      <c r="N340" s="3" t="s">
        <v>1768</v>
      </c>
      <c r="O340" s="3" t="s">
        <v>6517</v>
      </c>
      <c r="P340" s="3" t="s">
        <v>2915</v>
      </c>
      <c r="Q340" s="3" t="s">
        <v>6560</v>
      </c>
      <c r="R340" s="3" t="s">
        <v>2916</v>
      </c>
      <c r="S340" s="3" t="s">
        <v>6685</v>
      </c>
      <c r="T340" s="3" t="s">
        <v>2918</v>
      </c>
      <c r="U340" s="3" t="s">
        <v>6601</v>
      </c>
      <c r="V340" s="3" t="s">
        <v>2919</v>
      </c>
      <c r="W340" s="3" t="s">
        <v>6611</v>
      </c>
      <c r="X340" s="3" t="s">
        <v>2920</v>
      </c>
      <c r="Y340" s="3" t="s">
        <v>6516</v>
      </c>
      <c r="Z340" s="3" t="s">
        <v>2921</v>
      </c>
      <c r="AA340" s="3" t="s">
        <v>6770</v>
      </c>
    </row>
    <row r="341" customFormat="false" ht="15" hidden="false" customHeight="true" outlineLevel="0" collapsed="false">
      <c r="A341" s="3" t="s">
        <v>2924</v>
      </c>
      <c r="B341" s="3" t="n">
        <v>5</v>
      </c>
      <c r="C341" s="3" t="n">
        <v>15</v>
      </c>
      <c r="D341" s="3" t="str">
        <f aca="false">Combined!G341</f>
        <v>Student age (≤29)</v>
      </c>
      <c r="E341" s="3" t="s">
        <v>83</v>
      </c>
      <c r="F341" s="3" t="s">
        <v>47</v>
      </c>
      <c r="G341" s="3" t="s">
        <v>47</v>
      </c>
      <c r="H341" s="3" t="s">
        <v>2925</v>
      </c>
      <c r="I341" s="3" t="s">
        <v>6813</v>
      </c>
      <c r="J341" s="3" t="s">
        <v>2926</v>
      </c>
      <c r="K341" s="3" t="s">
        <v>6835</v>
      </c>
      <c r="L341" s="3" t="s">
        <v>2927</v>
      </c>
      <c r="M341" s="3" t="s">
        <v>6687</v>
      </c>
      <c r="N341" s="3" t="s">
        <v>2928</v>
      </c>
      <c r="O341" s="3" t="s">
        <v>6511</v>
      </c>
      <c r="P341" s="3" t="s">
        <v>2929</v>
      </c>
      <c r="Q341" s="3" t="s">
        <v>6577</v>
      </c>
      <c r="R341" s="3" t="s">
        <v>2930</v>
      </c>
      <c r="S341" s="3" t="s">
        <v>6619</v>
      </c>
      <c r="T341" s="3" t="s">
        <v>2932</v>
      </c>
      <c r="U341" s="3" t="s">
        <v>7183</v>
      </c>
      <c r="V341" s="3" t="s">
        <v>2933</v>
      </c>
      <c r="W341" s="3" t="s">
        <v>6924</v>
      </c>
      <c r="X341" s="3" t="s">
        <v>2934</v>
      </c>
      <c r="Y341" s="3" t="s">
        <v>6942</v>
      </c>
      <c r="Z341" s="3" t="s">
        <v>2935</v>
      </c>
      <c r="AA341" s="3" t="s">
        <v>7184</v>
      </c>
    </row>
    <row r="342" customFormat="false" ht="15" hidden="false" customHeight="true" outlineLevel="0" collapsed="false">
      <c r="A342" s="3" t="s">
        <v>2936</v>
      </c>
      <c r="B342" s="3" t="n">
        <v>5</v>
      </c>
      <c r="C342" s="3" t="n">
        <v>51</v>
      </c>
      <c r="D342" s="3" t="str">
        <f aca="false">Combined!G342</f>
        <v>Middle-aged (30–64)</v>
      </c>
      <c r="E342" s="3" t="s">
        <v>83</v>
      </c>
      <c r="F342" s="3" t="s">
        <v>47</v>
      </c>
      <c r="G342" s="3" t="s">
        <v>47</v>
      </c>
      <c r="H342" s="3" t="s">
        <v>2937</v>
      </c>
      <c r="I342" s="3" t="s">
        <v>6551</v>
      </c>
      <c r="J342" s="3" t="s">
        <v>2938</v>
      </c>
      <c r="K342" s="3" t="s">
        <v>6540</v>
      </c>
      <c r="L342" s="3" t="s">
        <v>2939</v>
      </c>
      <c r="M342" s="3" t="s">
        <v>6540</v>
      </c>
      <c r="N342" s="3" t="s">
        <v>2940</v>
      </c>
      <c r="O342" s="3" t="s">
        <v>6511</v>
      </c>
      <c r="P342" s="3" t="s">
        <v>2941</v>
      </c>
      <c r="Q342" s="3" t="s">
        <v>2062</v>
      </c>
      <c r="R342" s="3" t="s">
        <v>2942</v>
      </c>
      <c r="S342" s="3" t="s">
        <v>6551</v>
      </c>
      <c r="T342" s="3" t="s">
        <v>2944</v>
      </c>
      <c r="U342" s="3" t="s">
        <v>6586</v>
      </c>
      <c r="V342" s="3" t="s">
        <v>2945</v>
      </c>
      <c r="W342" s="3" t="s">
        <v>6551</v>
      </c>
      <c r="X342" s="3" t="s">
        <v>2946</v>
      </c>
      <c r="Y342" s="3" t="s">
        <v>6551</v>
      </c>
      <c r="Z342" s="3" t="s">
        <v>2947</v>
      </c>
      <c r="AA342" s="3" t="s">
        <v>7185</v>
      </c>
    </row>
    <row r="343" customFormat="false" ht="15" hidden="false" customHeight="true" outlineLevel="0" collapsed="false">
      <c r="A343" s="3" t="s">
        <v>2948</v>
      </c>
      <c r="B343" s="3" t="n">
        <v>5</v>
      </c>
      <c r="C343" s="3" t="n">
        <v>28</v>
      </c>
      <c r="D343" s="3" t="str">
        <f aca="false">Combined!G343</f>
        <v>Student age (≤29)</v>
      </c>
      <c r="E343" s="3" t="s">
        <v>45</v>
      </c>
      <c r="F343" s="3" t="s">
        <v>47</v>
      </c>
      <c r="G343" s="3" t="s">
        <v>47</v>
      </c>
      <c r="H343" s="3" t="s">
        <v>2037</v>
      </c>
      <c r="I343" s="3" t="s">
        <v>6539</v>
      </c>
      <c r="J343" s="3" t="s">
        <v>2949</v>
      </c>
      <c r="K343" s="3" t="s">
        <v>6929</v>
      </c>
      <c r="L343" s="3" t="s">
        <v>1402</v>
      </c>
      <c r="M343" s="3" t="s">
        <v>6510</v>
      </c>
      <c r="N343" s="3" t="s">
        <v>2950</v>
      </c>
      <c r="O343" s="3" t="s">
        <v>6511</v>
      </c>
      <c r="P343" s="3" t="s">
        <v>2951</v>
      </c>
      <c r="Q343" s="3" t="s">
        <v>6958</v>
      </c>
      <c r="R343" s="3" t="s">
        <v>2952</v>
      </c>
      <c r="S343" s="3" t="s">
        <v>6538</v>
      </c>
      <c r="T343" s="3" t="s">
        <v>2954</v>
      </c>
      <c r="U343" s="3" t="s">
        <v>6796</v>
      </c>
      <c r="V343" s="3" t="s">
        <v>1768</v>
      </c>
      <c r="W343" s="3" t="s">
        <v>6538</v>
      </c>
      <c r="X343" s="3" t="s">
        <v>1768</v>
      </c>
      <c r="Y343" s="3" t="s">
        <v>6538</v>
      </c>
      <c r="Z343" s="3" t="s">
        <v>2955</v>
      </c>
      <c r="AA343" s="3" t="s">
        <v>7030</v>
      </c>
    </row>
    <row r="344" customFormat="false" ht="15" hidden="false" customHeight="true" outlineLevel="0" collapsed="false">
      <c r="A344" s="3" t="s">
        <v>2957</v>
      </c>
      <c r="B344" s="3" t="n">
        <v>5</v>
      </c>
      <c r="C344" s="3" t="n">
        <v>28</v>
      </c>
      <c r="D344" s="3" t="str">
        <f aca="false">Combined!G344</f>
        <v>Student age (≤29)</v>
      </c>
      <c r="E344" s="3" t="s">
        <v>45</v>
      </c>
      <c r="F344" s="3" t="s">
        <v>47</v>
      </c>
      <c r="G344" s="3" t="s">
        <v>47</v>
      </c>
      <c r="H344" s="3" t="s">
        <v>2958</v>
      </c>
      <c r="I344" s="3" t="s">
        <v>6813</v>
      </c>
      <c r="J344" s="3" t="s">
        <v>2959</v>
      </c>
      <c r="K344" s="3" t="s">
        <v>7186</v>
      </c>
      <c r="L344" s="3" t="s">
        <v>2960</v>
      </c>
      <c r="M344" s="3" t="s">
        <v>6529</v>
      </c>
      <c r="N344" s="3" t="s">
        <v>2961</v>
      </c>
      <c r="O344" s="3" t="s">
        <v>6511</v>
      </c>
      <c r="P344" s="3" t="s">
        <v>2962</v>
      </c>
      <c r="Q344" s="3" t="s">
        <v>7187</v>
      </c>
      <c r="R344" s="3" t="s">
        <v>2963</v>
      </c>
      <c r="S344" s="3" t="s">
        <v>6581</v>
      </c>
      <c r="T344" s="3" t="s">
        <v>2965</v>
      </c>
      <c r="U344" s="3" t="s">
        <v>7188</v>
      </c>
      <c r="V344" s="3" t="s">
        <v>1731</v>
      </c>
      <c r="W344" s="3" t="s">
        <v>6545</v>
      </c>
      <c r="X344" s="3" t="s">
        <v>2966</v>
      </c>
      <c r="Y344" s="3" t="s">
        <v>7189</v>
      </c>
      <c r="Z344" s="3" t="s">
        <v>2967</v>
      </c>
      <c r="AA344" s="3" t="s">
        <v>6820</v>
      </c>
    </row>
    <row r="345" customFormat="false" ht="15" hidden="false" customHeight="true" outlineLevel="0" collapsed="false">
      <c r="A345" s="3" t="s">
        <v>2968</v>
      </c>
      <c r="B345" s="3" t="n">
        <v>5</v>
      </c>
      <c r="C345" s="3" t="n">
        <v>45</v>
      </c>
      <c r="D345" s="3" t="str">
        <f aca="false">Combined!G345</f>
        <v>Middle-aged (30–64)</v>
      </c>
      <c r="E345" s="3" t="s">
        <v>83</v>
      </c>
      <c r="F345" s="3" t="s">
        <v>47</v>
      </c>
      <c r="G345" s="3" t="s">
        <v>47</v>
      </c>
      <c r="H345" s="3" t="s">
        <v>2969</v>
      </c>
      <c r="I345" s="3" t="s">
        <v>6803</v>
      </c>
      <c r="J345" s="3" t="s">
        <v>2970</v>
      </c>
      <c r="K345" s="3" t="s">
        <v>6569</v>
      </c>
      <c r="L345" s="3" t="s">
        <v>2971</v>
      </c>
      <c r="M345" s="3" t="s">
        <v>6509</v>
      </c>
      <c r="N345" s="3" t="s">
        <v>2972</v>
      </c>
      <c r="O345" s="3" t="s">
        <v>6511</v>
      </c>
      <c r="P345" s="3" t="s">
        <v>2973</v>
      </c>
      <c r="Q345" s="3" t="s">
        <v>6518</v>
      </c>
      <c r="R345" s="3" t="s">
        <v>2974</v>
      </c>
      <c r="S345" s="3" t="s">
        <v>6549</v>
      </c>
      <c r="T345" s="3" t="s">
        <v>2975</v>
      </c>
      <c r="U345" s="3" t="s">
        <v>7190</v>
      </c>
      <c r="V345" s="3" t="s">
        <v>1600</v>
      </c>
      <c r="W345" s="3" t="s">
        <v>6545</v>
      </c>
      <c r="X345" s="3" t="s">
        <v>2976</v>
      </c>
      <c r="Y345" s="3" t="s">
        <v>6651</v>
      </c>
      <c r="Z345" s="3"/>
      <c r="AA345" s="3"/>
    </row>
    <row r="346" customFormat="false" ht="15" hidden="false" customHeight="true" outlineLevel="0" collapsed="false">
      <c r="A346" s="3" t="s">
        <v>2977</v>
      </c>
      <c r="B346" s="3" t="n">
        <v>5</v>
      </c>
      <c r="C346" s="3" t="n">
        <v>38</v>
      </c>
      <c r="D346" s="3" t="str">
        <f aca="false">Combined!G346</f>
        <v>Middle-aged (30–64)</v>
      </c>
      <c r="E346" s="3" t="s">
        <v>45</v>
      </c>
      <c r="F346" s="3" t="s">
        <v>2978</v>
      </c>
      <c r="G346" s="3" t="s">
        <v>47</v>
      </c>
      <c r="H346" s="3" t="s">
        <v>2979</v>
      </c>
      <c r="I346" s="3" t="s">
        <v>6813</v>
      </c>
      <c r="J346" s="3" t="s">
        <v>2980</v>
      </c>
      <c r="K346" s="3" t="s">
        <v>6942</v>
      </c>
      <c r="L346" s="3" t="s">
        <v>2981</v>
      </c>
      <c r="M346" s="3" t="s">
        <v>6548</v>
      </c>
      <c r="N346" s="3" t="s">
        <v>2982</v>
      </c>
      <c r="O346" s="3" t="s">
        <v>6517</v>
      </c>
      <c r="P346" s="3" t="s">
        <v>2983</v>
      </c>
      <c r="Q346" s="3" t="s">
        <v>7191</v>
      </c>
      <c r="R346" s="3" t="s">
        <v>2984</v>
      </c>
      <c r="S346" s="3" t="s">
        <v>6685</v>
      </c>
      <c r="T346" s="3" t="s">
        <v>2986</v>
      </c>
      <c r="U346" s="3" t="s">
        <v>6796</v>
      </c>
      <c r="V346" s="3" t="s">
        <v>2987</v>
      </c>
      <c r="W346" s="3" t="s">
        <v>6939</v>
      </c>
      <c r="X346" s="3" t="s">
        <v>2988</v>
      </c>
      <c r="Y346" s="3" t="s">
        <v>6545</v>
      </c>
      <c r="Z346" s="3"/>
      <c r="AA346" s="3"/>
    </row>
    <row r="347" customFormat="false" ht="15" hidden="false" customHeight="true" outlineLevel="0" collapsed="false">
      <c r="A347" s="3" t="s">
        <v>2989</v>
      </c>
      <c r="B347" s="3" t="n">
        <v>5</v>
      </c>
      <c r="C347" s="3" t="n">
        <v>43</v>
      </c>
      <c r="D347" s="3" t="str">
        <f aca="false">Combined!G347</f>
        <v>Middle-aged (30–64)</v>
      </c>
      <c r="E347" s="3" t="s">
        <v>83</v>
      </c>
      <c r="F347" s="3" t="s">
        <v>47</v>
      </c>
      <c r="G347" s="3" t="s">
        <v>47</v>
      </c>
      <c r="H347" s="3" t="s">
        <v>2990</v>
      </c>
      <c r="I347" s="3" t="s">
        <v>7110</v>
      </c>
      <c r="J347" s="3" t="s">
        <v>2991</v>
      </c>
      <c r="K347" s="3" t="s">
        <v>6569</v>
      </c>
      <c r="L347" s="3" t="s">
        <v>2992</v>
      </c>
      <c r="M347" s="3" t="s">
        <v>6509</v>
      </c>
      <c r="N347" s="3" t="s">
        <v>2993</v>
      </c>
      <c r="O347" s="3" t="s">
        <v>6511</v>
      </c>
      <c r="P347" s="3" t="s">
        <v>2994</v>
      </c>
      <c r="Q347" s="3" t="s">
        <v>7011</v>
      </c>
      <c r="R347" s="3" t="s">
        <v>2995</v>
      </c>
      <c r="S347" s="3" t="s">
        <v>6595</v>
      </c>
      <c r="T347" s="3" t="s">
        <v>2997</v>
      </c>
      <c r="U347" s="3" t="s">
        <v>7192</v>
      </c>
      <c r="V347" s="3" t="s">
        <v>2998</v>
      </c>
      <c r="W347" s="3" t="s">
        <v>6551</v>
      </c>
      <c r="X347" s="3" t="s">
        <v>2999</v>
      </c>
      <c r="Y347" s="3" t="s">
        <v>6547</v>
      </c>
      <c r="Z347" s="3" t="s">
        <v>3000</v>
      </c>
      <c r="AA347" s="3" t="s">
        <v>6820</v>
      </c>
    </row>
    <row r="348" customFormat="false" ht="15" hidden="false" customHeight="true" outlineLevel="0" collapsed="false">
      <c r="A348" s="3" t="s">
        <v>3002</v>
      </c>
      <c r="B348" s="3" t="n">
        <v>5</v>
      </c>
      <c r="C348" s="3" t="n">
        <v>52</v>
      </c>
      <c r="D348" s="3" t="str">
        <f aca="false">Combined!G348</f>
        <v>Middle-aged (30–64)</v>
      </c>
      <c r="E348" s="3" t="s">
        <v>83</v>
      </c>
      <c r="F348" s="3" t="s">
        <v>47</v>
      </c>
      <c r="G348" s="3" t="s">
        <v>47</v>
      </c>
      <c r="H348" s="3" t="s">
        <v>806</v>
      </c>
      <c r="I348" s="3" t="s">
        <v>6539</v>
      </c>
      <c r="J348" s="3" t="s">
        <v>3003</v>
      </c>
      <c r="K348" s="3" t="s">
        <v>6540</v>
      </c>
      <c r="L348" s="3" t="s">
        <v>3004</v>
      </c>
      <c r="M348" s="3" t="s">
        <v>6540</v>
      </c>
      <c r="N348" s="3" t="s">
        <v>98</v>
      </c>
      <c r="O348" s="3" t="s">
        <v>6517</v>
      </c>
      <c r="P348" s="3" t="s">
        <v>3005</v>
      </c>
      <c r="Q348" s="3" t="s">
        <v>6542</v>
      </c>
      <c r="R348" s="3" t="s">
        <v>3006</v>
      </c>
      <c r="S348" s="3" t="s">
        <v>6581</v>
      </c>
      <c r="T348" s="3" t="s">
        <v>3008</v>
      </c>
      <c r="U348" s="3" t="s">
        <v>6551</v>
      </c>
      <c r="V348" s="3" t="s">
        <v>3009</v>
      </c>
      <c r="W348" s="3" t="s">
        <v>6551</v>
      </c>
      <c r="X348" s="3" t="s">
        <v>3010</v>
      </c>
      <c r="Y348" s="3" t="s">
        <v>6864</v>
      </c>
      <c r="Z348" s="3"/>
      <c r="AA348" s="3"/>
    </row>
    <row r="349" customFormat="false" ht="15" hidden="false" customHeight="true" outlineLevel="0" collapsed="false">
      <c r="A349" s="3" t="s">
        <v>3013</v>
      </c>
      <c r="B349" s="3" t="n">
        <v>5</v>
      </c>
      <c r="C349" s="3" t="n">
        <v>67</v>
      </c>
      <c r="D349" s="3" t="str">
        <f aca="false">Combined!G349</f>
        <v>Elderly (65+)</v>
      </c>
      <c r="E349" s="3" t="s">
        <v>83</v>
      </c>
      <c r="F349" s="3" t="s">
        <v>47</v>
      </c>
      <c r="G349" s="3" t="s">
        <v>47</v>
      </c>
      <c r="H349" s="3" t="s">
        <v>3014</v>
      </c>
      <c r="I349" s="3" t="s">
        <v>7193</v>
      </c>
      <c r="J349" s="3" t="s">
        <v>3015</v>
      </c>
      <c r="K349" s="3" t="s">
        <v>6540</v>
      </c>
      <c r="L349" s="3" t="s">
        <v>3016</v>
      </c>
      <c r="M349" s="3" t="s">
        <v>6863</v>
      </c>
      <c r="N349" s="3" t="s">
        <v>3017</v>
      </c>
      <c r="O349" s="3" t="s">
        <v>59</v>
      </c>
      <c r="P349" s="3" t="s">
        <v>3018</v>
      </c>
      <c r="Q349" s="3" t="s">
        <v>6655</v>
      </c>
      <c r="R349" s="5" t="s">
        <v>3019</v>
      </c>
      <c r="S349" s="3" t="s">
        <v>6943</v>
      </c>
      <c r="T349" s="5" t="s">
        <v>3021</v>
      </c>
      <c r="U349" s="3" t="s">
        <v>7194</v>
      </c>
      <c r="V349" s="3" t="s">
        <v>3022</v>
      </c>
      <c r="W349" s="3" t="s">
        <v>6545</v>
      </c>
      <c r="X349" s="3" t="s">
        <v>3023</v>
      </c>
      <c r="Y349" s="3" t="s">
        <v>6528</v>
      </c>
      <c r="Z349" s="3" t="s">
        <v>3024</v>
      </c>
      <c r="AA349" s="3" t="s">
        <v>7195</v>
      </c>
    </row>
    <row r="350" customFormat="false" ht="15" hidden="false" customHeight="true" outlineLevel="0" collapsed="false">
      <c r="A350" s="3" t="s">
        <v>3028</v>
      </c>
      <c r="B350" s="3" t="n">
        <v>5</v>
      </c>
      <c r="C350" s="3" t="n">
        <v>55</v>
      </c>
      <c r="D350" s="3" t="str">
        <f aca="false">Combined!G350</f>
        <v>Middle-aged (30–64)</v>
      </c>
      <c r="E350" s="3" t="s">
        <v>83</v>
      </c>
      <c r="F350" s="3" t="s">
        <v>47</v>
      </c>
      <c r="G350" s="3" t="s">
        <v>47</v>
      </c>
      <c r="H350" s="3" t="s">
        <v>3029</v>
      </c>
      <c r="I350" s="3" t="s">
        <v>7104</v>
      </c>
      <c r="J350" s="3" t="s">
        <v>3030</v>
      </c>
      <c r="K350" s="3" t="s">
        <v>6716</v>
      </c>
      <c r="L350" s="3" t="s">
        <v>3031</v>
      </c>
      <c r="M350" s="3" t="s">
        <v>6509</v>
      </c>
      <c r="N350" s="3" t="s">
        <v>3032</v>
      </c>
      <c r="O350" s="3" t="s">
        <v>6511</v>
      </c>
      <c r="P350" s="3" t="s">
        <v>3033</v>
      </c>
      <c r="Q350" s="3" t="s">
        <v>6542</v>
      </c>
      <c r="R350" s="3" t="s">
        <v>3034</v>
      </c>
      <c r="S350" s="3" t="s">
        <v>6513</v>
      </c>
      <c r="T350" s="3" t="s">
        <v>3036</v>
      </c>
      <c r="U350" s="3" t="s">
        <v>6820</v>
      </c>
      <c r="V350" s="3" t="s">
        <v>2225</v>
      </c>
      <c r="W350" s="3" t="s">
        <v>6545</v>
      </c>
      <c r="X350" s="3" t="s">
        <v>2225</v>
      </c>
      <c r="Y350" s="3" t="s">
        <v>6545</v>
      </c>
      <c r="Z350" s="3" t="s">
        <v>3037</v>
      </c>
      <c r="AA350" s="3" t="s">
        <v>7196</v>
      </c>
    </row>
    <row r="351" customFormat="false" ht="15" hidden="false" customHeight="true" outlineLevel="0" collapsed="false">
      <c r="A351" s="3" t="s">
        <v>3040</v>
      </c>
      <c r="B351" s="3" t="n">
        <v>5</v>
      </c>
      <c r="C351" s="3" t="n">
        <v>70</v>
      </c>
      <c r="D351" s="3" t="str">
        <f aca="false">Combined!G351</f>
        <v>Elderly (65+)</v>
      </c>
      <c r="E351" s="3" t="s">
        <v>83</v>
      </c>
      <c r="F351" s="3" t="s">
        <v>47</v>
      </c>
      <c r="G351" s="3" t="s">
        <v>47</v>
      </c>
      <c r="H351" s="3" t="s">
        <v>3043</v>
      </c>
      <c r="I351" s="3" t="s">
        <v>7104</v>
      </c>
      <c r="J351" s="3" t="s">
        <v>3044</v>
      </c>
      <c r="K351" s="3" t="s">
        <v>6556</v>
      </c>
      <c r="L351" s="3" t="s">
        <v>3045</v>
      </c>
      <c r="M351" s="3" t="s">
        <v>7197</v>
      </c>
      <c r="N351" s="3" t="s">
        <v>3046</v>
      </c>
      <c r="O351" s="3" t="s">
        <v>6511</v>
      </c>
      <c r="P351" s="3" t="s">
        <v>3047</v>
      </c>
      <c r="Q351" s="3" t="s">
        <v>7198</v>
      </c>
      <c r="R351" s="3" t="s">
        <v>3048</v>
      </c>
      <c r="S351" s="3" t="s">
        <v>6647</v>
      </c>
      <c r="T351" s="3" t="s">
        <v>3050</v>
      </c>
      <c r="U351" s="3" t="s">
        <v>6635</v>
      </c>
      <c r="V351" s="3" t="s">
        <v>3051</v>
      </c>
      <c r="W351" s="3" t="s">
        <v>6540</v>
      </c>
      <c r="X351" s="3" t="s">
        <v>3052</v>
      </c>
      <c r="Y351" s="3" t="s">
        <v>6568</v>
      </c>
      <c r="Z351" s="3" t="s">
        <v>3053</v>
      </c>
      <c r="AA351" s="3" t="s">
        <v>6568</v>
      </c>
    </row>
    <row r="352" customFormat="false" ht="15" hidden="false" customHeight="true" outlineLevel="0" collapsed="false">
      <c r="A352" s="3" t="s">
        <v>3056</v>
      </c>
      <c r="B352" s="3" t="n">
        <v>5</v>
      </c>
      <c r="C352" s="3" t="n">
        <v>47</v>
      </c>
      <c r="D352" s="3" t="str">
        <f aca="false">Combined!G352</f>
        <v>Middle-aged (30–64)</v>
      </c>
      <c r="E352" s="3" t="s">
        <v>45</v>
      </c>
      <c r="F352" s="3" t="s">
        <v>47</v>
      </c>
      <c r="G352" s="3" t="s">
        <v>47</v>
      </c>
      <c r="H352" s="3" t="s">
        <v>3057</v>
      </c>
      <c r="I352" s="3" t="s">
        <v>6598</v>
      </c>
      <c r="J352" s="3" t="s">
        <v>3058</v>
      </c>
      <c r="K352" s="3" t="s">
        <v>6569</v>
      </c>
      <c r="L352" s="3" t="s">
        <v>3059</v>
      </c>
      <c r="M352" s="3" t="s">
        <v>6942</v>
      </c>
      <c r="N352" s="3" t="s">
        <v>3060</v>
      </c>
      <c r="O352" s="3" t="s">
        <v>6511</v>
      </c>
      <c r="P352" s="3" t="s">
        <v>3061</v>
      </c>
      <c r="Q352" s="3" t="s">
        <v>7199</v>
      </c>
      <c r="R352" s="3" t="s">
        <v>3062</v>
      </c>
      <c r="S352" s="3" t="s">
        <v>6685</v>
      </c>
      <c r="T352" s="3" t="s">
        <v>3064</v>
      </c>
      <c r="U352" s="3" t="s">
        <v>6545</v>
      </c>
      <c r="V352" s="3" t="s">
        <v>3065</v>
      </c>
      <c r="W352" s="3" t="s">
        <v>6989</v>
      </c>
      <c r="X352" s="3" t="s">
        <v>3066</v>
      </c>
      <c r="Y352" s="3" t="s">
        <v>6635</v>
      </c>
      <c r="Z352" s="3" t="s">
        <v>3067</v>
      </c>
      <c r="AA352" s="3" t="s">
        <v>7200</v>
      </c>
    </row>
    <row r="353" customFormat="false" ht="15" hidden="false" customHeight="true" outlineLevel="0" collapsed="false">
      <c r="A353" s="3" t="s">
        <v>3069</v>
      </c>
      <c r="B353" s="3" t="n">
        <v>5</v>
      </c>
      <c r="C353" s="3" t="n">
        <v>67</v>
      </c>
      <c r="D353" s="3" t="str">
        <f aca="false">Combined!G353</f>
        <v>Elderly (65+)</v>
      </c>
      <c r="E353" s="3" t="s">
        <v>45</v>
      </c>
      <c r="F353" s="3" t="s">
        <v>47</v>
      </c>
      <c r="G353" s="3" t="s">
        <v>47</v>
      </c>
      <c r="H353" s="3" t="s">
        <v>3070</v>
      </c>
      <c r="I353" s="3" t="s">
        <v>7104</v>
      </c>
      <c r="J353" s="3" t="s">
        <v>3071</v>
      </c>
      <c r="K353" s="3" t="s">
        <v>6529</v>
      </c>
      <c r="L353" s="3" t="s">
        <v>3072</v>
      </c>
      <c r="M353" s="3" t="s">
        <v>7201</v>
      </c>
      <c r="N353" s="3" t="s">
        <v>3073</v>
      </c>
      <c r="O353" s="3" t="s">
        <v>59</v>
      </c>
      <c r="P353" s="3" t="s">
        <v>3074</v>
      </c>
      <c r="Q353" s="3" t="s">
        <v>6560</v>
      </c>
      <c r="R353" s="3" t="s">
        <v>3075</v>
      </c>
      <c r="S353" s="3" t="s">
        <v>7202</v>
      </c>
      <c r="T353" s="3" t="s">
        <v>3077</v>
      </c>
      <c r="U353" s="3" t="s">
        <v>6756</v>
      </c>
      <c r="V353" s="3" t="s">
        <v>3078</v>
      </c>
      <c r="W353" s="3" t="s">
        <v>7124</v>
      </c>
      <c r="X353" s="3" t="s">
        <v>3079</v>
      </c>
      <c r="Y353" s="3" t="s">
        <v>7203</v>
      </c>
      <c r="Z353" s="3" t="s">
        <v>3080</v>
      </c>
      <c r="AA353" s="3" t="s">
        <v>6930</v>
      </c>
    </row>
    <row r="354" customFormat="false" ht="15" hidden="false" customHeight="true" outlineLevel="0" collapsed="false">
      <c r="A354" s="3" t="s">
        <v>3083</v>
      </c>
      <c r="B354" s="3" t="n">
        <v>5</v>
      </c>
      <c r="C354" s="3" t="n">
        <v>22</v>
      </c>
      <c r="D354" s="3" t="str">
        <f aca="false">Combined!G354</f>
        <v>Student age (≤29)</v>
      </c>
      <c r="E354" s="3" t="s">
        <v>83</v>
      </c>
      <c r="F354" s="3" t="s">
        <v>437</v>
      </c>
      <c r="G354" s="3" t="s">
        <v>47</v>
      </c>
      <c r="H354" s="3" t="s">
        <v>3084</v>
      </c>
      <c r="I354" s="3" t="s">
        <v>6608</v>
      </c>
      <c r="J354" s="3" t="s">
        <v>130</v>
      </c>
      <c r="K354" s="3" t="s">
        <v>6516</v>
      </c>
      <c r="L354" s="3" t="s">
        <v>3085</v>
      </c>
      <c r="M354" s="3" t="s">
        <v>6592</v>
      </c>
      <c r="N354" s="3" t="s">
        <v>3086</v>
      </c>
      <c r="O354" s="3" t="s">
        <v>59</v>
      </c>
      <c r="P354" s="3" t="s">
        <v>3087</v>
      </c>
      <c r="Q354" s="3" t="s">
        <v>7204</v>
      </c>
      <c r="R354" s="3" t="s">
        <v>3088</v>
      </c>
      <c r="S354" s="3" t="s">
        <v>6928</v>
      </c>
      <c r="T354" s="3" t="s">
        <v>3090</v>
      </c>
      <c r="U354" s="3" t="s">
        <v>7205</v>
      </c>
      <c r="V354" s="3" t="s">
        <v>3091</v>
      </c>
      <c r="W354" s="3" t="s">
        <v>6910</v>
      </c>
      <c r="X354" s="3" t="s">
        <v>3092</v>
      </c>
      <c r="Y354" s="3" t="s">
        <v>6568</v>
      </c>
      <c r="Z354" s="3" t="s">
        <v>3093</v>
      </c>
      <c r="AA354" s="3" t="s">
        <v>6568</v>
      </c>
    </row>
    <row r="355" customFormat="false" ht="15" hidden="false" customHeight="true" outlineLevel="0" collapsed="false">
      <c r="A355" s="3" t="s">
        <v>3094</v>
      </c>
      <c r="B355" s="3" t="n">
        <v>5</v>
      </c>
      <c r="C355" s="3" t="n">
        <v>25</v>
      </c>
      <c r="D355" s="3" t="str">
        <f aca="false">Combined!G355</f>
        <v>Student age (≤29)</v>
      </c>
      <c r="E355" s="3" t="s">
        <v>45</v>
      </c>
      <c r="F355" s="3" t="s">
        <v>437</v>
      </c>
      <c r="G355" s="3" t="s">
        <v>47</v>
      </c>
      <c r="H355" s="3" t="s">
        <v>3095</v>
      </c>
      <c r="I355" s="3" t="s">
        <v>6803</v>
      </c>
      <c r="J355" s="3" t="s">
        <v>3096</v>
      </c>
      <c r="K355" s="3" t="s">
        <v>6510</v>
      </c>
      <c r="L355" s="3" t="s">
        <v>3097</v>
      </c>
      <c r="M355" s="3" t="s">
        <v>6942</v>
      </c>
      <c r="N355" s="3" t="s">
        <v>98</v>
      </c>
      <c r="O355" s="3" t="s">
        <v>6517</v>
      </c>
      <c r="P355" s="3" t="s">
        <v>3098</v>
      </c>
      <c r="Q355" s="3" t="s">
        <v>6580</v>
      </c>
      <c r="R355" s="3" t="s">
        <v>3099</v>
      </c>
      <c r="S355" s="3" t="s">
        <v>6701</v>
      </c>
      <c r="T355" s="3" t="s">
        <v>3101</v>
      </c>
      <c r="U355" s="3" t="s">
        <v>7206</v>
      </c>
      <c r="V355" s="3" t="s">
        <v>1600</v>
      </c>
      <c r="W355" s="3" t="s">
        <v>6545</v>
      </c>
      <c r="X355" s="3" t="s">
        <v>3102</v>
      </c>
      <c r="Y355" s="3" t="s">
        <v>6900</v>
      </c>
      <c r="Z355" s="3" t="s">
        <v>3103</v>
      </c>
      <c r="AA355" s="3" t="s">
        <v>6649</v>
      </c>
    </row>
    <row r="356" customFormat="false" ht="15" hidden="false" customHeight="true" outlineLevel="0" collapsed="false">
      <c r="A356" s="3" t="s">
        <v>3104</v>
      </c>
      <c r="B356" s="3" t="n">
        <v>5</v>
      </c>
      <c r="C356" s="3" t="n">
        <v>26</v>
      </c>
      <c r="D356" s="3" t="str">
        <f aca="false">Combined!G356</f>
        <v>Student age (≤29)</v>
      </c>
      <c r="E356" s="3" t="s">
        <v>45</v>
      </c>
      <c r="F356" s="3" t="s">
        <v>437</v>
      </c>
      <c r="G356" s="3" t="s">
        <v>47</v>
      </c>
      <c r="H356" s="3" t="s">
        <v>3105</v>
      </c>
      <c r="I356" s="3" t="s">
        <v>6813</v>
      </c>
      <c r="J356" s="3" t="s">
        <v>3106</v>
      </c>
      <c r="K356" s="3" t="s">
        <v>6540</v>
      </c>
      <c r="L356" s="3" t="s">
        <v>3107</v>
      </c>
      <c r="M356" s="3" t="s">
        <v>6540</v>
      </c>
      <c r="N356" s="3" t="s">
        <v>3108</v>
      </c>
      <c r="O356" s="3" t="s">
        <v>6511</v>
      </c>
      <c r="P356" s="3" t="s">
        <v>3109</v>
      </c>
      <c r="Q356" s="3" t="s">
        <v>6968</v>
      </c>
      <c r="R356" s="3" t="s">
        <v>3110</v>
      </c>
      <c r="S356" s="3" t="s">
        <v>6581</v>
      </c>
      <c r="T356" s="3" t="s">
        <v>3112</v>
      </c>
      <c r="U356" s="3" t="s">
        <v>6828</v>
      </c>
      <c r="V356" s="3" t="s">
        <v>3102</v>
      </c>
      <c r="W356" s="3" t="s">
        <v>6900</v>
      </c>
      <c r="X356" s="3" t="s">
        <v>1600</v>
      </c>
      <c r="Y356" s="3" t="s">
        <v>6545</v>
      </c>
      <c r="Z356" s="3" t="s">
        <v>3113</v>
      </c>
      <c r="AA356" s="3" t="s">
        <v>6918</v>
      </c>
    </row>
    <row r="357" customFormat="false" ht="15" hidden="false" customHeight="true" outlineLevel="0" collapsed="false">
      <c r="A357" s="3" t="s">
        <v>3114</v>
      </c>
      <c r="B357" s="3" t="n">
        <v>5</v>
      </c>
      <c r="C357" s="3" t="n">
        <v>23</v>
      </c>
      <c r="D357" s="3" t="str">
        <f aca="false">Combined!G357</f>
        <v>Student age (≤29)</v>
      </c>
      <c r="E357" s="3" t="s">
        <v>83</v>
      </c>
      <c r="F357" s="3" t="s">
        <v>437</v>
      </c>
      <c r="G357" s="3" t="s">
        <v>453</v>
      </c>
      <c r="H357" s="3" t="s">
        <v>3117</v>
      </c>
      <c r="I357" s="3" t="s">
        <v>7207</v>
      </c>
      <c r="J357" s="3" t="s">
        <v>3118</v>
      </c>
      <c r="K357" s="3" t="s">
        <v>6942</v>
      </c>
      <c r="L357" s="3" t="s">
        <v>3119</v>
      </c>
      <c r="M357" s="3" t="s">
        <v>7208</v>
      </c>
      <c r="N357" s="3" t="s">
        <v>3120</v>
      </c>
      <c r="O357" s="3" t="s">
        <v>6511</v>
      </c>
      <c r="P357" s="3" t="s">
        <v>3121</v>
      </c>
      <c r="Q357" s="3" t="s">
        <v>6542</v>
      </c>
      <c r="R357" s="3" t="s">
        <v>3122</v>
      </c>
      <c r="S357" s="3" t="s">
        <v>6551</v>
      </c>
      <c r="T357" s="3" t="s">
        <v>3124</v>
      </c>
      <c r="U357" s="3" t="s">
        <v>7209</v>
      </c>
      <c r="V357" s="3" t="s">
        <v>3125</v>
      </c>
      <c r="W357" s="3" t="s">
        <v>7210</v>
      </c>
      <c r="X357" s="3" t="s">
        <v>3126</v>
      </c>
      <c r="Y357" s="3" t="s">
        <v>6568</v>
      </c>
      <c r="Z357" s="3" t="s">
        <v>3127</v>
      </c>
      <c r="AA357" s="3" t="s">
        <v>6568</v>
      </c>
    </row>
    <row r="358" customFormat="false" ht="15" hidden="false" customHeight="true" outlineLevel="0" collapsed="false">
      <c r="A358" s="3" t="s">
        <v>3130</v>
      </c>
      <c r="B358" s="3" t="n">
        <v>5</v>
      </c>
      <c r="C358" s="3" t="n">
        <v>23</v>
      </c>
      <c r="D358" s="3" t="str">
        <f aca="false">Combined!G358</f>
        <v>Student age (≤29)</v>
      </c>
      <c r="E358" s="3" t="s">
        <v>83</v>
      </c>
      <c r="F358" s="3" t="s">
        <v>437</v>
      </c>
      <c r="G358" s="3" t="s">
        <v>47</v>
      </c>
      <c r="H358" s="3" t="s">
        <v>3131</v>
      </c>
      <c r="I358" s="3" t="s">
        <v>6623</v>
      </c>
      <c r="J358" s="3" t="s">
        <v>3132</v>
      </c>
      <c r="K358" s="3" t="s">
        <v>6864</v>
      </c>
      <c r="L358" s="3" t="s">
        <v>3133</v>
      </c>
      <c r="M358" s="3" t="s">
        <v>6747</v>
      </c>
      <c r="N358" s="3" t="s">
        <v>3134</v>
      </c>
      <c r="O358" s="3" t="s">
        <v>6511</v>
      </c>
      <c r="P358" s="5" t="s">
        <v>3135</v>
      </c>
      <c r="Q358" s="3" t="s">
        <v>6968</v>
      </c>
      <c r="R358" s="3" t="s">
        <v>3136</v>
      </c>
      <c r="S358" s="3" t="s">
        <v>6551</v>
      </c>
      <c r="T358" s="3" t="s">
        <v>3138</v>
      </c>
      <c r="U358" s="3" t="s">
        <v>6573</v>
      </c>
      <c r="V358" s="3" t="s">
        <v>3139</v>
      </c>
      <c r="W358" s="3" t="s">
        <v>6551</v>
      </c>
      <c r="X358" s="3" t="s">
        <v>3140</v>
      </c>
      <c r="Y358" s="3" t="s">
        <v>6551</v>
      </c>
      <c r="Z358" s="3" t="s">
        <v>3141</v>
      </c>
      <c r="AA358" s="3" t="s">
        <v>6918</v>
      </c>
    </row>
    <row r="359" customFormat="false" ht="15" hidden="false" customHeight="true" outlineLevel="0" collapsed="false">
      <c r="A359" s="3" t="s">
        <v>3143</v>
      </c>
      <c r="B359" s="3" t="n">
        <v>5</v>
      </c>
      <c r="C359" s="3" t="n">
        <v>22</v>
      </c>
      <c r="D359" s="3" t="str">
        <f aca="false">Combined!G359</f>
        <v>Student age (≤29)</v>
      </c>
      <c r="E359" s="3" t="s">
        <v>45</v>
      </c>
      <c r="F359" s="3" t="s">
        <v>453</v>
      </c>
      <c r="G359" s="3" t="s">
        <v>47</v>
      </c>
      <c r="H359" s="3" t="s">
        <v>3144</v>
      </c>
      <c r="I359" s="3" t="s">
        <v>6803</v>
      </c>
      <c r="J359" s="3" t="s">
        <v>3145</v>
      </c>
      <c r="K359" s="3" t="s">
        <v>6540</v>
      </c>
      <c r="L359" s="3" t="s">
        <v>3146</v>
      </c>
      <c r="M359" s="3" t="s">
        <v>7211</v>
      </c>
      <c r="N359" s="3" t="s">
        <v>3147</v>
      </c>
      <c r="O359" s="3" t="s">
        <v>6511</v>
      </c>
      <c r="P359" s="3" t="s">
        <v>3148</v>
      </c>
      <c r="Q359" s="3" t="s">
        <v>7212</v>
      </c>
      <c r="R359" s="3" t="s">
        <v>3149</v>
      </c>
      <c r="S359" s="3" t="s">
        <v>7213</v>
      </c>
      <c r="T359" s="3" t="s">
        <v>3151</v>
      </c>
      <c r="U359" s="3" t="s">
        <v>7214</v>
      </c>
      <c r="V359" s="3" t="s">
        <v>3152</v>
      </c>
      <c r="W359" s="3" t="s">
        <v>7215</v>
      </c>
      <c r="X359" s="3" t="s">
        <v>3153</v>
      </c>
      <c r="Y359" s="3" t="s">
        <v>7067</v>
      </c>
      <c r="Z359" s="3" t="s">
        <v>3154</v>
      </c>
      <c r="AA359" s="3" t="s">
        <v>6878</v>
      </c>
    </row>
    <row r="360" customFormat="false" ht="15" hidden="false" customHeight="true" outlineLevel="0" collapsed="false">
      <c r="A360" s="3" t="s">
        <v>3155</v>
      </c>
      <c r="B360" s="3" t="n">
        <v>5</v>
      </c>
      <c r="C360" s="3" t="n">
        <v>25</v>
      </c>
      <c r="D360" s="3" t="str">
        <f aca="false">Combined!G360</f>
        <v>Student age (≤29)</v>
      </c>
      <c r="E360" s="3" t="s">
        <v>45</v>
      </c>
      <c r="F360" s="3" t="s">
        <v>2465</v>
      </c>
      <c r="G360" s="3" t="s">
        <v>47</v>
      </c>
      <c r="H360" s="3" t="s">
        <v>3156</v>
      </c>
      <c r="I360" s="3" t="s">
        <v>6733</v>
      </c>
      <c r="J360" s="3" t="s">
        <v>525</v>
      </c>
      <c r="K360" s="3" t="s">
        <v>6510</v>
      </c>
      <c r="L360" s="3" t="s">
        <v>3157</v>
      </c>
      <c r="M360" s="3" t="s">
        <v>6510</v>
      </c>
      <c r="N360" s="3" t="s">
        <v>98</v>
      </c>
      <c r="O360" s="3" t="s">
        <v>6517</v>
      </c>
      <c r="P360" s="3" t="s">
        <v>3158</v>
      </c>
      <c r="Q360" s="3" t="s">
        <v>6711</v>
      </c>
      <c r="R360" s="3" t="s">
        <v>3159</v>
      </c>
      <c r="S360" s="3" t="s">
        <v>6537</v>
      </c>
      <c r="T360" s="3" t="s">
        <v>3161</v>
      </c>
      <c r="U360" s="3" t="s">
        <v>7216</v>
      </c>
      <c r="V360" s="3" t="s">
        <v>3162</v>
      </c>
      <c r="W360" s="3" t="s">
        <v>6984</v>
      </c>
      <c r="X360" s="3" t="s">
        <v>3163</v>
      </c>
      <c r="Y360" s="3" t="s">
        <v>6551</v>
      </c>
      <c r="Z360" s="3" t="s">
        <v>3164</v>
      </c>
      <c r="AA360" s="3" t="s">
        <v>6534</v>
      </c>
    </row>
    <row r="361" customFormat="false" ht="15" hidden="false" customHeight="true" outlineLevel="0" collapsed="false">
      <c r="A361" s="3" t="s">
        <v>3165</v>
      </c>
      <c r="B361" s="3" t="n">
        <v>5</v>
      </c>
      <c r="C361" s="3" t="n">
        <v>23</v>
      </c>
      <c r="D361" s="3" t="str">
        <f aca="false">Combined!G361</f>
        <v>Student age (≤29)</v>
      </c>
      <c r="E361" s="3" t="s">
        <v>45</v>
      </c>
      <c r="F361" s="3" t="s">
        <v>437</v>
      </c>
      <c r="G361" s="3" t="s">
        <v>47</v>
      </c>
      <c r="H361" s="3" t="s">
        <v>3166</v>
      </c>
      <c r="I361" s="3" t="s">
        <v>7110</v>
      </c>
      <c r="J361" s="3" t="s">
        <v>3167</v>
      </c>
      <c r="K361" s="3" t="s">
        <v>6510</v>
      </c>
      <c r="L361" s="3" t="s">
        <v>3168</v>
      </c>
      <c r="M361" s="3" t="s">
        <v>7217</v>
      </c>
      <c r="N361" s="3" t="s">
        <v>3169</v>
      </c>
      <c r="O361" s="3" t="s">
        <v>59</v>
      </c>
      <c r="P361" s="3" t="s">
        <v>3170</v>
      </c>
      <c r="Q361" s="3" t="s">
        <v>7218</v>
      </c>
      <c r="R361" s="3" t="s">
        <v>3171</v>
      </c>
      <c r="S361" s="3" t="s">
        <v>6513</v>
      </c>
      <c r="T361" s="3" t="s">
        <v>3173</v>
      </c>
      <c r="U361" s="3" t="s">
        <v>7219</v>
      </c>
      <c r="V361" s="3" t="s">
        <v>3174</v>
      </c>
      <c r="W361" s="3" t="s">
        <v>7220</v>
      </c>
      <c r="X361" s="3" t="s">
        <v>3175</v>
      </c>
      <c r="Y361" s="3" t="s">
        <v>7221</v>
      </c>
      <c r="Z361" s="3" t="s">
        <v>3176</v>
      </c>
      <c r="AA361" s="3" t="s">
        <v>7222</v>
      </c>
    </row>
    <row r="362" customFormat="false" ht="15" hidden="false" customHeight="true" outlineLevel="0" collapsed="false">
      <c r="A362" s="3" t="s">
        <v>3177</v>
      </c>
      <c r="B362" s="3" t="n">
        <v>5</v>
      </c>
      <c r="C362" s="3" t="n">
        <v>23</v>
      </c>
      <c r="D362" s="3" t="str">
        <f aca="false">Combined!G362</f>
        <v>Student age (≤29)</v>
      </c>
      <c r="E362" s="3" t="s">
        <v>83</v>
      </c>
      <c r="F362" s="3" t="s">
        <v>437</v>
      </c>
      <c r="G362" s="3" t="s">
        <v>47</v>
      </c>
      <c r="H362" s="3" t="s">
        <v>3178</v>
      </c>
      <c r="I362" s="3" t="s">
        <v>6555</v>
      </c>
      <c r="J362" s="3" t="s">
        <v>3179</v>
      </c>
      <c r="K362" s="3" t="s">
        <v>6551</v>
      </c>
      <c r="L362" s="3" t="s">
        <v>3179</v>
      </c>
      <c r="M362" s="3" t="s">
        <v>6551</v>
      </c>
      <c r="N362" s="3" t="s">
        <v>3180</v>
      </c>
      <c r="O362" s="3" t="s">
        <v>6511</v>
      </c>
      <c r="P362" s="3" t="s">
        <v>3181</v>
      </c>
      <c r="Q362" s="3" t="s">
        <v>6551</v>
      </c>
      <c r="R362" s="3" t="s">
        <v>3180</v>
      </c>
      <c r="S362" s="3" t="s">
        <v>6685</v>
      </c>
      <c r="T362" s="3" t="s">
        <v>3183</v>
      </c>
      <c r="U362" s="3" t="s">
        <v>6551</v>
      </c>
      <c r="V362" s="3" t="s">
        <v>3184</v>
      </c>
      <c r="W362" s="3" t="s">
        <v>6545</v>
      </c>
      <c r="X362" s="3" t="s">
        <v>3185</v>
      </c>
      <c r="Y362" s="3" t="s">
        <v>6528</v>
      </c>
      <c r="Z362" s="3" t="s">
        <v>3186</v>
      </c>
      <c r="AA362" s="3" t="s">
        <v>6847</v>
      </c>
    </row>
    <row r="363" customFormat="false" ht="15" hidden="false" customHeight="true" outlineLevel="0" collapsed="false">
      <c r="A363" s="3" t="s">
        <v>3187</v>
      </c>
      <c r="B363" s="3" t="n">
        <v>5</v>
      </c>
      <c r="C363" s="3" t="n">
        <v>34</v>
      </c>
      <c r="D363" s="3" t="str">
        <f aca="false">Combined!G363</f>
        <v>Middle-aged (30–64)</v>
      </c>
      <c r="E363" s="3" t="s">
        <v>83</v>
      </c>
      <c r="F363" s="3" t="s">
        <v>437</v>
      </c>
      <c r="G363" s="3" t="s">
        <v>47</v>
      </c>
      <c r="H363" s="3" t="s">
        <v>3188</v>
      </c>
      <c r="I363" s="3" t="s">
        <v>6623</v>
      </c>
      <c r="J363" s="3" t="s">
        <v>893</v>
      </c>
      <c r="K363" s="3" t="s">
        <v>6516</v>
      </c>
      <c r="L363" s="3" t="s">
        <v>3189</v>
      </c>
      <c r="M363" s="3" t="s">
        <v>7223</v>
      </c>
      <c r="N363" s="3" t="s">
        <v>3190</v>
      </c>
      <c r="O363" s="3" t="s">
        <v>6511</v>
      </c>
      <c r="P363" s="3" t="s">
        <v>3191</v>
      </c>
      <c r="Q363" s="3" t="s">
        <v>6512</v>
      </c>
      <c r="R363" s="3" t="s">
        <v>3192</v>
      </c>
      <c r="S363" s="3" t="s">
        <v>6549</v>
      </c>
      <c r="T363" s="3" t="s">
        <v>3194</v>
      </c>
      <c r="U363" s="3" t="s">
        <v>7224</v>
      </c>
      <c r="V363" s="3" t="s">
        <v>3195</v>
      </c>
      <c r="W363" s="3" t="s">
        <v>6528</v>
      </c>
      <c r="X363" s="3" t="s">
        <v>3196</v>
      </c>
      <c r="Y363" s="3" t="s">
        <v>6551</v>
      </c>
      <c r="Z363" s="3" t="s">
        <v>3197</v>
      </c>
      <c r="AA363" s="3" t="s">
        <v>6820</v>
      </c>
    </row>
    <row r="364" customFormat="false" ht="15" hidden="false" customHeight="true" outlineLevel="0" collapsed="false">
      <c r="A364" s="3" t="s">
        <v>3198</v>
      </c>
      <c r="B364" s="3" t="n">
        <v>5</v>
      </c>
      <c r="C364" s="3" t="n">
        <v>21</v>
      </c>
      <c r="D364" s="3" t="str">
        <f aca="false">Combined!G364</f>
        <v>Student age (≤29)</v>
      </c>
      <c r="E364" s="3" t="s">
        <v>45</v>
      </c>
      <c r="F364" s="3" t="s">
        <v>437</v>
      </c>
      <c r="G364" s="3" t="s">
        <v>47</v>
      </c>
      <c r="H364" s="3" t="s">
        <v>2037</v>
      </c>
      <c r="I364" s="3" t="s">
        <v>6539</v>
      </c>
      <c r="J364" s="3" t="s">
        <v>3199</v>
      </c>
      <c r="K364" s="3" t="s">
        <v>7225</v>
      </c>
      <c r="L364" s="3" t="s">
        <v>3200</v>
      </c>
      <c r="M364" s="3" t="s">
        <v>7226</v>
      </c>
      <c r="N364" s="3" t="s">
        <v>3201</v>
      </c>
      <c r="O364" s="3" t="s">
        <v>6511</v>
      </c>
      <c r="P364" s="5" t="s">
        <v>3202</v>
      </c>
      <c r="Q364" s="3" t="s">
        <v>6542</v>
      </c>
      <c r="R364" s="3" t="s">
        <v>3203</v>
      </c>
      <c r="S364" s="3" t="s">
        <v>6621</v>
      </c>
      <c r="T364" s="3" t="s">
        <v>3205</v>
      </c>
      <c r="U364" s="3" t="s">
        <v>7227</v>
      </c>
      <c r="V364" s="3" t="s">
        <v>1600</v>
      </c>
      <c r="W364" s="3" t="s">
        <v>6545</v>
      </c>
      <c r="X364" s="3" t="s">
        <v>1600</v>
      </c>
      <c r="Y364" s="3" t="s">
        <v>6545</v>
      </c>
      <c r="Z364" s="5" t="s">
        <v>3206</v>
      </c>
      <c r="AA364" s="3" t="s">
        <v>7228</v>
      </c>
    </row>
    <row r="365" customFormat="false" ht="15" hidden="false" customHeight="true" outlineLevel="0" collapsed="false">
      <c r="A365" s="3" t="s">
        <v>3207</v>
      </c>
      <c r="B365" s="3" t="n">
        <v>5</v>
      </c>
      <c r="C365" s="3" t="n">
        <v>26</v>
      </c>
      <c r="D365" s="3" t="str">
        <f aca="false">Combined!G365</f>
        <v>Student age (≤29)</v>
      </c>
      <c r="E365" s="3" t="s">
        <v>45</v>
      </c>
      <c r="F365" s="3" t="s">
        <v>437</v>
      </c>
      <c r="G365" s="3" t="s">
        <v>47</v>
      </c>
      <c r="H365" s="3" t="s">
        <v>3208</v>
      </c>
      <c r="I365" s="3" t="s">
        <v>7229</v>
      </c>
      <c r="J365" s="3" t="s">
        <v>3209</v>
      </c>
      <c r="K365" s="3" t="s">
        <v>6942</v>
      </c>
      <c r="L365" s="3" t="s">
        <v>3210</v>
      </c>
      <c r="M365" s="3" t="s">
        <v>7230</v>
      </c>
      <c r="N365" s="3" t="s">
        <v>3211</v>
      </c>
      <c r="O365" s="3" t="s">
        <v>6511</v>
      </c>
      <c r="P365" s="3" t="s">
        <v>3212</v>
      </c>
      <c r="Q365" s="3" t="s">
        <v>6730</v>
      </c>
      <c r="R365" s="3" t="s">
        <v>3213</v>
      </c>
      <c r="S365" s="3" t="s">
        <v>7231</v>
      </c>
      <c r="T365" s="3" t="s">
        <v>3215</v>
      </c>
      <c r="U365" s="3" t="s">
        <v>7232</v>
      </c>
      <c r="V365" s="3" t="s">
        <v>3216</v>
      </c>
      <c r="W365" s="3" t="s">
        <v>6941</v>
      </c>
      <c r="X365" s="3" t="s">
        <v>3217</v>
      </c>
      <c r="Y365" s="3" t="s">
        <v>7233</v>
      </c>
      <c r="Z365" s="3" t="s">
        <v>3218</v>
      </c>
      <c r="AA365" s="3" t="s">
        <v>7234</v>
      </c>
    </row>
    <row r="366" customFormat="false" ht="15" hidden="false" customHeight="true" outlineLevel="0" collapsed="false">
      <c r="A366" s="3" t="s">
        <v>3219</v>
      </c>
      <c r="B366" s="3" t="n">
        <v>5</v>
      </c>
      <c r="C366" s="3" t="n">
        <v>23</v>
      </c>
      <c r="D366" s="3" t="str">
        <f aca="false">Combined!G366</f>
        <v>Student age (≤29)</v>
      </c>
      <c r="E366" s="3" t="s">
        <v>45</v>
      </c>
      <c r="F366" s="3" t="s">
        <v>453</v>
      </c>
      <c r="G366" s="3" t="s">
        <v>453</v>
      </c>
      <c r="H366" s="3" t="s">
        <v>3220</v>
      </c>
      <c r="I366" s="3" t="s">
        <v>6763</v>
      </c>
      <c r="J366" s="3" t="s">
        <v>3221</v>
      </c>
      <c r="K366" s="3" t="s">
        <v>7021</v>
      </c>
      <c r="L366" s="3" t="s">
        <v>3222</v>
      </c>
      <c r="M366" s="3" t="s">
        <v>7235</v>
      </c>
      <c r="N366" s="3" t="s">
        <v>3223</v>
      </c>
      <c r="O366" s="3" t="s">
        <v>6511</v>
      </c>
      <c r="P366" s="5" t="s">
        <v>3224</v>
      </c>
      <c r="Q366" s="3" t="s">
        <v>6580</v>
      </c>
      <c r="R366" s="3" t="s">
        <v>3225</v>
      </c>
      <c r="S366" s="3" t="s">
        <v>6537</v>
      </c>
      <c r="T366" s="3" t="s">
        <v>3227</v>
      </c>
      <c r="U366" s="3" t="s">
        <v>7236</v>
      </c>
      <c r="V366" s="3" t="s">
        <v>3228</v>
      </c>
      <c r="W366" s="3" t="s">
        <v>7237</v>
      </c>
      <c r="X366" s="3" t="s">
        <v>3229</v>
      </c>
      <c r="Y366" s="3" t="s">
        <v>6774</v>
      </c>
      <c r="Z366" s="3" t="s">
        <v>3230</v>
      </c>
      <c r="AA366" s="3" t="s">
        <v>7080</v>
      </c>
    </row>
    <row r="367" customFormat="false" ht="15" hidden="false" customHeight="true" outlineLevel="0" collapsed="false">
      <c r="A367" s="3" t="s">
        <v>3231</v>
      </c>
      <c r="B367" s="3" t="n">
        <v>5</v>
      </c>
      <c r="C367" s="3" t="n">
        <v>23</v>
      </c>
      <c r="D367" s="3" t="str">
        <f aca="false">Combined!G367</f>
        <v>Student age (≤29)</v>
      </c>
      <c r="E367" s="3" t="s">
        <v>83</v>
      </c>
      <c r="F367" s="3" t="s">
        <v>437</v>
      </c>
      <c r="G367" s="3" t="s">
        <v>437</v>
      </c>
      <c r="H367" s="3" t="s">
        <v>3232</v>
      </c>
      <c r="I367" s="3" t="s">
        <v>6842</v>
      </c>
      <c r="J367" s="3" t="s">
        <v>3233</v>
      </c>
      <c r="K367" s="3" t="s">
        <v>6770</v>
      </c>
      <c r="L367" s="3" t="s">
        <v>3234</v>
      </c>
      <c r="M367" s="3" t="s">
        <v>7238</v>
      </c>
      <c r="N367" s="3" t="s">
        <v>3235</v>
      </c>
      <c r="O367" s="3" t="s">
        <v>6511</v>
      </c>
      <c r="P367" s="3" t="s">
        <v>3236</v>
      </c>
      <c r="Q367" s="3" t="s">
        <v>6512</v>
      </c>
      <c r="R367" s="3" t="s">
        <v>3237</v>
      </c>
      <c r="S367" s="3" t="s">
        <v>7239</v>
      </c>
      <c r="T367" s="3" t="s">
        <v>3239</v>
      </c>
      <c r="U367" s="3" t="s">
        <v>6706</v>
      </c>
      <c r="V367" s="3" t="s">
        <v>3240</v>
      </c>
      <c r="W367" s="3" t="s">
        <v>7030</v>
      </c>
      <c r="X367" s="3" t="s">
        <v>3241</v>
      </c>
      <c r="Y367" s="3" t="s">
        <v>6651</v>
      </c>
      <c r="Z367" s="3" t="s">
        <v>3242</v>
      </c>
      <c r="AA367" s="3" t="s">
        <v>7240</v>
      </c>
    </row>
    <row r="368" customFormat="false" ht="15" hidden="false" customHeight="true" outlineLevel="0" collapsed="false">
      <c r="A368" s="3" t="s">
        <v>3243</v>
      </c>
      <c r="B368" s="3" t="n">
        <v>5</v>
      </c>
      <c r="C368" s="3" t="n">
        <v>27</v>
      </c>
      <c r="D368" s="3" t="str">
        <f aca="false">Combined!G368</f>
        <v>Student age (≤29)</v>
      </c>
      <c r="E368" s="3" t="s">
        <v>45</v>
      </c>
      <c r="F368" s="3" t="s">
        <v>437</v>
      </c>
      <c r="G368" s="3" t="s">
        <v>47</v>
      </c>
      <c r="H368" s="3" t="s">
        <v>3244</v>
      </c>
      <c r="I368" s="3" t="s">
        <v>6539</v>
      </c>
      <c r="J368" s="3" t="s">
        <v>3245</v>
      </c>
      <c r="K368" s="3" t="s">
        <v>6540</v>
      </c>
      <c r="L368" s="3" t="s">
        <v>3246</v>
      </c>
      <c r="M368" s="3" t="s">
        <v>6569</v>
      </c>
      <c r="N368" s="3" t="s">
        <v>3247</v>
      </c>
      <c r="O368" s="3" t="s">
        <v>6511</v>
      </c>
      <c r="P368" s="3" t="s">
        <v>3248</v>
      </c>
      <c r="Q368" s="3" t="s">
        <v>6968</v>
      </c>
      <c r="R368" s="3" t="s">
        <v>3249</v>
      </c>
      <c r="S368" s="3" t="s">
        <v>6537</v>
      </c>
      <c r="T368" s="3" t="s">
        <v>3251</v>
      </c>
      <c r="U368" s="3" t="s">
        <v>7241</v>
      </c>
      <c r="V368" s="3" t="s">
        <v>1834</v>
      </c>
      <c r="W368" s="3" t="s">
        <v>6568</v>
      </c>
      <c r="X368" s="3" t="s">
        <v>1834</v>
      </c>
      <c r="Y368" s="3" t="s">
        <v>6568</v>
      </c>
      <c r="Z368" s="3" t="s">
        <v>3252</v>
      </c>
      <c r="AA368" s="3" t="s">
        <v>6538</v>
      </c>
    </row>
    <row r="369" customFormat="false" ht="15" hidden="false" customHeight="true" outlineLevel="0" collapsed="false">
      <c r="A369" s="3" t="s">
        <v>3253</v>
      </c>
      <c r="B369" s="3" t="n">
        <v>5</v>
      </c>
      <c r="C369" s="3" t="n">
        <v>23</v>
      </c>
      <c r="D369" s="3" t="str">
        <f aca="false">Combined!G369</f>
        <v>Student age (≤29)</v>
      </c>
      <c r="E369" s="3" t="s">
        <v>83</v>
      </c>
      <c r="F369" s="3" t="s">
        <v>437</v>
      </c>
      <c r="G369" s="3" t="s">
        <v>47</v>
      </c>
      <c r="H369" s="3" t="s">
        <v>3254</v>
      </c>
      <c r="I369" s="3" t="s">
        <v>6539</v>
      </c>
      <c r="J369" s="3" t="s">
        <v>3255</v>
      </c>
      <c r="K369" s="3" t="s">
        <v>6509</v>
      </c>
      <c r="L369" s="3" t="s">
        <v>3256</v>
      </c>
      <c r="M369" s="3" t="s">
        <v>6547</v>
      </c>
      <c r="N369" s="3" t="s">
        <v>3257</v>
      </c>
      <c r="O369" s="3" t="s">
        <v>6511</v>
      </c>
      <c r="P369" s="3" t="s">
        <v>3258</v>
      </c>
      <c r="Q369" s="3" t="s">
        <v>6524</v>
      </c>
      <c r="R369" s="3" t="s">
        <v>3259</v>
      </c>
      <c r="S369" s="3" t="s">
        <v>6551</v>
      </c>
      <c r="T369" s="3" t="s">
        <v>3261</v>
      </c>
      <c r="U369" s="3" t="s">
        <v>6713</v>
      </c>
      <c r="V369" s="3" t="s">
        <v>3262</v>
      </c>
      <c r="W369" s="3" t="s">
        <v>7030</v>
      </c>
      <c r="X369" s="5" t="s">
        <v>3263</v>
      </c>
      <c r="Y369" s="3" t="s">
        <v>6989</v>
      </c>
      <c r="Z369" s="3" t="s">
        <v>3264</v>
      </c>
      <c r="AA369" s="3" t="s">
        <v>7242</v>
      </c>
    </row>
    <row r="370" customFormat="false" ht="15" hidden="false" customHeight="true" outlineLevel="0" collapsed="false">
      <c r="A370" s="3" t="s">
        <v>3265</v>
      </c>
      <c r="B370" s="3" t="n">
        <v>5</v>
      </c>
      <c r="C370" s="3" t="n">
        <v>23</v>
      </c>
      <c r="D370" s="3" t="str">
        <f aca="false">Combined!G370</f>
        <v>Student age (≤29)</v>
      </c>
      <c r="E370" s="3" t="s">
        <v>45</v>
      </c>
      <c r="F370" s="3" t="s">
        <v>437</v>
      </c>
      <c r="G370" s="3" t="s">
        <v>437</v>
      </c>
      <c r="H370" s="3" t="s">
        <v>3266</v>
      </c>
      <c r="I370" s="3" t="s">
        <v>6733</v>
      </c>
      <c r="J370" s="3" t="s">
        <v>3267</v>
      </c>
      <c r="K370" s="3" t="s">
        <v>6535</v>
      </c>
      <c r="L370" s="3" t="s">
        <v>3268</v>
      </c>
      <c r="M370" s="3" t="s">
        <v>6978</v>
      </c>
      <c r="N370" s="3" t="s">
        <v>2952</v>
      </c>
      <c r="O370" s="3" t="s">
        <v>1625</v>
      </c>
      <c r="P370" s="3" t="s">
        <v>3269</v>
      </c>
      <c r="Q370" s="3" t="s">
        <v>6717</v>
      </c>
      <c r="R370" s="3" t="s">
        <v>3270</v>
      </c>
      <c r="S370" s="3" t="s">
        <v>6721</v>
      </c>
      <c r="T370" s="3" t="s">
        <v>3272</v>
      </c>
      <c r="U370" s="3" t="s">
        <v>6551</v>
      </c>
      <c r="V370" s="3" t="s">
        <v>3273</v>
      </c>
      <c r="W370" s="3" t="s">
        <v>6545</v>
      </c>
      <c r="X370" s="3" t="s">
        <v>3274</v>
      </c>
      <c r="Y370" s="3" t="s">
        <v>6649</v>
      </c>
      <c r="Z370" s="3" t="s">
        <v>3275</v>
      </c>
      <c r="AA370" s="3" t="s">
        <v>6649</v>
      </c>
    </row>
    <row r="371" customFormat="false" ht="15" hidden="false" customHeight="true" outlineLevel="0" collapsed="false">
      <c r="A371" s="3" t="s">
        <v>3276</v>
      </c>
      <c r="B371" s="3" t="n">
        <v>5</v>
      </c>
      <c r="C371" s="3" t="n">
        <v>27</v>
      </c>
      <c r="D371" s="3" t="str">
        <f aca="false">Combined!G371</f>
        <v>Student age (≤29)</v>
      </c>
      <c r="E371" s="3" t="s">
        <v>45</v>
      </c>
      <c r="F371" s="3" t="s">
        <v>437</v>
      </c>
      <c r="G371" s="3" t="s">
        <v>3277</v>
      </c>
      <c r="H371" s="3" t="s">
        <v>3278</v>
      </c>
      <c r="I371" s="3" t="s">
        <v>6608</v>
      </c>
      <c r="J371" s="3" t="s">
        <v>3279</v>
      </c>
      <c r="K371" s="3" t="s">
        <v>6569</v>
      </c>
      <c r="L371" s="3" t="s">
        <v>3280</v>
      </c>
      <c r="M371" s="3" t="s">
        <v>6569</v>
      </c>
      <c r="N371" s="3" t="s">
        <v>3281</v>
      </c>
      <c r="O371" s="3" t="s">
        <v>6511</v>
      </c>
      <c r="P371" s="3" t="s">
        <v>3282</v>
      </c>
      <c r="Q371" s="3" t="s">
        <v>6524</v>
      </c>
      <c r="R371" s="3" t="s">
        <v>3283</v>
      </c>
      <c r="S371" s="3" t="s">
        <v>6551</v>
      </c>
      <c r="T371" s="3" t="s">
        <v>3285</v>
      </c>
      <c r="U371" s="3" t="s">
        <v>7243</v>
      </c>
      <c r="V371" s="3" t="s">
        <v>1845</v>
      </c>
      <c r="W371" s="3" t="s">
        <v>6545</v>
      </c>
      <c r="X371" s="3" t="s">
        <v>2215</v>
      </c>
      <c r="Y371" s="3" t="s">
        <v>6568</v>
      </c>
      <c r="Z371" s="3" t="s">
        <v>3286</v>
      </c>
      <c r="AA371" s="3" t="s">
        <v>6847</v>
      </c>
    </row>
    <row r="372" customFormat="false" ht="15" hidden="false" customHeight="true" outlineLevel="0" collapsed="false">
      <c r="A372" s="3" t="s">
        <v>3287</v>
      </c>
      <c r="B372" s="3" t="n">
        <v>5</v>
      </c>
      <c r="C372" s="3" t="n">
        <v>55</v>
      </c>
      <c r="D372" s="3" t="str">
        <f aca="false">Combined!G372</f>
        <v>Middle-aged (30–64)</v>
      </c>
      <c r="E372" s="3" t="s">
        <v>45</v>
      </c>
      <c r="F372" s="3" t="s">
        <v>437</v>
      </c>
      <c r="G372" s="3" t="s">
        <v>453</v>
      </c>
      <c r="H372" s="3" t="s">
        <v>3288</v>
      </c>
      <c r="I372" s="3" t="s">
        <v>6539</v>
      </c>
      <c r="J372" s="3" t="s">
        <v>3289</v>
      </c>
      <c r="K372" s="3" t="s">
        <v>6863</v>
      </c>
      <c r="L372" s="3" t="s">
        <v>1366</v>
      </c>
      <c r="M372" s="3" t="s">
        <v>6520</v>
      </c>
      <c r="N372" s="3" t="s">
        <v>3290</v>
      </c>
      <c r="O372" s="3" t="s">
        <v>6517</v>
      </c>
      <c r="P372" s="3" t="s">
        <v>3291</v>
      </c>
      <c r="Q372" s="3" t="s">
        <v>6580</v>
      </c>
      <c r="R372" s="3" t="s">
        <v>3292</v>
      </c>
      <c r="S372" s="3" t="s">
        <v>6551</v>
      </c>
      <c r="T372" s="3" t="s">
        <v>3294</v>
      </c>
      <c r="U372" s="3" t="s">
        <v>6545</v>
      </c>
      <c r="V372" s="3" t="s">
        <v>3295</v>
      </c>
      <c r="W372" s="3" t="s">
        <v>6611</v>
      </c>
      <c r="X372" s="3" t="s">
        <v>3296</v>
      </c>
      <c r="Y372" s="3" t="s">
        <v>6545</v>
      </c>
      <c r="Z372" s="3"/>
      <c r="AA372" s="3"/>
    </row>
    <row r="373" customFormat="false" ht="15" hidden="false" customHeight="true" outlineLevel="0" collapsed="false">
      <c r="A373" s="3" t="s">
        <v>3297</v>
      </c>
      <c r="B373" s="3" t="n">
        <v>5</v>
      </c>
      <c r="C373" s="3" t="n">
        <v>52</v>
      </c>
      <c r="D373" s="3" t="str">
        <f aca="false">Combined!G373</f>
        <v>Middle-aged (30–64)</v>
      </c>
      <c r="E373" s="3" t="s">
        <v>45</v>
      </c>
      <c r="F373" s="3" t="s">
        <v>437</v>
      </c>
      <c r="G373" s="3" t="s">
        <v>453</v>
      </c>
      <c r="H373" s="3" t="s">
        <v>3298</v>
      </c>
      <c r="I373" s="3" t="s">
        <v>6769</v>
      </c>
      <c r="J373" s="3" t="s">
        <v>3299</v>
      </c>
      <c r="K373" s="3" t="s">
        <v>6510</v>
      </c>
      <c r="L373" s="3" t="s">
        <v>1860</v>
      </c>
      <c r="M373" s="3" t="s">
        <v>6510</v>
      </c>
      <c r="N373" s="3" t="s">
        <v>3300</v>
      </c>
      <c r="O373" s="3" t="s">
        <v>6511</v>
      </c>
      <c r="P373" s="3" t="s">
        <v>3301</v>
      </c>
      <c r="Q373" s="3" t="s">
        <v>6717</v>
      </c>
      <c r="R373" s="3" t="s">
        <v>59</v>
      </c>
      <c r="S373" s="3" t="s">
        <v>6647</v>
      </c>
      <c r="T373" s="3" t="s">
        <v>3303</v>
      </c>
      <c r="U373" s="3" t="s">
        <v>6540</v>
      </c>
      <c r="V373" s="3" t="s">
        <v>1845</v>
      </c>
      <c r="W373" s="3" t="s">
        <v>6545</v>
      </c>
      <c r="X373" s="3" t="s">
        <v>2215</v>
      </c>
      <c r="Y373" s="3" t="s">
        <v>6568</v>
      </c>
      <c r="Z373" s="3"/>
      <c r="AA373" s="3"/>
    </row>
    <row r="374" customFormat="false" ht="15" hidden="false" customHeight="true" outlineLevel="0" collapsed="false">
      <c r="A374" s="3" t="s">
        <v>3304</v>
      </c>
      <c r="B374" s="3" t="n">
        <v>5</v>
      </c>
      <c r="C374" s="3" t="n">
        <v>23</v>
      </c>
      <c r="D374" s="3" t="str">
        <f aca="false">Combined!G374</f>
        <v>Student age (≤29)</v>
      </c>
      <c r="E374" s="3" t="s">
        <v>83</v>
      </c>
      <c r="F374" s="3" t="s">
        <v>437</v>
      </c>
      <c r="G374" s="3" t="s">
        <v>437</v>
      </c>
      <c r="H374" s="3" t="s">
        <v>3305</v>
      </c>
      <c r="I374" s="3" t="s">
        <v>6623</v>
      </c>
      <c r="J374" s="3" t="s">
        <v>3306</v>
      </c>
      <c r="K374" s="3" t="s">
        <v>6799</v>
      </c>
      <c r="L374" s="3" t="s">
        <v>3307</v>
      </c>
      <c r="M374" s="3" t="s">
        <v>6540</v>
      </c>
      <c r="N374" s="3" t="s">
        <v>3308</v>
      </c>
      <c r="O374" s="3" t="s">
        <v>1625</v>
      </c>
      <c r="P374" s="3" t="s">
        <v>3309</v>
      </c>
      <c r="Q374" s="3" t="s">
        <v>6689</v>
      </c>
      <c r="R374" s="3" t="s">
        <v>59</v>
      </c>
      <c r="S374" s="3" t="s">
        <v>6647</v>
      </c>
      <c r="T374" s="3" t="s">
        <v>3311</v>
      </c>
      <c r="U374" s="3" t="s">
        <v>6551</v>
      </c>
      <c r="V374" s="3" t="s">
        <v>1845</v>
      </c>
      <c r="W374" s="3" t="s">
        <v>6545</v>
      </c>
      <c r="X374" s="3" t="s">
        <v>3312</v>
      </c>
      <c r="Y374" s="3" t="s">
        <v>6569</v>
      </c>
      <c r="Z374" s="3"/>
      <c r="AA374" s="3"/>
    </row>
    <row r="375" customFormat="false" ht="15" hidden="false" customHeight="true" outlineLevel="0" collapsed="false">
      <c r="A375" s="3" t="s">
        <v>3313</v>
      </c>
      <c r="B375" s="3" t="n">
        <v>5</v>
      </c>
      <c r="C375" s="3" t="n">
        <v>22</v>
      </c>
      <c r="D375" s="3" t="str">
        <f aca="false">Combined!G375</f>
        <v>Student age (≤29)</v>
      </c>
      <c r="E375" s="3" t="s">
        <v>45</v>
      </c>
      <c r="F375" s="3" t="s">
        <v>437</v>
      </c>
      <c r="G375" s="3" t="s">
        <v>437</v>
      </c>
      <c r="H375" s="3" t="s">
        <v>3314</v>
      </c>
      <c r="I375" s="3" t="s">
        <v>6637</v>
      </c>
      <c r="J375" s="3" t="s">
        <v>3315</v>
      </c>
      <c r="K375" s="3" t="s">
        <v>6864</v>
      </c>
      <c r="L375" s="3" t="s">
        <v>3316</v>
      </c>
      <c r="M375" s="3" t="s">
        <v>6864</v>
      </c>
      <c r="N375" s="3" t="s">
        <v>3317</v>
      </c>
      <c r="O375" s="3" t="s">
        <v>6511</v>
      </c>
      <c r="P375" s="3" t="s">
        <v>3318</v>
      </c>
      <c r="Q375" s="3" t="s">
        <v>2062</v>
      </c>
      <c r="R375" s="3" t="s">
        <v>59</v>
      </c>
      <c r="S375" s="3" t="s">
        <v>6647</v>
      </c>
      <c r="T375" s="3" t="s">
        <v>3320</v>
      </c>
      <c r="U375" s="3" t="s">
        <v>6551</v>
      </c>
      <c r="V375" s="3" t="s">
        <v>1844</v>
      </c>
      <c r="W375" s="3" t="s">
        <v>6900</v>
      </c>
      <c r="X375" s="3" t="s">
        <v>3321</v>
      </c>
      <c r="Y375" s="3" t="s">
        <v>6551</v>
      </c>
      <c r="Z375" s="3"/>
      <c r="AA375" s="3"/>
    </row>
    <row r="376" customFormat="false" ht="15" hidden="false" customHeight="true" outlineLevel="0" collapsed="false">
      <c r="A376" s="3" t="s">
        <v>3322</v>
      </c>
      <c r="B376" s="3" t="n">
        <v>5</v>
      </c>
      <c r="C376" s="3" t="n">
        <v>25</v>
      </c>
      <c r="D376" s="3" t="str">
        <f aca="false">Combined!G376</f>
        <v>Student age (≤29)</v>
      </c>
      <c r="E376" s="3" t="s">
        <v>45</v>
      </c>
      <c r="F376" s="3" t="s">
        <v>437</v>
      </c>
      <c r="G376" s="3" t="s">
        <v>437</v>
      </c>
      <c r="H376" s="3" t="s">
        <v>3323</v>
      </c>
      <c r="I376" s="3" t="s">
        <v>7244</v>
      </c>
      <c r="J376" s="3" t="s">
        <v>3324</v>
      </c>
      <c r="K376" s="3" t="s">
        <v>7245</v>
      </c>
      <c r="L376" s="3" t="s">
        <v>3325</v>
      </c>
      <c r="M376" s="3" t="s">
        <v>7246</v>
      </c>
      <c r="N376" s="3" t="s">
        <v>3326</v>
      </c>
      <c r="O376" s="3" t="s">
        <v>6511</v>
      </c>
      <c r="P376" s="3" t="s">
        <v>3327</v>
      </c>
      <c r="Q376" s="3" t="s">
        <v>6518</v>
      </c>
      <c r="R376" s="3" t="s">
        <v>59</v>
      </c>
      <c r="S376" s="3" t="s">
        <v>6647</v>
      </c>
      <c r="T376" s="3" t="s">
        <v>3329</v>
      </c>
      <c r="U376" s="3" t="s">
        <v>6900</v>
      </c>
      <c r="V376" s="3" t="s">
        <v>2215</v>
      </c>
      <c r="W376" s="3" t="s">
        <v>6568</v>
      </c>
      <c r="X376" s="3" t="s">
        <v>3330</v>
      </c>
      <c r="Y376" s="3" t="s">
        <v>6965</v>
      </c>
      <c r="Z376" s="3"/>
      <c r="AA376" s="3"/>
    </row>
    <row r="377" customFormat="false" ht="15" hidden="false" customHeight="true" outlineLevel="0" collapsed="false">
      <c r="A377" s="3" t="s">
        <v>3331</v>
      </c>
      <c r="B377" s="3" t="n">
        <v>5</v>
      </c>
      <c r="C377" s="3" t="n">
        <v>24</v>
      </c>
      <c r="D377" s="3" t="str">
        <f aca="false">Combined!G377</f>
        <v>Student age (≤29)</v>
      </c>
      <c r="E377" s="3" t="s">
        <v>83</v>
      </c>
      <c r="F377" s="3" t="s">
        <v>437</v>
      </c>
      <c r="G377" s="3" t="s">
        <v>437</v>
      </c>
      <c r="H377" s="3" t="s">
        <v>3332</v>
      </c>
      <c r="I377" s="3" t="s">
        <v>6813</v>
      </c>
      <c r="J377" s="3" t="s">
        <v>3333</v>
      </c>
      <c r="K377" s="3" t="s">
        <v>6564</v>
      </c>
      <c r="L377" s="3" t="s">
        <v>3334</v>
      </c>
      <c r="M377" s="3" t="s">
        <v>6510</v>
      </c>
      <c r="N377" s="3" t="s">
        <v>3335</v>
      </c>
      <c r="O377" s="3" t="s">
        <v>6511</v>
      </c>
      <c r="P377" s="3" t="s">
        <v>3336</v>
      </c>
      <c r="Q377" s="3" t="s">
        <v>6914</v>
      </c>
      <c r="R377" s="3" t="s">
        <v>59</v>
      </c>
      <c r="S377" s="3" t="s">
        <v>6647</v>
      </c>
      <c r="T377" s="3" t="s">
        <v>3338</v>
      </c>
      <c r="U377" s="3" t="s">
        <v>6551</v>
      </c>
      <c r="V377" s="3" t="s">
        <v>1845</v>
      </c>
      <c r="W377" s="3" t="s">
        <v>6545</v>
      </c>
      <c r="X377" s="3" t="s">
        <v>3339</v>
      </c>
      <c r="Y377" s="3" t="s">
        <v>6551</v>
      </c>
      <c r="Z377" s="3"/>
      <c r="AA377" s="3"/>
    </row>
    <row r="378" customFormat="false" ht="15" hidden="false" customHeight="true" outlineLevel="0" collapsed="false">
      <c r="A378" s="3" t="s">
        <v>3341</v>
      </c>
      <c r="B378" s="3" t="n">
        <v>5</v>
      </c>
      <c r="C378" s="3" t="n">
        <v>25</v>
      </c>
      <c r="D378" s="3" t="str">
        <f aca="false">Combined!G378</f>
        <v>Student age (≤29)</v>
      </c>
      <c r="E378" s="3" t="s">
        <v>45</v>
      </c>
      <c r="F378" s="3" t="s">
        <v>437</v>
      </c>
      <c r="G378" s="3" t="s">
        <v>437</v>
      </c>
      <c r="H378" s="3" t="s">
        <v>3342</v>
      </c>
      <c r="I378" s="3" t="s">
        <v>6623</v>
      </c>
      <c r="J378" s="3" t="s">
        <v>3343</v>
      </c>
      <c r="K378" s="3" t="s">
        <v>7111</v>
      </c>
      <c r="L378" s="3" t="s">
        <v>3344</v>
      </c>
      <c r="M378" s="3" t="s">
        <v>6569</v>
      </c>
      <c r="N378" s="3" t="s">
        <v>3345</v>
      </c>
      <c r="O378" s="3" t="s">
        <v>6511</v>
      </c>
      <c r="P378" s="3" t="s">
        <v>3346</v>
      </c>
      <c r="Q378" s="3" t="s">
        <v>6634</v>
      </c>
      <c r="R378" s="3" t="s">
        <v>59</v>
      </c>
      <c r="S378" s="3" t="s">
        <v>6647</v>
      </c>
      <c r="T378" s="3" t="s">
        <v>3347</v>
      </c>
      <c r="U378" s="3" t="s">
        <v>6540</v>
      </c>
      <c r="V378" s="3" t="s">
        <v>1845</v>
      </c>
      <c r="W378" s="3" t="s">
        <v>6545</v>
      </c>
      <c r="X378" s="3" t="s">
        <v>3348</v>
      </c>
      <c r="Y378" s="3" t="s">
        <v>6568</v>
      </c>
      <c r="Z378" s="3"/>
      <c r="AA378" s="3"/>
    </row>
    <row r="379" customFormat="false" ht="15" hidden="false" customHeight="true" outlineLevel="0" collapsed="false">
      <c r="A379" s="3" t="s">
        <v>3349</v>
      </c>
      <c r="B379" s="3" t="n">
        <v>5</v>
      </c>
      <c r="C379" s="3" t="n">
        <v>24</v>
      </c>
      <c r="D379" s="3" t="str">
        <f aca="false">Combined!G379</f>
        <v>Student age (≤29)</v>
      </c>
      <c r="E379" s="3" t="s">
        <v>45</v>
      </c>
      <c r="F379" s="3" t="s">
        <v>437</v>
      </c>
      <c r="G379" s="3" t="s">
        <v>437</v>
      </c>
      <c r="H379" s="3" t="s">
        <v>3350</v>
      </c>
      <c r="I379" s="3" t="s">
        <v>7247</v>
      </c>
      <c r="J379" s="3" t="s">
        <v>3351</v>
      </c>
      <c r="K379" s="3" t="s">
        <v>6510</v>
      </c>
      <c r="L379" s="3" t="s">
        <v>3352</v>
      </c>
      <c r="M379" s="3" t="s">
        <v>6510</v>
      </c>
      <c r="N379" s="3" t="s">
        <v>3353</v>
      </c>
      <c r="O379" s="3" t="s">
        <v>59</v>
      </c>
      <c r="P379" s="3" t="s">
        <v>3354</v>
      </c>
      <c r="Q379" s="3" t="s">
        <v>7011</v>
      </c>
      <c r="R379" s="3" t="s">
        <v>59</v>
      </c>
      <c r="S379" s="3" t="s">
        <v>6647</v>
      </c>
      <c r="T379" s="3" t="s">
        <v>3356</v>
      </c>
      <c r="U379" s="3" t="s">
        <v>6900</v>
      </c>
      <c r="V379" s="3" t="s">
        <v>2215</v>
      </c>
      <c r="W379" s="3" t="s">
        <v>6568</v>
      </c>
      <c r="X379" s="3" t="s">
        <v>3357</v>
      </c>
      <c r="Y379" s="3" t="s">
        <v>6545</v>
      </c>
      <c r="Z379" s="3"/>
      <c r="AA379" s="3"/>
    </row>
    <row r="380" customFormat="false" ht="15" hidden="false" customHeight="true" outlineLevel="0" collapsed="false">
      <c r="A380" s="3" t="s">
        <v>3358</v>
      </c>
      <c r="B380" s="3" t="n">
        <v>5</v>
      </c>
      <c r="C380" s="3" t="n">
        <v>22</v>
      </c>
      <c r="D380" s="3" t="str">
        <f aca="false">Combined!G380</f>
        <v>Student age (≤29)</v>
      </c>
      <c r="E380" s="3" t="s">
        <v>45</v>
      </c>
      <c r="F380" s="3" t="s">
        <v>437</v>
      </c>
      <c r="G380" s="3" t="s">
        <v>437</v>
      </c>
      <c r="H380" s="3" t="s">
        <v>3359</v>
      </c>
      <c r="I380" s="3" t="s">
        <v>6608</v>
      </c>
      <c r="J380" s="3" t="s">
        <v>3360</v>
      </c>
      <c r="K380" s="3" t="s">
        <v>6569</v>
      </c>
      <c r="L380" s="3" t="s">
        <v>3361</v>
      </c>
      <c r="M380" s="3" t="s">
        <v>7125</v>
      </c>
      <c r="N380" s="3" t="s">
        <v>3308</v>
      </c>
      <c r="O380" s="3" t="s">
        <v>1625</v>
      </c>
      <c r="P380" s="3" t="s">
        <v>3362</v>
      </c>
      <c r="Q380" s="3" t="s">
        <v>6571</v>
      </c>
      <c r="R380" s="3" t="s">
        <v>59</v>
      </c>
      <c r="S380" s="3" t="s">
        <v>6647</v>
      </c>
      <c r="T380" s="3" t="s">
        <v>3364</v>
      </c>
      <c r="U380" s="3" t="s">
        <v>6544</v>
      </c>
      <c r="V380" s="3" t="s">
        <v>1845</v>
      </c>
      <c r="W380" s="3" t="s">
        <v>6545</v>
      </c>
      <c r="X380" s="3" t="s">
        <v>3365</v>
      </c>
      <c r="Y380" s="3" t="s">
        <v>6820</v>
      </c>
      <c r="Z380" s="3"/>
      <c r="AA380" s="3"/>
    </row>
    <row r="381" customFormat="false" ht="15" hidden="false" customHeight="true" outlineLevel="0" collapsed="false">
      <c r="A381" s="3" t="s">
        <v>3367</v>
      </c>
      <c r="B381" s="3" t="n">
        <v>5</v>
      </c>
      <c r="C381" s="3" t="n">
        <v>25</v>
      </c>
      <c r="D381" s="3" t="str">
        <f aca="false">Combined!G381</f>
        <v>Student age (≤29)</v>
      </c>
      <c r="E381" s="3" t="s">
        <v>83</v>
      </c>
      <c r="F381" s="3" t="s">
        <v>437</v>
      </c>
      <c r="G381" s="3" t="s">
        <v>437</v>
      </c>
      <c r="H381" s="3" t="s">
        <v>3368</v>
      </c>
      <c r="I381" s="3" t="s">
        <v>6539</v>
      </c>
      <c r="J381" s="3" t="s">
        <v>3369</v>
      </c>
      <c r="K381" s="3" t="s">
        <v>6510</v>
      </c>
      <c r="L381" s="3" t="s">
        <v>3370</v>
      </c>
      <c r="M381" s="3" t="s">
        <v>6510</v>
      </c>
      <c r="N381" s="3" t="s">
        <v>3371</v>
      </c>
      <c r="O381" s="3" t="s">
        <v>6511</v>
      </c>
      <c r="P381" s="3" t="s">
        <v>3372</v>
      </c>
      <c r="Q381" s="3" t="s">
        <v>2062</v>
      </c>
      <c r="R381" s="3" t="s">
        <v>59</v>
      </c>
      <c r="S381" s="3" t="s">
        <v>6647</v>
      </c>
      <c r="T381" s="3" t="s">
        <v>3374</v>
      </c>
      <c r="U381" s="3" t="s">
        <v>6551</v>
      </c>
      <c r="V381" s="3" t="s">
        <v>1845</v>
      </c>
      <c r="W381" s="3" t="s">
        <v>6545</v>
      </c>
      <c r="X381" s="3" t="s">
        <v>3375</v>
      </c>
      <c r="Y381" s="3" t="s">
        <v>6551</v>
      </c>
      <c r="Z381" s="3"/>
      <c r="AA381" s="3"/>
    </row>
    <row r="382" customFormat="false" ht="15" hidden="false" customHeight="true" outlineLevel="0" collapsed="false">
      <c r="A382" s="3" t="s">
        <v>3377</v>
      </c>
      <c r="B382" s="3" t="n">
        <v>5</v>
      </c>
      <c r="C382" s="3" t="n">
        <v>23</v>
      </c>
      <c r="D382" s="3" t="str">
        <f aca="false">Combined!G382</f>
        <v>Student age (≤29)</v>
      </c>
      <c r="E382" s="3" t="s">
        <v>83</v>
      </c>
      <c r="F382" s="3" t="s">
        <v>437</v>
      </c>
      <c r="G382" s="3" t="s">
        <v>437</v>
      </c>
      <c r="H382" s="3" t="s">
        <v>3378</v>
      </c>
      <c r="I382" s="3" t="s">
        <v>6733</v>
      </c>
      <c r="J382" s="3" t="s">
        <v>3379</v>
      </c>
      <c r="K382" s="3" t="s">
        <v>6551</v>
      </c>
      <c r="L382" s="3" t="s">
        <v>3380</v>
      </c>
      <c r="M382" s="3" t="s">
        <v>6510</v>
      </c>
      <c r="N382" s="3" t="s">
        <v>3381</v>
      </c>
      <c r="O382" s="3" t="s">
        <v>6511</v>
      </c>
      <c r="P382" s="3" t="s">
        <v>3382</v>
      </c>
      <c r="Q382" s="3" t="s">
        <v>6689</v>
      </c>
      <c r="R382" s="3" t="s">
        <v>59</v>
      </c>
      <c r="S382" s="3" t="s">
        <v>6647</v>
      </c>
      <c r="T382" s="3" t="s">
        <v>3383</v>
      </c>
      <c r="U382" s="3" t="s">
        <v>6551</v>
      </c>
      <c r="V382" s="3" t="s">
        <v>1845</v>
      </c>
      <c r="W382" s="3" t="s">
        <v>6545</v>
      </c>
      <c r="X382" s="3" t="s">
        <v>3384</v>
      </c>
      <c r="Y382" s="3" t="s">
        <v>6551</v>
      </c>
      <c r="Z382" s="3"/>
      <c r="AA382" s="3"/>
    </row>
    <row r="383" customFormat="false" ht="15" hidden="false" customHeight="true" outlineLevel="0" collapsed="false">
      <c r="A383" s="3" t="s">
        <v>3385</v>
      </c>
      <c r="B383" s="3" t="n">
        <v>5</v>
      </c>
      <c r="C383" s="3" t="n">
        <v>24</v>
      </c>
      <c r="D383" s="3" t="str">
        <f aca="false">Combined!G383</f>
        <v>Student age (≤29)</v>
      </c>
      <c r="E383" s="3" t="s">
        <v>45</v>
      </c>
      <c r="F383" s="3" t="s">
        <v>437</v>
      </c>
      <c r="G383" s="3" t="s">
        <v>437</v>
      </c>
      <c r="H383" s="3" t="s">
        <v>2241</v>
      </c>
      <c r="I383" s="3" t="s">
        <v>6623</v>
      </c>
      <c r="J383" s="3" t="s">
        <v>3386</v>
      </c>
      <c r="K383" s="3" t="s">
        <v>6529</v>
      </c>
      <c r="L383" s="3" t="s">
        <v>3387</v>
      </c>
      <c r="M383" s="3" t="s">
        <v>6569</v>
      </c>
      <c r="N383" s="3" t="s">
        <v>3388</v>
      </c>
      <c r="O383" s="3" t="s">
        <v>6511</v>
      </c>
      <c r="P383" s="3" t="s">
        <v>3389</v>
      </c>
      <c r="Q383" s="3" t="s">
        <v>2062</v>
      </c>
      <c r="R383" s="3" t="s">
        <v>59</v>
      </c>
      <c r="S383" s="3" t="s">
        <v>6647</v>
      </c>
      <c r="T383" s="3" t="s">
        <v>3391</v>
      </c>
      <c r="U383" s="3" t="s">
        <v>7248</v>
      </c>
      <c r="V383" s="3" t="s">
        <v>1845</v>
      </c>
      <c r="W383" s="3" t="s">
        <v>6545</v>
      </c>
      <c r="X383" s="3" t="s">
        <v>3392</v>
      </c>
      <c r="Y383" s="3" t="s">
        <v>6551</v>
      </c>
      <c r="Z383" s="3"/>
      <c r="AA383" s="3"/>
    </row>
    <row r="384" customFormat="false" ht="15" hidden="false" customHeight="true" outlineLevel="0" collapsed="false">
      <c r="A384" s="3" t="s">
        <v>3393</v>
      </c>
      <c r="B384" s="3" t="n">
        <v>5</v>
      </c>
      <c r="C384" s="3" t="n">
        <v>24</v>
      </c>
      <c r="D384" s="3" t="str">
        <f aca="false">Combined!G384</f>
        <v>Student age (≤29)</v>
      </c>
      <c r="E384" s="3" t="s">
        <v>83</v>
      </c>
      <c r="F384" s="3" t="s">
        <v>437</v>
      </c>
      <c r="G384" s="3" t="s">
        <v>437</v>
      </c>
      <c r="H384" s="3" t="s">
        <v>3394</v>
      </c>
      <c r="I384" s="3" t="s">
        <v>6623</v>
      </c>
      <c r="J384" s="3" t="s">
        <v>3395</v>
      </c>
      <c r="K384" s="3" t="s">
        <v>6863</v>
      </c>
      <c r="L384" s="3" t="s">
        <v>3396</v>
      </c>
      <c r="M384" s="3" t="s">
        <v>7235</v>
      </c>
      <c r="N384" s="3" t="s">
        <v>1390</v>
      </c>
      <c r="O384" s="3" t="s">
        <v>6517</v>
      </c>
      <c r="P384" s="3" t="s">
        <v>3397</v>
      </c>
      <c r="Q384" s="3" t="s">
        <v>6542</v>
      </c>
      <c r="R384" s="3" t="s">
        <v>59</v>
      </c>
      <c r="S384" s="3" t="s">
        <v>6647</v>
      </c>
      <c r="T384" s="3" t="s">
        <v>3399</v>
      </c>
      <c r="U384" s="3" t="s">
        <v>6722</v>
      </c>
      <c r="V384" s="3" t="s">
        <v>1845</v>
      </c>
      <c r="W384" s="3" t="s">
        <v>6545</v>
      </c>
      <c r="X384" s="3" t="s">
        <v>3400</v>
      </c>
      <c r="Y384" s="3" t="s">
        <v>6847</v>
      </c>
      <c r="Z384" s="3"/>
      <c r="AA384" s="3"/>
    </row>
    <row r="385" customFormat="false" ht="15" hidden="false" customHeight="true" outlineLevel="0" collapsed="false">
      <c r="A385" s="3" t="s">
        <v>3401</v>
      </c>
      <c r="B385" s="3" t="n">
        <v>5</v>
      </c>
      <c r="C385" s="3" t="n">
        <v>24</v>
      </c>
      <c r="D385" s="3" t="str">
        <f aca="false">Combined!G385</f>
        <v>Student age (≤29)</v>
      </c>
      <c r="E385" s="3" t="s">
        <v>45</v>
      </c>
      <c r="F385" s="3" t="s">
        <v>437</v>
      </c>
      <c r="G385" s="3" t="s">
        <v>437</v>
      </c>
      <c r="H385" s="3" t="s">
        <v>3402</v>
      </c>
      <c r="I385" s="3" t="s">
        <v>6608</v>
      </c>
      <c r="J385" s="3" t="s">
        <v>3403</v>
      </c>
      <c r="K385" s="3" t="s">
        <v>6547</v>
      </c>
      <c r="L385" s="3" t="s">
        <v>3404</v>
      </c>
      <c r="M385" s="3" t="s">
        <v>6510</v>
      </c>
      <c r="N385" s="3" t="s">
        <v>3405</v>
      </c>
      <c r="O385" s="3" t="s">
        <v>6517</v>
      </c>
      <c r="P385" s="3" t="s">
        <v>3406</v>
      </c>
      <c r="Q385" s="3" t="s">
        <v>6968</v>
      </c>
      <c r="R385" s="3" t="s">
        <v>59</v>
      </c>
      <c r="S385" s="3" t="s">
        <v>6647</v>
      </c>
      <c r="T385" s="3" t="s">
        <v>3408</v>
      </c>
      <c r="U385" s="3" t="s">
        <v>6715</v>
      </c>
      <c r="V385" s="3" t="s">
        <v>1844</v>
      </c>
      <c r="W385" s="3" t="s">
        <v>6900</v>
      </c>
      <c r="X385" s="3" t="s">
        <v>3409</v>
      </c>
      <c r="Y385" s="3" t="s">
        <v>6564</v>
      </c>
      <c r="Z385" s="3"/>
      <c r="AA385" s="3"/>
    </row>
    <row r="386" customFormat="false" ht="15" hidden="false" customHeight="true" outlineLevel="0" collapsed="false">
      <c r="A386" s="3" t="s">
        <v>3410</v>
      </c>
      <c r="B386" s="3" t="n">
        <v>5</v>
      </c>
      <c r="C386" s="3" t="n">
        <v>24</v>
      </c>
      <c r="D386" s="3" t="str">
        <f aca="false">Combined!G386</f>
        <v>Student age (≤29)</v>
      </c>
      <c r="E386" s="3" t="s">
        <v>83</v>
      </c>
      <c r="F386" s="3" t="s">
        <v>437</v>
      </c>
      <c r="G386" s="3" t="s">
        <v>437</v>
      </c>
      <c r="H386" s="3" t="s">
        <v>3411</v>
      </c>
      <c r="I386" s="3" t="s">
        <v>6637</v>
      </c>
      <c r="J386" s="3" t="s">
        <v>3412</v>
      </c>
      <c r="K386" s="3" t="s">
        <v>6545</v>
      </c>
      <c r="L386" s="3" t="s">
        <v>3413</v>
      </c>
      <c r="M386" s="3" t="s">
        <v>7249</v>
      </c>
      <c r="N386" s="3" t="s">
        <v>3414</v>
      </c>
      <c r="O386" s="3" t="s">
        <v>6511</v>
      </c>
      <c r="P386" s="3" t="s">
        <v>3415</v>
      </c>
      <c r="Q386" s="3" t="s">
        <v>7250</v>
      </c>
      <c r="R386" s="3" t="s">
        <v>59</v>
      </c>
      <c r="S386" s="3" t="s">
        <v>6647</v>
      </c>
      <c r="T386" s="3" t="s">
        <v>3311</v>
      </c>
      <c r="U386" s="3" t="s">
        <v>6551</v>
      </c>
      <c r="V386" s="3" t="s">
        <v>1844</v>
      </c>
      <c r="W386" s="3" t="s">
        <v>6900</v>
      </c>
      <c r="X386" s="3" t="s">
        <v>3417</v>
      </c>
      <c r="Y386" s="3" t="s">
        <v>6545</v>
      </c>
      <c r="Z386" s="3"/>
      <c r="AA386" s="3"/>
    </row>
    <row r="387" customFormat="false" ht="15" hidden="false" customHeight="true" outlineLevel="0" collapsed="false">
      <c r="A387" s="3" t="s">
        <v>3418</v>
      </c>
      <c r="B387" s="3" t="n">
        <v>5</v>
      </c>
      <c r="C387" s="3" t="n">
        <v>22</v>
      </c>
      <c r="D387" s="3" t="str">
        <f aca="false">Combined!G387</f>
        <v>Student age (≤29)</v>
      </c>
      <c r="E387" s="3" t="s">
        <v>45</v>
      </c>
      <c r="F387" s="3" t="s">
        <v>437</v>
      </c>
      <c r="G387" s="3" t="s">
        <v>437</v>
      </c>
      <c r="H387" s="3" t="s">
        <v>3419</v>
      </c>
      <c r="I387" s="3" t="s">
        <v>6763</v>
      </c>
      <c r="J387" s="3" t="s">
        <v>3420</v>
      </c>
      <c r="K387" s="3" t="s">
        <v>6540</v>
      </c>
      <c r="L387" s="3" t="s">
        <v>3420</v>
      </c>
      <c r="M387" s="3" t="s">
        <v>6540</v>
      </c>
      <c r="N387" s="3" t="s">
        <v>3421</v>
      </c>
      <c r="O387" s="3" t="s">
        <v>6511</v>
      </c>
      <c r="P387" s="3" t="s">
        <v>3422</v>
      </c>
      <c r="Q387" s="3" t="s">
        <v>6689</v>
      </c>
      <c r="R387" s="3" t="s">
        <v>59</v>
      </c>
      <c r="S387" s="3" t="s">
        <v>6647</v>
      </c>
      <c r="T387" s="3" t="s">
        <v>3423</v>
      </c>
      <c r="U387" s="3" t="s">
        <v>6545</v>
      </c>
      <c r="V387" s="3" t="s">
        <v>2215</v>
      </c>
      <c r="W387" s="3" t="s">
        <v>6568</v>
      </c>
      <c r="X387" s="3" t="s">
        <v>3424</v>
      </c>
      <c r="Y387" s="3" t="s">
        <v>6783</v>
      </c>
      <c r="Z387" s="3"/>
      <c r="AA387" s="3"/>
    </row>
    <row r="388" customFormat="false" ht="15" hidden="false" customHeight="true" outlineLevel="0" collapsed="false">
      <c r="A388" s="3" t="s">
        <v>3425</v>
      </c>
      <c r="B388" s="3" t="n">
        <v>5</v>
      </c>
      <c r="C388" s="3" t="n">
        <v>24</v>
      </c>
      <c r="D388" s="3" t="str">
        <f aca="false">Combined!G388</f>
        <v>Student age (≤29)</v>
      </c>
      <c r="E388" s="3" t="s">
        <v>83</v>
      </c>
      <c r="F388" s="3" t="s">
        <v>437</v>
      </c>
      <c r="G388" s="3" t="s">
        <v>437</v>
      </c>
      <c r="H388" s="3" t="s">
        <v>3426</v>
      </c>
      <c r="I388" s="3" t="s">
        <v>6803</v>
      </c>
      <c r="J388" s="3" t="s">
        <v>3427</v>
      </c>
      <c r="K388" s="3" t="s">
        <v>6551</v>
      </c>
      <c r="L388" s="3" t="s">
        <v>3428</v>
      </c>
      <c r="M388" s="3" t="s">
        <v>6569</v>
      </c>
      <c r="N388" s="3" t="s">
        <v>1390</v>
      </c>
      <c r="O388" s="3" t="s">
        <v>6517</v>
      </c>
      <c r="P388" s="3" t="s">
        <v>3429</v>
      </c>
      <c r="Q388" s="3" t="s">
        <v>6542</v>
      </c>
      <c r="R388" s="3" t="s">
        <v>59</v>
      </c>
      <c r="S388" s="3" t="s">
        <v>6647</v>
      </c>
      <c r="T388" s="3" t="s">
        <v>3431</v>
      </c>
      <c r="U388" s="3" t="s">
        <v>7251</v>
      </c>
      <c r="V388" s="3" t="s">
        <v>1844</v>
      </c>
      <c r="W388" s="3" t="s">
        <v>6900</v>
      </c>
      <c r="X388" s="3" t="s">
        <v>3432</v>
      </c>
      <c r="Y388" s="3" t="s">
        <v>6551</v>
      </c>
      <c r="Z388" s="3"/>
      <c r="AA388" s="3"/>
    </row>
    <row r="389" customFormat="false" ht="15" hidden="false" customHeight="true" outlineLevel="0" collapsed="false">
      <c r="A389" s="3" t="s">
        <v>3433</v>
      </c>
      <c r="B389" s="3" t="n">
        <v>5</v>
      </c>
      <c r="C389" s="3" t="n">
        <v>25</v>
      </c>
      <c r="D389" s="3" t="str">
        <f aca="false">Combined!G389</f>
        <v>Student age (≤29)</v>
      </c>
      <c r="E389" s="3" t="s">
        <v>83</v>
      </c>
      <c r="F389" s="3" t="s">
        <v>437</v>
      </c>
      <c r="G389" s="3" t="s">
        <v>437</v>
      </c>
      <c r="H389" s="3" t="s">
        <v>3434</v>
      </c>
      <c r="I389" s="3" t="s">
        <v>6675</v>
      </c>
      <c r="J389" s="3" t="s">
        <v>3435</v>
      </c>
      <c r="K389" s="3" t="s">
        <v>6551</v>
      </c>
      <c r="L389" s="3" t="s">
        <v>3436</v>
      </c>
      <c r="M389" s="3" t="s">
        <v>6569</v>
      </c>
      <c r="N389" s="3" t="s">
        <v>3437</v>
      </c>
      <c r="O389" s="3" t="s">
        <v>1625</v>
      </c>
      <c r="P389" s="3" t="s">
        <v>3438</v>
      </c>
      <c r="Q389" s="3" t="s">
        <v>6542</v>
      </c>
      <c r="R389" s="3" t="s">
        <v>59</v>
      </c>
      <c r="S389" s="3" t="s">
        <v>6647</v>
      </c>
      <c r="T389" s="3" t="s">
        <v>3440</v>
      </c>
      <c r="U389" s="3" t="s">
        <v>7252</v>
      </c>
      <c r="V389" s="3" t="s">
        <v>1845</v>
      </c>
      <c r="W389" s="3" t="s">
        <v>6545</v>
      </c>
      <c r="X389" s="3" t="s">
        <v>3441</v>
      </c>
      <c r="Y389" s="3" t="s">
        <v>6645</v>
      </c>
      <c r="Z389" s="3"/>
      <c r="AA389" s="3"/>
    </row>
    <row r="390" customFormat="false" ht="15" hidden="false" customHeight="true" outlineLevel="0" collapsed="false">
      <c r="A390" s="3" t="s">
        <v>3442</v>
      </c>
      <c r="B390" s="3" t="n">
        <v>5</v>
      </c>
      <c r="C390" s="3" t="n">
        <v>24</v>
      </c>
      <c r="D390" s="3" t="str">
        <f aca="false">Combined!G390</f>
        <v>Student age (≤29)</v>
      </c>
      <c r="E390" s="3" t="s">
        <v>45</v>
      </c>
      <c r="F390" s="3" t="s">
        <v>437</v>
      </c>
      <c r="G390" s="3" t="s">
        <v>437</v>
      </c>
      <c r="H390" s="3" t="s">
        <v>3443</v>
      </c>
      <c r="I390" s="3" t="s">
        <v>6608</v>
      </c>
      <c r="J390" s="3" t="s">
        <v>3444</v>
      </c>
      <c r="K390" s="3" t="s">
        <v>6540</v>
      </c>
      <c r="L390" s="3" t="s">
        <v>3445</v>
      </c>
      <c r="M390" s="3" t="s">
        <v>7253</v>
      </c>
      <c r="N390" s="3" t="s">
        <v>3446</v>
      </c>
      <c r="O390" s="3" t="s">
        <v>59</v>
      </c>
      <c r="P390" s="3" t="s">
        <v>3447</v>
      </c>
      <c r="Q390" s="3" t="s">
        <v>7254</v>
      </c>
      <c r="R390" s="3" t="s">
        <v>59</v>
      </c>
      <c r="S390" s="3" t="s">
        <v>6647</v>
      </c>
      <c r="T390" s="3" t="s">
        <v>3449</v>
      </c>
      <c r="U390" s="3" t="s">
        <v>7216</v>
      </c>
      <c r="V390" s="3" t="s">
        <v>1844</v>
      </c>
      <c r="W390" s="3" t="s">
        <v>6900</v>
      </c>
      <c r="X390" s="3" t="s">
        <v>3450</v>
      </c>
      <c r="Y390" s="3" t="s">
        <v>6540</v>
      </c>
      <c r="Z390" s="3"/>
      <c r="AA390" s="3"/>
    </row>
    <row r="391" customFormat="false" ht="15" hidden="false" customHeight="true" outlineLevel="0" collapsed="false">
      <c r="A391" s="3" t="s">
        <v>3451</v>
      </c>
      <c r="B391" s="3" t="n">
        <v>5</v>
      </c>
      <c r="C391" s="3" t="n">
        <v>24</v>
      </c>
      <c r="D391" s="3" t="str">
        <f aca="false">Combined!G391</f>
        <v>Student age (≤29)</v>
      </c>
      <c r="E391" s="3" t="s">
        <v>83</v>
      </c>
      <c r="F391" s="3" t="s">
        <v>1687</v>
      </c>
      <c r="G391" s="3" t="s">
        <v>437</v>
      </c>
      <c r="H391" s="3" t="s">
        <v>3452</v>
      </c>
      <c r="I391" s="3" t="s">
        <v>7255</v>
      </c>
      <c r="J391" s="3" t="s">
        <v>3453</v>
      </c>
      <c r="K391" s="3" t="s">
        <v>6547</v>
      </c>
      <c r="L391" s="3" t="s">
        <v>3454</v>
      </c>
      <c r="M391" s="3" t="s">
        <v>7256</v>
      </c>
      <c r="N391" s="3" t="s">
        <v>3455</v>
      </c>
      <c r="O391" s="3" t="s">
        <v>6511</v>
      </c>
      <c r="P391" s="3" t="s">
        <v>3456</v>
      </c>
      <c r="Q391" s="3" t="s">
        <v>6968</v>
      </c>
      <c r="R391" s="3" t="s">
        <v>59</v>
      </c>
      <c r="S391" s="3" t="s">
        <v>6647</v>
      </c>
      <c r="T391" s="3" t="s">
        <v>3458</v>
      </c>
      <c r="U391" s="3" t="s">
        <v>7257</v>
      </c>
      <c r="V391" s="3" t="s">
        <v>2215</v>
      </c>
      <c r="W391" s="3" t="s">
        <v>6568</v>
      </c>
      <c r="X391" s="3" t="s">
        <v>3459</v>
      </c>
      <c r="Y391" s="3" t="s">
        <v>6551</v>
      </c>
      <c r="Z391" s="3"/>
      <c r="AA391" s="3"/>
    </row>
    <row r="392" customFormat="false" ht="15" hidden="false" customHeight="true" outlineLevel="0" collapsed="false">
      <c r="A392" s="3" t="s">
        <v>3460</v>
      </c>
      <c r="B392" s="3" t="n">
        <v>5</v>
      </c>
      <c r="C392" s="3" t="n">
        <v>24</v>
      </c>
      <c r="D392" s="3" t="str">
        <f aca="false">Combined!G392</f>
        <v>Student age (≤29)</v>
      </c>
      <c r="E392" s="3" t="s">
        <v>83</v>
      </c>
      <c r="F392" s="3" t="s">
        <v>437</v>
      </c>
      <c r="G392" s="3" t="s">
        <v>437</v>
      </c>
      <c r="H392" s="3" t="s">
        <v>3461</v>
      </c>
      <c r="I392" s="3" t="s">
        <v>6691</v>
      </c>
      <c r="J392" s="3" t="s">
        <v>3462</v>
      </c>
      <c r="K392" s="3" t="s">
        <v>6547</v>
      </c>
      <c r="L392" s="3" t="s">
        <v>3463</v>
      </c>
      <c r="M392" s="3" t="s">
        <v>6569</v>
      </c>
      <c r="N392" s="3" t="s">
        <v>3464</v>
      </c>
      <c r="O392" s="3" t="s">
        <v>1625</v>
      </c>
      <c r="P392" s="3" t="s">
        <v>3465</v>
      </c>
      <c r="Q392" s="3" t="s">
        <v>7258</v>
      </c>
      <c r="R392" s="3" t="s">
        <v>59</v>
      </c>
      <c r="S392" s="3" t="s">
        <v>6647</v>
      </c>
      <c r="T392" s="3" t="s">
        <v>3467</v>
      </c>
      <c r="U392" s="3" t="s">
        <v>6551</v>
      </c>
      <c r="V392" s="3" t="s">
        <v>2215</v>
      </c>
      <c r="W392" s="3" t="s">
        <v>6568</v>
      </c>
      <c r="X392" s="3" t="s">
        <v>3468</v>
      </c>
      <c r="Y392" s="3" t="s">
        <v>6510</v>
      </c>
      <c r="Z392" s="3"/>
      <c r="AA392" s="3"/>
    </row>
    <row r="393" customFormat="false" ht="15" hidden="false" customHeight="true" outlineLevel="0" collapsed="false">
      <c r="A393" s="3" t="s">
        <v>3469</v>
      </c>
      <c r="B393" s="3" t="n">
        <v>5</v>
      </c>
      <c r="C393" s="3" t="n">
        <v>25</v>
      </c>
      <c r="D393" s="3" t="str">
        <f aca="false">Combined!G393</f>
        <v>Student age (≤29)</v>
      </c>
      <c r="E393" s="3" t="s">
        <v>83</v>
      </c>
      <c r="F393" s="3" t="s">
        <v>437</v>
      </c>
      <c r="G393" s="3" t="s">
        <v>437</v>
      </c>
      <c r="H393" s="3" t="s">
        <v>3470</v>
      </c>
      <c r="I393" s="3" t="s">
        <v>6623</v>
      </c>
      <c r="J393" s="3" t="s">
        <v>3471</v>
      </c>
      <c r="K393" s="3" t="s">
        <v>6516</v>
      </c>
      <c r="L393" s="3" t="s">
        <v>3472</v>
      </c>
      <c r="M393" s="3" t="s">
        <v>7077</v>
      </c>
      <c r="N393" s="3" t="s">
        <v>3473</v>
      </c>
      <c r="O393" s="3" t="s">
        <v>6511</v>
      </c>
      <c r="P393" s="3" t="s">
        <v>3474</v>
      </c>
      <c r="Q393" s="3" t="s">
        <v>6979</v>
      </c>
      <c r="R393" s="3" t="s">
        <v>3475</v>
      </c>
      <c r="S393" s="3" t="s">
        <v>6721</v>
      </c>
      <c r="T393" s="3" t="s">
        <v>3311</v>
      </c>
      <c r="U393" s="3" t="s">
        <v>6551</v>
      </c>
      <c r="V393" s="3" t="s">
        <v>2215</v>
      </c>
      <c r="W393" s="3" t="s">
        <v>6568</v>
      </c>
      <c r="X393" s="3" t="s">
        <v>3477</v>
      </c>
      <c r="Y393" s="3" t="s">
        <v>6758</v>
      </c>
      <c r="Z393" s="3"/>
      <c r="AA393" s="3"/>
    </row>
    <row r="394" customFormat="false" ht="15" hidden="false" customHeight="true" outlineLevel="0" collapsed="false">
      <c r="A394" s="3" t="s">
        <v>3478</v>
      </c>
      <c r="B394" s="3" t="n">
        <v>5</v>
      </c>
      <c r="C394" s="3" t="n">
        <v>22</v>
      </c>
      <c r="D394" s="3" t="str">
        <f aca="false">Combined!G394</f>
        <v>Student age (≤29)</v>
      </c>
      <c r="E394" s="3" t="s">
        <v>83</v>
      </c>
      <c r="F394" s="3" t="s">
        <v>437</v>
      </c>
      <c r="G394" s="3" t="s">
        <v>47</v>
      </c>
      <c r="H394" s="3" t="s">
        <v>3481</v>
      </c>
      <c r="I394" s="3" t="s">
        <v>6608</v>
      </c>
      <c r="J394" s="3" t="s">
        <v>3482</v>
      </c>
      <c r="K394" s="3" t="s">
        <v>6864</v>
      </c>
      <c r="L394" s="3" t="s">
        <v>3483</v>
      </c>
      <c r="M394" s="3" t="s">
        <v>6510</v>
      </c>
      <c r="N394" s="3" t="s">
        <v>3484</v>
      </c>
      <c r="O394" s="3" t="s">
        <v>6511</v>
      </c>
      <c r="P394" s="3" t="s">
        <v>3485</v>
      </c>
      <c r="Q394" s="3" t="s">
        <v>6512</v>
      </c>
      <c r="R394" s="3" t="s">
        <v>3475</v>
      </c>
      <c r="S394" s="3" t="s">
        <v>6721</v>
      </c>
      <c r="T394" s="3" t="s">
        <v>3487</v>
      </c>
      <c r="U394" s="3" t="s">
        <v>7259</v>
      </c>
      <c r="V394" s="3" t="s">
        <v>3488</v>
      </c>
      <c r="W394" s="3" t="s">
        <v>7260</v>
      </c>
      <c r="X394" s="3" t="s">
        <v>3489</v>
      </c>
      <c r="Y394" s="3" t="s">
        <v>7261</v>
      </c>
      <c r="Z394" s="3" t="s">
        <v>3490</v>
      </c>
      <c r="AA394" s="3" t="s">
        <v>6528</v>
      </c>
    </row>
    <row r="395" customFormat="false" ht="15" hidden="false" customHeight="true" outlineLevel="0" collapsed="false">
      <c r="A395" s="3" t="s">
        <v>3493</v>
      </c>
      <c r="B395" s="3" t="n">
        <v>5</v>
      </c>
      <c r="C395" s="3" t="n">
        <v>22</v>
      </c>
      <c r="D395" s="3" t="str">
        <f aca="false">Combined!G395</f>
        <v>Student age (≤29)</v>
      </c>
      <c r="E395" s="3" t="s">
        <v>83</v>
      </c>
      <c r="F395" s="3" t="s">
        <v>437</v>
      </c>
      <c r="G395" s="3" t="s">
        <v>47</v>
      </c>
      <c r="H395" s="3" t="s">
        <v>3496</v>
      </c>
      <c r="I395" s="3" t="s">
        <v>6623</v>
      </c>
      <c r="J395" s="3" t="s">
        <v>3497</v>
      </c>
      <c r="K395" s="3" t="s">
        <v>6569</v>
      </c>
      <c r="L395" s="3" t="s">
        <v>3498</v>
      </c>
      <c r="M395" s="3" t="s">
        <v>6510</v>
      </c>
      <c r="N395" s="3" t="s">
        <v>3499</v>
      </c>
      <c r="O395" s="3" t="s">
        <v>6517</v>
      </c>
      <c r="P395" s="3" t="s">
        <v>3500</v>
      </c>
      <c r="Q395" s="3" t="s">
        <v>6979</v>
      </c>
      <c r="R395" s="3" t="s">
        <v>3501</v>
      </c>
      <c r="S395" s="3" t="s">
        <v>7119</v>
      </c>
      <c r="T395" s="3" t="s">
        <v>3503</v>
      </c>
      <c r="U395" s="3" t="s">
        <v>6693</v>
      </c>
      <c r="V395" s="3" t="s">
        <v>3504</v>
      </c>
      <c r="W395" s="3" t="s">
        <v>7121</v>
      </c>
      <c r="X395" s="3" t="s">
        <v>3505</v>
      </c>
      <c r="Y395" s="3" t="s">
        <v>6568</v>
      </c>
      <c r="Z395" s="3" t="s">
        <v>3506</v>
      </c>
      <c r="AA395" s="3" t="s">
        <v>6790</v>
      </c>
    </row>
    <row r="396" customFormat="false" ht="15" hidden="false" customHeight="true" outlineLevel="0" collapsed="false">
      <c r="A396" s="3" t="s">
        <v>3509</v>
      </c>
      <c r="B396" s="3" t="n">
        <v>5</v>
      </c>
      <c r="C396" s="3" t="n">
        <v>23</v>
      </c>
      <c r="D396" s="3" t="str">
        <f aca="false">Combined!G396</f>
        <v>Student age (≤29)</v>
      </c>
      <c r="E396" s="3" t="s">
        <v>45</v>
      </c>
      <c r="F396" s="3" t="s">
        <v>437</v>
      </c>
      <c r="G396" s="3" t="s">
        <v>2651</v>
      </c>
      <c r="H396" s="3" t="s">
        <v>3512</v>
      </c>
      <c r="I396" s="3" t="s">
        <v>6637</v>
      </c>
      <c r="J396" s="3" t="s">
        <v>3513</v>
      </c>
      <c r="K396" s="3" t="s">
        <v>6559</v>
      </c>
      <c r="L396" s="3" t="s">
        <v>3514</v>
      </c>
      <c r="M396" s="3" t="s">
        <v>6942</v>
      </c>
      <c r="N396" s="3" t="s">
        <v>3515</v>
      </c>
      <c r="O396" s="3" t="s">
        <v>6530</v>
      </c>
      <c r="P396" s="3" t="s">
        <v>3516</v>
      </c>
      <c r="Q396" s="3" t="s">
        <v>6968</v>
      </c>
      <c r="R396" s="3" t="s">
        <v>3517</v>
      </c>
      <c r="S396" s="3" t="s">
        <v>6632</v>
      </c>
      <c r="T396" s="3" t="s">
        <v>3519</v>
      </c>
      <c r="U396" s="3" t="s">
        <v>6602</v>
      </c>
      <c r="V396" s="3" t="s">
        <v>3520</v>
      </c>
      <c r="W396" s="3" t="s">
        <v>6828</v>
      </c>
      <c r="X396" s="3" t="s">
        <v>3521</v>
      </c>
      <c r="Y396" s="3" t="s">
        <v>6635</v>
      </c>
      <c r="Z396" s="3" t="s">
        <v>3522</v>
      </c>
      <c r="AA396" s="3" t="s">
        <v>7262</v>
      </c>
    </row>
    <row r="397" customFormat="false" ht="15" hidden="false" customHeight="true" outlineLevel="0" collapsed="false">
      <c r="A397" s="3" t="s">
        <v>3525</v>
      </c>
      <c r="B397" s="3" t="n">
        <v>5</v>
      </c>
      <c r="C397" s="3" t="n">
        <v>82</v>
      </c>
      <c r="D397" s="3" t="str">
        <f aca="false">Combined!G397</f>
        <v>Elderly (65+)</v>
      </c>
      <c r="E397" s="3" t="s">
        <v>45</v>
      </c>
      <c r="F397" s="3" t="s">
        <v>437</v>
      </c>
      <c r="G397" s="3" t="s">
        <v>437</v>
      </c>
      <c r="H397" s="3" t="s">
        <v>3526</v>
      </c>
      <c r="I397" s="3" t="s">
        <v>6608</v>
      </c>
      <c r="J397" s="3" t="s">
        <v>3527</v>
      </c>
      <c r="K397" s="3" t="s">
        <v>7263</v>
      </c>
      <c r="L397" s="3" t="s">
        <v>3528</v>
      </c>
      <c r="M397" s="3" t="s">
        <v>6509</v>
      </c>
      <c r="N397" s="3" t="s">
        <v>3529</v>
      </c>
      <c r="O397" s="3" t="s">
        <v>6511</v>
      </c>
      <c r="P397" s="3" t="s">
        <v>3530</v>
      </c>
      <c r="Q397" s="3" t="s">
        <v>6849</v>
      </c>
      <c r="R397" s="3" t="s">
        <v>3531</v>
      </c>
      <c r="S397" s="3" t="s">
        <v>7264</v>
      </c>
      <c r="T397" s="3" t="s">
        <v>3533</v>
      </c>
      <c r="U397" s="3" t="s">
        <v>7265</v>
      </c>
      <c r="V397" s="3" t="s">
        <v>3534</v>
      </c>
      <c r="W397" s="3" t="s">
        <v>7266</v>
      </c>
      <c r="X397" s="3" t="s">
        <v>3535</v>
      </c>
      <c r="Y397" s="3" t="s">
        <v>6551</v>
      </c>
      <c r="Z397" s="3" t="s">
        <v>3536</v>
      </c>
      <c r="AA397" s="3" t="s">
        <v>7267</v>
      </c>
    </row>
    <row r="398" customFormat="false" ht="15" hidden="false" customHeight="true" outlineLevel="0" collapsed="false">
      <c r="A398" s="3" t="s">
        <v>3539</v>
      </c>
      <c r="B398" s="3" t="n">
        <v>5</v>
      </c>
      <c r="C398" s="3" t="n">
        <v>93</v>
      </c>
      <c r="D398" s="3" t="str">
        <f aca="false">Combined!G398</f>
        <v>Elderly (65+)</v>
      </c>
      <c r="E398" s="3" t="s">
        <v>83</v>
      </c>
      <c r="F398" s="3" t="s">
        <v>437</v>
      </c>
      <c r="G398" s="3" t="s">
        <v>437</v>
      </c>
      <c r="H398" s="3" t="s">
        <v>3540</v>
      </c>
      <c r="I398" s="3" t="s">
        <v>6623</v>
      </c>
      <c r="J398" s="3" t="s">
        <v>3541</v>
      </c>
      <c r="K398" s="3" t="s">
        <v>6551</v>
      </c>
      <c r="L398" s="3" t="s">
        <v>3542</v>
      </c>
      <c r="M398" s="3" t="s">
        <v>6516</v>
      </c>
      <c r="N398" s="3" t="s">
        <v>3543</v>
      </c>
      <c r="O398" s="3" t="s">
        <v>6517</v>
      </c>
      <c r="P398" s="3" t="s">
        <v>3544</v>
      </c>
      <c r="Q398" s="3" t="s">
        <v>6849</v>
      </c>
      <c r="R398" s="3" t="s">
        <v>3545</v>
      </c>
      <c r="S398" s="3" t="s">
        <v>6567</v>
      </c>
      <c r="T398" s="3" t="s">
        <v>3547</v>
      </c>
      <c r="U398" s="3" t="s">
        <v>7268</v>
      </c>
      <c r="V398" s="3" t="s">
        <v>98</v>
      </c>
      <c r="W398" s="3" t="s">
        <v>6551</v>
      </c>
      <c r="X398" s="3" t="s">
        <v>3548</v>
      </c>
      <c r="Y398" s="3" t="s">
        <v>6545</v>
      </c>
      <c r="Z398" s="3" t="s">
        <v>3549</v>
      </c>
      <c r="AA398" s="3" t="s">
        <v>6551</v>
      </c>
    </row>
    <row r="399" customFormat="false" ht="15" hidden="false" customHeight="true" outlineLevel="0" collapsed="false">
      <c r="A399" s="3" t="s">
        <v>3552</v>
      </c>
      <c r="B399" s="3" t="n">
        <v>5</v>
      </c>
      <c r="C399" s="3" t="n">
        <v>67</v>
      </c>
      <c r="D399" s="3" t="str">
        <f aca="false">Combined!G399</f>
        <v>Elderly (65+)</v>
      </c>
      <c r="E399" s="3" t="s">
        <v>83</v>
      </c>
      <c r="F399" s="3" t="s">
        <v>437</v>
      </c>
      <c r="G399" s="3" t="s">
        <v>437</v>
      </c>
      <c r="H399" s="3" t="s">
        <v>3555</v>
      </c>
      <c r="I399" s="3" t="s">
        <v>7104</v>
      </c>
      <c r="J399" s="3" t="s">
        <v>3556</v>
      </c>
      <c r="K399" s="3" t="s">
        <v>6534</v>
      </c>
      <c r="L399" s="3" t="s">
        <v>3557</v>
      </c>
      <c r="M399" s="3" t="s">
        <v>6568</v>
      </c>
      <c r="N399" s="3" t="s">
        <v>3558</v>
      </c>
      <c r="O399" s="3" t="s">
        <v>6530</v>
      </c>
      <c r="P399" s="3" t="s">
        <v>3559</v>
      </c>
      <c r="Q399" s="3" t="s">
        <v>6837</v>
      </c>
      <c r="R399" s="3" t="s">
        <v>3560</v>
      </c>
      <c r="S399" s="3" t="s">
        <v>6619</v>
      </c>
      <c r="T399" s="3" t="s">
        <v>3562</v>
      </c>
      <c r="U399" s="3" t="s">
        <v>7269</v>
      </c>
      <c r="V399" s="3" t="s">
        <v>3563</v>
      </c>
      <c r="W399" s="3" t="s">
        <v>7270</v>
      </c>
      <c r="X399" s="3" t="s">
        <v>3564</v>
      </c>
      <c r="Y399" s="3" t="s">
        <v>6778</v>
      </c>
      <c r="Z399" s="3" t="s">
        <v>3565</v>
      </c>
      <c r="AA399" s="3" t="s">
        <v>6557</v>
      </c>
    </row>
    <row r="400" customFormat="false" ht="15" hidden="false" customHeight="true" outlineLevel="0" collapsed="false">
      <c r="A400" s="3" t="s">
        <v>3568</v>
      </c>
      <c r="B400" s="3" t="n">
        <v>5</v>
      </c>
      <c r="C400" s="3" t="n">
        <v>22</v>
      </c>
      <c r="D400" s="3" t="str">
        <f aca="false">Combined!G400</f>
        <v>Student age (≤29)</v>
      </c>
      <c r="E400" s="3" t="s">
        <v>45</v>
      </c>
      <c r="F400" s="3" t="s">
        <v>437</v>
      </c>
      <c r="G400" s="3" t="s">
        <v>2651</v>
      </c>
      <c r="H400" s="3" t="s">
        <v>3569</v>
      </c>
      <c r="I400" s="3" t="s">
        <v>6521</v>
      </c>
      <c r="J400" s="3" t="s">
        <v>3570</v>
      </c>
      <c r="K400" s="3" t="s">
        <v>7271</v>
      </c>
      <c r="L400" s="3" t="s">
        <v>3571</v>
      </c>
      <c r="M400" s="3" t="s">
        <v>6956</v>
      </c>
      <c r="N400" s="3" t="s">
        <v>3572</v>
      </c>
      <c r="O400" s="3" t="s">
        <v>6511</v>
      </c>
      <c r="P400" s="3" t="s">
        <v>3573</v>
      </c>
      <c r="Q400" s="3" t="s">
        <v>6968</v>
      </c>
      <c r="R400" s="3" t="s">
        <v>3574</v>
      </c>
      <c r="S400" s="3" t="s">
        <v>6551</v>
      </c>
      <c r="T400" s="3" t="s">
        <v>3576</v>
      </c>
      <c r="U400" s="3" t="s">
        <v>6693</v>
      </c>
      <c r="V400" s="3" t="s">
        <v>3577</v>
      </c>
      <c r="W400" s="3" t="s">
        <v>6545</v>
      </c>
      <c r="X400" s="3" t="s">
        <v>3578</v>
      </c>
      <c r="Y400" s="3" t="s">
        <v>6847</v>
      </c>
      <c r="Z400" s="3" t="s">
        <v>3579</v>
      </c>
      <c r="AA400" s="3" t="s">
        <v>7272</v>
      </c>
    </row>
    <row r="401" customFormat="false" ht="15" hidden="false" customHeight="true" outlineLevel="0" collapsed="false">
      <c r="A401" s="3" t="s">
        <v>3582</v>
      </c>
      <c r="B401" s="3" t="n">
        <v>5</v>
      </c>
      <c r="C401" s="3" t="n">
        <v>22</v>
      </c>
      <c r="D401" s="3" t="str">
        <f aca="false">Combined!G401</f>
        <v>Student age (≤29)</v>
      </c>
      <c r="E401" s="3" t="s">
        <v>45</v>
      </c>
      <c r="F401" s="3" t="s">
        <v>437</v>
      </c>
      <c r="G401" s="3" t="s">
        <v>437</v>
      </c>
      <c r="H401" s="3" t="s">
        <v>3583</v>
      </c>
      <c r="I401" s="3" t="s">
        <v>6623</v>
      </c>
      <c r="J401" s="3" t="s">
        <v>3584</v>
      </c>
      <c r="K401" s="3" t="s">
        <v>6547</v>
      </c>
      <c r="L401" s="3" t="s">
        <v>3585</v>
      </c>
      <c r="M401" s="3" t="s">
        <v>6510</v>
      </c>
      <c r="N401" s="3" t="s">
        <v>3586</v>
      </c>
      <c r="O401" s="3" t="s">
        <v>6517</v>
      </c>
      <c r="P401" s="3" t="s">
        <v>3587</v>
      </c>
      <c r="Q401" s="3" t="s">
        <v>6577</v>
      </c>
      <c r="R401" s="3" t="s">
        <v>3588</v>
      </c>
      <c r="S401" s="3" t="s">
        <v>6632</v>
      </c>
      <c r="T401" s="3" t="s">
        <v>3590</v>
      </c>
      <c r="U401" s="3" t="s">
        <v>7273</v>
      </c>
      <c r="V401" s="3" t="s">
        <v>3591</v>
      </c>
      <c r="W401" s="3" t="s">
        <v>6758</v>
      </c>
      <c r="X401" s="3" t="s">
        <v>3592</v>
      </c>
      <c r="Y401" s="3" t="s">
        <v>6551</v>
      </c>
      <c r="Z401" s="3" t="s">
        <v>3593</v>
      </c>
      <c r="AA401" s="3" t="s">
        <v>6568</v>
      </c>
    </row>
    <row r="402" customFormat="false" ht="15" hidden="false" customHeight="true" outlineLevel="0" collapsed="false">
      <c r="A402" s="3" t="s">
        <v>3596</v>
      </c>
      <c r="B402" s="3" t="n">
        <v>5</v>
      </c>
      <c r="C402" s="3" t="n">
        <v>22</v>
      </c>
      <c r="D402" s="3" t="str">
        <f aca="false">Combined!G402</f>
        <v>Student age (≤29)</v>
      </c>
      <c r="E402" s="3" t="s">
        <v>45</v>
      </c>
      <c r="F402" s="3" t="s">
        <v>437</v>
      </c>
      <c r="G402" s="3" t="s">
        <v>47</v>
      </c>
      <c r="H402" s="3" t="s">
        <v>3599</v>
      </c>
      <c r="I402" s="3" t="s">
        <v>6769</v>
      </c>
      <c r="J402" s="3" t="s">
        <v>3600</v>
      </c>
      <c r="K402" s="3" t="s">
        <v>6896</v>
      </c>
      <c r="L402" s="3" t="s">
        <v>3601</v>
      </c>
      <c r="M402" s="3" t="s">
        <v>6896</v>
      </c>
      <c r="N402" s="3" t="s">
        <v>3602</v>
      </c>
      <c r="O402" s="3" t="s">
        <v>6530</v>
      </c>
      <c r="P402" s="3" t="s">
        <v>3603</v>
      </c>
      <c r="Q402" s="3" t="s">
        <v>6634</v>
      </c>
      <c r="R402" s="3" t="s">
        <v>3604</v>
      </c>
      <c r="S402" s="3" t="s">
        <v>7274</v>
      </c>
      <c r="T402" s="3" t="s">
        <v>3606</v>
      </c>
      <c r="U402" s="3" t="s">
        <v>7275</v>
      </c>
      <c r="V402" s="3" t="s">
        <v>3607</v>
      </c>
      <c r="W402" s="3" t="s">
        <v>7237</v>
      </c>
      <c r="X402" s="3" t="s">
        <v>3608</v>
      </c>
      <c r="Y402" s="3" t="s">
        <v>7276</v>
      </c>
      <c r="Z402" s="3" t="s">
        <v>3609</v>
      </c>
      <c r="AA402" s="3" t="s">
        <v>7277</v>
      </c>
    </row>
    <row r="403" customFormat="false" ht="15" hidden="false" customHeight="true" outlineLevel="0" collapsed="false">
      <c r="A403" s="3" t="s">
        <v>3612</v>
      </c>
      <c r="B403" s="3" t="n">
        <v>5</v>
      </c>
      <c r="C403" s="3" t="n">
        <v>23</v>
      </c>
      <c r="D403" s="3" t="str">
        <f aca="false">Combined!G403</f>
        <v>Student age (≤29)</v>
      </c>
      <c r="E403" s="3" t="s">
        <v>45</v>
      </c>
      <c r="F403" s="3" t="s">
        <v>437</v>
      </c>
      <c r="G403" s="3" t="s">
        <v>437</v>
      </c>
      <c r="H403" s="3" t="s">
        <v>3615</v>
      </c>
      <c r="I403" s="3" t="s">
        <v>6637</v>
      </c>
      <c r="J403" s="3" t="s">
        <v>3616</v>
      </c>
      <c r="K403" s="3" t="s">
        <v>6510</v>
      </c>
      <c r="L403" s="3" t="s">
        <v>3617</v>
      </c>
      <c r="M403" s="3" t="s">
        <v>6896</v>
      </c>
      <c r="N403" s="3" t="s">
        <v>3618</v>
      </c>
      <c r="O403" s="3" t="s">
        <v>6511</v>
      </c>
      <c r="P403" s="3" t="s">
        <v>3619</v>
      </c>
      <c r="Q403" s="3" t="s">
        <v>6580</v>
      </c>
      <c r="R403" s="3" t="s">
        <v>3620</v>
      </c>
      <c r="S403" s="3" t="s">
        <v>6595</v>
      </c>
      <c r="T403" s="3" t="s">
        <v>3622</v>
      </c>
      <c r="U403" s="3" t="s">
        <v>7278</v>
      </c>
      <c r="V403" s="3" t="s">
        <v>3623</v>
      </c>
      <c r="W403" s="3" t="s">
        <v>6574</v>
      </c>
      <c r="X403" s="3" t="s">
        <v>3624</v>
      </c>
      <c r="Y403" s="3" t="s">
        <v>7080</v>
      </c>
      <c r="Z403" s="3" t="s">
        <v>3625</v>
      </c>
      <c r="AA403" s="3" t="s">
        <v>6568</v>
      </c>
    </row>
    <row r="404" customFormat="false" ht="15" hidden="false" customHeight="true" outlineLevel="0" collapsed="false">
      <c r="A404" s="3" t="s">
        <v>3628</v>
      </c>
      <c r="B404" s="3" t="n">
        <v>5</v>
      </c>
      <c r="C404" s="3" t="n">
        <v>8</v>
      </c>
      <c r="D404" s="3" t="str">
        <f aca="false">Combined!G404</f>
        <v>Student age (≤29)</v>
      </c>
      <c r="E404" s="3" t="s">
        <v>45</v>
      </c>
      <c r="F404" s="3" t="s">
        <v>437</v>
      </c>
      <c r="G404" s="3" t="s">
        <v>437</v>
      </c>
      <c r="H404" s="3" t="s">
        <v>3629</v>
      </c>
      <c r="I404" s="3" t="s">
        <v>6637</v>
      </c>
      <c r="J404" s="3" t="s">
        <v>3630</v>
      </c>
      <c r="K404" s="3" t="s">
        <v>6848</v>
      </c>
      <c r="L404" s="3" t="s">
        <v>3631</v>
      </c>
      <c r="M404" s="3" t="s">
        <v>6540</v>
      </c>
      <c r="N404" s="3" t="s">
        <v>3632</v>
      </c>
      <c r="O404" s="3" t="s">
        <v>1625</v>
      </c>
      <c r="P404" s="3" t="s">
        <v>3633</v>
      </c>
      <c r="Q404" s="3" t="s">
        <v>6975</v>
      </c>
      <c r="R404" s="3" t="s">
        <v>3634</v>
      </c>
      <c r="S404" s="3" t="s">
        <v>6619</v>
      </c>
      <c r="T404" s="3" t="s">
        <v>3636</v>
      </c>
      <c r="U404" s="3" t="s">
        <v>7279</v>
      </c>
      <c r="V404" s="3" t="s">
        <v>3637</v>
      </c>
      <c r="W404" s="3" t="s">
        <v>7233</v>
      </c>
      <c r="X404" s="3" t="s">
        <v>3638</v>
      </c>
      <c r="Y404" s="3" t="s">
        <v>6569</v>
      </c>
      <c r="Z404" s="3" t="s">
        <v>3639</v>
      </c>
      <c r="AA404" s="3" t="s">
        <v>6568</v>
      </c>
    </row>
    <row r="405" customFormat="false" ht="15" hidden="false" customHeight="true" outlineLevel="0" collapsed="false">
      <c r="A405" s="3" t="s">
        <v>3642</v>
      </c>
      <c r="B405" s="3" t="n">
        <v>5</v>
      </c>
      <c r="C405" s="3" t="n">
        <v>33</v>
      </c>
      <c r="D405" s="3" t="str">
        <f aca="false">Combined!G405</f>
        <v>Middle-aged (30–64)</v>
      </c>
      <c r="E405" s="3" t="s">
        <v>45</v>
      </c>
      <c r="F405" s="3" t="s">
        <v>437</v>
      </c>
      <c r="G405" s="3" t="s">
        <v>437</v>
      </c>
      <c r="H405" s="3" t="s">
        <v>3496</v>
      </c>
      <c r="I405" s="3" t="s">
        <v>6623</v>
      </c>
      <c r="J405" s="3" t="s">
        <v>3647</v>
      </c>
      <c r="K405" s="3" t="s">
        <v>6848</v>
      </c>
      <c r="L405" s="3" t="s">
        <v>3420</v>
      </c>
      <c r="M405" s="3" t="s">
        <v>6540</v>
      </c>
      <c r="N405" s="3" t="s">
        <v>3499</v>
      </c>
      <c r="O405" s="3" t="s">
        <v>6517</v>
      </c>
      <c r="P405" s="3" t="s">
        <v>3648</v>
      </c>
      <c r="Q405" s="3" t="s">
        <v>6711</v>
      </c>
      <c r="R405" s="3" t="s">
        <v>3649</v>
      </c>
      <c r="S405" s="3" t="s">
        <v>7280</v>
      </c>
      <c r="T405" s="3" t="s">
        <v>1768</v>
      </c>
      <c r="U405" s="3" t="s">
        <v>6538</v>
      </c>
      <c r="V405" s="3" t="s">
        <v>3651</v>
      </c>
      <c r="W405" s="3" t="s">
        <v>6900</v>
      </c>
      <c r="X405" s="3" t="s">
        <v>3652</v>
      </c>
      <c r="Y405" s="3" t="s">
        <v>6715</v>
      </c>
      <c r="Z405" s="3"/>
      <c r="AA405" s="3"/>
    </row>
    <row r="406" customFormat="false" ht="15" hidden="false" customHeight="true" outlineLevel="0" collapsed="false">
      <c r="A406" s="3" t="s">
        <v>3654</v>
      </c>
      <c r="B406" s="3" t="n">
        <v>5</v>
      </c>
      <c r="C406" s="3" t="n">
        <v>52</v>
      </c>
      <c r="D406" s="3" t="str">
        <f aca="false">Combined!G406</f>
        <v>Middle-aged (30–64)</v>
      </c>
      <c r="E406" s="3" t="s">
        <v>83</v>
      </c>
      <c r="F406" s="3" t="s">
        <v>437</v>
      </c>
      <c r="G406" s="3" t="s">
        <v>437</v>
      </c>
      <c r="H406" s="3" t="s">
        <v>3496</v>
      </c>
      <c r="I406" s="3" t="s">
        <v>6623</v>
      </c>
      <c r="J406" s="3" t="s">
        <v>3655</v>
      </c>
      <c r="K406" s="3" t="s">
        <v>6522</v>
      </c>
      <c r="L406" s="3" t="s">
        <v>3656</v>
      </c>
      <c r="M406" s="3" t="s">
        <v>6764</v>
      </c>
      <c r="N406" s="3" t="s">
        <v>3657</v>
      </c>
      <c r="O406" s="3" t="s">
        <v>59</v>
      </c>
      <c r="P406" s="3" t="s">
        <v>3658</v>
      </c>
      <c r="Q406" s="3" t="s">
        <v>6609</v>
      </c>
      <c r="R406" s="3" t="s">
        <v>3659</v>
      </c>
      <c r="S406" s="3" t="s">
        <v>6963</v>
      </c>
      <c r="T406" s="3" t="s">
        <v>1768</v>
      </c>
      <c r="U406" s="3" t="s">
        <v>6538</v>
      </c>
      <c r="V406" s="3" t="s">
        <v>3661</v>
      </c>
      <c r="W406" s="3" t="s">
        <v>6611</v>
      </c>
      <c r="X406" s="3" t="s">
        <v>3662</v>
      </c>
      <c r="Y406" s="3" t="s">
        <v>7240</v>
      </c>
      <c r="Z406" s="3" t="s">
        <v>3663</v>
      </c>
      <c r="AA406" s="3" t="s">
        <v>7281</v>
      </c>
    </row>
    <row r="407" customFormat="false" ht="15" hidden="false" customHeight="true" outlineLevel="0" collapsed="false">
      <c r="A407" s="3" t="s">
        <v>3666</v>
      </c>
      <c r="B407" s="3" t="n">
        <v>5</v>
      </c>
      <c r="C407" s="3" t="n">
        <v>37</v>
      </c>
      <c r="D407" s="3" t="str">
        <f aca="false">Combined!G407</f>
        <v>Middle-aged (30–64)</v>
      </c>
      <c r="E407" s="3" t="s">
        <v>83</v>
      </c>
      <c r="F407" s="3" t="s">
        <v>437</v>
      </c>
      <c r="G407" s="3" t="s">
        <v>437</v>
      </c>
      <c r="H407" s="3" t="s">
        <v>3667</v>
      </c>
      <c r="I407" s="3" t="s">
        <v>6813</v>
      </c>
      <c r="J407" s="3" t="s">
        <v>3668</v>
      </c>
      <c r="K407" s="3" t="s">
        <v>6516</v>
      </c>
      <c r="L407" s="3" t="s">
        <v>3669</v>
      </c>
      <c r="M407" s="3" t="s">
        <v>6516</v>
      </c>
      <c r="N407" s="3" t="s">
        <v>3670</v>
      </c>
      <c r="O407" s="3" t="s">
        <v>6530</v>
      </c>
      <c r="P407" s="3" t="s">
        <v>3671</v>
      </c>
      <c r="Q407" s="3" t="s">
        <v>6571</v>
      </c>
      <c r="R407" s="3" t="s">
        <v>3672</v>
      </c>
      <c r="S407" s="3" t="s">
        <v>7282</v>
      </c>
      <c r="T407" s="3" t="s">
        <v>3674</v>
      </c>
      <c r="U407" s="3" t="s">
        <v>6688</v>
      </c>
      <c r="V407" s="3" t="s">
        <v>3675</v>
      </c>
      <c r="W407" s="3" t="s">
        <v>7283</v>
      </c>
      <c r="X407" s="3" t="s">
        <v>3676</v>
      </c>
      <c r="Y407" s="3" t="s">
        <v>7283</v>
      </c>
      <c r="Z407" s="3" t="s">
        <v>3677</v>
      </c>
      <c r="AA407" s="3" t="s">
        <v>6820</v>
      </c>
    </row>
    <row r="408" customFormat="false" ht="15" hidden="false" customHeight="true" outlineLevel="0" collapsed="false">
      <c r="A408" s="3" t="s">
        <v>3680</v>
      </c>
      <c r="B408" s="3" t="n">
        <v>5</v>
      </c>
      <c r="C408" s="3" t="n">
        <v>31</v>
      </c>
      <c r="D408" s="3" t="str">
        <f aca="false">Combined!G408</f>
        <v>Middle-aged (30–64)</v>
      </c>
      <c r="E408" s="3" t="s">
        <v>45</v>
      </c>
      <c r="F408" s="3" t="s">
        <v>437</v>
      </c>
      <c r="G408" s="3" t="s">
        <v>437</v>
      </c>
      <c r="H408" s="3" t="s">
        <v>3681</v>
      </c>
      <c r="I408" s="3" t="s">
        <v>6623</v>
      </c>
      <c r="J408" s="3" t="s">
        <v>3682</v>
      </c>
      <c r="K408" s="3" t="s">
        <v>6510</v>
      </c>
      <c r="L408" s="3" t="s">
        <v>3683</v>
      </c>
      <c r="M408" s="3" t="s">
        <v>6510</v>
      </c>
      <c r="N408" s="3" t="s">
        <v>3684</v>
      </c>
      <c r="O408" s="3" t="s">
        <v>6511</v>
      </c>
      <c r="P408" s="3" t="s">
        <v>3685</v>
      </c>
      <c r="Q408" s="3" t="s">
        <v>6634</v>
      </c>
      <c r="R408" s="3" t="s">
        <v>3686</v>
      </c>
      <c r="S408" s="3" t="s">
        <v>6928</v>
      </c>
      <c r="T408" s="3" t="s">
        <v>3688</v>
      </c>
      <c r="U408" s="3" t="s">
        <v>7284</v>
      </c>
      <c r="V408" s="3" t="s">
        <v>3689</v>
      </c>
      <c r="W408" s="3" t="s">
        <v>6699</v>
      </c>
      <c r="X408" s="3" t="s">
        <v>3690</v>
      </c>
      <c r="Y408" s="3" t="s">
        <v>6758</v>
      </c>
      <c r="Z408" s="3" t="s">
        <v>3691</v>
      </c>
      <c r="AA408" s="3" t="s">
        <v>6611</v>
      </c>
    </row>
    <row r="409" customFormat="false" ht="15" hidden="false" customHeight="true" outlineLevel="0" collapsed="false">
      <c r="A409" s="3" t="s">
        <v>3694</v>
      </c>
      <c r="B409" s="3" t="n">
        <v>5</v>
      </c>
      <c r="C409" s="3" t="n">
        <v>41</v>
      </c>
      <c r="D409" s="3" t="str">
        <f aca="false">Combined!G409</f>
        <v>Middle-aged (30–64)</v>
      </c>
      <c r="E409" s="3" t="s">
        <v>83</v>
      </c>
      <c r="F409" s="3" t="s">
        <v>437</v>
      </c>
      <c r="G409" s="3" t="s">
        <v>437</v>
      </c>
      <c r="H409" s="3" t="s">
        <v>3695</v>
      </c>
      <c r="I409" s="3" t="s">
        <v>6813</v>
      </c>
      <c r="J409" s="3" t="s">
        <v>3696</v>
      </c>
      <c r="K409" s="3" t="s">
        <v>6896</v>
      </c>
      <c r="L409" s="3" t="s">
        <v>3697</v>
      </c>
      <c r="M409" s="3" t="s">
        <v>6540</v>
      </c>
      <c r="N409" s="3" t="s">
        <v>3698</v>
      </c>
      <c r="O409" s="3" t="s">
        <v>6530</v>
      </c>
      <c r="P409" s="3" t="s">
        <v>3699</v>
      </c>
      <c r="Q409" s="3" t="s">
        <v>6968</v>
      </c>
      <c r="R409" s="3" t="s">
        <v>3700</v>
      </c>
      <c r="S409" s="3" t="s">
        <v>6721</v>
      </c>
      <c r="T409" s="3" t="s">
        <v>3702</v>
      </c>
      <c r="U409" s="3" t="s">
        <v>6688</v>
      </c>
      <c r="V409" s="3" t="s">
        <v>3703</v>
      </c>
      <c r="W409" s="3" t="s">
        <v>7030</v>
      </c>
      <c r="X409" s="3" t="s">
        <v>3704</v>
      </c>
      <c r="Y409" s="3" t="s">
        <v>6610</v>
      </c>
      <c r="Z409" s="3" t="s">
        <v>3705</v>
      </c>
      <c r="AA409" s="3" t="s">
        <v>7285</v>
      </c>
    </row>
    <row r="410" customFormat="false" ht="15" hidden="false" customHeight="true" outlineLevel="0" collapsed="false">
      <c r="A410" s="3" t="s">
        <v>3708</v>
      </c>
      <c r="B410" s="3" t="n">
        <v>5</v>
      </c>
      <c r="C410" s="3" t="n">
        <v>40</v>
      </c>
      <c r="D410" s="3" t="str">
        <f aca="false">Combined!G410</f>
        <v>Middle-aged (30–64)</v>
      </c>
      <c r="E410" s="3" t="s">
        <v>45</v>
      </c>
      <c r="F410" s="3" t="s">
        <v>437</v>
      </c>
      <c r="G410" s="3" t="s">
        <v>437</v>
      </c>
      <c r="H410" s="3" t="s">
        <v>3709</v>
      </c>
      <c r="I410" s="3" t="s">
        <v>6608</v>
      </c>
      <c r="J410" s="3" t="s">
        <v>3710</v>
      </c>
      <c r="K410" s="3" t="s">
        <v>6509</v>
      </c>
      <c r="L410" s="3" t="s">
        <v>3711</v>
      </c>
      <c r="M410" s="3" t="s">
        <v>6646</v>
      </c>
      <c r="N410" s="3" t="s">
        <v>3712</v>
      </c>
      <c r="O410" s="3" t="s">
        <v>6511</v>
      </c>
      <c r="P410" s="3" t="s">
        <v>3713</v>
      </c>
      <c r="Q410" s="3" t="s">
        <v>6580</v>
      </c>
      <c r="R410" s="3" t="s">
        <v>3714</v>
      </c>
      <c r="S410" s="3" t="s">
        <v>6690</v>
      </c>
      <c r="T410" s="3" t="s">
        <v>3716</v>
      </c>
      <c r="U410" s="3" t="s">
        <v>7286</v>
      </c>
      <c r="V410" s="3" t="s">
        <v>3717</v>
      </c>
      <c r="W410" s="3" t="s">
        <v>6758</v>
      </c>
      <c r="X410" s="3" t="s">
        <v>3718</v>
      </c>
      <c r="Y410" s="3" t="s">
        <v>6568</v>
      </c>
      <c r="Z410" s="3" t="s">
        <v>3719</v>
      </c>
      <c r="AA410" s="3" t="s">
        <v>6847</v>
      </c>
    </row>
    <row r="411" customFormat="false" ht="15" hidden="false" customHeight="true" outlineLevel="0" collapsed="false">
      <c r="A411" s="3" t="s">
        <v>3722</v>
      </c>
      <c r="B411" s="3" t="n">
        <v>5</v>
      </c>
      <c r="C411" s="3" t="n">
        <v>37</v>
      </c>
      <c r="D411" s="3" t="str">
        <f aca="false">Combined!G411</f>
        <v>Middle-aged (30–64)</v>
      </c>
      <c r="E411" s="3" t="s">
        <v>45</v>
      </c>
      <c r="F411" s="3" t="s">
        <v>437</v>
      </c>
      <c r="G411" s="3" t="s">
        <v>437</v>
      </c>
      <c r="H411" s="3" t="s">
        <v>3723</v>
      </c>
      <c r="I411" s="3" t="s">
        <v>6823</v>
      </c>
      <c r="J411" s="3" t="s">
        <v>3724</v>
      </c>
      <c r="K411" s="3" t="s">
        <v>6551</v>
      </c>
      <c r="L411" s="3" t="s">
        <v>3725</v>
      </c>
      <c r="M411" s="3" t="s">
        <v>6557</v>
      </c>
      <c r="N411" s="3" t="s">
        <v>3726</v>
      </c>
      <c r="O411" s="3" t="s">
        <v>6511</v>
      </c>
      <c r="P411" s="3" t="s">
        <v>3727</v>
      </c>
      <c r="Q411" s="3" t="s">
        <v>7287</v>
      </c>
      <c r="R411" s="3" t="s">
        <v>3728</v>
      </c>
      <c r="S411" s="3" t="s">
        <v>7280</v>
      </c>
      <c r="T411" s="3" t="s">
        <v>3730</v>
      </c>
      <c r="U411" s="3" t="s">
        <v>6693</v>
      </c>
      <c r="V411" s="3" t="s">
        <v>3731</v>
      </c>
      <c r="W411" s="3" t="s">
        <v>6551</v>
      </c>
      <c r="X411" s="3" t="s">
        <v>3732</v>
      </c>
      <c r="Y411" s="3" t="s">
        <v>6568</v>
      </c>
      <c r="Z411" s="3" t="s">
        <v>3733</v>
      </c>
      <c r="AA411" s="3" t="s">
        <v>6568</v>
      </c>
    </row>
    <row r="412" customFormat="false" ht="15" hidden="false" customHeight="true" outlineLevel="0" collapsed="false">
      <c r="A412" s="3" t="s">
        <v>3736</v>
      </c>
      <c r="B412" s="3" t="n">
        <v>5</v>
      </c>
      <c r="C412" s="3" t="n">
        <v>44</v>
      </c>
      <c r="D412" s="3" t="str">
        <f aca="false">Combined!G412</f>
        <v>Middle-aged (30–64)</v>
      </c>
      <c r="E412" s="3" t="s">
        <v>45</v>
      </c>
      <c r="F412" s="3" t="s">
        <v>437</v>
      </c>
      <c r="G412" s="3" t="s">
        <v>437</v>
      </c>
      <c r="H412" s="3" t="s">
        <v>3737</v>
      </c>
      <c r="I412" s="3" t="s">
        <v>6623</v>
      </c>
      <c r="J412" s="3" t="s">
        <v>3738</v>
      </c>
      <c r="K412" s="3" t="s">
        <v>7288</v>
      </c>
      <c r="L412" s="3" t="s">
        <v>3739</v>
      </c>
      <c r="M412" s="3" t="s">
        <v>7288</v>
      </c>
      <c r="N412" s="3" t="s">
        <v>3740</v>
      </c>
      <c r="O412" s="3" t="s">
        <v>6511</v>
      </c>
      <c r="P412" s="3" t="s">
        <v>3741</v>
      </c>
      <c r="Q412" s="3" t="s">
        <v>6518</v>
      </c>
      <c r="R412" s="3" t="s">
        <v>3742</v>
      </c>
      <c r="S412" s="3" t="s">
        <v>7137</v>
      </c>
      <c r="T412" s="3" t="s">
        <v>3744</v>
      </c>
      <c r="U412" s="3" t="s">
        <v>6586</v>
      </c>
      <c r="V412" s="3" t="s">
        <v>3745</v>
      </c>
      <c r="W412" s="3" t="s">
        <v>6545</v>
      </c>
      <c r="X412" s="3" t="s">
        <v>3746</v>
      </c>
      <c r="Y412" s="3" t="s">
        <v>6551</v>
      </c>
      <c r="Z412" s="3" t="s">
        <v>3747</v>
      </c>
      <c r="AA412" s="3" t="s">
        <v>6847</v>
      </c>
    </row>
    <row r="413" customFormat="false" ht="15" hidden="false" customHeight="true" outlineLevel="0" collapsed="false">
      <c r="A413" s="3" t="s">
        <v>3750</v>
      </c>
      <c r="B413" s="3" t="n">
        <v>5</v>
      </c>
      <c r="C413" s="3" t="n">
        <v>49</v>
      </c>
      <c r="D413" s="3" t="str">
        <f aca="false">Combined!G413</f>
        <v>Middle-aged (30–64)</v>
      </c>
      <c r="E413" s="3" t="s">
        <v>45</v>
      </c>
      <c r="F413" s="3" t="s">
        <v>437</v>
      </c>
      <c r="G413" s="3" t="s">
        <v>437</v>
      </c>
      <c r="H413" s="3" t="s">
        <v>3751</v>
      </c>
      <c r="I413" s="3" t="s">
        <v>6603</v>
      </c>
      <c r="J413" s="3" t="s">
        <v>3752</v>
      </c>
      <c r="K413" s="3" t="s">
        <v>7272</v>
      </c>
      <c r="L413" s="3" t="s">
        <v>3753</v>
      </c>
      <c r="M413" s="3" t="s">
        <v>7289</v>
      </c>
      <c r="N413" s="3" t="s">
        <v>3499</v>
      </c>
      <c r="O413" s="3" t="s">
        <v>6517</v>
      </c>
      <c r="P413" s="3" t="s">
        <v>3754</v>
      </c>
      <c r="Q413" s="3" t="s">
        <v>6512</v>
      </c>
      <c r="R413" s="3" t="s">
        <v>3755</v>
      </c>
      <c r="S413" s="3" t="s">
        <v>6777</v>
      </c>
      <c r="T413" s="3" t="s">
        <v>3757</v>
      </c>
      <c r="U413" s="3" t="s">
        <v>7290</v>
      </c>
      <c r="V413" s="3" t="s">
        <v>3740</v>
      </c>
      <c r="W413" s="3" t="s">
        <v>6538</v>
      </c>
      <c r="X413" s="3" t="s">
        <v>3365</v>
      </c>
      <c r="Y413" s="3" t="s">
        <v>6820</v>
      </c>
      <c r="Z413" s="3" t="s">
        <v>3758</v>
      </c>
      <c r="AA413" s="3" t="s">
        <v>6551</v>
      </c>
    </row>
    <row r="414" customFormat="false" ht="15" hidden="false" customHeight="true" outlineLevel="0" collapsed="false">
      <c r="A414" s="3" t="s">
        <v>3761</v>
      </c>
      <c r="B414" s="3" t="n">
        <v>5</v>
      </c>
      <c r="C414" s="3" t="n">
        <v>58</v>
      </c>
      <c r="D414" s="3" t="str">
        <f aca="false">Combined!G414</f>
        <v>Middle-aged (30–64)</v>
      </c>
      <c r="E414" s="3" t="s">
        <v>45</v>
      </c>
      <c r="F414" s="3" t="s">
        <v>437</v>
      </c>
      <c r="G414" s="3" t="s">
        <v>437</v>
      </c>
      <c r="H414" s="3" t="s">
        <v>3762</v>
      </c>
      <c r="I414" s="3" t="s">
        <v>6691</v>
      </c>
      <c r="J414" s="3" t="s">
        <v>3763</v>
      </c>
      <c r="K414" s="3" t="s">
        <v>6551</v>
      </c>
      <c r="L414" s="3" t="s">
        <v>3764</v>
      </c>
      <c r="M414" s="3" t="s">
        <v>7125</v>
      </c>
      <c r="N414" s="3" t="s">
        <v>3765</v>
      </c>
      <c r="O414" s="3" t="s">
        <v>6511</v>
      </c>
      <c r="P414" s="3" t="s">
        <v>3766</v>
      </c>
      <c r="Q414" s="3" t="s">
        <v>6689</v>
      </c>
      <c r="R414" s="3" t="s">
        <v>3767</v>
      </c>
      <c r="S414" s="3" t="s">
        <v>7280</v>
      </c>
      <c r="T414" s="3" t="s">
        <v>3769</v>
      </c>
      <c r="U414" s="3" t="s">
        <v>6586</v>
      </c>
      <c r="V414" s="3" t="s">
        <v>3770</v>
      </c>
      <c r="W414" s="3" t="s">
        <v>6551</v>
      </c>
      <c r="X414" s="3" t="s">
        <v>3771</v>
      </c>
      <c r="Y414" s="3" t="s">
        <v>6568</v>
      </c>
      <c r="Z414" s="3" t="s">
        <v>3772</v>
      </c>
      <c r="AA414" s="3" t="s">
        <v>6568</v>
      </c>
    </row>
    <row r="415" customFormat="false" ht="15" hidden="false" customHeight="true" outlineLevel="0" collapsed="false">
      <c r="A415" s="3" t="s">
        <v>3775</v>
      </c>
      <c r="B415" s="3" t="n">
        <v>5</v>
      </c>
      <c r="C415" s="3" t="n">
        <v>53</v>
      </c>
      <c r="D415" s="3" t="str">
        <f aca="false">Combined!G415</f>
        <v>Middle-aged (30–64)</v>
      </c>
      <c r="E415" s="3" t="s">
        <v>83</v>
      </c>
      <c r="F415" s="3" t="s">
        <v>47</v>
      </c>
      <c r="G415" s="3" t="s">
        <v>47</v>
      </c>
      <c r="H415" s="3" t="s">
        <v>3776</v>
      </c>
      <c r="I415" s="3" t="s">
        <v>6555</v>
      </c>
      <c r="J415" s="3" t="s">
        <v>3777</v>
      </c>
      <c r="K415" s="3" t="s">
        <v>6569</v>
      </c>
      <c r="L415" s="3" t="s">
        <v>3778</v>
      </c>
      <c r="M415" s="3" t="s">
        <v>6569</v>
      </c>
      <c r="N415" s="3" t="s">
        <v>3779</v>
      </c>
      <c r="O415" s="3" t="s">
        <v>6511</v>
      </c>
      <c r="P415" s="3" t="s">
        <v>3780</v>
      </c>
      <c r="Q415" s="3" t="s">
        <v>7065</v>
      </c>
      <c r="R415" s="3" t="s">
        <v>3781</v>
      </c>
      <c r="S415" s="3" t="s">
        <v>6532</v>
      </c>
      <c r="T415" s="3" t="s">
        <v>3783</v>
      </c>
      <c r="U415" s="3" t="s">
        <v>6661</v>
      </c>
      <c r="V415" s="3" t="s">
        <v>3784</v>
      </c>
      <c r="W415" s="3" t="s">
        <v>6850</v>
      </c>
      <c r="X415" s="3" t="s">
        <v>3785</v>
      </c>
      <c r="Y415" s="3" t="s">
        <v>6551</v>
      </c>
      <c r="Z415" s="3" t="s">
        <v>3786</v>
      </c>
      <c r="AA415" s="3" t="s">
        <v>6647</v>
      </c>
    </row>
    <row r="416" customFormat="false" ht="15" hidden="false" customHeight="true" outlineLevel="0" collapsed="false">
      <c r="A416" s="3" t="s">
        <v>3789</v>
      </c>
      <c r="B416" s="3" t="n">
        <v>5</v>
      </c>
      <c r="C416" s="3" t="n">
        <v>62</v>
      </c>
      <c r="D416" s="3" t="str">
        <f aca="false">Combined!G416</f>
        <v>Middle-aged (30–64)</v>
      </c>
      <c r="E416" s="3" t="s">
        <v>45</v>
      </c>
      <c r="F416" s="3" t="s">
        <v>3790</v>
      </c>
      <c r="G416" s="3" t="s">
        <v>47</v>
      </c>
      <c r="H416" s="3" t="s">
        <v>3791</v>
      </c>
      <c r="I416" s="3" t="s">
        <v>6539</v>
      </c>
      <c r="J416" s="3" t="s">
        <v>2118</v>
      </c>
      <c r="K416" s="3" t="s">
        <v>6510</v>
      </c>
      <c r="L416" s="3" t="s">
        <v>3792</v>
      </c>
      <c r="M416" s="3" t="s">
        <v>6509</v>
      </c>
      <c r="N416" s="3" t="s">
        <v>3793</v>
      </c>
      <c r="O416" s="3" t="s">
        <v>6517</v>
      </c>
      <c r="P416" s="3" t="s">
        <v>3794</v>
      </c>
      <c r="Q416" s="3" t="s">
        <v>6536</v>
      </c>
      <c r="R416" s="3" t="s">
        <v>3795</v>
      </c>
      <c r="S416" s="3" t="s">
        <v>6578</v>
      </c>
      <c r="T416" s="3" t="s">
        <v>3797</v>
      </c>
      <c r="U416" s="3" t="s">
        <v>6586</v>
      </c>
      <c r="V416" s="3" t="s">
        <v>3798</v>
      </c>
      <c r="W416" s="3" t="s">
        <v>7201</v>
      </c>
      <c r="X416" s="3" t="s">
        <v>3799</v>
      </c>
      <c r="Y416" s="3" t="s">
        <v>7291</v>
      </c>
      <c r="Z416" s="3" t="s">
        <v>3800</v>
      </c>
      <c r="AA416" s="3" t="s">
        <v>6545</v>
      </c>
    </row>
    <row r="417" customFormat="false" ht="15" hidden="false" customHeight="true" outlineLevel="0" collapsed="false">
      <c r="A417" s="3" t="s">
        <v>3803</v>
      </c>
      <c r="B417" s="3" t="n">
        <v>5</v>
      </c>
      <c r="C417" s="3" t="n">
        <v>63</v>
      </c>
      <c r="D417" s="3" t="str">
        <f aca="false">Combined!G417</f>
        <v>Middle-aged (30–64)</v>
      </c>
      <c r="E417" s="3" t="s">
        <v>83</v>
      </c>
      <c r="F417" s="3" t="s">
        <v>47</v>
      </c>
      <c r="G417" s="3" t="s">
        <v>47</v>
      </c>
      <c r="H417" s="3" t="s">
        <v>3804</v>
      </c>
      <c r="I417" s="3" t="s">
        <v>6813</v>
      </c>
      <c r="J417" s="3" t="s">
        <v>3805</v>
      </c>
      <c r="K417" s="3" t="s">
        <v>6568</v>
      </c>
      <c r="L417" s="3" t="s">
        <v>3806</v>
      </c>
      <c r="M417" s="3" t="s">
        <v>6548</v>
      </c>
      <c r="N417" s="3" t="s">
        <v>3807</v>
      </c>
      <c r="O417" s="3" t="s">
        <v>6511</v>
      </c>
      <c r="P417" s="3" t="s">
        <v>3808</v>
      </c>
      <c r="Q417" s="3" t="s">
        <v>6580</v>
      </c>
      <c r="R417" s="3" t="s">
        <v>3809</v>
      </c>
      <c r="S417" s="3" t="s">
        <v>7280</v>
      </c>
      <c r="T417" s="3" t="s">
        <v>3811</v>
      </c>
      <c r="U417" s="3" t="s">
        <v>6545</v>
      </c>
      <c r="V417" s="3" t="s">
        <v>3812</v>
      </c>
      <c r="W417" s="3" t="s">
        <v>6620</v>
      </c>
      <c r="X417" s="3" t="s">
        <v>1731</v>
      </c>
      <c r="Y417" s="3" t="s">
        <v>6545</v>
      </c>
      <c r="Z417" s="3" t="s">
        <v>3813</v>
      </c>
      <c r="AA417" s="3" t="s">
        <v>6551</v>
      </c>
    </row>
    <row r="418" customFormat="false" ht="15" hidden="false" customHeight="true" outlineLevel="0" collapsed="false">
      <c r="A418" s="3" t="s">
        <v>3816</v>
      </c>
      <c r="B418" s="3" t="n">
        <v>5</v>
      </c>
      <c r="C418" s="3" t="n">
        <v>62</v>
      </c>
      <c r="D418" s="3" t="str">
        <f aca="false">Combined!G418</f>
        <v>Middle-aged (30–64)</v>
      </c>
      <c r="E418" s="3" t="s">
        <v>45</v>
      </c>
      <c r="F418" s="3" t="s">
        <v>47</v>
      </c>
      <c r="G418" s="3" t="s">
        <v>47</v>
      </c>
      <c r="H418" s="3" t="s">
        <v>3817</v>
      </c>
      <c r="I418" s="3" t="s">
        <v>7247</v>
      </c>
      <c r="J418" s="3" t="s">
        <v>3818</v>
      </c>
      <c r="K418" s="3" t="s">
        <v>7125</v>
      </c>
      <c r="L418" s="3" t="s">
        <v>1402</v>
      </c>
      <c r="M418" s="3" t="s">
        <v>6510</v>
      </c>
      <c r="N418" s="3" t="s">
        <v>3819</v>
      </c>
      <c r="O418" s="3" t="s">
        <v>6511</v>
      </c>
      <c r="P418" s="3" t="s">
        <v>3820</v>
      </c>
      <c r="Q418" s="3" t="s">
        <v>6717</v>
      </c>
      <c r="R418" s="3" t="s">
        <v>3821</v>
      </c>
      <c r="S418" s="3" t="s">
        <v>6551</v>
      </c>
      <c r="T418" s="3" t="s">
        <v>3823</v>
      </c>
      <c r="U418" s="3" t="s">
        <v>6688</v>
      </c>
      <c r="V418" s="3" t="s">
        <v>3824</v>
      </c>
      <c r="W418" s="3" t="s">
        <v>6551</v>
      </c>
      <c r="X418" s="3" t="s">
        <v>3825</v>
      </c>
      <c r="Y418" s="3" t="s">
        <v>6551</v>
      </c>
      <c r="Z418" s="3" t="s">
        <v>3826</v>
      </c>
      <c r="AA418" s="3" t="s">
        <v>6820</v>
      </c>
    </row>
    <row r="419" customFormat="false" ht="15" hidden="false" customHeight="true" outlineLevel="0" collapsed="false">
      <c r="A419" s="3" t="s">
        <v>3829</v>
      </c>
      <c r="B419" s="3" t="n">
        <v>5</v>
      </c>
      <c r="C419" s="3" t="n">
        <v>29</v>
      </c>
      <c r="D419" s="3" t="str">
        <f aca="false">Combined!G419</f>
        <v>Student age (≤29)</v>
      </c>
      <c r="E419" s="3" t="s">
        <v>83</v>
      </c>
      <c r="F419" s="3" t="s">
        <v>3831</v>
      </c>
      <c r="G419" s="3" t="s">
        <v>47</v>
      </c>
      <c r="H419" s="3" t="s">
        <v>3833</v>
      </c>
      <c r="I419" s="3" t="s">
        <v>7207</v>
      </c>
      <c r="J419" s="3" t="s">
        <v>3834</v>
      </c>
      <c r="K419" s="3" t="s">
        <v>6978</v>
      </c>
      <c r="L419" s="3" t="s">
        <v>3835</v>
      </c>
      <c r="M419" s="3" t="s">
        <v>7292</v>
      </c>
      <c r="N419" s="3" t="s">
        <v>3836</v>
      </c>
      <c r="O419" s="3" t="s">
        <v>6530</v>
      </c>
      <c r="P419" s="3" t="s">
        <v>3837</v>
      </c>
      <c r="Q419" s="3" t="s">
        <v>6958</v>
      </c>
      <c r="R419" s="3" t="s">
        <v>3838</v>
      </c>
      <c r="S419" s="3" t="s">
        <v>6911</v>
      </c>
      <c r="T419" s="3" t="s">
        <v>3840</v>
      </c>
      <c r="U419" s="3" t="s">
        <v>6573</v>
      </c>
      <c r="V419" s="3" t="s">
        <v>3841</v>
      </c>
      <c r="W419" s="3" t="s">
        <v>7210</v>
      </c>
      <c r="X419" s="3" t="s">
        <v>3842</v>
      </c>
      <c r="Y419" s="3" t="s">
        <v>6635</v>
      </c>
      <c r="Z419" s="3" t="s">
        <v>3843</v>
      </c>
      <c r="AA419" s="3" t="s">
        <v>6820</v>
      </c>
    </row>
    <row r="420" customFormat="false" ht="15" hidden="false" customHeight="true" outlineLevel="0" collapsed="false">
      <c r="A420" s="3" t="s">
        <v>3846</v>
      </c>
      <c r="B420" s="3" t="n">
        <v>5</v>
      </c>
      <c r="C420" s="3" t="n">
        <v>29</v>
      </c>
      <c r="D420" s="3" t="str">
        <f aca="false">Combined!G420</f>
        <v>Student age (≤29)</v>
      </c>
      <c r="E420" s="3" t="s">
        <v>83</v>
      </c>
      <c r="F420" s="3" t="s">
        <v>47</v>
      </c>
      <c r="G420" s="3" t="s">
        <v>47</v>
      </c>
      <c r="H420" s="3" t="s">
        <v>3847</v>
      </c>
      <c r="I420" s="3" t="s">
        <v>6539</v>
      </c>
      <c r="J420" s="3" t="s">
        <v>3848</v>
      </c>
      <c r="K420" s="3" t="s">
        <v>6770</v>
      </c>
      <c r="L420" s="3" t="s">
        <v>3849</v>
      </c>
      <c r="M420" s="3" t="s">
        <v>7293</v>
      </c>
      <c r="N420" s="3" t="s">
        <v>3850</v>
      </c>
      <c r="O420" s="3" t="s">
        <v>6511</v>
      </c>
      <c r="P420" s="3" t="s">
        <v>3851</v>
      </c>
      <c r="Q420" s="3" t="s">
        <v>6577</v>
      </c>
      <c r="R420" s="3" t="s">
        <v>3852</v>
      </c>
      <c r="S420" s="3" t="s">
        <v>7282</v>
      </c>
      <c r="T420" s="5" t="s">
        <v>3854</v>
      </c>
      <c r="U420" s="3" t="s">
        <v>7294</v>
      </c>
      <c r="V420" s="3" t="s">
        <v>3855</v>
      </c>
      <c r="W420" s="3" t="s">
        <v>6991</v>
      </c>
      <c r="X420" s="3" t="s">
        <v>3856</v>
      </c>
      <c r="Y420" s="3" t="s">
        <v>6547</v>
      </c>
      <c r="Z420" s="3" t="s">
        <v>3857</v>
      </c>
      <c r="AA420" s="3" t="s">
        <v>6646</v>
      </c>
    </row>
    <row r="421" customFormat="false" ht="15" hidden="false" customHeight="true" outlineLevel="0" collapsed="false">
      <c r="A421" s="3" t="s">
        <v>3860</v>
      </c>
      <c r="B421" s="3" t="n">
        <v>5</v>
      </c>
      <c r="C421" s="3" t="n">
        <v>33</v>
      </c>
      <c r="D421" s="3" t="str">
        <f aca="false">Combined!G421</f>
        <v>Middle-aged (30–64)</v>
      </c>
      <c r="E421" s="3" t="s">
        <v>83</v>
      </c>
      <c r="F421" s="3" t="s">
        <v>47</v>
      </c>
      <c r="G421" s="3" t="s">
        <v>47</v>
      </c>
      <c r="H421" s="3" t="s">
        <v>3861</v>
      </c>
      <c r="I421" s="3" t="s">
        <v>6763</v>
      </c>
      <c r="J421" s="3" t="s">
        <v>3862</v>
      </c>
      <c r="K421" s="3" t="s">
        <v>6545</v>
      </c>
      <c r="L421" s="3" t="s">
        <v>3863</v>
      </c>
      <c r="M421" s="3" t="s">
        <v>6545</v>
      </c>
      <c r="N421" s="3" t="s">
        <v>3864</v>
      </c>
      <c r="O421" s="3" t="s">
        <v>6517</v>
      </c>
      <c r="P421" s="3" t="s">
        <v>3865</v>
      </c>
      <c r="Q421" s="3" t="s">
        <v>6518</v>
      </c>
      <c r="R421" s="3" t="s">
        <v>3866</v>
      </c>
      <c r="S421" s="3" t="s">
        <v>6647</v>
      </c>
      <c r="T421" s="3" t="s">
        <v>3868</v>
      </c>
      <c r="U421" s="3" t="s">
        <v>6826</v>
      </c>
      <c r="V421" s="3" t="s">
        <v>3869</v>
      </c>
      <c r="W421" s="3" t="s">
        <v>6611</v>
      </c>
      <c r="X421" s="3" t="s">
        <v>3870</v>
      </c>
      <c r="Y421" s="3" t="s">
        <v>6941</v>
      </c>
      <c r="Z421" s="3" t="s">
        <v>3871</v>
      </c>
      <c r="AA421" s="3" t="s">
        <v>6647</v>
      </c>
    </row>
    <row r="422" customFormat="false" ht="15" hidden="false" customHeight="true" outlineLevel="0" collapsed="false">
      <c r="A422" s="3" t="s">
        <v>3874</v>
      </c>
      <c r="B422" s="3" t="n">
        <v>5</v>
      </c>
      <c r="C422" s="3" t="n">
        <v>23</v>
      </c>
      <c r="D422" s="3" t="str">
        <f aca="false">Combined!G422</f>
        <v>Student age (≤29)</v>
      </c>
      <c r="E422" s="3" t="s">
        <v>83</v>
      </c>
      <c r="F422" s="3" t="s">
        <v>47</v>
      </c>
      <c r="G422" s="3" t="s">
        <v>47</v>
      </c>
      <c r="H422" s="3" t="s">
        <v>3875</v>
      </c>
      <c r="I422" s="3" t="s">
        <v>7295</v>
      </c>
      <c r="J422" s="3" t="s">
        <v>3876</v>
      </c>
      <c r="K422" s="3" t="s">
        <v>7296</v>
      </c>
      <c r="L422" s="3" t="s">
        <v>3877</v>
      </c>
      <c r="M422" s="3" t="s">
        <v>6896</v>
      </c>
      <c r="N422" s="3" t="s">
        <v>3878</v>
      </c>
      <c r="O422" s="3" t="s">
        <v>6511</v>
      </c>
      <c r="P422" s="3" t="s">
        <v>3879</v>
      </c>
      <c r="Q422" s="3" t="s">
        <v>6512</v>
      </c>
      <c r="R422" s="3" t="s">
        <v>3880</v>
      </c>
      <c r="S422" s="3" t="s">
        <v>6537</v>
      </c>
      <c r="T422" s="3" t="s">
        <v>3882</v>
      </c>
      <c r="U422" s="3" t="s">
        <v>6551</v>
      </c>
      <c r="V422" s="3" t="s">
        <v>3883</v>
      </c>
      <c r="W422" s="3" t="s">
        <v>6551</v>
      </c>
      <c r="X422" s="3" t="s">
        <v>3884</v>
      </c>
      <c r="Y422" s="3" t="s">
        <v>6551</v>
      </c>
      <c r="Z422" s="3"/>
      <c r="AA422" s="3"/>
    </row>
    <row r="423" customFormat="false" ht="15" hidden="false" customHeight="true" outlineLevel="0" collapsed="false">
      <c r="A423" s="3" t="s">
        <v>3887</v>
      </c>
      <c r="B423" s="3" t="n">
        <v>5</v>
      </c>
      <c r="C423" s="3" t="n">
        <v>20</v>
      </c>
      <c r="D423" s="3" t="str">
        <f aca="false">Combined!G423</f>
        <v>Student age (≤29)</v>
      </c>
      <c r="E423" s="3" t="s">
        <v>83</v>
      </c>
      <c r="F423" s="3" t="s">
        <v>47</v>
      </c>
      <c r="G423" s="3" t="s">
        <v>47</v>
      </c>
      <c r="H423" s="3" t="s">
        <v>3888</v>
      </c>
      <c r="I423" s="3" t="s">
        <v>6539</v>
      </c>
      <c r="J423" s="3" t="s">
        <v>3889</v>
      </c>
      <c r="K423" s="3" t="s">
        <v>6569</v>
      </c>
      <c r="L423" s="3" t="s">
        <v>3890</v>
      </c>
      <c r="M423" s="3" t="s">
        <v>6569</v>
      </c>
      <c r="N423" s="3" t="s">
        <v>885</v>
      </c>
      <c r="O423" s="3" t="s">
        <v>6517</v>
      </c>
      <c r="P423" s="3" t="s">
        <v>3891</v>
      </c>
      <c r="Q423" s="3" t="s">
        <v>6577</v>
      </c>
      <c r="R423" s="3" t="s">
        <v>3892</v>
      </c>
      <c r="S423" s="3" t="s">
        <v>6537</v>
      </c>
      <c r="T423" s="3" t="s">
        <v>3894</v>
      </c>
      <c r="U423" s="3" t="s">
        <v>7297</v>
      </c>
      <c r="V423" s="3" t="s">
        <v>3895</v>
      </c>
      <c r="W423" s="3" t="s">
        <v>6611</v>
      </c>
      <c r="X423" s="3" t="s">
        <v>3896</v>
      </c>
      <c r="Y423" s="3" t="s">
        <v>7298</v>
      </c>
      <c r="Z423" s="3" t="s">
        <v>3897</v>
      </c>
      <c r="AA423" s="3" t="s">
        <v>6551</v>
      </c>
    </row>
    <row r="424" customFormat="false" ht="15" hidden="false" customHeight="true" outlineLevel="0" collapsed="false">
      <c r="A424" s="3" t="s">
        <v>3899</v>
      </c>
      <c r="B424" s="3" t="n">
        <v>5</v>
      </c>
      <c r="C424" s="3" t="n">
        <v>20</v>
      </c>
      <c r="D424" s="3" t="str">
        <f aca="false">Combined!G424</f>
        <v>Student age (≤29)</v>
      </c>
      <c r="E424" s="3" t="s">
        <v>45</v>
      </c>
      <c r="F424" s="3" t="s">
        <v>3900</v>
      </c>
      <c r="G424" s="3" t="s">
        <v>47</v>
      </c>
      <c r="H424" s="3" t="s">
        <v>3901</v>
      </c>
      <c r="I424" s="3" t="s">
        <v>6759</v>
      </c>
      <c r="J424" s="3" t="s">
        <v>3902</v>
      </c>
      <c r="K424" s="3" t="s">
        <v>7201</v>
      </c>
      <c r="L424" s="3" t="s">
        <v>3903</v>
      </c>
      <c r="M424" s="3" t="s">
        <v>6569</v>
      </c>
      <c r="N424" s="3" t="s">
        <v>885</v>
      </c>
      <c r="O424" s="3" t="s">
        <v>6517</v>
      </c>
      <c r="P424" s="3" t="s">
        <v>3904</v>
      </c>
      <c r="Q424" s="3" t="s">
        <v>7299</v>
      </c>
      <c r="R424" s="3" t="s">
        <v>3905</v>
      </c>
      <c r="S424" s="3" t="s">
        <v>7032</v>
      </c>
      <c r="T424" s="3" t="s">
        <v>3907</v>
      </c>
      <c r="U424" s="3" t="s">
        <v>6516</v>
      </c>
      <c r="V424" s="3" t="s">
        <v>3908</v>
      </c>
      <c r="W424" s="3" t="s">
        <v>6516</v>
      </c>
      <c r="X424" s="3" t="s">
        <v>3909</v>
      </c>
      <c r="Y424" s="3" t="s">
        <v>6545</v>
      </c>
      <c r="Z424" s="3" t="s">
        <v>3910</v>
      </c>
      <c r="AA424" s="3" t="s">
        <v>6647</v>
      </c>
    </row>
    <row r="425" customFormat="false" ht="15" hidden="false" customHeight="true" outlineLevel="0" collapsed="false">
      <c r="A425" s="3" t="s">
        <v>3911</v>
      </c>
      <c r="B425" s="3" t="n">
        <v>5</v>
      </c>
      <c r="C425" s="3" t="n">
        <v>21</v>
      </c>
      <c r="D425" s="3" t="str">
        <f aca="false">Combined!G425</f>
        <v>Student age (≤29)</v>
      </c>
      <c r="E425" s="3" t="s">
        <v>45</v>
      </c>
      <c r="F425" s="3" t="s">
        <v>3912</v>
      </c>
      <c r="G425" s="3" t="s">
        <v>47</v>
      </c>
      <c r="H425" s="3" t="s">
        <v>3913</v>
      </c>
      <c r="I425" s="3" t="s">
        <v>6508</v>
      </c>
      <c r="J425" s="3" t="s">
        <v>3914</v>
      </c>
      <c r="K425" s="3" t="s">
        <v>6551</v>
      </c>
      <c r="L425" s="3" t="s">
        <v>3915</v>
      </c>
      <c r="M425" s="3" t="s">
        <v>6828</v>
      </c>
      <c r="N425" s="3" t="s">
        <v>3916</v>
      </c>
      <c r="O425" s="3" t="s">
        <v>59</v>
      </c>
      <c r="P425" s="3" t="s">
        <v>3917</v>
      </c>
      <c r="Q425" s="3" t="s">
        <v>7198</v>
      </c>
      <c r="R425" s="3" t="s">
        <v>3918</v>
      </c>
      <c r="S425" s="3" t="s">
        <v>6551</v>
      </c>
      <c r="T425" s="3" t="s">
        <v>3920</v>
      </c>
      <c r="U425" s="3" t="s">
        <v>6545</v>
      </c>
      <c r="V425" s="3" t="s">
        <v>3921</v>
      </c>
      <c r="W425" s="3" t="s">
        <v>6551</v>
      </c>
      <c r="X425" s="3" t="s">
        <v>3922</v>
      </c>
      <c r="Y425" s="3" t="s">
        <v>6564</v>
      </c>
      <c r="Z425" s="3" t="s">
        <v>3923</v>
      </c>
      <c r="AA425" s="3" t="s">
        <v>6551</v>
      </c>
    </row>
    <row r="426" customFormat="false" ht="15" hidden="false" customHeight="true" outlineLevel="0" collapsed="false">
      <c r="A426" s="3" t="s">
        <v>3924</v>
      </c>
      <c r="B426" s="3" t="n">
        <v>5</v>
      </c>
      <c r="C426" s="3" t="n">
        <v>26</v>
      </c>
      <c r="D426" s="3" t="str">
        <f aca="false">Combined!G426</f>
        <v>Student age (≤29)</v>
      </c>
      <c r="E426" s="3" t="s">
        <v>45</v>
      </c>
      <c r="F426" s="3" t="s">
        <v>1532</v>
      </c>
      <c r="G426" s="3" t="s">
        <v>47</v>
      </c>
      <c r="H426" s="3" t="s">
        <v>3925</v>
      </c>
      <c r="I426" s="3" t="s">
        <v>6539</v>
      </c>
      <c r="J426" s="3" t="s">
        <v>3926</v>
      </c>
      <c r="K426" s="3" t="s">
        <v>6535</v>
      </c>
      <c r="L426" s="3" t="s">
        <v>3927</v>
      </c>
      <c r="M426" s="3" t="s">
        <v>7300</v>
      </c>
      <c r="N426" s="3" t="s">
        <v>2220</v>
      </c>
      <c r="O426" s="3" t="s">
        <v>6517</v>
      </c>
      <c r="P426" s="3" t="s">
        <v>3928</v>
      </c>
      <c r="Q426" s="3" t="s">
        <v>6536</v>
      </c>
      <c r="R426" s="3" t="s">
        <v>3929</v>
      </c>
      <c r="S426" s="3" t="s">
        <v>7301</v>
      </c>
      <c r="T426" s="3" t="s">
        <v>3931</v>
      </c>
      <c r="U426" s="3" t="s">
        <v>7302</v>
      </c>
      <c r="V426" s="3" t="s">
        <v>1659</v>
      </c>
      <c r="W426" s="3" t="s">
        <v>6568</v>
      </c>
      <c r="X426" s="3" t="s">
        <v>3932</v>
      </c>
      <c r="Y426" s="3" t="s">
        <v>7303</v>
      </c>
      <c r="Z426" s="3"/>
      <c r="AA426" s="3"/>
    </row>
    <row r="427" customFormat="false" ht="15" hidden="false" customHeight="true" outlineLevel="0" collapsed="false">
      <c r="A427" s="3" t="s">
        <v>3934</v>
      </c>
      <c r="B427" s="3" t="n">
        <v>5</v>
      </c>
      <c r="C427" s="3" t="n">
        <v>30</v>
      </c>
      <c r="D427" s="3" t="str">
        <f aca="false">Combined!G427</f>
        <v>Middle-aged (30–64)</v>
      </c>
      <c r="E427" s="3" t="s">
        <v>83</v>
      </c>
      <c r="F427" s="3" t="s">
        <v>47</v>
      </c>
      <c r="G427" s="3" t="s">
        <v>47</v>
      </c>
      <c r="H427" s="3" t="s">
        <v>3935</v>
      </c>
      <c r="I427" s="3" t="s">
        <v>6539</v>
      </c>
      <c r="J427" s="3" t="s">
        <v>3936</v>
      </c>
      <c r="K427" s="3" t="s">
        <v>6540</v>
      </c>
      <c r="L427" s="3" t="s">
        <v>2242</v>
      </c>
      <c r="M427" s="3" t="s">
        <v>6538</v>
      </c>
      <c r="N427" s="3" t="s">
        <v>434</v>
      </c>
      <c r="O427" s="3" t="s">
        <v>6511</v>
      </c>
      <c r="P427" s="3" t="s">
        <v>3937</v>
      </c>
      <c r="Q427" s="3" t="s">
        <v>6542</v>
      </c>
      <c r="R427" s="3" t="s">
        <v>3938</v>
      </c>
      <c r="S427" s="3" t="s">
        <v>6701</v>
      </c>
      <c r="T427" s="3" t="s">
        <v>3940</v>
      </c>
      <c r="U427" s="3" t="s">
        <v>6693</v>
      </c>
      <c r="V427" s="3" t="s">
        <v>3941</v>
      </c>
      <c r="W427" s="3" t="s">
        <v>6920</v>
      </c>
      <c r="X427" s="3" t="s">
        <v>3942</v>
      </c>
      <c r="Y427" s="3" t="s">
        <v>6646</v>
      </c>
      <c r="Z427" s="3" t="s">
        <v>3943</v>
      </c>
      <c r="AA427" s="3" t="s">
        <v>6551</v>
      </c>
    </row>
    <row r="428" customFormat="false" ht="15" hidden="false" customHeight="true" outlineLevel="0" collapsed="false">
      <c r="A428" s="3" t="s">
        <v>3946</v>
      </c>
      <c r="B428" s="3" t="n">
        <v>5</v>
      </c>
      <c r="C428" s="3" t="n">
        <v>24</v>
      </c>
      <c r="D428" s="3" t="str">
        <f aca="false">Combined!G428</f>
        <v>Student age (≤29)</v>
      </c>
      <c r="E428" s="3" t="s">
        <v>83</v>
      </c>
      <c r="F428" s="3" t="s">
        <v>3947</v>
      </c>
      <c r="G428" s="3" t="s">
        <v>47</v>
      </c>
      <c r="H428" s="3" t="s">
        <v>3948</v>
      </c>
      <c r="I428" s="3" t="s">
        <v>6803</v>
      </c>
      <c r="J428" s="3" t="s">
        <v>1859</v>
      </c>
      <c r="K428" s="3" t="s">
        <v>6540</v>
      </c>
      <c r="L428" s="3" t="s">
        <v>3949</v>
      </c>
      <c r="M428" s="3" t="s">
        <v>6650</v>
      </c>
      <c r="N428" s="3" t="s">
        <v>3950</v>
      </c>
      <c r="O428" s="3" t="s">
        <v>6517</v>
      </c>
      <c r="P428" s="3" t="s">
        <v>3951</v>
      </c>
      <c r="Q428" s="3" t="s">
        <v>6580</v>
      </c>
      <c r="R428" s="3" t="s">
        <v>3952</v>
      </c>
      <c r="S428" s="3" t="s">
        <v>6777</v>
      </c>
      <c r="T428" s="3" t="s">
        <v>3954</v>
      </c>
      <c r="U428" s="3" t="s">
        <v>6551</v>
      </c>
      <c r="V428" s="3" t="s">
        <v>3955</v>
      </c>
      <c r="W428" s="3" t="s">
        <v>6540</v>
      </c>
      <c r="X428" s="3" t="s">
        <v>3956</v>
      </c>
      <c r="Y428" s="3" t="s">
        <v>6650</v>
      </c>
      <c r="Z428" s="3"/>
      <c r="AA428" s="3"/>
    </row>
    <row r="429" customFormat="false" ht="15" hidden="false" customHeight="true" outlineLevel="0" collapsed="false">
      <c r="A429" s="3" t="s">
        <v>3957</v>
      </c>
      <c r="B429" s="3" t="n">
        <v>5</v>
      </c>
      <c r="C429" s="3" t="n">
        <v>23</v>
      </c>
      <c r="D429" s="3" t="str">
        <f aca="false">Combined!G429</f>
        <v>Student age (≤29)</v>
      </c>
      <c r="E429" s="3" t="s">
        <v>45</v>
      </c>
      <c r="F429" s="3" t="s">
        <v>3912</v>
      </c>
      <c r="G429" s="3" t="s">
        <v>47</v>
      </c>
      <c r="H429" s="3" t="s">
        <v>3960</v>
      </c>
      <c r="I429" s="3" t="s">
        <v>6603</v>
      </c>
      <c r="J429" s="3" t="s">
        <v>130</v>
      </c>
      <c r="K429" s="3" t="s">
        <v>6516</v>
      </c>
      <c r="L429" s="3" t="s">
        <v>3961</v>
      </c>
      <c r="M429" s="3" t="s">
        <v>6516</v>
      </c>
      <c r="N429" s="3" t="s">
        <v>3962</v>
      </c>
      <c r="O429" s="3" t="s">
        <v>6511</v>
      </c>
      <c r="P429" s="3" t="s">
        <v>3963</v>
      </c>
      <c r="Q429" s="3" t="s">
        <v>6571</v>
      </c>
      <c r="R429" s="3" t="s">
        <v>2257</v>
      </c>
      <c r="S429" s="3" t="s">
        <v>6581</v>
      </c>
      <c r="T429" s="3" t="s">
        <v>3965</v>
      </c>
      <c r="U429" s="3" t="s">
        <v>6551</v>
      </c>
      <c r="V429" s="3" t="s">
        <v>3966</v>
      </c>
      <c r="W429" s="3" t="s">
        <v>6551</v>
      </c>
      <c r="X429" s="3" t="s">
        <v>3966</v>
      </c>
      <c r="Y429" s="3" t="s">
        <v>6551</v>
      </c>
      <c r="Z429" s="3" t="s">
        <v>3967</v>
      </c>
      <c r="AA429" s="3" t="s">
        <v>6551</v>
      </c>
    </row>
    <row r="430" customFormat="false" ht="15" hidden="false" customHeight="true" outlineLevel="0" collapsed="false">
      <c r="A430" s="3" t="s">
        <v>3968</v>
      </c>
      <c r="B430" s="3" t="n">
        <v>5</v>
      </c>
      <c r="C430" s="3" t="n">
        <v>21</v>
      </c>
      <c r="D430" s="3" t="str">
        <f aca="false">Combined!G430</f>
        <v>Student age (≤29)</v>
      </c>
      <c r="E430" s="3" t="s">
        <v>83</v>
      </c>
      <c r="F430" s="3" t="s">
        <v>47</v>
      </c>
      <c r="G430" s="3" t="s">
        <v>47</v>
      </c>
      <c r="H430" s="3" t="s">
        <v>3969</v>
      </c>
      <c r="I430" s="3" t="s">
        <v>6539</v>
      </c>
      <c r="J430" s="3" t="s">
        <v>3970</v>
      </c>
      <c r="K430" s="3" t="s">
        <v>6584</v>
      </c>
      <c r="L430" s="3" t="s">
        <v>3971</v>
      </c>
      <c r="M430" s="3" t="s">
        <v>6540</v>
      </c>
      <c r="N430" s="3" t="s">
        <v>3972</v>
      </c>
      <c r="O430" s="3" t="s">
        <v>6511</v>
      </c>
      <c r="P430" s="3" t="s">
        <v>3973</v>
      </c>
      <c r="Q430" s="3" t="s">
        <v>6844</v>
      </c>
      <c r="R430" s="3" t="s">
        <v>3974</v>
      </c>
      <c r="S430" s="3" t="s">
        <v>7304</v>
      </c>
      <c r="T430" s="3" t="s">
        <v>3976</v>
      </c>
      <c r="U430" s="3" t="s">
        <v>7305</v>
      </c>
      <c r="V430" s="3" t="s">
        <v>3977</v>
      </c>
      <c r="W430" s="3" t="s">
        <v>7306</v>
      </c>
      <c r="X430" s="3" t="s">
        <v>3978</v>
      </c>
      <c r="Y430" s="3" t="s">
        <v>6509</v>
      </c>
      <c r="Z430" s="3" t="s">
        <v>3979</v>
      </c>
      <c r="AA430" s="3" t="s">
        <v>6651</v>
      </c>
    </row>
    <row r="431" customFormat="false" ht="15" hidden="false" customHeight="true" outlineLevel="0" collapsed="false">
      <c r="A431" s="3" t="s">
        <v>3981</v>
      </c>
      <c r="B431" s="3" t="n">
        <v>5</v>
      </c>
      <c r="C431" s="3" t="n">
        <v>24</v>
      </c>
      <c r="D431" s="3" t="str">
        <f aca="false">Combined!G431</f>
        <v>Student age (≤29)</v>
      </c>
      <c r="E431" s="3" t="s">
        <v>83</v>
      </c>
      <c r="F431" s="3" t="s">
        <v>47</v>
      </c>
      <c r="G431" s="3" t="s">
        <v>47</v>
      </c>
      <c r="H431" s="3" t="s">
        <v>3982</v>
      </c>
      <c r="I431" s="3" t="s">
        <v>6508</v>
      </c>
      <c r="J431" s="3" t="s">
        <v>3983</v>
      </c>
      <c r="K431" s="3" t="s">
        <v>6728</v>
      </c>
      <c r="L431" s="3" t="s">
        <v>3984</v>
      </c>
      <c r="M431" s="3" t="s">
        <v>6509</v>
      </c>
      <c r="N431" s="3" t="s">
        <v>3985</v>
      </c>
      <c r="O431" s="3" t="s">
        <v>59</v>
      </c>
      <c r="P431" s="3" t="s">
        <v>3986</v>
      </c>
      <c r="Q431" s="3" t="s">
        <v>6542</v>
      </c>
      <c r="R431" s="3" t="s">
        <v>3987</v>
      </c>
      <c r="S431" s="3" t="s">
        <v>6775</v>
      </c>
      <c r="T431" s="3" t="s">
        <v>3989</v>
      </c>
      <c r="U431" s="3" t="s">
        <v>7227</v>
      </c>
      <c r="V431" s="3" t="s">
        <v>3990</v>
      </c>
      <c r="W431" s="3" t="s">
        <v>6545</v>
      </c>
      <c r="X431" s="3" t="s">
        <v>3991</v>
      </c>
      <c r="Y431" s="3" t="s">
        <v>6545</v>
      </c>
      <c r="Z431" s="3" t="s">
        <v>3992</v>
      </c>
      <c r="AA431" s="3" t="s">
        <v>6941</v>
      </c>
    </row>
    <row r="432" customFormat="false" ht="15" hidden="false" customHeight="true" outlineLevel="0" collapsed="false">
      <c r="A432" s="3" t="s">
        <v>3995</v>
      </c>
      <c r="B432" s="3" t="n">
        <v>5</v>
      </c>
      <c r="C432" s="3" t="n">
        <v>34</v>
      </c>
      <c r="D432" s="3" t="str">
        <f aca="false">Combined!G432</f>
        <v>Middle-aged (30–64)</v>
      </c>
      <c r="E432" s="3" t="s">
        <v>45</v>
      </c>
      <c r="F432" s="3" t="s">
        <v>47</v>
      </c>
      <c r="G432" s="3" t="s">
        <v>47</v>
      </c>
      <c r="H432" s="3" t="s">
        <v>3996</v>
      </c>
      <c r="I432" s="3" t="s">
        <v>6527</v>
      </c>
      <c r="J432" s="3" t="s">
        <v>3997</v>
      </c>
      <c r="K432" s="3" t="s">
        <v>7307</v>
      </c>
      <c r="L432" s="3" t="s">
        <v>3998</v>
      </c>
      <c r="M432" s="3" t="s">
        <v>7308</v>
      </c>
      <c r="N432" s="3" t="s">
        <v>3999</v>
      </c>
      <c r="O432" s="3" t="s">
        <v>6517</v>
      </c>
      <c r="P432" s="3" t="s">
        <v>4000</v>
      </c>
      <c r="Q432" s="3" t="s">
        <v>6577</v>
      </c>
      <c r="R432" s="3" t="s">
        <v>4001</v>
      </c>
      <c r="S432" s="3" t="s">
        <v>7309</v>
      </c>
      <c r="T432" s="3" t="s">
        <v>4003</v>
      </c>
      <c r="U432" s="3" t="s">
        <v>6820</v>
      </c>
      <c r="V432" s="3" t="s">
        <v>4004</v>
      </c>
      <c r="W432" s="3" t="s">
        <v>6568</v>
      </c>
      <c r="X432" s="3" t="s">
        <v>4005</v>
      </c>
      <c r="Y432" s="3" t="s">
        <v>7310</v>
      </c>
      <c r="Z432" s="3" t="s">
        <v>4006</v>
      </c>
      <c r="AA432" s="3" t="s">
        <v>6847</v>
      </c>
    </row>
    <row r="433" customFormat="false" ht="15" hidden="false" customHeight="true" outlineLevel="0" collapsed="false">
      <c r="A433" s="3" t="s">
        <v>4008</v>
      </c>
      <c r="B433" s="3" t="n">
        <v>5</v>
      </c>
      <c r="C433" s="3" t="n">
        <v>22</v>
      </c>
      <c r="D433" s="3" t="str">
        <f aca="false">Combined!G433</f>
        <v>Student age (≤29)</v>
      </c>
      <c r="E433" s="3" t="s">
        <v>45</v>
      </c>
      <c r="F433" s="3" t="s">
        <v>3912</v>
      </c>
      <c r="G433" s="3" t="s">
        <v>47</v>
      </c>
      <c r="H433" s="3" t="s">
        <v>4009</v>
      </c>
      <c r="I433" s="3" t="s">
        <v>6769</v>
      </c>
      <c r="J433" s="3" t="s">
        <v>4010</v>
      </c>
      <c r="K433" s="3" t="s">
        <v>7311</v>
      </c>
      <c r="L433" s="3" t="s">
        <v>4011</v>
      </c>
      <c r="M433" s="3" t="s">
        <v>6723</v>
      </c>
      <c r="N433" s="3" t="s">
        <v>4012</v>
      </c>
      <c r="O433" s="3" t="s">
        <v>1625</v>
      </c>
      <c r="P433" s="3" t="s">
        <v>4013</v>
      </c>
      <c r="Q433" s="3" t="s">
        <v>7191</v>
      </c>
      <c r="R433" s="3" t="s">
        <v>4014</v>
      </c>
      <c r="S433" s="3" t="s">
        <v>6537</v>
      </c>
      <c r="T433" s="5" t="s">
        <v>4016</v>
      </c>
      <c r="U433" s="3" t="s">
        <v>7312</v>
      </c>
      <c r="V433" s="3" t="s">
        <v>4017</v>
      </c>
      <c r="W433" s="3" t="s">
        <v>6900</v>
      </c>
      <c r="X433" s="3" t="s">
        <v>4018</v>
      </c>
      <c r="Y433" s="3" t="s">
        <v>6551</v>
      </c>
      <c r="Z433" s="3" t="s">
        <v>4019</v>
      </c>
      <c r="AA433" s="3" t="s">
        <v>6647</v>
      </c>
    </row>
    <row r="434" customFormat="false" ht="15" hidden="false" customHeight="true" outlineLevel="0" collapsed="false">
      <c r="A434" s="3" t="s">
        <v>4022</v>
      </c>
      <c r="B434" s="3" t="n">
        <v>5</v>
      </c>
      <c r="C434" s="3" t="n">
        <v>22</v>
      </c>
      <c r="D434" s="3" t="str">
        <f aca="false">Combined!G434</f>
        <v>Student age (≤29)</v>
      </c>
      <c r="E434" s="3" t="s">
        <v>45</v>
      </c>
      <c r="F434" s="3" t="s">
        <v>4023</v>
      </c>
      <c r="G434" s="3" t="s">
        <v>47</v>
      </c>
      <c r="H434" s="3" t="s">
        <v>4024</v>
      </c>
      <c r="I434" s="3" t="s">
        <v>6703</v>
      </c>
      <c r="J434" s="3" t="s">
        <v>4025</v>
      </c>
      <c r="K434" s="3" t="s">
        <v>6557</v>
      </c>
      <c r="L434" s="3" t="s">
        <v>4026</v>
      </c>
      <c r="M434" s="3" t="s">
        <v>7313</v>
      </c>
      <c r="N434" s="3" t="s">
        <v>4027</v>
      </c>
      <c r="O434" s="3" t="s">
        <v>6511</v>
      </c>
      <c r="P434" s="3" t="s">
        <v>4028</v>
      </c>
      <c r="Q434" s="3" t="s">
        <v>7314</v>
      </c>
      <c r="R434" s="3" t="s">
        <v>4029</v>
      </c>
      <c r="S434" s="3" t="s">
        <v>6760</v>
      </c>
      <c r="T434" s="3" t="s">
        <v>4031</v>
      </c>
      <c r="U434" s="3" t="s">
        <v>7315</v>
      </c>
      <c r="V434" s="3" t="s">
        <v>4032</v>
      </c>
      <c r="W434" s="3" t="s">
        <v>7121</v>
      </c>
      <c r="X434" s="3" t="s">
        <v>4033</v>
      </c>
      <c r="Y434" s="3" t="s">
        <v>6620</v>
      </c>
      <c r="Z434" s="3" t="s">
        <v>4034</v>
      </c>
      <c r="AA434" s="3" t="s">
        <v>7316</v>
      </c>
    </row>
    <row r="435" customFormat="false" ht="15" hidden="false" customHeight="true" outlineLevel="0" collapsed="false">
      <c r="A435" s="3" t="s">
        <v>4037</v>
      </c>
      <c r="B435" s="3" t="n">
        <v>6</v>
      </c>
      <c r="C435" s="3" t="n">
        <v>24</v>
      </c>
      <c r="D435" s="3" t="str">
        <f aca="false">Combined!G435</f>
        <v>Student age (≤29)</v>
      </c>
      <c r="E435" s="3" t="s">
        <v>45</v>
      </c>
      <c r="F435" s="3" t="s">
        <v>437</v>
      </c>
      <c r="G435" s="3" t="s">
        <v>437</v>
      </c>
      <c r="H435" s="3" t="s">
        <v>4038</v>
      </c>
      <c r="I435" s="3" t="s">
        <v>7317</v>
      </c>
      <c r="J435" s="3" t="s">
        <v>4039</v>
      </c>
      <c r="K435" s="3" t="s">
        <v>7318</v>
      </c>
      <c r="L435" s="3" t="s">
        <v>4040</v>
      </c>
      <c r="M435" s="3" t="s">
        <v>6509</v>
      </c>
      <c r="N435" s="3" t="s">
        <v>4042</v>
      </c>
      <c r="O435" s="3" t="s">
        <v>6530</v>
      </c>
      <c r="P435" s="3" t="s">
        <v>4043</v>
      </c>
      <c r="Q435" s="3" t="s">
        <v>6711</v>
      </c>
      <c r="R435" s="3" t="s">
        <v>4044</v>
      </c>
      <c r="S435" s="3" t="s">
        <v>7319</v>
      </c>
      <c r="T435" s="3" t="s">
        <v>4046</v>
      </c>
      <c r="U435" s="3" t="s">
        <v>7320</v>
      </c>
      <c r="V435" s="3"/>
      <c r="W435" s="3"/>
      <c r="X435" s="3" t="s">
        <v>4048</v>
      </c>
      <c r="Y435" s="3" t="s">
        <v>6847</v>
      </c>
      <c r="Z435" s="3" t="s">
        <v>4049</v>
      </c>
      <c r="AA435" s="3" t="s">
        <v>7321</v>
      </c>
    </row>
    <row r="436" customFormat="false" ht="15" hidden="false" customHeight="true" outlineLevel="0" collapsed="false">
      <c r="A436" s="3" t="s">
        <v>4050</v>
      </c>
      <c r="B436" s="3" t="n">
        <v>6</v>
      </c>
      <c r="C436" s="3" t="n">
        <v>26</v>
      </c>
      <c r="D436" s="3" t="str">
        <f aca="false">Combined!G436</f>
        <v>Student age (≤29)</v>
      </c>
      <c r="E436" s="3" t="s">
        <v>83</v>
      </c>
      <c r="F436" s="3" t="s">
        <v>437</v>
      </c>
      <c r="G436" s="3" t="s">
        <v>437</v>
      </c>
      <c r="H436" s="3" t="s">
        <v>4038</v>
      </c>
      <c r="I436" s="3" t="s">
        <v>7317</v>
      </c>
      <c r="J436" s="3" t="s">
        <v>4051</v>
      </c>
      <c r="K436" s="3" t="s">
        <v>7322</v>
      </c>
      <c r="L436" s="3" t="s">
        <v>4052</v>
      </c>
      <c r="M436" s="3" t="s">
        <v>7323</v>
      </c>
      <c r="N436" s="3" t="s">
        <v>4054</v>
      </c>
      <c r="O436" s="3" t="s">
        <v>6517</v>
      </c>
      <c r="P436" s="3" t="s">
        <v>4055</v>
      </c>
      <c r="Q436" s="3" t="s">
        <v>6893</v>
      </c>
      <c r="R436" s="3" t="s">
        <v>4056</v>
      </c>
      <c r="S436" s="3" t="s">
        <v>7324</v>
      </c>
      <c r="T436" s="3" t="s">
        <v>4058</v>
      </c>
      <c r="U436" s="3" t="s">
        <v>7325</v>
      </c>
      <c r="V436" s="3"/>
      <c r="W436" s="3"/>
      <c r="X436" s="3" t="s">
        <v>4059</v>
      </c>
      <c r="Y436" s="3" t="s">
        <v>6646</v>
      </c>
      <c r="Z436" s="3" t="s">
        <v>4060</v>
      </c>
      <c r="AA436" s="3" t="s">
        <v>7326</v>
      </c>
    </row>
    <row r="437" customFormat="false" ht="15" hidden="false" customHeight="true" outlineLevel="0" collapsed="false">
      <c r="A437" s="3" t="s">
        <v>4061</v>
      </c>
      <c r="B437" s="3" t="n">
        <v>6</v>
      </c>
      <c r="C437" s="3" t="n">
        <v>23</v>
      </c>
      <c r="D437" s="3" t="str">
        <f aca="false">Combined!G437</f>
        <v>Student age (≤29)</v>
      </c>
      <c r="E437" s="3" t="s">
        <v>83</v>
      </c>
      <c r="F437" s="3" t="s">
        <v>437</v>
      </c>
      <c r="G437" s="3" t="s">
        <v>437</v>
      </c>
      <c r="H437" s="3" t="s">
        <v>4062</v>
      </c>
      <c r="I437" s="3" t="s">
        <v>7327</v>
      </c>
      <c r="J437" s="3" t="s">
        <v>4063</v>
      </c>
      <c r="K437" s="3" t="s">
        <v>6548</v>
      </c>
      <c r="L437" s="3" t="s">
        <v>2062</v>
      </c>
      <c r="M437" s="3" t="s">
        <v>6569</v>
      </c>
      <c r="N437" s="3" t="s">
        <v>4042</v>
      </c>
      <c r="O437" s="3" t="s">
        <v>6530</v>
      </c>
      <c r="P437" s="3" t="s">
        <v>4065</v>
      </c>
      <c r="Q437" s="3" t="s">
        <v>7328</v>
      </c>
      <c r="R437" s="3" t="s">
        <v>4066</v>
      </c>
      <c r="S437" s="3" t="s">
        <v>6543</v>
      </c>
      <c r="T437" s="3" t="s">
        <v>4068</v>
      </c>
      <c r="U437" s="3" t="s">
        <v>7329</v>
      </c>
      <c r="V437" s="3"/>
      <c r="W437" s="3"/>
      <c r="X437" s="3" t="s">
        <v>4070</v>
      </c>
      <c r="Y437" s="3" t="s">
        <v>6510</v>
      </c>
      <c r="Z437" s="3" t="s">
        <v>2242</v>
      </c>
      <c r="AA437" s="3" t="s">
        <v>6538</v>
      </c>
    </row>
    <row r="438" customFormat="false" ht="15" hidden="false" customHeight="true" outlineLevel="0" collapsed="false">
      <c r="A438" s="3" t="s">
        <v>4071</v>
      </c>
      <c r="B438" s="3" t="n">
        <v>6</v>
      </c>
      <c r="C438" s="3" t="n">
        <v>23</v>
      </c>
      <c r="D438" s="3" t="str">
        <f aca="false">Combined!G438</f>
        <v>Student age (≤29)</v>
      </c>
      <c r="E438" s="3" t="s">
        <v>83</v>
      </c>
      <c r="F438" s="3" t="s">
        <v>437</v>
      </c>
      <c r="G438" s="3" t="s">
        <v>437</v>
      </c>
      <c r="H438" s="3" t="s">
        <v>4062</v>
      </c>
      <c r="I438" s="3" t="s">
        <v>7327</v>
      </c>
      <c r="J438" s="3" t="s">
        <v>4072</v>
      </c>
      <c r="K438" s="3" t="s">
        <v>6509</v>
      </c>
      <c r="L438" s="3" t="s">
        <v>4040</v>
      </c>
      <c r="M438" s="3" t="s">
        <v>6509</v>
      </c>
      <c r="N438" s="3" t="s">
        <v>4042</v>
      </c>
      <c r="O438" s="3" t="s">
        <v>6530</v>
      </c>
      <c r="P438" s="3" t="s">
        <v>4065</v>
      </c>
      <c r="Q438" s="3" t="s">
        <v>7328</v>
      </c>
      <c r="R438" s="3" t="s">
        <v>4074</v>
      </c>
      <c r="S438" s="3" t="s">
        <v>7330</v>
      </c>
      <c r="T438" s="3" t="s">
        <v>4076</v>
      </c>
      <c r="U438" s="3" t="s">
        <v>6509</v>
      </c>
      <c r="V438" s="3"/>
      <c r="W438" s="3"/>
      <c r="X438" s="3" t="s">
        <v>4077</v>
      </c>
      <c r="Y438" s="3" t="s">
        <v>7057</v>
      </c>
      <c r="Z438" s="3" t="s">
        <v>4078</v>
      </c>
      <c r="AA438" s="3" t="s">
        <v>7331</v>
      </c>
    </row>
    <row r="439" customFormat="false" ht="15" hidden="false" customHeight="true" outlineLevel="0" collapsed="false">
      <c r="A439" s="3" t="s">
        <v>4079</v>
      </c>
      <c r="B439" s="3" t="n">
        <v>6</v>
      </c>
      <c r="C439" s="3" t="n">
        <v>23</v>
      </c>
      <c r="D439" s="3" t="str">
        <f aca="false">Combined!G439</f>
        <v>Student age (≤29)</v>
      </c>
      <c r="E439" s="3" t="s">
        <v>83</v>
      </c>
      <c r="F439" s="3" t="s">
        <v>437</v>
      </c>
      <c r="G439" s="3" t="s">
        <v>47</v>
      </c>
      <c r="H439" s="3" t="s">
        <v>4038</v>
      </c>
      <c r="I439" s="3" t="s">
        <v>7317</v>
      </c>
      <c r="J439" s="3" t="s">
        <v>4080</v>
      </c>
      <c r="K439" s="3" t="s">
        <v>6584</v>
      </c>
      <c r="L439" s="3" t="s">
        <v>4040</v>
      </c>
      <c r="M439" s="3" t="s">
        <v>6509</v>
      </c>
      <c r="N439" s="3" t="s">
        <v>4042</v>
      </c>
      <c r="O439" s="3" t="s">
        <v>6530</v>
      </c>
      <c r="P439" s="3" t="s">
        <v>4065</v>
      </c>
      <c r="Q439" s="3" t="s">
        <v>7328</v>
      </c>
      <c r="R439" s="3" t="s">
        <v>4082</v>
      </c>
      <c r="S439" s="3" t="s">
        <v>7332</v>
      </c>
      <c r="T439" s="3" t="s">
        <v>4084</v>
      </c>
      <c r="U439" s="3" t="s">
        <v>6601</v>
      </c>
      <c r="V439" s="3"/>
      <c r="W439" s="3"/>
      <c r="X439" s="3" t="s">
        <v>4085</v>
      </c>
      <c r="Y439" s="3" t="s">
        <v>6907</v>
      </c>
      <c r="Z439" s="3" t="s">
        <v>4086</v>
      </c>
      <c r="AA439" s="3" t="s">
        <v>7326</v>
      </c>
    </row>
    <row r="440" customFormat="false" ht="15" hidden="false" customHeight="true" outlineLevel="0" collapsed="false">
      <c r="A440" s="3" t="s">
        <v>4087</v>
      </c>
      <c r="B440" s="3" t="n">
        <v>6</v>
      </c>
      <c r="C440" s="3" t="n">
        <v>23</v>
      </c>
      <c r="D440" s="3" t="str">
        <f aca="false">Combined!G440</f>
        <v>Student age (≤29)</v>
      </c>
      <c r="E440" s="3" t="s">
        <v>83</v>
      </c>
      <c r="F440" s="3" t="s">
        <v>437</v>
      </c>
      <c r="G440" s="3" t="s">
        <v>437</v>
      </c>
      <c r="H440" s="3" t="s">
        <v>4088</v>
      </c>
      <c r="I440" s="3" t="s">
        <v>6759</v>
      </c>
      <c r="J440" s="3" t="s">
        <v>4089</v>
      </c>
      <c r="K440" s="3" t="s">
        <v>7323</v>
      </c>
      <c r="L440" s="3" t="s">
        <v>4040</v>
      </c>
      <c r="M440" s="3" t="s">
        <v>6509</v>
      </c>
      <c r="N440" s="3" t="s">
        <v>4091</v>
      </c>
      <c r="O440" s="3" t="s">
        <v>59</v>
      </c>
      <c r="P440" s="3" t="s">
        <v>4092</v>
      </c>
      <c r="Q440" s="3" t="s">
        <v>6893</v>
      </c>
      <c r="R440" s="3" t="s">
        <v>4093</v>
      </c>
      <c r="S440" s="3" t="s">
        <v>7333</v>
      </c>
      <c r="T440" s="3" t="s">
        <v>4095</v>
      </c>
      <c r="U440" s="3" t="s">
        <v>7334</v>
      </c>
      <c r="V440" s="3"/>
      <c r="W440" s="3"/>
      <c r="X440" s="3" t="s">
        <v>4085</v>
      </c>
      <c r="Y440" s="3" t="s">
        <v>6907</v>
      </c>
      <c r="Z440" s="3" t="s">
        <v>4096</v>
      </c>
      <c r="AA440" s="3" t="s">
        <v>7335</v>
      </c>
    </row>
    <row r="441" customFormat="false" ht="15" hidden="false" customHeight="true" outlineLevel="0" collapsed="false">
      <c r="A441" s="3" t="s">
        <v>4097</v>
      </c>
      <c r="B441" s="3" t="n">
        <v>6</v>
      </c>
      <c r="C441" s="3" t="n">
        <v>25</v>
      </c>
      <c r="D441" s="3" t="str">
        <f aca="false">Combined!G441</f>
        <v>Student age (≤29)</v>
      </c>
      <c r="E441" s="3" t="s">
        <v>45</v>
      </c>
      <c r="F441" s="3" t="s">
        <v>437</v>
      </c>
      <c r="G441" s="3" t="s">
        <v>47</v>
      </c>
      <c r="H441" s="3" t="s">
        <v>4098</v>
      </c>
      <c r="I441" s="3" t="s">
        <v>6539</v>
      </c>
      <c r="J441" s="3" t="s">
        <v>4099</v>
      </c>
      <c r="K441" s="3" t="s">
        <v>6540</v>
      </c>
      <c r="L441" s="3" t="s">
        <v>4099</v>
      </c>
      <c r="M441" s="3" t="s">
        <v>6540</v>
      </c>
      <c r="N441" s="3" t="s">
        <v>4042</v>
      </c>
      <c r="O441" s="3" t="s">
        <v>6530</v>
      </c>
      <c r="P441" s="3" t="s">
        <v>4101</v>
      </c>
      <c r="Q441" s="3" t="s">
        <v>7336</v>
      </c>
      <c r="R441" s="3" t="s">
        <v>4102</v>
      </c>
      <c r="S441" s="3" t="s">
        <v>7337</v>
      </c>
      <c r="T441" s="3" t="s">
        <v>4095</v>
      </c>
      <c r="U441" s="3" t="s">
        <v>7334</v>
      </c>
      <c r="V441" s="3"/>
      <c r="W441" s="3"/>
      <c r="X441" s="3" t="s">
        <v>4104</v>
      </c>
      <c r="Y441" s="3" t="s">
        <v>7338</v>
      </c>
      <c r="Z441" s="3" t="s">
        <v>4105</v>
      </c>
      <c r="AA441" s="3" t="s">
        <v>6804</v>
      </c>
    </row>
    <row r="442" customFormat="false" ht="15" hidden="false" customHeight="true" outlineLevel="0" collapsed="false">
      <c r="A442" s="3" t="s">
        <v>4106</v>
      </c>
      <c r="B442" s="3" t="n">
        <v>6</v>
      </c>
      <c r="C442" s="3" t="n">
        <v>23</v>
      </c>
      <c r="D442" s="3" t="str">
        <f aca="false">Combined!G442</f>
        <v>Student age (≤29)</v>
      </c>
      <c r="E442" s="3" t="s">
        <v>45</v>
      </c>
      <c r="F442" s="3" t="s">
        <v>437</v>
      </c>
      <c r="G442" s="3" t="s">
        <v>437</v>
      </c>
      <c r="H442" s="3" t="s">
        <v>4038</v>
      </c>
      <c r="I442" s="3" t="s">
        <v>7317</v>
      </c>
      <c r="J442" s="3" t="s">
        <v>4072</v>
      </c>
      <c r="K442" s="3" t="s">
        <v>6509</v>
      </c>
      <c r="L442" s="3" t="s">
        <v>4040</v>
      </c>
      <c r="M442" s="3" t="s">
        <v>6509</v>
      </c>
      <c r="N442" s="3" t="s">
        <v>4042</v>
      </c>
      <c r="O442" s="3" t="s">
        <v>6530</v>
      </c>
      <c r="P442" s="3" t="s">
        <v>4043</v>
      </c>
      <c r="Q442" s="3" t="s">
        <v>6711</v>
      </c>
      <c r="R442" s="3" t="s">
        <v>4108</v>
      </c>
      <c r="S442" s="3" t="s">
        <v>7339</v>
      </c>
      <c r="T442" s="3" t="s">
        <v>4110</v>
      </c>
      <c r="U442" s="3" t="s">
        <v>6925</v>
      </c>
      <c r="V442" s="3"/>
      <c r="W442" s="3"/>
      <c r="X442" s="3" t="s">
        <v>4111</v>
      </c>
      <c r="Y442" s="3" t="s">
        <v>6551</v>
      </c>
      <c r="Z442" s="3" t="s">
        <v>4112</v>
      </c>
      <c r="AA442" s="3" t="s">
        <v>7340</v>
      </c>
    </row>
    <row r="443" customFormat="false" ht="15" hidden="false" customHeight="true" outlineLevel="0" collapsed="false">
      <c r="A443" s="3" t="s">
        <v>4113</v>
      </c>
      <c r="B443" s="3" t="n">
        <v>6</v>
      </c>
      <c r="C443" s="3" t="n">
        <v>23</v>
      </c>
      <c r="D443" s="3" t="str">
        <f aca="false">Combined!G443</f>
        <v>Student age (≤29)</v>
      </c>
      <c r="E443" s="3" t="s">
        <v>45</v>
      </c>
      <c r="F443" s="3" t="s">
        <v>437</v>
      </c>
      <c r="G443" s="3" t="s">
        <v>47</v>
      </c>
      <c r="H443" s="3" t="s">
        <v>4038</v>
      </c>
      <c r="I443" s="3" t="s">
        <v>7317</v>
      </c>
      <c r="J443" s="3" t="s">
        <v>4039</v>
      </c>
      <c r="K443" s="3" t="s">
        <v>7318</v>
      </c>
      <c r="L443" s="3" t="s">
        <v>4040</v>
      </c>
      <c r="M443" s="3" t="s">
        <v>6509</v>
      </c>
      <c r="N443" s="3" t="s">
        <v>4054</v>
      </c>
      <c r="O443" s="3" t="s">
        <v>6517</v>
      </c>
      <c r="P443" s="3" t="s">
        <v>4114</v>
      </c>
      <c r="Q443" s="3" t="s">
        <v>7341</v>
      </c>
      <c r="R443" s="3" t="s">
        <v>4115</v>
      </c>
      <c r="S443" s="3" t="s">
        <v>7342</v>
      </c>
      <c r="T443" s="3" t="s">
        <v>4117</v>
      </c>
      <c r="U443" s="3" t="s">
        <v>7343</v>
      </c>
      <c r="V443" s="3"/>
      <c r="W443" s="3"/>
      <c r="X443" s="3" t="s">
        <v>4111</v>
      </c>
      <c r="Y443" s="3" t="s">
        <v>6551</v>
      </c>
      <c r="Z443" s="3" t="s">
        <v>4118</v>
      </c>
      <c r="AA443" s="3" t="s">
        <v>6574</v>
      </c>
    </row>
    <row r="444" customFormat="false" ht="15" hidden="false" customHeight="true" outlineLevel="0" collapsed="false">
      <c r="A444" s="3" t="s">
        <v>4119</v>
      </c>
      <c r="B444" s="3" t="n">
        <v>6</v>
      </c>
      <c r="C444" s="3" t="n">
        <v>40</v>
      </c>
      <c r="D444" s="3" t="str">
        <f aca="false">Combined!G444</f>
        <v>Middle-aged (30–64)</v>
      </c>
      <c r="E444" s="3" t="s">
        <v>45</v>
      </c>
      <c r="F444" s="3" t="s">
        <v>437</v>
      </c>
      <c r="G444" s="3" t="s">
        <v>437</v>
      </c>
      <c r="H444" s="3" t="s">
        <v>4038</v>
      </c>
      <c r="I444" s="3" t="s">
        <v>7317</v>
      </c>
      <c r="J444" s="3" t="s">
        <v>4039</v>
      </c>
      <c r="K444" s="3" t="s">
        <v>7318</v>
      </c>
      <c r="L444" s="3" t="s">
        <v>4099</v>
      </c>
      <c r="M444" s="3" t="s">
        <v>6540</v>
      </c>
      <c r="N444" s="3" t="s">
        <v>4091</v>
      </c>
      <c r="O444" s="3" t="s">
        <v>59</v>
      </c>
      <c r="P444" s="3" t="s">
        <v>4121</v>
      </c>
      <c r="Q444" s="3" t="s">
        <v>7344</v>
      </c>
      <c r="R444" s="3" t="s">
        <v>4102</v>
      </c>
      <c r="S444" s="3" t="s">
        <v>7337</v>
      </c>
      <c r="T444" s="3" t="s">
        <v>4123</v>
      </c>
      <c r="U444" s="3" t="s">
        <v>6509</v>
      </c>
      <c r="V444" s="3"/>
      <c r="W444" s="3"/>
      <c r="X444" s="3" t="s">
        <v>4085</v>
      </c>
      <c r="Y444" s="3" t="s">
        <v>6907</v>
      </c>
      <c r="Z444" s="3" t="s">
        <v>4124</v>
      </c>
      <c r="AA444" s="3" t="s">
        <v>7345</v>
      </c>
    </row>
    <row r="445" customFormat="false" ht="15" hidden="false" customHeight="true" outlineLevel="0" collapsed="false">
      <c r="A445" s="3" t="s">
        <v>4125</v>
      </c>
      <c r="B445" s="3" t="n">
        <v>6</v>
      </c>
      <c r="C445" s="3" t="n">
        <v>23</v>
      </c>
      <c r="D445" s="3" t="str">
        <f aca="false">Combined!G445</f>
        <v>Student age (≤29)</v>
      </c>
      <c r="E445" s="3" t="s">
        <v>83</v>
      </c>
      <c r="F445" s="3" t="s">
        <v>437</v>
      </c>
      <c r="G445" s="3" t="s">
        <v>437</v>
      </c>
      <c r="H445" s="3" t="s">
        <v>4062</v>
      </c>
      <c r="I445" s="3" t="s">
        <v>7327</v>
      </c>
      <c r="J445" s="3" t="s">
        <v>4072</v>
      </c>
      <c r="K445" s="3" t="s">
        <v>6509</v>
      </c>
      <c r="L445" s="3" t="s">
        <v>4040</v>
      </c>
      <c r="M445" s="3" t="s">
        <v>6509</v>
      </c>
      <c r="N445" s="3" t="s">
        <v>4042</v>
      </c>
      <c r="O445" s="3" t="s">
        <v>6530</v>
      </c>
      <c r="P445" s="3" t="s">
        <v>4127</v>
      </c>
      <c r="Q445" s="3" t="s">
        <v>6560</v>
      </c>
      <c r="R445" s="3" t="s">
        <v>4093</v>
      </c>
      <c r="S445" s="3" t="s">
        <v>7333</v>
      </c>
      <c r="T445" s="3" t="s">
        <v>4117</v>
      </c>
      <c r="U445" s="3" t="s">
        <v>7343</v>
      </c>
      <c r="V445" s="3"/>
      <c r="W445" s="3"/>
      <c r="X445" s="3" t="s">
        <v>4128</v>
      </c>
      <c r="Y445" s="3" t="s">
        <v>7346</v>
      </c>
      <c r="Z445" s="3" t="s">
        <v>4129</v>
      </c>
      <c r="AA445" s="3" t="s">
        <v>7347</v>
      </c>
    </row>
    <row r="446" customFormat="false" ht="15" hidden="false" customHeight="true" outlineLevel="0" collapsed="false">
      <c r="A446" s="3" t="s">
        <v>4130</v>
      </c>
      <c r="B446" s="3" t="n">
        <v>6</v>
      </c>
      <c r="C446" s="3" t="n">
        <v>24</v>
      </c>
      <c r="D446" s="3" t="str">
        <f aca="false">Combined!G446</f>
        <v>Student age (≤29)</v>
      </c>
      <c r="E446" s="3" t="s">
        <v>45</v>
      </c>
      <c r="F446" s="3" t="s">
        <v>437</v>
      </c>
      <c r="G446" s="3" t="s">
        <v>437</v>
      </c>
      <c r="H446" s="3" t="s">
        <v>4098</v>
      </c>
      <c r="I446" s="3" t="s">
        <v>6539</v>
      </c>
      <c r="J446" s="3" t="s">
        <v>4039</v>
      </c>
      <c r="K446" s="3" t="s">
        <v>7318</v>
      </c>
      <c r="L446" s="3" t="s">
        <v>4131</v>
      </c>
      <c r="M446" s="3" t="s">
        <v>7318</v>
      </c>
      <c r="N446" s="3" t="s">
        <v>4132</v>
      </c>
      <c r="O446" s="3" t="s">
        <v>1625</v>
      </c>
      <c r="P446" s="3" t="s">
        <v>4101</v>
      </c>
      <c r="Q446" s="3" t="s">
        <v>7336</v>
      </c>
      <c r="R446" s="3" t="s">
        <v>4133</v>
      </c>
      <c r="S446" s="3" t="s">
        <v>7333</v>
      </c>
      <c r="T446" s="3" t="s">
        <v>4134</v>
      </c>
      <c r="U446" s="3" t="s">
        <v>7348</v>
      </c>
      <c r="V446" s="3"/>
      <c r="W446" s="3"/>
      <c r="X446" s="3" t="s">
        <v>4070</v>
      </c>
      <c r="Y446" s="3" t="s">
        <v>6510</v>
      </c>
      <c r="Z446" s="3" t="s">
        <v>2242</v>
      </c>
      <c r="AA446" s="3" t="s">
        <v>6538</v>
      </c>
    </row>
    <row r="447" customFormat="false" ht="15" hidden="false" customHeight="true" outlineLevel="0" collapsed="false">
      <c r="A447" s="3" t="s">
        <v>4135</v>
      </c>
      <c r="B447" s="3" t="n">
        <v>6</v>
      </c>
      <c r="C447" s="3" t="n">
        <v>23</v>
      </c>
      <c r="D447" s="3" t="str">
        <f aca="false">Combined!G447</f>
        <v>Student age (≤29)</v>
      </c>
      <c r="E447" s="3" t="s">
        <v>83</v>
      </c>
      <c r="F447" s="3" t="s">
        <v>437</v>
      </c>
      <c r="G447" s="3" t="s">
        <v>437</v>
      </c>
      <c r="H447" s="3" t="s">
        <v>4038</v>
      </c>
      <c r="I447" s="3" t="s">
        <v>7317</v>
      </c>
      <c r="J447" s="3" t="s">
        <v>4063</v>
      </c>
      <c r="K447" s="3" t="s">
        <v>6548</v>
      </c>
      <c r="L447" s="3" t="s">
        <v>4136</v>
      </c>
      <c r="M447" s="3" t="s">
        <v>6520</v>
      </c>
      <c r="N447" s="3" t="s">
        <v>4042</v>
      </c>
      <c r="O447" s="3" t="s">
        <v>6530</v>
      </c>
      <c r="P447" s="3" t="s">
        <v>4092</v>
      </c>
      <c r="Q447" s="3" t="s">
        <v>6893</v>
      </c>
      <c r="R447" s="3" t="s">
        <v>4137</v>
      </c>
      <c r="S447" s="3" t="s">
        <v>7333</v>
      </c>
      <c r="T447" s="3" t="s">
        <v>4095</v>
      </c>
      <c r="U447" s="3" t="s">
        <v>7334</v>
      </c>
      <c r="V447" s="3"/>
      <c r="W447" s="3"/>
      <c r="X447" s="3" t="s">
        <v>4085</v>
      </c>
      <c r="Y447" s="3" t="s">
        <v>6907</v>
      </c>
      <c r="Z447" s="3" t="s">
        <v>2242</v>
      </c>
      <c r="AA447" s="3" t="s">
        <v>6538</v>
      </c>
    </row>
    <row r="448" customFormat="false" ht="15" hidden="false" customHeight="true" outlineLevel="0" collapsed="false">
      <c r="A448" s="3" t="s">
        <v>4138</v>
      </c>
      <c r="B448" s="3" t="n">
        <v>6</v>
      </c>
      <c r="C448" s="3" t="n">
        <v>21</v>
      </c>
      <c r="D448" s="3" t="str">
        <f aca="false">Combined!G448</f>
        <v>Student age (≤29)</v>
      </c>
      <c r="E448" s="3" t="s">
        <v>45</v>
      </c>
      <c r="F448" s="3" t="s">
        <v>437</v>
      </c>
      <c r="G448" s="3" t="s">
        <v>437</v>
      </c>
      <c r="H448" s="3" t="s">
        <v>4038</v>
      </c>
      <c r="I448" s="3" t="s">
        <v>7317</v>
      </c>
      <c r="J448" s="3" t="s">
        <v>4063</v>
      </c>
      <c r="K448" s="3" t="s">
        <v>6548</v>
      </c>
      <c r="L448" s="3" t="s">
        <v>4131</v>
      </c>
      <c r="M448" s="3" t="s">
        <v>7318</v>
      </c>
      <c r="N448" s="3" t="s">
        <v>4042</v>
      </c>
      <c r="O448" s="3" t="s">
        <v>6530</v>
      </c>
      <c r="P448" s="3" t="s">
        <v>4043</v>
      </c>
      <c r="Q448" s="3" t="s">
        <v>6711</v>
      </c>
      <c r="R448" s="3" t="s">
        <v>4140</v>
      </c>
      <c r="S448" s="3" t="s">
        <v>7349</v>
      </c>
      <c r="T448" s="3" t="s">
        <v>4110</v>
      </c>
      <c r="U448" s="3" t="s">
        <v>6925</v>
      </c>
      <c r="V448" s="3"/>
      <c r="W448" s="3"/>
      <c r="X448" s="3" t="s">
        <v>4077</v>
      </c>
      <c r="Y448" s="3" t="s">
        <v>7057</v>
      </c>
      <c r="Z448" s="3" t="s">
        <v>4142</v>
      </c>
      <c r="AA448" s="3" t="s">
        <v>7350</v>
      </c>
    </row>
    <row r="449" customFormat="false" ht="15" hidden="false" customHeight="true" outlineLevel="0" collapsed="false">
      <c r="A449" s="3" t="s">
        <v>4143</v>
      </c>
      <c r="B449" s="3" t="n">
        <v>6</v>
      </c>
      <c r="C449" s="3" t="n">
        <v>25</v>
      </c>
      <c r="D449" s="3" t="str">
        <f aca="false">Combined!G449</f>
        <v>Student age (≤29)</v>
      </c>
      <c r="E449" s="3" t="s">
        <v>45</v>
      </c>
      <c r="F449" s="3" t="s">
        <v>437</v>
      </c>
      <c r="G449" s="3" t="s">
        <v>2574</v>
      </c>
      <c r="H449" s="3" t="s">
        <v>4088</v>
      </c>
      <c r="I449" s="3" t="s">
        <v>6759</v>
      </c>
      <c r="J449" s="3" t="s">
        <v>4063</v>
      </c>
      <c r="K449" s="3" t="s">
        <v>6548</v>
      </c>
      <c r="L449" s="3" t="s">
        <v>4040</v>
      </c>
      <c r="M449" s="3" t="s">
        <v>6509</v>
      </c>
      <c r="N449" s="3" t="s">
        <v>4054</v>
      </c>
      <c r="O449" s="3" t="s">
        <v>6517</v>
      </c>
      <c r="P449" s="3" t="s">
        <v>4146</v>
      </c>
      <c r="Q449" s="3" t="s">
        <v>7351</v>
      </c>
      <c r="R449" s="3" t="s">
        <v>4147</v>
      </c>
      <c r="S449" s="3" t="s">
        <v>7352</v>
      </c>
      <c r="T449" s="3" t="s">
        <v>4084</v>
      </c>
      <c r="U449" s="3" t="s">
        <v>6601</v>
      </c>
      <c r="V449" s="3"/>
      <c r="W449" s="3"/>
      <c r="X449" s="3" t="s">
        <v>4085</v>
      </c>
      <c r="Y449" s="3" t="s">
        <v>6907</v>
      </c>
      <c r="Z449" s="3" t="s">
        <v>4124</v>
      </c>
      <c r="AA449" s="3" t="s">
        <v>7345</v>
      </c>
    </row>
    <row r="450" customFormat="false" ht="15" hidden="false" customHeight="true" outlineLevel="0" collapsed="false">
      <c r="A450" s="3" t="s">
        <v>4149</v>
      </c>
      <c r="B450" s="3" t="n">
        <v>6</v>
      </c>
      <c r="C450" s="3" t="n">
        <v>24</v>
      </c>
      <c r="D450" s="3" t="str">
        <f aca="false">Combined!G450</f>
        <v>Student age (≤29)</v>
      </c>
      <c r="E450" s="3" t="s">
        <v>45</v>
      </c>
      <c r="F450" s="3" t="s">
        <v>437</v>
      </c>
      <c r="G450" s="3" t="s">
        <v>47</v>
      </c>
      <c r="H450" s="3" t="s">
        <v>4038</v>
      </c>
      <c r="I450" s="3" t="s">
        <v>7317</v>
      </c>
      <c r="J450" s="3" t="s">
        <v>4039</v>
      </c>
      <c r="K450" s="3" t="s">
        <v>7318</v>
      </c>
      <c r="L450" s="3" t="s">
        <v>4150</v>
      </c>
      <c r="M450" s="3" t="s">
        <v>7353</v>
      </c>
      <c r="N450" s="3" t="s">
        <v>4042</v>
      </c>
      <c r="O450" s="3" t="s">
        <v>6530</v>
      </c>
      <c r="P450" s="3" t="s">
        <v>4065</v>
      </c>
      <c r="Q450" s="3" t="s">
        <v>7328</v>
      </c>
      <c r="R450" s="3" t="s">
        <v>4152</v>
      </c>
      <c r="S450" s="3" t="s">
        <v>7354</v>
      </c>
      <c r="T450" s="3" t="s">
        <v>4095</v>
      </c>
      <c r="U450" s="3" t="s">
        <v>7334</v>
      </c>
      <c r="V450" s="3"/>
      <c r="W450" s="3"/>
      <c r="X450" s="3" t="s">
        <v>4085</v>
      </c>
      <c r="Y450" s="3" t="s">
        <v>6907</v>
      </c>
      <c r="Z450" s="3" t="s">
        <v>4153</v>
      </c>
      <c r="AA450" s="3" t="s">
        <v>7355</v>
      </c>
    </row>
    <row r="451" customFormat="false" ht="15" hidden="false" customHeight="true" outlineLevel="0" collapsed="false">
      <c r="A451" s="3" t="s">
        <v>4154</v>
      </c>
      <c r="B451" s="3" t="n">
        <v>6</v>
      </c>
      <c r="C451" s="3" t="n">
        <v>27</v>
      </c>
      <c r="D451" s="3" t="str">
        <f aca="false">Combined!G451</f>
        <v>Student age (≤29)</v>
      </c>
      <c r="E451" s="3" t="s">
        <v>45</v>
      </c>
      <c r="F451" s="3" t="s">
        <v>437</v>
      </c>
      <c r="G451" s="3" t="s">
        <v>437</v>
      </c>
      <c r="H451" s="3" t="s">
        <v>4088</v>
      </c>
      <c r="I451" s="3" t="s">
        <v>6759</v>
      </c>
      <c r="J451" s="3" t="s">
        <v>4063</v>
      </c>
      <c r="K451" s="3" t="s">
        <v>6548</v>
      </c>
      <c r="L451" s="3" t="s">
        <v>4131</v>
      </c>
      <c r="M451" s="3" t="s">
        <v>7318</v>
      </c>
      <c r="N451" s="3" t="s">
        <v>4042</v>
      </c>
      <c r="O451" s="3" t="s">
        <v>6530</v>
      </c>
      <c r="P451" s="3" t="s">
        <v>4101</v>
      </c>
      <c r="Q451" s="3" t="s">
        <v>7336</v>
      </c>
      <c r="R451" s="3" t="s">
        <v>4155</v>
      </c>
      <c r="S451" s="3" t="s">
        <v>7356</v>
      </c>
      <c r="T451" s="3" t="s">
        <v>4123</v>
      </c>
      <c r="U451" s="3" t="s">
        <v>6509</v>
      </c>
      <c r="V451" s="3"/>
      <c r="W451" s="3"/>
      <c r="X451" s="3" t="s">
        <v>4085</v>
      </c>
      <c r="Y451" s="3" t="s">
        <v>6907</v>
      </c>
      <c r="Z451" s="3" t="s">
        <v>4157</v>
      </c>
      <c r="AA451" s="3" t="s">
        <v>7357</v>
      </c>
    </row>
    <row r="452" customFormat="false" ht="15" hidden="false" customHeight="true" outlineLevel="0" collapsed="false">
      <c r="A452" s="3" t="s">
        <v>4158</v>
      </c>
      <c r="B452" s="3" t="n">
        <v>6</v>
      </c>
      <c r="C452" s="3" t="n">
        <v>24</v>
      </c>
      <c r="D452" s="3" t="str">
        <f aca="false">Combined!G452</f>
        <v>Student age (≤29)</v>
      </c>
      <c r="E452" s="3" t="s">
        <v>45</v>
      </c>
      <c r="F452" s="3" t="s">
        <v>437</v>
      </c>
      <c r="G452" s="3" t="s">
        <v>47</v>
      </c>
      <c r="H452" s="3" t="s">
        <v>4062</v>
      </c>
      <c r="I452" s="3" t="s">
        <v>7327</v>
      </c>
      <c r="J452" s="3" t="s">
        <v>4039</v>
      </c>
      <c r="K452" s="3" t="s">
        <v>7318</v>
      </c>
      <c r="L452" s="3" t="s">
        <v>4040</v>
      </c>
      <c r="M452" s="3" t="s">
        <v>6509</v>
      </c>
      <c r="N452" s="3" t="s">
        <v>4042</v>
      </c>
      <c r="O452" s="3" t="s">
        <v>6530</v>
      </c>
      <c r="P452" s="3" t="s">
        <v>4065</v>
      </c>
      <c r="Q452" s="3" t="s">
        <v>7328</v>
      </c>
      <c r="R452" s="3" t="s">
        <v>4102</v>
      </c>
      <c r="S452" s="3" t="s">
        <v>7337</v>
      </c>
      <c r="T452" s="3" t="s">
        <v>4159</v>
      </c>
      <c r="U452" s="3" t="s">
        <v>7358</v>
      </c>
      <c r="V452" s="3"/>
      <c r="W452" s="3"/>
      <c r="X452" s="3" t="s">
        <v>4059</v>
      </c>
      <c r="Y452" s="3" t="s">
        <v>6646</v>
      </c>
      <c r="Z452" s="3" t="s">
        <v>4142</v>
      </c>
      <c r="AA452" s="3" t="s">
        <v>7350</v>
      </c>
    </row>
    <row r="453" customFormat="false" ht="15" hidden="false" customHeight="true" outlineLevel="0" collapsed="false">
      <c r="A453" s="3" t="s">
        <v>4160</v>
      </c>
      <c r="B453" s="3" t="n">
        <v>6</v>
      </c>
      <c r="C453" s="3" t="n">
        <v>23</v>
      </c>
      <c r="D453" s="3" t="str">
        <f aca="false">Combined!G453</f>
        <v>Student age (≤29)</v>
      </c>
      <c r="E453" s="3" t="s">
        <v>45</v>
      </c>
      <c r="F453" s="3" t="s">
        <v>437</v>
      </c>
      <c r="G453" s="3" t="s">
        <v>437</v>
      </c>
      <c r="H453" s="3" t="s">
        <v>4038</v>
      </c>
      <c r="I453" s="3" t="s">
        <v>7317</v>
      </c>
      <c r="J453" s="3" t="s">
        <v>4039</v>
      </c>
      <c r="K453" s="3" t="s">
        <v>7318</v>
      </c>
      <c r="L453" s="3" t="s">
        <v>4052</v>
      </c>
      <c r="M453" s="3" t="s">
        <v>7323</v>
      </c>
      <c r="N453" s="3" t="s">
        <v>4054</v>
      </c>
      <c r="O453" s="3" t="s">
        <v>6517</v>
      </c>
      <c r="P453" s="3" t="s">
        <v>4161</v>
      </c>
      <c r="Q453" s="3" t="s">
        <v>6830</v>
      </c>
      <c r="R453" s="3" t="s">
        <v>4162</v>
      </c>
      <c r="S453" s="3" t="s">
        <v>7359</v>
      </c>
      <c r="T453" s="3" t="s">
        <v>4163</v>
      </c>
      <c r="U453" s="3" t="s">
        <v>6509</v>
      </c>
      <c r="V453" s="3"/>
      <c r="W453" s="3"/>
      <c r="X453" s="3" t="s">
        <v>4164</v>
      </c>
      <c r="Y453" s="3" t="s">
        <v>6651</v>
      </c>
      <c r="Z453" s="3" t="s">
        <v>2242</v>
      </c>
      <c r="AA453" s="3" t="s">
        <v>6538</v>
      </c>
    </row>
    <row r="454" customFormat="false" ht="15" hidden="false" customHeight="true" outlineLevel="0" collapsed="false">
      <c r="A454" s="3" t="s">
        <v>4165</v>
      </c>
      <c r="B454" s="3" t="n">
        <v>6</v>
      </c>
      <c r="C454" s="3" t="n">
        <v>23</v>
      </c>
      <c r="D454" s="3" t="str">
        <f aca="false">Combined!G454</f>
        <v>Student age (≤29)</v>
      </c>
      <c r="E454" s="3" t="s">
        <v>83</v>
      </c>
      <c r="F454" s="3" t="s">
        <v>437</v>
      </c>
      <c r="G454" s="3" t="s">
        <v>437</v>
      </c>
      <c r="H454" s="3" t="s">
        <v>4062</v>
      </c>
      <c r="I454" s="3" t="s">
        <v>7327</v>
      </c>
      <c r="J454" s="3" t="s">
        <v>4063</v>
      </c>
      <c r="K454" s="3" t="s">
        <v>6548</v>
      </c>
      <c r="L454" s="3" t="s">
        <v>2062</v>
      </c>
      <c r="M454" s="3" t="s">
        <v>6569</v>
      </c>
      <c r="N454" s="3" t="s">
        <v>4132</v>
      </c>
      <c r="O454" s="3" t="s">
        <v>1625</v>
      </c>
      <c r="P454" s="3" t="s">
        <v>4167</v>
      </c>
      <c r="Q454" s="3" t="s">
        <v>7360</v>
      </c>
      <c r="R454" s="3" t="s">
        <v>4168</v>
      </c>
      <c r="S454" s="3" t="s">
        <v>6685</v>
      </c>
      <c r="T454" s="3" t="s">
        <v>4170</v>
      </c>
      <c r="U454" s="3" t="s">
        <v>7320</v>
      </c>
      <c r="V454" s="3"/>
      <c r="W454" s="3"/>
      <c r="X454" s="3" t="s">
        <v>4164</v>
      </c>
      <c r="Y454" s="3" t="s">
        <v>6651</v>
      </c>
      <c r="Z454" s="3" t="s">
        <v>4171</v>
      </c>
      <c r="AA454" s="3" t="s">
        <v>7109</v>
      </c>
    </row>
    <row r="455" customFormat="false" ht="15" hidden="false" customHeight="true" outlineLevel="0" collapsed="false">
      <c r="A455" s="3" t="s">
        <v>4172</v>
      </c>
      <c r="B455" s="3" t="n">
        <v>6</v>
      </c>
      <c r="C455" s="3" t="n">
        <v>21</v>
      </c>
      <c r="D455" s="3" t="str">
        <f aca="false">Combined!G455</f>
        <v>Student age (≤29)</v>
      </c>
      <c r="E455" s="3" t="s">
        <v>45</v>
      </c>
      <c r="F455" s="3" t="s">
        <v>437</v>
      </c>
      <c r="G455" s="3" t="s">
        <v>437</v>
      </c>
      <c r="H455" s="3" t="s">
        <v>4088</v>
      </c>
      <c r="I455" s="3" t="s">
        <v>6759</v>
      </c>
      <c r="J455" s="3" t="s">
        <v>4063</v>
      </c>
      <c r="K455" s="3" t="s">
        <v>6548</v>
      </c>
      <c r="L455" s="3" t="s">
        <v>2062</v>
      </c>
      <c r="M455" s="3" t="s">
        <v>6569</v>
      </c>
      <c r="N455" s="3" t="s">
        <v>4042</v>
      </c>
      <c r="O455" s="3" t="s">
        <v>6530</v>
      </c>
      <c r="P455" s="3" t="s">
        <v>4173</v>
      </c>
      <c r="Q455" s="3" t="s">
        <v>6932</v>
      </c>
      <c r="R455" s="3" t="s">
        <v>4174</v>
      </c>
      <c r="S455" s="3" t="s">
        <v>7361</v>
      </c>
      <c r="T455" s="3" t="s">
        <v>4117</v>
      </c>
      <c r="U455" s="3" t="s">
        <v>7343</v>
      </c>
      <c r="V455" s="3"/>
      <c r="W455" s="3"/>
      <c r="X455" s="3" t="s">
        <v>4048</v>
      </c>
      <c r="Y455" s="3" t="s">
        <v>6847</v>
      </c>
      <c r="Z455" s="3" t="s">
        <v>4175</v>
      </c>
      <c r="AA455" s="3" t="s">
        <v>7362</v>
      </c>
    </row>
    <row r="456" customFormat="false" ht="15" hidden="false" customHeight="true" outlineLevel="0" collapsed="false">
      <c r="A456" s="3" t="s">
        <v>4176</v>
      </c>
      <c r="B456" s="3" t="n">
        <v>6</v>
      </c>
      <c r="C456" s="3" t="n">
        <v>20</v>
      </c>
      <c r="D456" s="3" t="str">
        <f aca="false">Combined!G456</f>
        <v>Student age (≤29)</v>
      </c>
      <c r="E456" s="3" t="s">
        <v>45</v>
      </c>
      <c r="F456" s="3" t="s">
        <v>437</v>
      </c>
      <c r="G456" s="3" t="s">
        <v>437</v>
      </c>
      <c r="H456" s="3" t="s">
        <v>4088</v>
      </c>
      <c r="I456" s="3" t="s">
        <v>6759</v>
      </c>
      <c r="J456" s="3" t="s">
        <v>4080</v>
      </c>
      <c r="K456" s="3" t="s">
        <v>6584</v>
      </c>
      <c r="L456" s="3" t="s">
        <v>4052</v>
      </c>
      <c r="M456" s="3" t="s">
        <v>7323</v>
      </c>
      <c r="N456" s="3" t="s">
        <v>4042</v>
      </c>
      <c r="O456" s="3" t="s">
        <v>6530</v>
      </c>
      <c r="P456" s="3" t="s">
        <v>4177</v>
      </c>
      <c r="Q456" s="3" t="s">
        <v>7363</v>
      </c>
      <c r="R456" s="3" t="s">
        <v>4044</v>
      </c>
      <c r="S456" s="3" t="s">
        <v>7319</v>
      </c>
      <c r="T456" s="3" t="s">
        <v>4095</v>
      </c>
      <c r="U456" s="3" t="s">
        <v>7334</v>
      </c>
      <c r="V456" s="3"/>
      <c r="W456" s="3"/>
      <c r="X456" s="3" t="s">
        <v>4128</v>
      </c>
      <c r="Y456" s="3" t="s">
        <v>7346</v>
      </c>
      <c r="Z456" s="3" t="s">
        <v>4178</v>
      </c>
      <c r="AA456" s="3" t="s">
        <v>7364</v>
      </c>
    </row>
    <row r="457" customFormat="false" ht="15" hidden="false" customHeight="true" outlineLevel="0" collapsed="false">
      <c r="A457" s="3" t="s">
        <v>4179</v>
      </c>
      <c r="B457" s="3" t="n">
        <v>6</v>
      </c>
      <c r="C457" s="3" t="n">
        <v>20</v>
      </c>
      <c r="D457" s="3" t="str">
        <f aca="false">Combined!G457</f>
        <v>Student age (≤29)</v>
      </c>
      <c r="E457" s="3" t="s">
        <v>45</v>
      </c>
      <c r="F457" s="3" t="s">
        <v>437</v>
      </c>
      <c r="G457" s="3" t="s">
        <v>437</v>
      </c>
      <c r="H457" s="3" t="s">
        <v>4088</v>
      </c>
      <c r="I457" s="3" t="s">
        <v>6759</v>
      </c>
      <c r="J457" s="3" t="s">
        <v>4072</v>
      </c>
      <c r="K457" s="3" t="s">
        <v>6509</v>
      </c>
      <c r="L457" s="3" t="s">
        <v>2062</v>
      </c>
      <c r="M457" s="3" t="s">
        <v>6569</v>
      </c>
      <c r="N457" s="3" t="s">
        <v>4042</v>
      </c>
      <c r="O457" s="3" t="s">
        <v>6530</v>
      </c>
      <c r="P457" s="3" t="s">
        <v>4065</v>
      </c>
      <c r="Q457" s="3" t="s">
        <v>7328</v>
      </c>
      <c r="R457" s="3" t="s">
        <v>4180</v>
      </c>
      <c r="S457" s="3" t="s">
        <v>7365</v>
      </c>
      <c r="T457" s="3" t="s">
        <v>4117</v>
      </c>
      <c r="U457" s="3" t="s">
        <v>7343</v>
      </c>
      <c r="V457" s="3"/>
      <c r="W457" s="3"/>
      <c r="X457" s="3" t="s">
        <v>4085</v>
      </c>
      <c r="Y457" s="3" t="s">
        <v>6907</v>
      </c>
      <c r="Z457" s="3" t="s">
        <v>4181</v>
      </c>
      <c r="AA457" s="3" t="s">
        <v>7366</v>
      </c>
    </row>
    <row r="458" customFormat="false" ht="15" hidden="false" customHeight="true" outlineLevel="0" collapsed="false">
      <c r="A458" s="3" t="s">
        <v>4182</v>
      </c>
      <c r="B458" s="3" t="n">
        <v>6</v>
      </c>
      <c r="C458" s="3" t="n">
        <v>18</v>
      </c>
      <c r="D458" s="3" t="str">
        <f aca="false">Combined!G458</f>
        <v>Student age (≤29)</v>
      </c>
      <c r="E458" s="3" t="s">
        <v>45</v>
      </c>
      <c r="F458" s="3" t="s">
        <v>437</v>
      </c>
      <c r="G458" s="3" t="s">
        <v>437</v>
      </c>
      <c r="H458" s="3" t="s">
        <v>4062</v>
      </c>
      <c r="I458" s="3" t="s">
        <v>7327</v>
      </c>
      <c r="J458" s="3" t="s">
        <v>4063</v>
      </c>
      <c r="K458" s="3" t="s">
        <v>6548</v>
      </c>
      <c r="L458" s="3" t="s">
        <v>4131</v>
      </c>
      <c r="M458" s="3" t="s">
        <v>7318</v>
      </c>
      <c r="N458" s="3" t="s">
        <v>4042</v>
      </c>
      <c r="O458" s="3" t="s">
        <v>6530</v>
      </c>
      <c r="P458" s="3" t="s">
        <v>4184</v>
      </c>
      <c r="Q458" s="3" t="s">
        <v>6711</v>
      </c>
      <c r="R458" s="3" t="s">
        <v>4185</v>
      </c>
      <c r="S458" s="3" t="s">
        <v>6513</v>
      </c>
      <c r="T458" s="3" t="s">
        <v>4110</v>
      </c>
      <c r="U458" s="3" t="s">
        <v>6925</v>
      </c>
      <c r="V458" s="3"/>
      <c r="W458" s="3"/>
      <c r="X458" s="3" t="s">
        <v>4048</v>
      </c>
      <c r="Y458" s="3" t="s">
        <v>6847</v>
      </c>
      <c r="Z458" s="3" t="s">
        <v>4175</v>
      </c>
      <c r="AA458" s="3" t="s">
        <v>7362</v>
      </c>
    </row>
    <row r="459" customFormat="false" ht="15" hidden="false" customHeight="true" outlineLevel="0" collapsed="false">
      <c r="A459" s="3" t="s">
        <v>4187</v>
      </c>
      <c r="B459" s="3" t="n">
        <v>6</v>
      </c>
      <c r="C459" s="3" t="n">
        <v>20</v>
      </c>
      <c r="D459" s="3" t="str">
        <f aca="false">Combined!G459</f>
        <v>Student age (≤29)</v>
      </c>
      <c r="E459" s="3" t="s">
        <v>45</v>
      </c>
      <c r="F459" s="3" t="s">
        <v>437</v>
      </c>
      <c r="G459" s="3" t="s">
        <v>437</v>
      </c>
      <c r="H459" s="3" t="s">
        <v>4038</v>
      </c>
      <c r="I459" s="3" t="s">
        <v>7317</v>
      </c>
      <c r="J459" s="3" t="s">
        <v>4080</v>
      </c>
      <c r="K459" s="3" t="s">
        <v>6584</v>
      </c>
      <c r="L459" s="3" t="s">
        <v>4136</v>
      </c>
      <c r="M459" s="3" t="s">
        <v>6520</v>
      </c>
      <c r="N459" s="3" t="s">
        <v>4091</v>
      </c>
      <c r="O459" s="3" t="s">
        <v>59</v>
      </c>
      <c r="P459" s="3" t="s">
        <v>4065</v>
      </c>
      <c r="Q459" s="3" t="s">
        <v>7328</v>
      </c>
      <c r="R459" s="3" t="s">
        <v>4093</v>
      </c>
      <c r="S459" s="3" t="s">
        <v>7333</v>
      </c>
      <c r="T459" s="3" t="s">
        <v>4117</v>
      </c>
      <c r="U459" s="3" t="s">
        <v>7343</v>
      </c>
      <c r="V459" s="3"/>
      <c r="W459" s="3"/>
      <c r="X459" s="3" t="s">
        <v>4059</v>
      </c>
      <c r="Y459" s="3" t="s">
        <v>6646</v>
      </c>
      <c r="Z459" s="3" t="s">
        <v>4112</v>
      </c>
      <c r="AA459" s="3" t="s">
        <v>7340</v>
      </c>
    </row>
    <row r="460" customFormat="false" ht="15" hidden="false" customHeight="true" outlineLevel="0" collapsed="false">
      <c r="A460" s="3" t="s">
        <v>4190</v>
      </c>
      <c r="B460" s="3" t="n">
        <v>6</v>
      </c>
      <c r="C460" s="3" t="n">
        <v>53</v>
      </c>
      <c r="D460" s="3" t="str">
        <f aca="false">Combined!G460</f>
        <v>Middle-aged (30–64)</v>
      </c>
      <c r="E460" s="3" t="s">
        <v>45</v>
      </c>
      <c r="F460" s="3" t="s">
        <v>437</v>
      </c>
      <c r="G460" s="3" t="s">
        <v>437</v>
      </c>
      <c r="H460" s="3" t="s">
        <v>4062</v>
      </c>
      <c r="I460" s="3" t="s">
        <v>7327</v>
      </c>
      <c r="J460" s="3" t="s">
        <v>4072</v>
      </c>
      <c r="K460" s="3" t="s">
        <v>6509</v>
      </c>
      <c r="L460" s="3" t="s">
        <v>2062</v>
      </c>
      <c r="M460" s="3" t="s">
        <v>6569</v>
      </c>
      <c r="N460" s="3" t="s">
        <v>4042</v>
      </c>
      <c r="O460" s="3" t="s">
        <v>6530</v>
      </c>
      <c r="P460" s="3" t="s">
        <v>4191</v>
      </c>
      <c r="Q460" s="3" t="s">
        <v>7367</v>
      </c>
      <c r="R460" s="3" t="s">
        <v>4192</v>
      </c>
      <c r="S460" s="3" t="s">
        <v>7368</v>
      </c>
      <c r="T460" s="3" t="s">
        <v>4123</v>
      </c>
      <c r="U460" s="3" t="s">
        <v>6509</v>
      </c>
      <c r="V460" s="3"/>
      <c r="W460" s="3"/>
      <c r="X460" s="3" t="s">
        <v>4104</v>
      </c>
      <c r="Y460" s="3" t="s">
        <v>7338</v>
      </c>
      <c r="Z460" s="3" t="s">
        <v>4112</v>
      </c>
      <c r="AA460" s="3" t="s">
        <v>7340</v>
      </c>
    </row>
    <row r="461" customFormat="false" ht="15" hidden="false" customHeight="true" outlineLevel="0" collapsed="false">
      <c r="A461" s="3" t="s">
        <v>4193</v>
      </c>
      <c r="B461" s="3" t="n">
        <v>6</v>
      </c>
      <c r="C461" s="3" t="n">
        <v>23</v>
      </c>
      <c r="D461" s="3" t="str">
        <f aca="false">Combined!G461</f>
        <v>Student age (≤29)</v>
      </c>
      <c r="E461" s="3" t="s">
        <v>4194</v>
      </c>
      <c r="F461" s="3" t="s">
        <v>333</v>
      </c>
      <c r="G461" s="3" t="s">
        <v>333</v>
      </c>
      <c r="H461" s="3" t="s">
        <v>4038</v>
      </c>
      <c r="I461" s="3" t="s">
        <v>7317</v>
      </c>
      <c r="J461" s="3" t="s">
        <v>4099</v>
      </c>
      <c r="K461" s="3" t="s">
        <v>6540</v>
      </c>
      <c r="L461" s="3" t="s">
        <v>2062</v>
      </c>
      <c r="M461" s="3" t="s">
        <v>6569</v>
      </c>
      <c r="N461" s="3" t="s">
        <v>4132</v>
      </c>
      <c r="O461" s="3" t="s">
        <v>1625</v>
      </c>
      <c r="P461" s="3" t="s">
        <v>4065</v>
      </c>
      <c r="Q461" s="3" t="s">
        <v>7328</v>
      </c>
      <c r="R461" s="3" t="s">
        <v>4195</v>
      </c>
      <c r="S461" s="3" t="s">
        <v>7369</v>
      </c>
      <c r="T461" s="3" t="s">
        <v>4197</v>
      </c>
      <c r="U461" s="3" t="s">
        <v>6528</v>
      </c>
      <c r="V461" s="3"/>
      <c r="W461" s="3"/>
      <c r="X461" s="3" t="s">
        <v>4085</v>
      </c>
      <c r="Y461" s="3" t="s">
        <v>6907</v>
      </c>
      <c r="Z461" s="3" t="s">
        <v>4198</v>
      </c>
      <c r="AA461" s="3" t="s">
        <v>7370</v>
      </c>
    </row>
    <row r="462" customFormat="false" ht="15" hidden="false" customHeight="true" outlineLevel="0" collapsed="false">
      <c r="A462" s="3" t="s">
        <v>4199</v>
      </c>
      <c r="B462" s="3" t="n">
        <v>6</v>
      </c>
      <c r="C462" s="3" t="n">
        <v>19</v>
      </c>
      <c r="D462" s="3" t="str">
        <f aca="false">Combined!G462</f>
        <v>Student age (≤29)</v>
      </c>
      <c r="E462" s="3" t="s">
        <v>45</v>
      </c>
      <c r="F462" s="3" t="s">
        <v>437</v>
      </c>
      <c r="G462" s="3" t="s">
        <v>437</v>
      </c>
      <c r="H462" s="3" t="s">
        <v>4062</v>
      </c>
      <c r="I462" s="3" t="s">
        <v>7327</v>
      </c>
      <c r="J462" s="3" t="s">
        <v>4063</v>
      </c>
      <c r="K462" s="3" t="s">
        <v>6548</v>
      </c>
      <c r="L462" s="3" t="s">
        <v>4052</v>
      </c>
      <c r="M462" s="3" t="s">
        <v>7323</v>
      </c>
      <c r="N462" s="3" t="s">
        <v>4042</v>
      </c>
      <c r="O462" s="3" t="s">
        <v>6530</v>
      </c>
      <c r="P462" s="3" t="s">
        <v>4200</v>
      </c>
      <c r="Q462" s="3" t="s">
        <v>7371</v>
      </c>
      <c r="R462" s="3" t="s">
        <v>4133</v>
      </c>
      <c r="S462" s="3" t="s">
        <v>7333</v>
      </c>
      <c r="T462" s="3" t="s">
        <v>4123</v>
      </c>
      <c r="U462" s="3" t="s">
        <v>6509</v>
      </c>
      <c r="V462" s="3"/>
      <c r="W462" s="3"/>
      <c r="X462" s="3" t="s">
        <v>4085</v>
      </c>
      <c r="Y462" s="3" t="s">
        <v>6907</v>
      </c>
      <c r="Z462" s="3" t="s">
        <v>4086</v>
      </c>
      <c r="AA462" s="3" t="s">
        <v>7326</v>
      </c>
    </row>
    <row r="463" customFormat="false" ht="15" hidden="false" customHeight="true" outlineLevel="0" collapsed="false">
      <c r="A463" s="3" t="s">
        <v>4201</v>
      </c>
      <c r="B463" s="3" t="n">
        <v>6</v>
      </c>
      <c r="C463" s="3" t="n">
        <v>23</v>
      </c>
      <c r="D463" s="3" t="str">
        <f aca="false">Combined!G463</f>
        <v>Student age (≤29)</v>
      </c>
      <c r="E463" s="3" t="s">
        <v>45</v>
      </c>
      <c r="F463" s="3" t="s">
        <v>437</v>
      </c>
      <c r="G463" s="3" t="s">
        <v>437</v>
      </c>
      <c r="H463" s="3" t="s">
        <v>4038</v>
      </c>
      <c r="I463" s="3" t="s">
        <v>7317</v>
      </c>
      <c r="J463" s="3" t="s">
        <v>4099</v>
      </c>
      <c r="K463" s="3" t="s">
        <v>6540</v>
      </c>
      <c r="L463" s="3" t="s">
        <v>4099</v>
      </c>
      <c r="M463" s="3" t="s">
        <v>6540</v>
      </c>
      <c r="N463" s="3" t="s">
        <v>4091</v>
      </c>
      <c r="O463" s="3" t="s">
        <v>59</v>
      </c>
      <c r="P463" s="3" t="s">
        <v>4202</v>
      </c>
      <c r="Q463" s="3" t="s">
        <v>6730</v>
      </c>
      <c r="R463" s="3" t="s">
        <v>4203</v>
      </c>
      <c r="S463" s="3" t="s">
        <v>6857</v>
      </c>
      <c r="T463" s="3" t="s">
        <v>4117</v>
      </c>
      <c r="U463" s="3" t="s">
        <v>7343</v>
      </c>
      <c r="V463" s="3"/>
      <c r="W463" s="3"/>
      <c r="X463" s="3" t="s">
        <v>4085</v>
      </c>
      <c r="Y463" s="3" t="s">
        <v>6907</v>
      </c>
      <c r="Z463" s="3" t="s">
        <v>4205</v>
      </c>
      <c r="AA463" s="3" t="s">
        <v>7364</v>
      </c>
    </row>
    <row r="464" customFormat="false" ht="15" hidden="false" customHeight="true" outlineLevel="0" collapsed="false">
      <c r="A464" s="3" t="s">
        <v>4206</v>
      </c>
      <c r="B464" s="3" t="n">
        <v>6</v>
      </c>
      <c r="C464" s="3" t="n">
        <v>22</v>
      </c>
      <c r="D464" s="3" t="str">
        <f aca="false">Combined!G464</f>
        <v>Student age (≤29)</v>
      </c>
      <c r="E464" s="3" t="s">
        <v>45</v>
      </c>
      <c r="F464" s="3" t="s">
        <v>437</v>
      </c>
      <c r="G464" s="3" t="s">
        <v>437</v>
      </c>
      <c r="H464" s="3" t="s">
        <v>4062</v>
      </c>
      <c r="I464" s="3" t="s">
        <v>7327</v>
      </c>
      <c r="J464" s="3" t="s">
        <v>4080</v>
      </c>
      <c r="K464" s="3" t="s">
        <v>6584</v>
      </c>
      <c r="L464" s="3" t="s">
        <v>4131</v>
      </c>
      <c r="M464" s="3" t="s">
        <v>7318</v>
      </c>
      <c r="N464" s="3" t="s">
        <v>4054</v>
      </c>
      <c r="O464" s="3" t="s">
        <v>6517</v>
      </c>
      <c r="P464" s="3" t="s">
        <v>4208</v>
      </c>
      <c r="Q464" s="3" t="s">
        <v>6922</v>
      </c>
      <c r="R464" s="3" t="s">
        <v>4209</v>
      </c>
      <c r="S464" s="3" t="s">
        <v>7079</v>
      </c>
      <c r="T464" s="3" t="s">
        <v>4170</v>
      </c>
      <c r="U464" s="3" t="s">
        <v>7320</v>
      </c>
      <c r="V464" s="3"/>
      <c r="W464" s="3"/>
      <c r="X464" s="3" t="s">
        <v>4059</v>
      </c>
      <c r="Y464" s="3" t="s">
        <v>6646</v>
      </c>
      <c r="Z464" s="3" t="s">
        <v>4210</v>
      </c>
      <c r="AA464" s="3" t="s">
        <v>7372</v>
      </c>
    </row>
    <row r="465" customFormat="false" ht="15" hidden="false" customHeight="true" outlineLevel="0" collapsed="false">
      <c r="A465" s="3" t="s">
        <v>4211</v>
      </c>
      <c r="B465" s="3" t="n">
        <v>6</v>
      </c>
      <c r="C465" s="3" t="n">
        <v>19</v>
      </c>
      <c r="D465" s="3" t="str">
        <f aca="false">Combined!G465</f>
        <v>Student age (≤29)</v>
      </c>
      <c r="E465" s="3" t="s">
        <v>45</v>
      </c>
      <c r="F465" s="3" t="s">
        <v>437</v>
      </c>
      <c r="G465" s="3" t="s">
        <v>437</v>
      </c>
      <c r="H465" s="3" t="s">
        <v>4062</v>
      </c>
      <c r="I465" s="3" t="s">
        <v>7327</v>
      </c>
      <c r="J465" s="3" t="s">
        <v>4063</v>
      </c>
      <c r="K465" s="3" t="s">
        <v>6548</v>
      </c>
      <c r="L465" s="3" t="s">
        <v>2062</v>
      </c>
      <c r="M465" s="3" t="s">
        <v>6569</v>
      </c>
      <c r="N465" s="3" t="s">
        <v>4042</v>
      </c>
      <c r="O465" s="3" t="s">
        <v>6530</v>
      </c>
      <c r="P465" s="3" t="s">
        <v>4212</v>
      </c>
      <c r="Q465" s="3" t="s">
        <v>6914</v>
      </c>
      <c r="R465" s="3" t="s">
        <v>4213</v>
      </c>
      <c r="S465" s="3" t="s">
        <v>6949</v>
      </c>
      <c r="T465" s="3" t="s">
        <v>4095</v>
      </c>
      <c r="U465" s="3" t="s">
        <v>7334</v>
      </c>
      <c r="V465" s="3"/>
      <c r="W465" s="3"/>
      <c r="X465" s="3" t="s">
        <v>4104</v>
      </c>
      <c r="Y465" s="3" t="s">
        <v>7338</v>
      </c>
      <c r="Z465" s="3" t="s">
        <v>4112</v>
      </c>
      <c r="AA465" s="3" t="s">
        <v>7340</v>
      </c>
    </row>
    <row r="466" customFormat="false" ht="15" hidden="false" customHeight="true" outlineLevel="0" collapsed="false">
      <c r="A466" s="3" t="s">
        <v>4214</v>
      </c>
      <c r="B466" s="3" t="n">
        <v>6</v>
      </c>
      <c r="C466" s="3" t="n">
        <v>26</v>
      </c>
      <c r="D466" s="3" t="str">
        <f aca="false">Combined!G466</f>
        <v>Student age (≤29)</v>
      </c>
      <c r="E466" s="3" t="s">
        <v>45</v>
      </c>
      <c r="F466" s="3" t="s">
        <v>437</v>
      </c>
      <c r="G466" s="3" t="s">
        <v>437</v>
      </c>
      <c r="H466" s="3" t="s">
        <v>4062</v>
      </c>
      <c r="I466" s="3" t="s">
        <v>7327</v>
      </c>
      <c r="J466" s="3" t="s">
        <v>4099</v>
      </c>
      <c r="K466" s="3" t="s">
        <v>6540</v>
      </c>
      <c r="L466" s="3" t="s">
        <v>4040</v>
      </c>
      <c r="M466" s="3" t="s">
        <v>6509</v>
      </c>
      <c r="N466" s="3" t="s">
        <v>4042</v>
      </c>
      <c r="O466" s="3" t="s">
        <v>6530</v>
      </c>
      <c r="P466" s="3" t="s">
        <v>4202</v>
      </c>
      <c r="Q466" s="3" t="s">
        <v>6730</v>
      </c>
      <c r="R466" s="3" t="s">
        <v>4215</v>
      </c>
      <c r="S466" s="3" t="s">
        <v>6857</v>
      </c>
      <c r="T466" s="3" t="s">
        <v>4216</v>
      </c>
      <c r="U466" s="3" t="s">
        <v>6693</v>
      </c>
      <c r="V466" s="3"/>
      <c r="W466" s="3"/>
      <c r="X466" s="3" t="s">
        <v>4085</v>
      </c>
      <c r="Y466" s="3" t="s">
        <v>6907</v>
      </c>
      <c r="Z466" s="3" t="s">
        <v>2242</v>
      </c>
      <c r="AA466" s="3" t="s">
        <v>6538</v>
      </c>
    </row>
    <row r="467" customFormat="false" ht="15" hidden="false" customHeight="true" outlineLevel="0" collapsed="false">
      <c r="A467" s="3" t="s">
        <v>4217</v>
      </c>
      <c r="B467" s="3" t="n">
        <v>6</v>
      </c>
      <c r="C467" s="3" t="n">
        <v>79</v>
      </c>
      <c r="D467" s="3" t="str">
        <f aca="false">Combined!G467</f>
        <v>Elderly (65+)</v>
      </c>
      <c r="E467" s="3" t="s">
        <v>45</v>
      </c>
      <c r="F467" s="3" t="s">
        <v>437</v>
      </c>
      <c r="G467" s="3" t="s">
        <v>437</v>
      </c>
      <c r="H467" s="3" t="s">
        <v>4218</v>
      </c>
      <c r="I467" s="3" t="s">
        <v>6603</v>
      </c>
      <c r="J467" s="3" t="s">
        <v>4099</v>
      </c>
      <c r="K467" s="3" t="s">
        <v>6540</v>
      </c>
      <c r="L467" s="3" t="s">
        <v>4099</v>
      </c>
      <c r="M467" s="3" t="s">
        <v>6540</v>
      </c>
      <c r="N467" s="3" t="s">
        <v>4091</v>
      </c>
      <c r="O467" s="3" t="s">
        <v>59</v>
      </c>
      <c r="P467" s="3" t="s">
        <v>4220</v>
      </c>
      <c r="Q467" s="3" t="s">
        <v>7000</v>
      </c>
      <c r="R467" s="3" t="s">
        <v>4221</v>
      </c>
      <c r="S467" s="3" t="s">
        <v>6709</v>
      </c>
      <c r="T467" s="3" t="s">
        <v>4046</v>
      </c>
      <c r="U467" s="3" t="s">
        <v>7320</v>
      </c>
      <c r="V467" s="3"/>
      <c r="W467" s="3"/>
      <c r="X467" s="3" t="s">
        <v>4059</v>
      </c>
      <c r="Y467" s="3" t="s">
        <v>6646</v>
      </c>
      <c r="Z467" s="3" t="s">
        <v>4223</v>
      </c>
      <c r="AA467" s="3" t="s">
        <v>7373</v>
      </c>
    </row>
    <row r="468" customFormat="false" ht="15" hidden="false" customHeight="true" outlineLevel="0" collapsed="false">
      <c r="A468" s="3" t="s">
        <v>4224</v>
      </c>
      <c r="B468" s="3" t="n">
        <v>6</v>
      </c>
      <c r="C468" s="3" t="n">
        <v>21</v>
      </c>
      <c r="D468" s="3" t="str">
        <f aca="false">Combined!G468</f>
        <v>Student age (≤29)</v>
      </c>
      <c r="E468" s="3" t="s">
        <v>45</v>
      </c>
      <c r="F468" s="3" t="s">
        <v>437</v>
      </c>
      <c r="G468" s="3" t="s">
        <v>437</v>
      </c>
      <c r="H468" s="3" t="s">
        <v>4038</v>
      </c>
      <c r="I468" s="3" t="s">
        <v>7317</v>
      </c>
      <c r="J468" s="3" t="s">
        <v>4039</v>
      </c>
      <c r="K468" s="3" t="s">
        <v>7318</v>
      </c>
      <c r="L468" s="3" t="s">
        <v>4040</v>
      </c>
      <c r="M468" s="3" t="s">
        <v>6509</v>
      </c>
      <c r="N468" s="3" t="s">
        <v>4042</v>
      </c>
      <c r="O468" s="3" t="s">
        <v>6530</v>
      </c>
      <c r="P468" s="3" t="s">
        <v>4043</v>
      </c>
      <c r="Q468" s="3" t="s">
        <v>6711</v>
      </c>
      <c r="R468" s="3" t="s">
        <v>4225</v>
      </c>
      <c r="S468" s="3" t="s">
        <v>7374</v>
      </c>
      <c r="T468" s="3" t="s">
        <v>4134</v>
      </c>
      <c r="U468" s="3" t="s">
        <v>7348</v>
      </c>
      <c r="V468" s="3"/>
      <c r="W468" s="3"/>
      <c r="X468" s="3" t="s">
        <v>4111</v>
      </c>
      <c r="Y468" s="3" t="s">
        <v>6551</v>
      </c>
      <c r="Z468" s="3" t="s">
        <v>4227</v>
      </c>
      <c r="AA468" s="3" t="s">
        <v>7375</v>
      </c>
    </row>
    <row r="469" customFormat="false" ht="15" hidden="false" customHeight="true" outlineLevel="0" collapsed="false">
      <c r="A469" s="3" t="s">
        <v>4228</v>
      </c>
      <c r="B469" s="3" t="n">
        <v>6</v>
      </c>
      <c r="C469" s="3" t="n">
        <v>26</v>
      </c>
      <c r="D469" s="3" t="str">
        <f aca="false">Combined!G469</f>
        <v>Student age (≤29)</v>
      </c>
      <c r="E469" s="3" t="s">
        <v>83</v>
      </c>
      <c r="F469" s="3" t="s">
        <v>437</v>
      </c>
      <c r="G469" s="3" t="s">
        <v>437</v>
      </c>
      <c r="H469" s="3" t="s">
        <v>4038</v>
      </c>
      <c r="I469" s="3" t="s">
        <v>7317</v>
      </c>
      <c r="J469" s="3" t="s">
        <v>4072</v>
      </c>
      <c r="K469" s="3" t="s">
        <v>6509</v>
      </c>
      <c r="L469" s="3" t="s">
        <v>4131</v>
      </c>
      <c r="M469" s="3" t="s">
        <v>7318</v>
      </c>
      <c r="N469" s="3" t="s">
        <v>4054</v>
      </c>
      <c r="O469" s="3" t="s">
        <v>6517</v>
      </c>
      <c r="P469" s="3" t="s">
        <v>4229</v>
      </c>
      <c r="Q469" s="3" t="s">
        <v>6634</v>
      </c>
      <c r="R469" s="3" t="s">
        <v>4093</v>
      </c>
      <c r="S469" s="3" t="s">
        <v>7333</v>
      </c>
      <c r="T469" s="3" t="s">
        <v>4230</v>
      </c>
      <c r="U469" s="3" t="s">
        <v>7376</v>
      </c>
      <c r="V469" s="3"/>
      <c r="W469" s="3"/>
      <c r="X469" s="3" t="s">
        <v>4128</v>
      </c>
      <c r="Y469" s="3" t="s">
        <v>7346</v>
      </c>
      <c r="Z469" s="3" t="s">
        <v>4231</v>
      </c>
      <c r="AA469" s="3" t="s">
        <v>7377</v>
      </c>
    </row>
    <row r="470" customFormat="false" ht="15" hidden="false" customHeight="true" outlineLevel="0" collapsed="false">
      <c r="A470" s="3" t="s">
        <v>4232</v>
      </c>
      <c r="B470" s="3" t="n">
        <v>6</v>
      </c>
      <c r="C470" s="3" t="n">
        <v>85</v>
      </c>
      <c r="D470" s="3" t="str">
        <f aca="false">Combined!G470</f>
        <v>Elderly (65+)</v>
      </c>
      <c r="E470" s="3" t="s">
        <v>83</v>
      </c>
      <c r="F470" s="3" t="s">
        <v>437</v>
      </c>
      <c r="G470" s="3" t="s">
        <v>437</v>
      </c>
      <c r="H470" s="3" t="s">
        <v>4218</v>
      </c>
      <c r="I470" s="3" t="s">
        <v>6603</v>
      </c>
      <c r="J470" s="3" t="s">
        <v>4099</v>
      </c>
      <c r="K470" s="3" t="s">
        <v>6540</v>
      </c>
      <c r="L470" s="3" t="s">
        <v>4099</v>
      </c>
      <c r="M470" s="3" t="s">
        <v>6540</v>
      </c>
      <c r="N470" s="3" t="s">
        <v>4132</v>
      </c>
      <c r="O470" s="3" t="s">
        <v>1625</v>
      </c>
      <c r="P470" s="3" t="s">
        <v>4065</v>
      </c>
      <c r="Q470" s="3" t="s">
        <v>7328</v>
      </c>
      <c r="R470" s="3" t="s">
        <v>4233</v>
      </c>
      <c r="S470" s="3" t="s">
        <v>7378</v>
      </c>
      <c r="T470" s="3" t="s">
        <v>4046</v>
      </c>
      <c r="U470" s="3" t="s">
        <v>7320</v>
      </c>
      <c r="V470" s="3"/>
      <c r="W470" s="3"/>
      <c r="X470" s="3" t="s">
        <v>4128</v>
      </c>
      <c r="Y470" s="3" t="s">
        <v>7346</v>
      </c>
      <c r="Z470" s="3" t="s">
        <v>4223</v>
      </c>
      <c r="AA470" s="3" t="s">
        <v>7373</v>
      </c>
    </row>
    <row r="471" customFormat="false" ht="15" hidden="false" customHeight="true" outlineLevel="0" collapsed="false">
      <c r="A471" s="3" t="s">
        <v>4235</v>
      </c>
      <c r="B471" s="3" t="n">
        <v>6</v>
      </c>
      <c r="C471" s="3" t="n">
        <v>24</v>
      </c>
      <c r="D471" s="3" t="str">
        <f aca="false">Combined!G471</f>
        <v>Student age (≤29)</v>
      </c>
      <c r="E471" s="3" t="s">
        <v>45</v>
      </c>
      <c r="F471" s="3" t="s">
        <v>437</v>
      </c>
      <c r="G471" s="3" t="s">
        <v>437</v>
      </c>
      <c r="H471" s="3" t="s">
        <v>4236</v>
      </c>
      <c r="I471" s="3" t="s">
        <v>6803</v>
      </c>
      <c r="J471" s="3" t="s">
        <v>4080</v>
      </c>
      <c r="K471" s="3" t="s">
        <v>6584</v>
      </c>
      <c r="L471" s="3" t="s">
        <v>4052</v>
      </c>
      <c r="M471" s="3" t="s">
        <v>7323</v>
      </c>
      <c r="N471" s="3" t="s">
        <v>4054</v>
      </c>
      <c r="O471" s="3" t="s">
        <v>6517</v>
      </c>
      <c r="P471" s="3" t="s">
        <v>4173</v>
      </c>
      <c r="Q471" s="3" t="s">
        <v>6932</v>
      </c>
      <c r="R471" s="3" t="s">
        <v>4237</v>
      </c>
      <c r="S471" s="3" t="s">
        <v>7282</v>
      </c>
      <c r="T471" s="3" t="s">
        <v>4216</v>
      </c>
      <c r="U471" s="3" t="s">
        <v>6693</v>
      </c>
      <c r="V471" s="3"/>
      <c r="W471" s="3"/>
      <c r="X471" s="3" t="s">
        <v>4085</v>
      </c>
      <c r="Y471" s="3" t="s">
        <v>6907</v>
      </c>
      <c r="Z471" s="3" t="s">
        <v>4239</v>
      </c>
      <c r="AA471" s="3" t="s">
        <v>7379</v>
      </c>
    </row>
    <row r="472" customFormat="false" ht="15" hidden="false" customHeight="true" outlineLevel="0" collapsed="false">
      <c r="A472" s="3" t="s">
        <v>4240</v>
      </c>
      <c r="B472" s="3" t="n">
        <v>6</v>
      </c>
      <c r="C472" s="3" t="n">
        <v>19</v>
      </c>
      <c r="D472" s="3" t="str">
        <f aca="false">Combined!G472</f>
        <v>Student age (≤29)</v>
      </c>
      <c r="E472" s="3" t="s">
        <v>45</v>
      </c>
      <c r="F472" s="3" t="s">
        <v>437</v>
      </c>
      <c r="G472" s="3" t="s">
        <v>437</v>
      </c>
      <c r="H472" s="3" t="s">
        <v>4062</v>
      </c>
      <c r="I472" s="3" t="s">
        <v>7327</v>
      </c>
      <c r="J472" s="3" t="s">
        <v>4039</v>
      </c>
      <c r="K472" s="3" t="s">
        <v>7318</v>
      </c>
      <c r="L472" s="3" t="s">
        <v>2062</v>
      </c>
      <c r="M472" s="3" t="s">
        <v>6569</v>
      </c>
      <c r="N472" s="3" t="s">
        <v>4054</v>
      </c>
      <c r="O472" s="3" t="s">
        <v>6517</v>
      </c>
      <c r="P472" s="3" t="s">
        <v>4065</v>
      </c>
      <c r="Q472" s="3" t="s">
        <v>7328</v>
      </c>
      <c r="R472" s="3" t="s">
        <v>4066</v>
      </c>
      <c r="S472" s="3" t="s">
        <v>6543</v>
      </c>
      <c r="T472" s="3" t="s">
        <v>4046</v>
      </c>
      <c r="U472" s="3" t="s">
        <v>7320</v>
      </c>
      <c r="V472" s="3"/>
      <c r="W472" s="3"/>
      <c r="X472" s="3" t="s">
        <v>4164</v>
      </c>
      <c r="Y472" s="3" t="s">
        <v>6651</v>
      </c>
      <c r="Z472" s="3" t="s">
        <v>2242</v>
      </c>
      <c r="AA472" s="3" t="s">
        <v>6538</v>
      </c>
    </row>
    <row r="473" customFormat="false" ht="15" hidden="false" customHeight="true" outlineLevel="0" collapsed="false">
      <c r="A473" s="3" t="s">
        <v>4241</v>
      </c>
      <c r="B473" s="3" t="n">
        <v>6</v>
      </c>
      <c r="C473" s="3" t="n">
        <v>24</v>
      </c>
      <c r="D473" s="3" t="str">
        <f aca="false">Combined!G473</f>
        <v>Student age (≤29)</v>
      </c>
      <c r="E473" s="3" t="s">
        <v>83</v>
      </c>
      <c r="F473" s="3" t="s">
        <v>437</v>
      </c>
      <c r="G473" s="3" t="s">
        <v>437</v>
      </c>
      <c r="H473" s="3" t="s">
        <v>4218</v>
      </c>
      <c r="I473" s="3" t="s">
        <v>6603</v>
      </c>
      <c r="J473" s="3" t="s">
        <v>4063</v>
      </c>
      <c r="K473" s="3" t="s">
        <v>6548</v>
      </c>
      <c r="L473" s="3" t="s">
        <v>2062</v>
      </c>
      <c r="M473" s="3" t="s">
        <v>6569</v>
      </c>
      <c r="N473" s="3" t="s">
        <v>4054</v>
      </c>
      <c r="O473" s="3" t="s">
        <v>6517</v>
      </c>
      <c r="P473" s="3" t="s">
        <v>4200</v>
      </c>
      <c r="Q473" s="3" t="s">
        <v>7371</v>
      </c>
      <c r="R473" s="3" t="s">
        <v>4243</v>
      </c>
      <c r="S473" s="3" t="s">
        <v>7319</v>
      </c>
      <c r="T473" s="3" t="s">
        <v>4134</v>
      </c>
      <c r="U473" s="3" t="s">
        <v>7348</v>
      </c>
      <c r="V473" s="3"/>
      <c r="W473" s="3"/>
      <c r="X473" s="3" t="s">
        <v>4164</v>
      </c>
      <c r="Y473" s="3" t="s">
        <v>6651</v>
      </c>
      <c r="Z473" s="3" t="s">
        <v>2242</v>
      </c>
      <c r="AA473" s="3" t="s">
        <v>6538</v>
      </c>
    </row>
    <row r="474" customFormat="false" ht="15" hidden="false" customHeight="true" outlineLevel="0" collapsed="false">
      <c r="A474" s="3" t="s">
        <v>4245</v>
      </c>
      <c r="B474" s="3" t="n">
        <v>6</v>
      </c>
      <c r="C474" s="3" t="n">
        <v>22</v>
      </c>
      <c r="D474" s="3" t="str">
        <f aca="false">Combined!G474</f>
        <v>Student age (≤29)</v>
      </c>
      <c r="E474" s="3" t="s">
        <v>45</v>
      </c>
      <c r="F474" s="3" t="s">
        <v>437</v>
      </c>
      <c r="G474" s="3" t="s">
        <v>3277</v>
      </c>
      <c r="H474" s="3" t="s">
        <v>4062</v>
      </c>
      <c r="I474" s="3" t="s">
        <v>7327</v>
      </c>
      <c r="J474" s="3" t="s">
        <v>4072</v>
      </c>
      <c r="K474" s="3" t="s">
        <v>6509</v>
      </c>
      <c r="L474" s="3" t="s">
        <v>2062</v>
      </c>
      <c r="M474" s="3" t="s">
        <v>6569</v>
      </c>
      <c r="N474" s="3" t="s">
        <v>4054</v>
      </c>
      <c r="O474" s="3" t="s">
        <v>6517</v>
      </c>
      <c r="P474" s="3" t="s">
        <v>4161</v>
      </c>
      <c r="Q474" s="3" t="s">
        <v>6830</v>
      </c>
      <c r="R474" s="3" t="s">
        <v>4246</v>
      </c>
      <c r="S474" s="3" t="s">
        <v>7380</v>
      </c>
      <c r="T474" s="3" t="s">
        <v>4247</v>
      </c>
      <c r="U474" s="3" t="s">
        <v>7381</v>
      </c>
      <c r="V474" s="3"/>
      <c r="W474" s="3"/>
      <c r="X474" s="3" t="s">
        <v>4059</v>
      </c>
      <c r="Y474" s="3" t="s">
        <v>6646</v>
      </c>
      <c r="Z474" s="3" t="s">
        <v>4175</v>
      </c>
      <c r="AA474" s="3" t="s">
        <v>7362</v>
      </c>
    </row>
    <row r="475" customFormat="false" ht="15" hidden="false" customHeight="true" outlineLevel="0" collapsed="false">
      <c r="A475" s="3" t="s">
        <v>4248</v>
      </c>
      <c r="B475" s="3" t="n">
        <v>6</v>
      </c>
      <c r="C475" s="3" t="n">
        <v>23</v>
      </c>
      <c r="D475" s="3" t="str">
        <f aca="false">Combined!G475</f>
        <v>Student age (≤29)</v>
      </c>
      <c r="E475" s="3" t="s">
        <v>45</v>
      </c>
      <c r="F475" s="3" t="s">
        <v>437</v>
      </c>
      <c r="G475" s="3" t="s">
        <v>437</v>
      </c>
      <c r="H475" s="3" t="s">
        <v>4062</v>
      </c>
      <c r="I475" s="3" t="s">
        <v>7327</v>
      </c>
      <c r="J475" s="3" t="s">
        <v>4039</v>
      </c>
      <c r="K475" s="3" t="s">
        <v>7318</v>
      </c>
      <c r="L475" s="3" t="s">
        <v>4040</v>
      </c>
      <c r="M475" s="3" t="s">
        <v>6509</v>
      </c>
      <c r="N475" s="3" t="s">
        <v>4054</v>
      </c>
      <c r="O475" s="3" t="s">
        <v>6517</v>
      </c>
      <c r="P475" s="3" t="s">
        <v>4055</v>
      </c>
      <c r="Q475" s="3" t="s">
        <v>6893</v>
      </c>
      <c r="R475" s="3" t="s">
        <v>4249</v>
      </c>
      <c r="S475" s="3" t="s">
        <v>6775</v>
      </c>
      <c r="T475" s="3" t="s">
        <v>4095</v>
      </c>
      <c r="U475" s="3" t="s">
        <v>7334</v>
      </c>
      <c r="V475" s="3"/>
      <c r="W475" s="3"/>
      <c r="X475" s="3" t="s">
        <v>4085</v>
      </c>
      <c r="Y475" s="3" t="s">
        <v>6907</v>
      </c>
      <c r="Z475" s="3" t="s">
        <v>4178</v>
      </c>
      <c r="AA475" s="3" t="s">
        <v>7364</v>
      </c>
    </row>
    <row r="476" customFormat="false" ht="15" hidden="false" customHeight="true" outlineLevel="0" collapsed="false">
      <c r="A476" s="3" t="s">
        <v>4250</v>
      </c>
      <c r="B476" s="3" t="n">
        <v>6</v>
      </c>
      <c r="C476" s="3" t="n">
        <v>45</v>
      </c>
      <c r="D476" s="3" t="str">
        <f aca="false">Combined!G476</f>
        <v>Middle-aged (30–64)</v>
      </c>
      <c r="E476" s="3" t="s">
        <v>45</v>
      </c>
      <c r="F476" s="3" t="s">
        <v>437</v>
      </c>
      <c r="G476" s="3" t="s">
        <v>437</v>
      </c>
      <c r="H476" s="3" t="s">
        <v>4038</v>
      </c>
      <c r="I476" s="3" t="s">
        <v>7317</v>
      </c>
      <c r="J476" s="3" t="s">
        <v>4080</v>
      </c>
      <c r="K476" s="3" t="s">
        <v>6584</v>
      </c>
      <c r="L476" s="3" t="s">
        <v>4251</v>
      </c>
      <c r="M476" s="3" t="s">
        <v>7322</v>
      </c>
      <c r="N476" s="3" t="s">
        <v>4042</v>
      </c>
      <c r="O476" s="3" t="s">
        <v>6530</v>
      </c>
      <c r="P476" s="3" t="s">
        <v>4055</v>
      </c>
      <c r="Q476" s="3" t="s">
        <v>6893</v>
      </c>
      <c r="R476" s="3" t="s">
        <v>4252</v>
      </c>
      <c r="S476" s="3" t="s">
        <v>7332</v>
      </c>
      <c r="T476" s="3" t="s">
        <v>4046</v>
      </c>
      <c r="U476" s="3" t="s">
        <v>7320</v>
      </c>
      <c r="V476" s="3"/>
      <c r="W476" s="3"/>
      <c r="X476" s="3" t="s">
        <v>4085</v>
      </c>
      <c r="Y476" s="3" t="s">
        <v>6907</v>
      </c>
      <c r="Z476" s="3" t="s">
        <v>2242</v>
      </c>
      <c r="AA476" s="3" t="s">
        <v>6538</v>
      </c>
    </row>
    <row r="477" customFormat="false" ht="15" hidden="false" customHeight="true" outlineLevel="0" collapsed="false">
      <c r="A477" s="3" t="s">
        <v>4253</v>
      </c>
      <c r="B477" s="3" t="n">
        <v>6</v>
      </c>
      <c r="C477" s="3" t="n">
        <v>23</v>
      </c>
      <c r="D477" s="3" t="str">
        <f aca="false">Combined!G477</f>
        <v>Student age (≤29)</v>
      </c>
      <c r="E477" s="3" t="s">
        <v>83</v>
      </c>
      <c r="F477" s="3" t="s">
        <v>437</v>
      </c>
      <c r="G477" s="3" t="s">
        <v>437</v>
      </c>
      <c r="H477" s="3" t="s">
        <v>4038</v>
      </c>
      <c r="I477" s="3" t="s">
        <v>7317</v>
      </c>
      <c r="J477" s="3" t="s">
        <v>4072</v>
      </c>
      <c r="K477" s="3" t="s">
        <v>6509</v>
      </c>
      <c r="L477" s="3" t="s">
        <v>4040</v>
      </c>
      <c r="M477" s="3" t="s">
        <v>6509</v>
      </c>
      <c r="N477" s="3" t="s">
        <v>4042</v>
      </c>
      <c r="O477" s="3" t="s">
        <v>6530</v>
      </c>
      <c r="P477" s="3" t="s">
        <v>4254</v>
      </c>
      <c r="Q477" s="3" t="s">
        <v>7084</v>
      </c>
      <c r="R477" s="3" t="s">
        <v>4255</v>
      </c>
      <c r="S477" s="3" t="s">
        <v>7337</v>
      </c>
      <c r="T477" s="3" t="s">
        <v>4084</v>
      </c>
      <c r="U477" s="3" t="s">
        <v>6601</v>
      </c>
      <c r="V477" s="3"/>
      <c r="W477" s="3"/>
      <c r="X477" s="3" t="s">
        <v>4085</v>
      </c>
      <c r="Y477" s="3" t="s">
        <v>6907</v>
      </c>
      <c r="Z477" s="3" t="s">
        <v>4256</v>
      </c>
      <c r="AA477" s="3" t="s">
        <v>7382</v>
      </c>
    </row>
    <row r="478" customFormat="false" ht="15" hidden="false" customHeight="true" outlineLevel="0" collapsed="false">
      <c r="A478" s="3" t="s">
        <v>4257</v>
      </c>
      <c r="B478" s="3" t="n">
        <v>6</v>
      </c>
      <c r="C478" s="3" t="n">
        <v>25</v>
      </c>
      <c r="D478" s="3" t="str">
        <f aca="false">Combined!G478</f>
        <v>Student age (≤29)</v>
      </c>
      <c r="E478" s="3" t="s">
        <v>45</v>
      </c>
      <c r="F478" s="3" t="s">
        <v>437</v>
      </c>
      <c r="G478" s="3" t="s">
        <v>437</v>
      </c>
      <c r="H478" s="3" t="s">
        <v>4062</v>
      </c>
      <c r="I478" s="3" t="s">
        <v>7327</v>
      </c>
      <c r="J478" s="3" t="s">
        <v>4258</v>
      </c>
      <c r="K478" s="3" t="s">
        <v>7353</v>
      </c>
      <c r="L478" s="3" t="s">
        <v>2062</v>
      </c>
      <c r="M478" s="3" t="s">
        <v>6569</v>
      </c>
      <c r="N478" s="3" t="s">
        <v>4042</v>
      </c>
      <c r="O478" s="3" t="s">
        <v>6530</v>
      </c>
      <c r="P478" s="3" t="s">
        <v>4055</v>
      </c>
      <c r="Q478" s="3" t="s">
        <v>6893</v>
      </c>
      <c r="R478" s="3" t="s">
        <v>4259</v>
      </c>
      <c r="S478" s="3" t="s">
        <v>6857</v>
      </c>
      <c r="T478" s="3" t="s">
        <v>4261</v>
      </c>
      <c r="U478" s="3" t="s">
        <v>6636</v>
      </c>
      <c r="V478" s="3"/>
      <c r="W478" s="3"/>
      <c r="X478" s="3" t="s">
        <v>4059</v>
      </c>
      <c r="Y478" s="3" t="s">
        <v>6646</v>
      </c>
      <c r="Z478" s="3" t="s">
        <v>4262</v>
      </c>
      <c r="AA478" s="3" t="s">
        <v>7383</v>
      </c>
    </row>
    <row r="479" customFormat="false" ht="15" hidden="false" customHeight="true" outlineLevel="0" collapsed="false">
      <c r="A479" s="3" t="s">
        <v>4263</v>
      </c>
      <c r="B479" s="3" t="n">
        <v>6</v>
      </c>
      <c r="C479" s="3" t="n">
        <v>32</v>
      </c>
      <c r="D479" s="3" t="str">
        <f aca="false">Combined!G479</f>
        <v>Middle-aged (30–64)</v>
      </c>
      <c r="E479" s="3" t="s">
        <v>1447</v>
      </c>
      <c r="F479" s="3" t="s">
        <v>437</v>
      </c>
      <c r="G479" s="3" t="s">
        <v>437</v>
      </c>
      <c r="H479" s="3" t="s">
        <v>4062</v>
      </c>
      <c r="I479" s="3" t="s">
        <v>7327</v>
      </c>
      <c r="J479" s="3" t="s">
        <v>4039</v>
      </c>
      <c r="K479" s="3" t="s">
        <v>7318</v>
      </c>
      <c r="L479" s="3" t="s">
        <v>4131</v>
      </c>
      <c r="M479" s="3" t="s">
        <v>7318</v>
      </c>
      <c r="N479" s="3" t="s">
        <v>4265</v>
      </c>
      <c r="O479" s="3" t="s">
        <v>6517</v>
      </c>
      <c r="P479" s="3" t="s">
        <v>4065</v>
      </c>
      <c r="Q479" s="3" t="s">
        <v>7328</v>
      </c>
      <c r="R479" s="3" t="s">
        <v>4066</v>
      </c>
      <c r="S479" s="3" t="s">
        <v>6543</v>
      </c>
      <c r="T479" s="3" t="s">
        <v>4084</v>
      </c>
      <c r="U479" s="3" t="s">
        <v>6601</v>
      </c>
      <c r="V479" s="3"/>
      <c r="W479" s="3"/>
      <c r="X479" s="3" t="s">
        <v>4085</v>
      </c>
      <c r="Y479" s="3" t="s">
        <v>6907</v>
      </c>
      <c r="Z479" s="3" t="s">
        <v>4266</v>
      </c>
      <c r="AA479" s="3" t="s">
        <v>6791</v>
      </c>
    </row>
    <row r="480" customFormat="false" ht="15" hidden="false" customHeight="true" outlineLevel="0" collapsed="false">
      <c r="A480" s="3" t="s">
        <v>4267</v>
      </c>
      <c r="B480" s="3" t="n">
        <v>6</v>
      </c>
      <c r="C480" s="3" t="n">
        <v>53</v>
      </c>
      <c r="D480" s="3" t="str">
        <f aca="false">Combined!G480</f>
        <v>Middle-aged (30–64)</v>
      </c>
      <c r="E480" s="3" t="s">
        <v>45</v>
      </c>
      <c r="F480" s="3"/>
      <c r="G480" s="3"/>
      <c r="H480" s="3" t="s">
        <v>4038</v>
      </c>
      <c r="I480" s="3" t="s">
        <v>7317</v>
      </c>
      <c r="J480" s="3" t="s">
        <v>4099</v>
      </c>
      <c r="K480" s="3" t="s">
        <v>6540</v>
      </c>
      <c r="L480" s="3" t="s">
        <v>4099</v>
      </c>
      <c r="M480" s="3" t="s">
        <v>6540</v>
      </c>
      <c r="N480" s="3" t="s">
        <v>4042</v>
      </c>
      <c r="O480" s="3" t="s">
        <v>6530</v>
      </c>
      <c r="P480" s="3" t="s">
        <v>4202</v>
      </c>
      <c r="Q480" s="3" t="s">
        <v>6730</v>
      </c>
      <c r="R480" s="3" t="s">
        <v>4093</v>
      </c>
      <c r="S480" s="3" t="s">
        <v>7333</v>
      </c>
      <c r="T480" s="3" t="s">
        <v>4117</v>
      </c>
      <c r="U480" s="3" t="s">
        <v>7343</v>
      </c>
      <c r="V480" s="3"/>
      <c r="W480" s="3"/>
      <c r="X480" s="3" t="s">
        <v>4085</v>
      </c>
      <c r="Y480" s="3" t="s">
        <v>6907</v>
      </c>
      <c r="Z480" s="3" t="s">
        <v>1112</v>
      </c>
      <c r="AA480" s="3" t="s">
        <v>6568</v>
      </c>
    </row>
    <row r="481" customFormat="false" ht="15" hidden="false" customHeight="true" outlineLevel="0" collapsed="false">
      <c r="A481" s="3" t="s">
        <v>4269</v>
      </c>
      <c r="B481" s="3" t="n">
        <v>6</v>
      </c>
      <c r="C481" s="3" t="n">
        <v>26</v>
      </c>
      <c r="D481" s="3" t="str">
        <f aca="false">Combined!G481</f>
        <v>Student age (≤29)</v>
      </c>
      <c r="E481" s="3" t="s">
        <v>45</v>
      </c>
      <c r="F481" s="3" t="s">
        <v>437</v>
      </c>
      <c r="G481" s="3" t="s">
        <v>437</v>
      </c>
      <c r="H481" s="3" t="s">
        <v>4062</v>
      </c>
      <c r="I481" s="3" t="s">
        <v>7327</v>
      </c>
      <c r="J481" s="3" t="s">
        <v>4080</v>
      </c>
      <c r="K481" s="3" t="s">
        <v>6584</v>
      </c>
      <c r="L481" s="3" t="s">
        <v>4052</v>
      </c>
      <c r="M481" s="3" t="s">
        <v>7323</v>
      </c>
      <c r="N481" s="3" t="s">
        <v>4042</v>
      </c>
      <c r="O481" s="3" t="s">
        <v>6530</v>
      </c>
      <c r="P481" s="3" t="s">
        <v>4043</v>
      </c>
      <c r="Q481" s="3" t="s">
        <v>6711</v>
      </c>
      <c r="R481" s="3" t="s">
        <v>4155</v>
      </c>
      <c r="S481" s="3" t="s">
        <v>7356</v>
      </c>
      <c r="T481" s="3" t="s">
        <v>4117</v>
      </c>
      <c r="U481" s="3" t="s">
        <v>7343</v>
      </c>
      <c r="V481" s="3"/>
      <c r="W481" s="3"/>
      <c r="X481" s="3" t="s">
        <v>4085</v>
      </c>
      <c r="Y481" s="3" t="s">
        <v>6907</v>
      </c>
      <c r="Z481" s="3" t="s">
        <v>4270</v>
      </c>
      <c r="AA481" s="3" t="s">
        <v>7384</v>
      </c>
    </row>
    <row r="482" customFormat="false" ht="15" hidden="false" customHeight="true" outlineLevel="0" collapsed="false">
      <c r="A482" s="3" t="s">
        <v>4271</v>
      </c>
      <c r="B482" s="3" t="n">
        <v>6</v>
      </c>
      <c r="C482" s="3" t="n">
        <v>23</v>
      </c>
      <c r="D482" s="3" t="str">
        <f aca="false">Combined!G482</f>
        <v>Student age (≤29)</v>
      </c>
      <c r="E482" s="3" t="s">
        <v>45</v>
      </c>
      <c r="F482" s="3" t="s">
        <v>437</v>
      </c>
      <c r="G482" s="3" t="s">
        <v>437</v>
      </c>
      <c r="H482" s="3" t="s">
        <v>4038</v>
      </c>
      <c r="I482" s="3" t="s">
        <v>7317</v>
      </c>
      <c r="J482" s="3" t="s">
        <v>4099</v>
      </c>
      <c r="K482" s="3" t="s">
        <v>6540</v>
      </c>
      <c r="L482" s="3" t="s">
        <v>4136</v>
      </c>
      <c r="M482" s="3" t="s">
        <v>6520</v>
      </c>
      <c r="N482" s="3" t="s">
        <v>4042</v>
      </c>
      <c r="O482" s="3" t="s">
        <v>6530</v>
      </c>
      <c r="P482" s="3" t="s">
        <v>4173</v>
      </c>
      <c r="Q482" s="3" t="s">
        <v>6932</v>
      </c>
      <c r="R482" s="3" t="s">
        <v>4209</v>
      </c>
      <c r="S482" s="3" t="s">
        <v>7079</v>
      </c>
      <c r="T482" s="3" t="s">
        <v>4261</v>
      </c>
      <c r="U482" s="3" t="s">
        <v>6636</v>
      </c>
      <c r="V482" s="3"/>
      <c r="W482" s="3"/>
      <c r="X482" s="3" t="s">
        <v>4059</v>
      </c>
      <c r="Y482" s="3" t="s">
        <v>6646</v>
      </c>
      <c r="Z482" s="3" t="s">
        <v>4178</v>
      </c>
      <c r="AA482" s="3" t="s">
        <v>7364</v>
      </c>
    </row>
    <row r="483" customFormat="false" ht="15" hidden="false" customHeight="true" outlineLevel="0" collapsed="false">
      <c r="A483" s="3" t="s">
        <v>4272</v>
      </c>
      <c r="B483" s="3" t="n">
        <v>6</v>
      </c>
      <c r="C483" s="3" t="n">
        <v>26</v>
      </c>
      <c r="D483" s="3" t="str">
        <f aca="false">Combined!G483</f>
        <v>Student age (≤29)</v>
      </c>
      <c r="E483" s="3" t="s">
        <v>45</v>
      </c>
      <c r="F483" s="3" t="s">
        <v>437</v>
      </c>
      <c r="G483" s="3" t="s">
        <v>437</v>
      </c>
      <c r="H483" s="3" t="s">
        <v>4038</v>
      </c>
      <c r="I483" s="3" t="s">
        <v>7317</v>
      </c>
      <c r="J483" s="3" t="s">
        <v>4072</v>
      </c>
      <c r="K483" s="3" t="s">
        <v>6509</v>
      </c>
      <c r="L483" s="3" t="s">
        <v>4099</v>
      </c>
      <c r="M483" s="3" t="s">
        <v>6540</v>
      </c>
      <c r="N483" s="3" t="s">
        <v>4054</v>
      </c>
      <c r="O483" s="3" t="s">
        <v>6517</v>
      </c>
      <c r="P483" s="3" t="s">
        <v>4065</v>
      </c>
      <c r="Q483" s="3" t="s">
        <v>7328</v>
      </c>
      <c r="R483" s="3" t="s">
        <v>4102</v>
      </c>
      <c r="S483" s="3" t="s">
        <v>7337</v>
      </c>
      <c r="T483" s="3" t="s">
        <v>4117</v>
      </c>
      <c r="U483" s="3" t="s">
        <v>7343</v>
      </c>
      <c r="V483" s="3"/>
      <c r="W483" s="3"/>
      <c r="X483" s="3" t="s">
        <v>4085</v>
      </c>
      <c r="Y483" s="3" t="s">
        <v>6907</v>
      </c>
      <c r="Z483" s="3" t="s">
        <v>4175</v>
      </c>
      <c r="AA483" s="3" t="s">
        <v>7362</v>
      </c>
    </row>
    <row r="484" customFormat="false" ht="15" hidden="false" customHeight="true" outlineLevel="0" collapsed="false">
      <c r="A484" s="3" t="s">
        <v>4274</v>
      </c>
      <c r="B484" s="3" t="n">
        <v>6</v>
      </c>
      <c r="C484" s="3" t="n">
        <v>23</v>
      </c>
      <c r="D484" s="3" t="str">
        <f aca="false">Combined!G484</f>
        <v>Student age (≤29)</v>
      </c>
      <c r="E484" s="3" t="s">
        <v>83</v>
      </c>
      <c r="F484" s="3" t="s">
        <v>437</v>
      </c>
      <c r="G484" s="3" t="s">
        <v>437</v>
      </c>
      <c r="H484" s="3" t="s">
        <v>4062</v>
      </c>
      <c r="I484" s="3" t="s">
        <v>7327</v>
      </c>
      <c r="J484" s="3" t="s">
        <v>4275</v>
      </c>
      <c r="K484" s="3" t="s">
        <v>6564</v>
      </c>
      <c r="L484" s="3" t="s">
        <v>4276</v>
      </c>
      <c r="M484" s="3" t="s">
        <v>6551</v>
      </c>
      <c r="N484" s="3" t="s">
        <v>4042</v>
      </c>
      <c r="O484" s="3" t="s">
        <v>6530</v>
      </c>
      <c r="P484" s="3" t="s">
        <v>4277</v>
      </c>
      <c r="Q484" s="3" t="s">
        <v>7385</v>
      </c>
      <c r="R484" s="3" t="s">
        <v>4074</v>
      </c>
      <c r="S484" s="3" t="s">
        <v>7330</v>
      </c>
      <c r="T484" s="3" t="s">
        <v>4134</v>
      </c>
      <c r="U484" s="3" t="s">
        <v>7348</v>
      </c>
      <c r="V484" s="3"/>
      <c r="W484" s="3"/>
      <c r="X484" s="3" t="s">
        <v>4085</v>
      </c>
      <c r="Y484" s="3" t="s">
        <v>6907</v>
      </c>
      <c r="Z484" s="3" t="s">
        <v>4262</v>
      </c>
      <c r="AA484" s="3" t="s">
        <v>7383</v>
      </c>
    </row>
    <row r="485" customFormat="false" ht="15" hidden="false" customHeight="true" outlineLevel="0" collapsed="false">
      <c r="A485" s="3" t="s">
        <v>4278</v>
      </c>
      <c r="B485" s="3" t="n">
        <v>6</v>
      </c>
      <c r="C485" s="3" t="n">
        <v>21</v>
      </c>
      <c r="D485" s="3" t="str">
        <f aca="false">Combined!G485</f>
        <v>Student age (≤29)</v>
      </c>
      <c r="E485" s="3" t="s">
        <v>83</v>
      </c>
      <c r="F485" s="3" t="s">
        <v>437</v>
      </c>
      <c r="G485" s="3" t="s">
        <v>437</v>
      </c>
      <c r="H485" s="3" t="s">
        <v>4062</v>
      </c>
      <c r="I485" s="3" t="s">
        <v>7327</v>
      </c>
      <c r="J485" s="3" t="s">
        <v>4063</v>
      </c>
      <c r="K485" s="3" t="s">
        <v>6548</v>
      </c>
      <c r="L485" s="3" t="s">
        <v>4131</v>
      </c>
      <c r="M485" s="3" t="s">
        <v>7318</v>
      </c>
      <c r="N485" s="3" t="s">
        <v>4132</v>
      </c>
      <c r="O485" s="3" t="s">
        <v>1625</v>
      </c>
      <c r="P485" s="3" t="s">
        <v>4202</v>
      </c>
      <c r="Q485" s="3" t="s">
        <v>6730</v>
      </c>
      <c r="R485" s="3" t="s">
        <v>4279</v>
      </c>
      <c r="S485" s="3" t="s">
        <v>6513</v>
      </c>
      <c r="T485" s="3" t="s">
        <v>4281</v>
      </c>
      <c r="U485" s="3" t="s">
        <v>7386</v>
      </c>
      <c r="V485" s="3"/>
      <c r="W485" s="3"/>
      <c r="X485" s="3" t="s">
        <v>4104</v>
      </c>
      <c r="Y485" s="3" t="s">
        <v>7338</v>
      </c>
      <c r="Z485" s="3" t="s">
        <v>4282</v>
      </c>
      <c r="AA485" s="3" t="s">
        <v>6646</v>
      </c>
    </row>
    <row r="486" customFormat="false" ht="15" hidden="false" customHeight="true" outlineLevel="0" collapsed="false">
      <c r="A486" s="3" t="s">
        <v>4283</v>
      </c>
      <c r="B486" s="3" t="n">
        <v>6</v>
      </c>
      <c r="C486" s="3" t="n">
        <v>23</v>
      </c>
      <c r="D486" s="3" t="str">
        <f aca="false">Combined!G486</f>
        <v>Student age (≤29)</v>
      </c>
      <c r="E486" s="3" t="s">
        <v>45</v>
      </c>
      <c r="F486" s="3" t="s">
        <v>437</v>
      </c>
      <c r="G486" s="3" t="s">
        <v>47</v>
      </c>
      <c r="H486" s="3" t="s">
        <v>4236</v>
      </c>
      <c r="I486" s="3" t="s">
        <v>6803</v>
      </c>
      <c r="J486" s="3" t="s">
        <v>4080</v>
      </c>
      <c r="K486" s="3" t="s">
        <v>6584</v>
      </c>
      <c r="L486" s="3" t="s">
        <v>2062</v>
      </c>
      <c r="M486" s="3" t="s">
        <v>6569</v>
      </c>
      <c r="N486" s="3" t="s">
        <v>4042</v>
      </c>
      <c r="O486" s="3" t="s">
        <v>6530</v>
      </c>
      <c r="P486" s="3" t="s">
        <v>4161</v>
      </c>
      <c r="Q486" s="3" t="s">
        <v>6830</v>
      </c>
      <c r="R486" s="3" t="s">
        <v>4284</v>
      </c>
      <c r="S486" s="3" t="s">
        <v>7387</v>
      </c>
      <c r="T486" s="3" t="s">
        <v>4197</v>
      </c>
      <c r="U486" s="3" t="s">
        <v>6528</v>
      </c>
      <c r="V486" s="3"/>
      <c r="W486" s="3"/>
      <c r="X486" s="3" t="s">
        <v>4104</v>
      </c>
      <c r="Y486" s="3" t="s">
        <v>7338</v>
      </c>
      <c r="Z486" s="3" t="s">
        <v>2242</v>
      </c>
      <c r="AA486" s="3" t="s">
        <v>6538</v>
      </c>
    </row>
    <row r="487" customFormat="false" ht="15" hidden="false" customHeight="true" outlineLevel="0" collapsed="false">
      <c r="A487" s="3" t="s">
        <v>4285</v>
      </c>
      <c r="B487" s="3" t="n">
        <v>6</v>
      </c>
      <c r="C487" s="3" t="n">
        <v>23</v>
      </c>
      <c r="D487" s="3" t="str">
        <f aca="false">Combined!G487</f>
        <v>Student age (≤29)</v>
      </c>
      <c r="E487" s="3" t="s">
        <v>45</v>
      </c>
      <c r="F487" s="3" t="s">
        <v>437</v>
      </c>
      <c r="G487" s="3" t="s">
        <v>437</v>
      </c>
      <c r="H487" s="3" t="s">
        <v>4062</v>
      </c>
      <c r="I487" s="3" t="s">
        <v>7327</v>
      </c>
      <c r="J487" s="3" t="s">
        <v>4063</v>
      </c>
      <c r="K487" s="3" t="s">
        <v>6548</v>
      </c>
      <c r="L487" s="3" t="s">
        <v>2062</v>
      </c>
      <c r="M487" s="3" t="s">
        <v>6569</v>
      </c>
      <c r="N487" s="3" t="s">
        <v>4054</v>
      </c>
      <c r="O487" s="3" t="s">
        <v>6517</v>
      </c>
      <c r="P487" s="3" t="s">
        <v>4286</v>
      </c>
      <c r="Q487" s="3" t="s">
        <v>7344</v>
      </c>
      <c r="R487" s="3" t="s">
        <v>4287</v>
      </c>
      <c r="S487" s="3" t="s">
        <v>7388</v>
      </c>
      <c r="T487" s="3" t="s">
        <v>4247</v>
      </c>
      <c r="U487" s="3" t="s">
        <v>7381</v>
      </c>
      <c r="V487" s="3"/>
      <c r="W487" s="3"/>
      <c r="X487" s="3" t="s">
        <v>4077</v>
      </c>
      <c r="Y487" s="3" t="s">
        <v>7057</v>
      </c>
      <c r="Z487" s="3" t="s">
        <v>4288</v>
      </c>
      <c r="AA487" s="3" t="s">
        <v>7389</v>
      </c>
    </row>
    <row r="488" customFormat="false" ht="15" hidden="false" customHeight="true" outlineLevel="0" collapsed="false">
      <c r="A488" s="3" t="s">
        <v>4289</v>
      </c>
      <c r="B488" s="3" t="n">
        <v>6</v>
      </c>
      <c r="C488" s="3" t="n">
        <v>23</v>
      </c>
      <c r="D488" s="3" t="str">
        <f aca="false">Combined!G488</f>
        <v>Student age (≤29)</v>
      </c>
      <c r="E488" s="3" t="s">
        <v>83</v>
      </c>
      <c r="F488" s="3" t="s">
        <v>437</v>
      </c>
      <c r="G488" s="3" t="s">
        <v>437</v>
      </c>
      <c r="H488" s="3" t="s">
        <v>4038</v>
      </c>
      <c r="I488" s="3" t="s">
        <v>7317</v>
      </c>
      <c r="J488" s="3" t="s">
        <v>4080</v>
      </c>
      <c r="K488" s="3" t="s">
        <v>6584</v>
      </c>
      <c r="L488" s="3" t="s">
        <v>2062</v>
      </c>
      <c r="M488" s="3" t="s">
        <v>6569</v>
      </c>
      <c r="N488" s="3" t="s">
        <v>4054</v>
      </c>
      <c r="O488" s="3" t="s">
        <v>6517</v>
      </c>
      <c r="P488" s="3" t="s">
        <v>4290</v>
      </c>
      <c r="Q488" s="3" t="s">
        <v>6997</v>
      </c>
      <c r="R488" s="3" t="s">
        <v>4291</v>
      </c>
      <c r="S488" s="3" t="s">
        <v>7390</v>
      </c>
      <c r="T488" s="3" t="s">
        <v>4117</v>
      </c>
      <c r="U488" s="3" t="s">
        <v>7343</v>
      </c>
      <c r="V488" s="3"/>
      <c r="W488" s="3"/>
      <c r="X488" s="3" t="s">
        <v>4085</v>
      </c>
      <c r="Y488" s="3" t="s">
        <v>6907</v>
      </c>
      <c r="Z488" s="3" t="s">
        <v>4124</v>
      </c>
      <c r="AA488" s="3" t="s">
        <v>7345</v>
      </c>
    </row>
    <row r="489" customFormat="false" ht="15" hidden="false" customHeight="true" outlineLevel="0" collapsed="false">
      <c r="A489" s="3" t="s">
        <v>4292</v>
      </c>
      <c r="B489" s="3" t="n">
        <v>6</v>
      </c>
      <c r="C489" s="3" t="n">
        <v>23</v>
      </c>
      <c r="D489" s="3" t="str">
        <f aca="false">Combined!G489</f>
        <v>Student age (≤29)</v>
      </c>
      <c r="E489" s="3" t="s">
        <v>45</v>
      </c>
      <c r="F489" s="3" t="s">
        <v>437</v>
      </c>
      <c r="G489" s="3" t="s">
        <v>437</v>
      </c>
      <c r="H489" s="3" t="s">
        <v>4038</v>
      </c>
      <c r="I489" s="3" t="s">
        <v>7317</v>
      </c>
      <c r="J489" s="3" t="s">
        <v>4099</v>
      </c>
      <c r="K489" s="3" t="s">
        <v>6540</v>
      </c>
      <c r="L489" s="3" t="s">
        <v>4099</v>
      </c>
      <c r="M489" s="3" t="s">
        <v>6540</v>
      </c>
      <c r="N489" s="3" t="s">
        <v>4042</v>
      </c>
      <c r="O489" s="3" t="s">
        <v>6530</v>
      </c>
      <c r="P489" s="3" t="s">
        <v>4065</v>
      </c>
      <c r="Q489" s="3" t="s">
        <v>7328</v>
      </c>
      <c r="R489" s="3" t="s">
        <v>4133</v>
      </c>
      <c r="S489" s="3" t="s">
        <v>7333</v>
      </c>
      <c r="T489" s="3" t="s">
        <v>4159</v>
      </c>
      <c r="U489" s="3" t="s">
        <v>7358</v>
      </c>
      <c r="V489" s="3"/>
      <c r="W489" s="3"/>
      <c r="X489" s="3" t="s">
        <v>4104</v>
      </c>
      <c r="Y489" s="3" t="s">
        <v>7338</v>
      </c>
      <c r="Z489" s="3" t="s">
        <v>4293</v>
      </c>
      <c r="AA489" s="3" t="s">
        <v>7391</v>
      </c>
    </row>
    <row r="490" customFormat="false" ht="15" hidden="false" customHeight="true" outlineLevel="0" collapsed="false">
      <c r="A490" s="3" t="s">
        <v>4294</v>
      </c>
      <c r="B490" s="3" t="n">
        <v>6</v>
      </c>
      <c r="C490" s="3" t="n">
        <v>23</v>
      </c>
      <c r="D490" s="3" t="str">
        <f aca="false">Combined!G490</f>
        <v>Student age (≤29)</v>
      </c>
      <c r="E490" s="3" t="s">
        <v>83</v>
      </c>
      <c r="F490" s="3" t="s">
        <v>437</v>
      </c>
      <c r="G490" s="3" t="s">
        <v>437</v>
      </c>
      <c r="H490" s="3" t="s">
        <v>4062</v>
      </c>
      <c r="I490" s="3" t="s">
        <v>7327</v>
      </c>
      <c r="J490" s="3" t="s">
        <v>4072</v>
      </c>
      <c r="K490" s="3" t="s">
        <v>6509</v>
      </c>
      <c r="L490" s="3" t="s">
        <v>4052</v>
      </c>
      <c r="M490" s="3" t="s">
        <v>7323</v>
      </c>
      <c r="N490" s="3" t="s">
        <v>4042</v>
      </c>
      <c r="O490" s="3" t="s">
        <v>6530</v>
      </c>
      <c r="P490" s="3" t="s">
        <v>4286</v>
      </c>
      <c r="Q490" s="3" t="s">
        <v>7344</v>
      </c>
      <c r="R490" s="3" t="s">
        <v>4295</v>
      </c>
      <c r="S490" s="3" t="s">
        <v>7392</v>
      </c>
      <c r="T490" s="3" t="s">
        <v>4117</v>
      </c>
      <c r="U490" s="3" t="s">
        <v>7343</v>
      </c>
      <c r="V490" s="3"/>
      <c r="W490" s="3"/>
      <c r="X490" s="3" t="s">
        <v>4077</v>
      </c>
      <c r="Y490" s="3" t="s">
        <v>7057</v>
      </c>
      <c r="Z490" s="3" t="s">
        <v>4296</v>
      </c>
      <c r="AA490" s="3" t="s">
        <v>7393</v>
      </c>
    </row>
    <row r="491" customFormat="false" ht="15" hidden="false" customHeight="true" outlineLevel="0" collapsed="false">
      <c r="A491" s="3" t="s">
        <v>4297</v>
      </c>
      <c r="B491" s="3" t="n">
        <v>6</v>
      </c>
      <c r="C491" s="3" t="n">
        <v>23</v>
      </c>
      <c r="D491" s="3" t="str">
        <f aca="false">Combined!G491</f>
        <v>Student age (≤29)</v>
      </c>
      <c r="E491" s="3" t="s">
        <v>83</v>
      </c>
      <c r="F491" s="3" t="s">
        <v>437</v>
      </c>
      <c r="G491" s="3" t="s">
        <v>47</v>
      </c>
      <c r="H491" s="3" t="s">
        <v>4038</v>
      </c>
      <c r="I491" s="3" t="s">
        <v>7317</v>
      </c>
      <c r="J491" s="3" t="s">
        <v>4072</v>
      </c>
      <c r="K491" s="3" t="s">
        <v>6509</v>
      </c>
      <c r="L491" s="3" t="s">
        <v>4040</v>
      </c>
      <c r="M491" s="3" t="s">
        <v>6509</v>
      </c>
      <c r="N491" s="3" t="s">
        <v>4054</v>
      </c>
      <c r="O491" s="3" t="s">
        <v>6517</v>
      </c>
      <c r="P491" s="3" t="s">
        <v>4065</v>
      </c>
      <c r="Q491" s="3" t="s">
        <v>7328</v>
      </c>
      <c r="R491" s="3" t="s">
        <v>4093</v>
      </c>
      <c r="S491" s="3" t="s">
        <v>7333</v>
      </c>
      <c r="T491" s="3" t="s">
        <v>4084</v>
      </c>
      <c r="U491" s="3" t="s">
        <v>6601</v>
      </c>
      <c r="V491" s="3"/>
      <c r="W491" s="3"/>
      <c r="X491" s="3" t="s">
        <v>4085</v>
      </c>
      <c r="Y491" s="3" t="s">
        <v>6907</v>
      </c>
      <c r="Z491" s="3" t="s">
        <v>4086</v>
      </c>
      <c r="AA491" s="3" t="s">
        <v>7326</v>
      </c>
    </row>
    <row r="492" customFormat="false" ht="15" hidden="false" customHeight="true" outlineLevel="0" collapsed="false">
      <c r="A492" s="3" t="s">
        <v>4298</v>
      </c>
      <c r="B492" s="3" t="n">
        <v>6</v>
      </c>
      <c r="C492" s="3" t="n">
        <v>24</v>
      </c>
      <c r="D492" s="3" t="str">
        <f aca="false">Combined!G492</f>
        <v>Student age (≤29)</v>
      </c>
      <c r="E492" s="3" t="s">
        <v>45</v>
      </c>
      <c r="F492" s="3" t="s">
        <v>437</v>
      </c>
      <c r="G492" s="3" t="s">
        <v>437</v>
      </c>
      <c r="H492" s="3" t="s">
        <v>4038</v>
      </c>
      <c r="I492" s="3" t="s">
        <v>7317</v>
      </c>
      <c r="J492" s="3" t="s">
        <v>4072</v>
      </c>
      <c r="K492" s="3" t="s">
        <v>6509</v>
      </c>
      <c r="L492" s="3" t="s">
        <v>4150</v>
      </c>
      <c r="M492" s="3" t="s">
        <v>7353</v>
      </c>
      <c r="N492" s="3" t="s">
        <v>4042</v>
      </c>
      <c r="O492" s="3" t="s">
        <v>6530</v>
      </c>
      <c r="P492" s="3" t="s">
        <v>4229</v>
      </c>
      <c r="Q492" s="3" t="s">
        <v>6634</v>
      </c>
      <c r="R492" s="3" t="s">
        <v>4299</v>
      </c>
      <c r="S492" s="3" t="s">
        <v>7352</v>
      </c>
      <c r="T492" s="3" t="s">
        <v>4281</v>
      </c>
      <c r="U492" s="3" t="s">
        <v>7386</v>
      </c>
      <c r="V492" s="3"/>
      <c r="W492" s="3"/>
      <c r="X492" s="3" t="s">
        <v>4077</v>
      </c>
      <c r="Y492" s="3" t="s">
        <v>7057</v>
      </c>
      <c r="Z492" s="3" t="s">
        <v>4300</v>
      </c>
      <c r="AA492" s="3" t="s">
        <v>7394</v>
      </c>
    </row>
    <row r="493" customFormat="false" ht="15" hidden="false" customHeight="true" outlineLevel="0" collapsed="false">
      <c r="A493" s="3" t="s">
        <v>4301</v>
      </c>
      <c r="B493" s="3" t="n">
        <v>6</v>
      </c>
      <c r="C493" s="3" t="n">
        <v>20</v>
      </c>
      <c r="D493" s="3" t="str">
        <f aca="false">Combined!G493</f>
        <v>Student age (≤29)</v>
      </c>
      <c r="E493" s="3" t="s">
        <v>1447</v>
      </c>
      <c r="F493" s="3" t="s">
        <v>437</v>
      </c>
      <c r="G493" s="3" t="s">
        <v>47</v>
      </c>
      <c r="H493" s="3" t="s">
        <v>4098</v>
      </c>
      <c r="I493" s="3" t="s">
        <v>6539</v>
      </c>
      <c r="J493" s="3" t="s">
        <v>4072</v>
      </c>
      <c r="K493" s="3" t="s">
        <v>6509</v>
      </c>
      <c r="L493" s="3" t="s">
        <v>4040</v>
      </c>
      <c r="M493" s="3" t="s">
        <v>6509</v>
      </c>
      <c r="N493" s="3" t="s">
        <v>4042</v>
      </c>
      <c r="O493" s="3" t="s">
        <v>6530</v>
      </c>
      <c r="P493" s="3" t="s">
        <v>4173</v>
      </c>
      <c r="Q493" s="3" t="s">
        <v>6932</v>
      </c>
      <c r="R493" s="3" t="s">
        <v>4209</v>
      </c>
      <c r="S493" s="3" t="s">
        <v>7079</v>
      </c>
      <c r="T493" s="3" t="s">
        <v>4117</v>
      </c>
      <c r="U493" s="3" t="s">
        <v>7343</v>
      </c>
      <c r="V493" s="3"/>
      <c r="W493" s="3"/>
      <c r="X493" s="3" t="s">
        <v>4077</v>
      </c>
      <c r="Y493" s="3" t="s">
        <v>7057</v>
      </c>
      <c r="Z493" s="3" t="s">
        <v>4302</v>
      </c>
      <c r="AA493" s="3" t="s">
        <v>7395</v>
      </c>
    </row>
    <row r="494" customFormat="false" ht="15" hidden="false" customHeight="true" outlineLevel="0" collapsed="false">
      <c r="A494" s="3" t="s">
        <v>4303</v>
      </c>
      <c r="B494" s="3" t="n">
        <v>6</v>
      </c>
      <c r="C494" s="3" t="n">
        <v>23</v>
      </c>
      <c r="D494" s="3" t="str">
        <f aca="false">Combined!G494</f>
        <v>Student age (≤29)</v>
      </c>
      <c r="E494" s="3" t="s">
        <v>45</v>
      </c>
      <c r="F494" s="3" t="s">
        <v>437</v>
      </c>
      <c r="G494" s="3" t="s">
        <v>437</v>
      </c>
      <c r="H494" s="3" t="s">
        <v>4304</v>
      </c>
      <c r="I494" s="3" t="s">
        <v>6527</v>
      </c>
      <c r="J494" s="3" t="s">
        <v>4063</v>
      </c>
      <c r="K494" s="3" t="s">
        <v>6548</v>
      </c>
      <c r="L494" s="3" t="s">
        <v>2062</v>
      </c>
      <c r="M494" s="3" t="s">
        <v>6569</v>
      </c>
      <c r="N494" s="3" t="s">
        <v>4042</v>
      </c>
      <c r="O494" s="3" t="s">
        <v>6530</v>
      </c>
      <c r="P494" s="3" t="s">
        <v>4065</v>
      </c>
      <c r="Q494" s="3" t="s">
        <v>7328</v>
      </c>
      <c r="R494" s="3" t="s">
        <v>4306</v>
      </c>
      <c r="S494" s="3" t="s">
        <v>6513</v>
      </c>
      <c r="T494" s="3" t="s">
        <v>4095</v>
      </c>
      <c r="U494" s="3" t="s">
        <v>7334</v>
      </c>
      <c r="V494" s="3"/>
      <c r="W494" s="3"/>
      <c r="X494" s="3" t="s">
        <v>4111</v>
      </c>
      <c r="Y494" s="3" t="s">
        <v>6551</v>
      </c>
      <c r="Z494" s="3" t="s">
        <v>4300</v>
      </c>
      <c r="AA494" s="3" t="s">
        <v>7394</v>
      </c>
    </row>
    <row r="495" customFormat="false" ht="15" hidden="false" customHeight="true" outlineLevel="0" collapsed="false">
      <c r="A495" s="3" t="s">
        <v>4307</v>
      </c>
      <c r="B495" s="3" t="n">
        <v>6</v>
      </c>
      <c r="C495" s="3" t="n">
        <v>23</v>
      </c>
      <c r="D495" s="3" t="str">
        <f aca="false">Combined!G495</f>
        <v>Student age (≤29)</v>
      </c>
      <c r="E495" s="3" t="s">
        <v>45</v>
      </c>
      <c r="F495" s="3" t="s">
        <v>437</v>
      </c>
      <c r="G495" s="3" t="s">
        <v>47</v>
      </c>
      <c r="H495" s="3" t="s">
        <v>4062</v>
      </c>
      <c r="I495" s="3" t="s">
        <v>7327</v>
      </c>
      <c r="J495" s="3" t="s">
        <v>4072</v>
      </c>
      <c r="K495" s="3" t="s">
        <v>6509</v>
      </c>
      <c r="L495" s="3" t="s">
        <v>2062</v>
      </c>
      <c r="M495" s="3" t="s">
        <v>6569</v>
      </c>
      <c r="N495" s="3" t="s">
        <v>4042</v>
      </c>
      <c r="O495" s="3" t="s">
        <v>6530</v>
      </c>
      <c r="P495" s="3" t="s">
        <v>4229</v>
      </c>
      <c r="Q495" s="3" t="s">
        <v>6634</v>
      </c>
      <c r="R495" s="3" t="s">
        <v>4308</v>
      </c>
      <c r="S495" s="3" t="s">
        <v>7396</v>
      </c>
      <c r="T495" s="3" t="s">
        <v>4084</v>
      </c>
      <c r="U495" s="3" t="s">
        <v>6601</v>
      </c>
      <c r="V495" s="3"/>
      <c r="W495" s="3"/>
      <c r="X495" s="3" t="s">
        <v>4070</v>
      </c>
      <c r="Y495" s="3" t="s">
        <v>6510</v>
      </c>
      <c r="Z495" s="3" t="s">
        <v>4309</v>
      </c>
      <c r="AA495" s="3" t="s">
        <v>7397</v>
      </c>
    </row>
    <row r="496" customFormat="false" ht="15" hidden="false" customHeight="true" outlineLevel="0" collapsed="false">
      <c r="A496" s="3" t="s">
        <v>4310</v>
      </c>
      <c r="B496" s="3" t="n">
        <v>6</v>
      </c>
      <c r="C496" s="3" t="n">
        <v>24</v>
      </c>
      <c r="D496" s="3" t="str">
        <f aca="false">Combined!G496</f>
        <v>Student age (≤29)</v>
      </c>
      <c r="E496" s="3" t="s">
        <v>83</v>
      </c>
      <c r="F496" s="3" t="s">
        <v>437</v>
      </c>
      <c r="G496" s="3" t="s">
        <v>437</v>
      </c>
      <c r="H496" s="3" t="s">
        <v>4062</v>
      </c>
      <c r="I496" s="3" t="s">
        <v>7327</v>
      </c>
      <c r="J496" s="3" t="s">
        <v>4063</v>
      </c>
      <c r="K496" s="3" t="s">
        <v>6548</v>
      </c>
      <c r="L496" s="3" t="s">
        <v>2062</v>
      </c>
      <c r="M496" s="3" t="s">
        <v>6569</v>
      </c>
      <c r="N496" s="3" t="s">
        <v>4042</v>
      </c>
      <c r="O496" s="3" t="s">
        <v>6530</v>
      </c>
      <c r="P496" s="3" t="s">
        <v>4065</v>
      </c>
      <c r="Q496" s="3" t="s">
        <v>7328</v>
      </c>
      <c r="R496" s="3" t="s">
        <v>4102</v>
      </c>
      <c r="S496" s="3" t="s">
        <v>7337</v>
      </c>
      <c r="T496" s="3" t="s">
        <v>4110</v>
      </c>
      <c r="U496" s="3" t="s">
        <v>6925</v>
      </c>
      <c r="V496" s="3"/>
      <c r="W496" s="3"/>
      <c r="X496" s="3" t="s">
        <v>4164</v>
      </c>
      <c r="Y496" s="3" t="s">
        <v>6651</v>
      </c>
      <c r="Z496" s="3" t="s">
        <v>4311</v>
      </c>
      <c r="AA496" s="3" t="s">
        <v>7398</v>
      </c>
    </row>
    <row r="497" customFormat="false" ht="15" hidden="false" customHeight="true" outlineLevel="0" collapsed="false">
      <c r="A497" s="3" t="s">
        <v>4312</v>
      </c>
      <c r="B497" s="3" t="n">
        <v>6</v>
      </c>
      <c r="C497" s="3" t="n">
        <v>49</v>
      </c>
      <c r="D497" s="3" t="str">
        <f aca="false">Combined!G497</f>
        <v>Middle-aged (30–64)</v>
      </c>
      <c r="E497" s="3" t="s">
        <v>45</v>
      </c>
      <c r="F497" s="3" t="s">
        <v>437</v>
      </c>
      <c r="G497" s="3" t="s">
        <v>437</v>
      </c>
      <c r="H497" s="3" t="s">
        <v>4038</v>
      </c>
      <c r="I497" s="3" t="s">
        <v>7317</v>
      </c>
      <c r="J497" s="3" t="s">
        <v>4072</v>
      </c>
      <c r="K497" s="3" t="s">
        <v>6509</v>
      </c>
      <c r="L497" s="3" t="s">
        <v>4040</v>
      </c>
      <c r="M497" s="3" t="s">
        <v>6509</v>
      </c>
      <c r="N497" s="3" t="s">
        <v>4042</v>
      </c>
      <c r="O497" s="3" t="s">
        <v>6530</v>
      </c>
      <c r="P497" s="3" t="s">
        <v>4313</v>
      </c>
      <c r="Q497" s="3" t="s">
        <v>6844</v>
      </c>
      <c r="R497" s="3" t="s">
        <v>4314</v>
      </c>
      <c r="S497" s="3" t="s">
        <v>6775</v>
      </c>
      <c r="T497" s="3" t="s">
        <v>4117</v>
      </c>
      <c r="U497" s="3" t="s">
        <v>7343</v>
      </c>
      <c r="V497" s="3"/>
      <c r="W497" s="3"/>
      <c r="X497" s="3" t="s">
        <v>4059</v>
      </c>
      <c r="Y497" s="3" t="s">
        <v>6646</v>
      </c>
      <c r="Z497" s="3" t="s">
        <v>4060</v>
      </c>
      <c r="AA497" s="3" t="s">
        <v>7326</v>
      </c>
    </row>
    <row r="498" customFormat="false" ht="15" hidden="false" customHeight="true" outlineLevel="0" collapsed="false">
      <c r="A498" s="3" t="s">
        <v>4315</v>
      </c>
      <c r="B498" s="3" t="n">
        <v>6</v>
      </c>
      <c r="C498" s="3" t="n">
        <v>26</v>
      </c>
      <c r="D498" s="3" t="str">
        <f aca="false">Combined!G498</f>
        <v>Student age (≤29)</v>
      </c>
      <c r="E498" s="3" t="s">
        <v>45</v>
      </c>
      <c r="F498" s="3" t="s">
        <v>437</v>
      </c>
      <c r="G498" s="3" t="s">
        <v>437</v>
      </c>
      <c r="H498" s="3" t="s">
        <v>4038</v>
      </c>
      <c r="I498" s="3" t="s">
        <v>7317</v>
      </c>
      <c r="J498" s="3" t="s">
        <v>4080</v>
      </c>
      <c r="K498" s="3" t="s">
        <v>6584</v>
      </c>
      <c r="L498" s="3" t="s">
        <v>4131</v>
      </c>
      <c r="M498" s="3" t="s">
        <v>7318</v>
      </c>
      <c r="N498" s="3" t="s">
        <v>4054</v>
      </c>
      <c r="O498" s="3" t="s">
        <v>6517</v>
      </c>
      <c r="P498" s="3" t="s">
        <v>4200</v>
      </c>
      <c r="Q498" s="3" t="s">
        <v>7371</v>
      </c>
      <c r="R498" s="3" t="s">
        <v>4093</v>
      </c>
      <c r="S498" s="3" t="s">
        <v>7333</v>
      </c>
      <c r="T498" s="3" t="s">
        <v>4117</v>
      </c>
      <c r="U498" s="3" t="s">
        <v>7343</v>
      </c>
      <c r="V498" s="3"/>
      <c r="W498" s="3"/>
      <c r="X498" s="3" t="s">
        <v>4077</v>
      </c>
      <c r="Y498" s="3" t="s">
        <v>7057</v>
      </c>
      <c r="Z498" s="3" t="s">
        <v>4096</v>
      </c>
      <c r="AA498" s="3" t="s">
        <v>7335</v>
      </c>
    </row>
    <row r="499" customFormat="false" ht="15" hidden="false" customHeight="true" outlineLevel="0" collapsed="false">
      <c r="A499" s="3" t="s">
        <v>4316</v>
      </c>
      <c r="B499" s="3" t="n">
        <v>6</v>
      </c>
      <c r="C499" s="3" t="n">
        <v>23</v>
      </c>
      <c r="D499" s="3" t="str">
        <f aca="false">Combined!G499</f>
        <v>Student age (≤29)</v>
      </c>
      <c r="E499" s="3" t="s">
        <v>45</v>
      </c>
      <c r="F499" s="3" t="s">
        <v>437</v>
      </c>
      <c r="G499" s="3" t="s">
        <v>437</v>
      </c>
      <c r="H499" s="3" t="s">
        <v>4062</v>
      </c>
      <c r="I499" s="3" t="s">
        <v>7327</v>
      </c>
      <c r="J499" s="3" t="s">
        <v>4072</v>
      </c>
      <c r="K499" s="3" t="s">
        <v>6509</v>
      </c>
      <c r="L499" s="3" t="s">
        <v>4040</v>
      </c>
      <c r="M499" s="3" t="s">
        <v>6509</v>
      </c>
      <c r="N499" s="3" t="s">
        <v>4042</v>
      </c>
      <c r="O499" s="3" t="s">
        <v>6530</v>
      </c>
      <c r="P499" s="3" t="s">
        <v>4200</v>
      </c>
      <c r="Q499" s="3" t="s">
        <v>7371</v>
      </c>
      <c r="R499" s="3" t="s">
        <v>4318</v>
      </c>
      <c r="S499" s="3" t="s">
        <v>7349</v>
      </c>
      <c r="T499" s="3" t="s">
        <v>4163</v>
      </c>
      <c r="U499" s="3" t="s">
        <v>6509</v>
      </c>
      <c r="V499" s="3"/>
      <c r="W499" s="3"/>
      <c r="X499" s="3" t="s">
        <v>4077</v>
      </c>
      <c r="Y499" s="3" t="s">
        <v>7057</v>
      </c>
      <c r="Z499" s="3" t="s">
        <v>4319</v>
      </c>
      <c r="AA499" s="3" t="s">
        <v>7399</v>
      </c>
    </row>
    <row r="500" customFormat="false" ht="15" hidden="false" customHeight="true" outlineLevel="0" collapsed="false">
      <c r="A500" s="3" t="s">
        <v>4320</v>
      </c>
      <c r="B500" s="3" t="n">
        <v>6</v>
      </c>
      <c r="C500" s="3" t="n">
        <v>51</v>
      </c>
      <c r="D500" s="3" t="str">
        <f aca="false">Combined!G500</f>
        <v>Middle-aged (30–64)</v>
      </c>
      <c r="E500" s="3" t="s">
        <v>83</v>
      </c>
      <c r="F500" s="3" t="s">
        <v>437</v>
      </c>
      <c r="G500" s="3" t="s">
        <v>437</v>
      </c>
      <c r="H500" s="3" t="s">
        <v>4038</v>
      </c>
      <c r="I500" s="3" t="s">
        <v>7317</v>
      </c>
      <c r="J500" s="3" t="s">
        <v>4258</v>
      </c>
      <c r="K500" s="3" t="s">
        <v>7353</v>
      </c>
      <c r="L500" s="3" t="s">
        <v>4150</v>
      </c>
      <c r="M500" s="3" t="s">
        <v>7353</v>
      </c>
      <c r="N500" s="3" t="s">
        <v>4042</v>
      </c>
      <c r="O500" s="3" t="s">
        <v>6530</v>
      </c>
      <c r="P500" s="3" t="s">
        <v>4065</v>
      </c>
      <c r="Q500" s="3" t="s">
        <v>7328</v>
      </c>
      <c r="R500" s="3" t="s">
        <v>4321</v>
      </c>
      <c r="S500" s="3" t="s">
        <v>6619</v>
      </c>
      <c r="T500" s="3" t="s">
        <v>4197</v>
      </c>
      <c r="U500" s="3" t="s">
        <v>6528</v>
      </c>
      <c r="V500" s="3"/>
      <c r="W500" s="3"/>
      <c r="X500" s="3" t="s">
        <v>4104</v>
      </c>
      <c r="Y500" s="3" t="s">
        <v>7338</v>
      </c>
      <c r="Z500" s="3" t="s">
        <v>4322</v>
      </c>
      <c r="AA500" s="3" t="s">
        <v>6847</v>
      </c>
    </row>
    <row r="501" customFormat="false" ht="15" hidden="false" customHeight="true" outlineLevel="0" collapsed="false">
      <c r="A501" s="3" t="s">
        <v>4323</v>
      </c>
      <c r="B501" s="3" t="n">
        <v>6</v>
      </c>
      <c r="C501" s="3" t="n">
        <v>24</v>
      </c>
      <c r="D501" s="3" t="str">
        <f aca="false">Combined!G501</f>
        <v>Student age (≤29)</v>
      </c>
      <c r="E501" s="3" t="s">
        <v>45</v>
      </c>
      <c r="F501" s="3" t="s">
        <v>437</v>
      </c>
      <c r="G501" s="3" t="s">
        <v>47</v>
      </c>
      <c r="H501" s="3" t="s">
        <v>4038</v>
      </c>
      <c r="I501" s="3" t="s">
        <v>7317</v>
      </c>
      <c r="J501" s="3" t="s">
        <v>4089</v>
      </c>
      <c r="K501" s="3" t="s">
        <v>7323</v>
      </c>
      <c r="L501" s="3" t="s">
        <v>2062</v>
      </c>
      <c r="M501" s="3" t="s">
        <v>6569</v>
      </c>
      <c r="N501" s="3" t="s">
        <v>4054</v>
      </c>
      <c r="O501" s="3" t="s">
        <v>6517</v>
      </c>
      <c r="P501" s="3" t="s">
        <v>4101</v>
      </c>
      <c r="Q501" s="3" t="s">
        <v>7336</v>
      </c>
      <c r="R501" s="3" t="s">
        <v>4209</v>
      </c>
      <c r="S501" s="3" t="s">
        <v>7079</v>
      </c>
      <c r="T501" s="3" t="s">
        <v>4281</v>
      </c>
      <c r="U501" s="3" t="s">
        <v>7386</v>
      </c>
      <c r="V501" s="3"/>
      <c r="W501" s="3"/>
      <c r="X501" s="3" t="s">
        <v>4085</v>
      </c>
      <c r="Y501" s="3" t="s">
        <v>6907</v>
      </c>
      <c r="Z501" s="3" t="s">
        <v>4325</v>
      </c>
      <c r="AA501" s="3" t="s">
        <v>7400</v>
      </c>
    </row>
    <row r="502" customFormat="false" ht="15" hidden="false" customHeight="true" outlineLevel="0" collapsed="false">
      <c r="A502" s="3" t="s">
        <v>4326</v>
      </c>
      <c r="B502" s="3" t="n">
        <v>6</v>
      </c>
      <c r="C502" s="3" t="n">
        <v>24</v>
      </c>
      <c r="D502" s="3" t="str">
        <f aca="false">Combined!G502</f>
        <v>Student age (≤29)</v>
      </c>
      <c r="E502" s="3" t="s">
        <v>83</v>
      </c>
      <c r="F502" s="3" t="s">
        <v>437</v>
      </c>
      <c r="G502" s="3" t="s">
        <v>47</v>
      </c>
      <c r="H502" s="3" t="s">
        <v>4038</v>
      </c>
      <c r="I502" s="3" t="s">
        <v>7317</v>
      </c>
      <c r="J502" s="3" t="s">
        <v>4039</v>
      </c>
      <c r="K502" s="3" t="s">
        <v>7318</v>
      </c>
      <c r="L502" s="3" t="s">
        <v>4131</v>
      </c>
      <c r="M502" s="3" t="s">
        <v>7318</v>
      </c>
      <c r="N502" s="3" t="s">
        <v>4042</v>
      </c>
      <c r="O502" s="3" t="s">
        <v>6530</v>
      </c>
      <c r="P502" s="3" t="s">
        <v>4065</v>
      </c>
      <c r="Q502" s="3" t="s">
        <v>7328</v>
      </c>
      <c r="R502" s="3" t="s">
        <v>4137</v>
      </c>
      <c r="S502" s="3" t="s">
        <v>7333</v>
      </c>
      <c r="T502" s="3" t="s">
        <v>4328</v>
      </c>
      <c r="U502" s="3" t="s">
        <v>6568</v>
      </c>
      <c r="V502" s="3"/>
      <c r="W502" s="3"/>
      <c r="X502" s="3" t="s">
        <v>4329</v>
      </c>
      <c r="Y502" s="3" t="s">
        <v>6828</v>
      </c>
      <c r="Z502" s="3" t="s">
        <v>4330</v>
      </c>
      <c r="AA502" s="3" t="s">
        <v>7401</v>
      </c>
    </row>
    <row r="503" customFormat="false" ht="15" hidden="false" customHeight="true" outlineLevel="0" collapsed="false">
      <c r="A503" s="3" t="s">
        <v>4331</v>
      </c>
      <c r="B503" s="3" t="n">
        <v>6</v>
      </c>
      <c r="C503" s="3" t="n">
        <v>24</v>
      </c>
      <c r="D503" s="3" t="str">
        <f aca="false">Combined!G503</f>
        <v>Student age (≤29)</v>
      </c>
      <c r="E503" s="3" t="s">
        <v>83</v>
      </c>
      <c r="F503" s="3" t="s">
        <v>437</v>
      </c>
      <c r="G503" s="3" t="s">
        <v>437</v>
      </c>
      <c r="H503" s="3" t="s">
        <v>4038</v>
      </c>
      <c r="I503" s="3" t="s">
        <v>7317</v>
      </c>
      <c r="J503" s="3" t="s">
        <v>4072</v>
      </c>
      <c r="K503" s="3" t="s">
        <v>6509</v>
      </c>
      <c r="L503" s="3" t="s">
        <v>4136</v>
      </c>
      <c r="M503" s="3" t="s">
        <v>6520</v>
      </c>
      <c r="N503" s="3" t="s">
        <v>4042</v>
      </c>
      <c r="O503" s="3" t="s">
        <v>6530</v>
      </c>
      <c r="P503" s="3" t="s">
        <v>4065</v>
      </c>
      <c r="Q503" s="3" t="s">
        <v>7328</v>
      </c>
      <c r="R503" s="3" t="s">
        <v>4162</v>
      </c>
      <c r="S503" s="3" t="s">
        <v>7359</v>
      </c>
      <c r="T503" s="3" t="s">
        <v>4084</v>
      </c>
      <c r="U503" s="3" t="s">
        <v>6601</v>
      </c>
      <c r="V503" s="3"/>
      <c r="W503" s="3"/>
      <c r="X503" s="3" t="s">
        <v>4059</v>
      </c>
      <c r="Y503" s="3" t="s">
        <v>6646</v>
      </c>
      <c r="Z503" s="3" t="s">
        <v>2242</v>
      </c>
      <c r="AA503" s="3" t="s">
        <v>6538</v>
      </c>
    </row>
    <row r="504" customFormat="false" ht="15" hidden="false" customHeight="true" outlineLevel="0" collapsed="false">
      <c r="A504" s="3" t="s">
        <v>4333</v>
      </c>
      <c r="B504" s="3" t="n">
        <v>6</v>
      </c>
      <c r="C504" s="3" t="n">
        <v>22</v>
      </c>
      <c r="D504" s="3" t="str">
        <f aca="false">Combined!G504</f>
        <v>Student age (≤29)</v>
      </c>
      <c r="E504" s="3" t="s">
        <v>45</v>
      </c>
      <c r="F504" s="3" t="s">
        <v>437</v>
      </c>
      <c r="G504" s="3" t="s">
        <v>437</v>
      </c>
      <c r="H504" s="3" t="s">
        <v>4038</v>
      </c>
      <c r="I504" s="3" t="s">
        <v>7317</v>
      </c>
      <c r="J504" s="3" t="s">
        <v>4072</v>
      </c>
      <c r="K504" s="3" t="s">
        <v>6509</v>
      </c>
      <c r="L504" s="3" t="s">
        <v>4131</v>
      </c>
      <c r="M504" s="3" t="s">
        <v>7318</v>
      </c>
      <c r="N504" s="3" t="s">
        <v>4042</v>
      </c>
      <c r="O504" s="3" t="s">
        <v>6530</v>
      </c>
      <c r="P504" s="3" t="s">
        <v>4334</v>
      </c>
      <c r="Q504" s="3" t="s">
        <v>6655</v>
      </c>
      <c r="R504" s="3" t="s">
        <v>4093</v>
      </c>
      <c r="S504" s="3" t="s">
        <v>7333</v>
      </c>
      <c r="T504" s="3" t="s">
        <v>4110</v>
      </c>
      <c r="U504" s="3" t="s">
        <v>6925</v>
      </c>
      <c r="V504" s="3"/>
      <c r="W504" s="3"/>
      <c r="X504" s="3" t="s">
        <v>4077</v>
      </c>
      <c r="Y504" s="3" t="s">
        <v>7057</v>
      </c>
      <c r="Z504" s="3" t="s">
        <v>4336</v>
      </c>
      <c r="AA504" s="3" t="s">
        <v>7402</v>
      </c>
    </row>
    <row r="505" customFormat="false" ht="15" hidden="false" customHeight="true" outlineLevel="0" collapsed="false">
      <c r="A505" s="3" t="s">
        <v>4337</v>
      </c>
      <c r="B505" s="3" t="n">
        <v>6</v>
      </c>
      <c r="C505" s="3" t="n">
        <v>23</v>
      </c>
      <c r="D505" s="3" t="str">
        <f aca="false">Combined!G505</f>
        <v>Student age (≤29)</v>
      </c>
      <c r="E505" s="3" t="s">
        <v>45</v>
      </c>
      <c r="F505" s="3" t="s">
        <v>437</v>
      </c>
      <c r="G505" s="3" t="s">
        <v>47</v>
      </c>
      <c r="H505" s="3" t="s">
        <v>4062</v>
      </c>
      <c r="I505" s="3" t="s">
        <v>7327</v>
      </c>
      <c r="J505" s="3" t="s">
        <v>4039</v>
      </c>
      <c r="K505" s="3" t="s">
        <v>7318</v>
      </c>
      <c r="L505" s="3" t="s">
        <v>4131</v>
      </c>
      <c r="M505" s="3" t="s">
        <v>7318</v>
      </c>
      <c r="N505" s="3" t="s">
        <v>4054</v>
      </c>
      <c r="O505" s="3" t="s">
        <v>6517</v>
      </c>
      <c r="P505" s="3" t="s">
        <v>4338</v>
      </c>
      <c r="Q505" s="3" t="s">
        <v>7403</v>
      </c>
      <c r="R505" s="3" t="s">
        <v>4339</v>
      </c>
      <c r="S505" s="3" t="s">
        <v>7119</v>
      </c>
      <c r="T505" s="3" t="s">
        <v>4123</v>
      </c>
      <c r="U505" s="3" t="s">
        <v>6509</v>
      </c>
      <c r="V505" s="3"/>
      <c r="W505" s="3"/>
      <c r="X505" s="3" t="s">
        <v>4085</v>
      </c>
      <c r="Y505" s="3" t="s">
        <v>6907</v>
      </c>
      <c r="Z505" s="3" t="s">
        <v>4341</v>
      </c>
      <c r="AA505" s="3" t="s">
        <v>7404</v>
      </c>
    </row>
    <row r="506" customFormat="false" ht="15" hidden="false" customHeight="true" outlineLevel="0" collapsed="false">
      <c r="A506" s="3" t="s">
        <v>4342</v>
      </c>
      <c r="B506" s="3" t="n">
        <v>6</v>
      </c>
      <c r="C506" s="3" t="n">
        <v>21</v>
      </c>
      <c r="D506" s="3" t="str">
        <f aca="false">Combined!G506</f>
        <v>Student age (≤29)</v>
      </c>
      <c r="E506" s="3" t="s">
        <v>45</v>
      </c>
      <c r="F506" s="3" t="s">
        <v>437</v>
      </c>
      <c r="G506" s="3" t="s">
        <v>47</v>
      </c>
      <c r="H506" s="3" t="s">
        <v>4038</v>
      </c>
      <c r="I506" s="3" t="s">
        <v>7317</v>
      </c>
      <c r="J506" s="3" t="s">
        <v>4080</v>
      </c>
      <c r="K506" s="3" t="s">
        <v>6584</v>
      </c>
      <c r="L506" s="3" t="s">
        <v>4136</v>
      </c>
      <c r="M506" s="3" t="s">
        <v>6520</v>
      </c>
      <c r="N506" s="3" t="s">
        <v>4042</v>
      </c>
      <c r="O506" s="3" t="s">
        <v>6530</v>
      </c>
      <c r="P506" s="3" t="s">
        <v>4065</v>
      </c>
      <c r="Q506" s="3" t="s">
        <v>7328</v>
      </c>
      <c r="R506" s="3" t="s">
        <v>4343</v>
      </c>
      <c r="S506" s="3" t="s">
        <v>7405</v>
      </c>
      <c r="T506" s="3" t="s">
        <v>4095</v>
      </c>
      <c r="U506" s="3" t="s">
        <v>7334</v>
      </c>
      <c r="V506" s="3"/>
      <c r="W506" s="3"/>
      <c r="X506" s="3" t="s">
        <v>4085</v>
      </c>
      <c r="Y506" s="3" t="s">
        <v>6907</v>
      </c>
      <c r="Z506" s="3" t="s">
        <v>4262</v>
      </c>
      <c r="AA506" s="3" t="s">
        <v>7383</v>
      </c>
    </row>
    <row r="507" customFormat="false" ht="15" hidden="false" customHeight="true" outlineLevel="0" collapsed="false">
      <c r="A507" s="3" t="s">
        <v>4344</v>
      </c>
      <c r="B507" s="3" t="n">
        <v>6</v>
      </c>
      <c r="C507" s="3" t="n">
        <v>24</v>
      </c>
      <c r="D507" s="3" t="str">
        <f aca="false">Combined!G507</f>
        <v>Student age (≤29)</v>
      </c>
      <c r="E507" s="3" t="s">
        <v>45</v>
      </c>
      <c r="F507" s="3" t="s">
        <v>437</v>
      </c>
      <c r="G507" s="3" t="s">
        <v>437</v>
      </c>
      <c r="H507" s="3" t="s">
        <v>4062</v>
      </c>
      <c r="I507" s="3" t="s">
        <v>7327</v>
      </c>
      <c r="J507" s="3" t="s">
        <v>4072</v>
      </c>
      <c r="K507" s="3" t="s">
        <v>6509</v>
      </c>
      <c r="L507" s="3" t="s">
        <v>4040</v>
      </c>
      <c r="M507" s="3" t="s">
        <v>6509</v>
      </c>
      <c r="N507" s="3" t="s">
        <v>4054</v>
      </c>
      <c r="O507" s="3" t="s">
        <v>6517</v>
      </c>
      <c r="P507" s="3" t="s">
        <v>4345</v>
      </c>
      <c r="Q507" s="3" t="s">
        <v>7406</v>
      </c>
      <c r="R507" s="3" t="s">
        <v>4346</v>
      </c>
      <c r="S507" s="3" t="s">
        <v>7407</v>
      </c>
      <c r="T507" s="3" t="s">
        <v>4095</v>
      </c>
      <c r="U507" s="3" t="s">
        <v>7334</v>
      </c>
      <c r="V507" s="3"/>
      <c r="W507" s="3"/>
      <c r="X507" s="3" t="s">
        <v>4070</v>
      </c>
      <c r="Y507" s="3" t="s">
        <v>6510</v>
      </c>
      <c r="Z507" s="3" t="s">
        <v>4142</v>
      </c>
      <c r="AA507" s="3" t="s">
        <v>7350</v>
      </c>
    </row>
    <row r="508" customFormat="false" ht="15" hidden="false" customHeight="true" outlineLevel="0" collapsed="false">
      <c r="A508" s="3" t="s">
        <v>4347</v>
      </c>
      <c r="B508" s="3" t="n">
        <v>6</v>
      </c>
      <c r="C508" s="3" t="n">
        <v>24</v>
      </c>
      <c r="D508" s="3" t="str">
        <f aca="false">Combined!G508</f>
        <v>Student age (≤29)</v>
      </c>
      <c r="E508" s="3" t="s">
        <v>83</v>
      </c>
      <c r="F508" s="3" t="s">
        <v>437</v>
      </c>
      <c r="G508" s="3" t="s">
        <v>47</v>
      </c>
      <c r="H508" s="3" t="s">
        <v>4088</v>
      </c>
      <c r="I508" s="3" t="s">
        <v>6759</v>
      </c>
      <c r="J508" s="3" t="s">
        <v>4080</v>
      </c>
      <c r="K508" s="3" t="s">
        <v>6584</v>
      </c>
      <c r="L508" s="3" t="s">
        <v>4052</v>
      </c>
      <c r="M508" s="3" t="s">
        <v>7323</v>
      </c>
      <c r="N508" s="3" t="s">
        <v>4054</v>
      </c>
      <c r="O508" s="3" t="s">
        <v>6517</v>
      </c>
      <c r="P508" s="3" t="s">
        <v>4313</v>
      </c>
      <c r="Q508" s="3" t="s">
        <v>6844</v>
      </c>
      <c r="R508" s="3" t="s">
        <v>4348</v>
      </c>
      <c r="S508" s="3" t="s">
        <v>7408</v>
      </c>
      <c r="T508" s="3" t="s">
        <v>4046</v>
      </c>
      <c r="U508" s="3" t="s">
        <v>7320</v>
      </c>
      <c r="V508" s="3"/>
      <c r="W508" s="3"/>
      <c r="X508" s="3" t="s">
        <v>4111</v>
      </c>
      <c r="Y508" s="3" t="s">
        <v>6551</v>
      </c>
      <c r="Z508" s="3" t="s">
        <v>4300</v>
      </c>
      <c r="AA508" s="3" t="s">
        <v>7394</v>
      </c>
    </row>
    <row r="509" customFormat="false" ht="15" hidden="false" customHeight="true" outlineLevel="0" collapsed="false">
      <c r="A509" s="3" t="s">
        <v>4349</v>
      </c>
      <c r="B509" s="3" t="n">
        <v>6</v>
      </c>
      <c r="C509" s="3" t="n">
        <v>28</v>
      </c>
      <c r="D509" s="3" t="str">
        <f aca="false">Combined!G509</f>
        <v>Student age (≤29)</v>
      </c>
      <c r="E509" s="3" t="s">
        <v>83</v>
      </c>
      <c r="F509" s="3" t="s">
        <v>437</v>
      </c>
      <c r="G509" s="3" t="s">
        <v>437</v>
      </c>
      <c r="H509" s="3" t="s">
        <v>4218</v>
      </c>
      <c r="I509" s="3" t="s">
        <v>6603</v>
      </c>
      <c r="J509" s="3" t="s">
        <v>4063</v>
      </c>
      <c r="K509" s="3" t="s">
        <v>6548</v>
      </c>
      <c r="L509" s="3" t="s">
        <v>4131</v>
      </c>
      <c r="M509" s="3" t="s">
        <v>7318</v>
      </c>
      <c r="N509" s="3" t="s">
        <v>4091</v>
      </c>
      <c r="O509" s="3" t="s">
        <v>59</v>
      </c>
      <c r="P509" s="3" t="s">
        <v>4350</v>
      </c>
      <c r="Q509" s="3" t="s">
        <v>7409</v>
      </c>
      <c r="R509" s="3" t="s">
        <v>4351</v>
      </c>
      <c r="S509" s="3" t="s">
        <v>7333</v>
      </c>
      <c r="T509" s="3" t="s">
        <v>4197</v>
      </c>
      <c r="U509" s="3" t="s">
        <v>6528</v>
      </c>
      <c r="V509" s="3"/>
      <c r="W509" s="3"/>
      <c r="X509" s="3" t="s">
        <v>4070</v>
      </c>
      <c r="Y509" s="3" t="s">
        <v>6510</v>
      </c>
      <c r="Z509" s="3" t="s">
        <v>4142</v>
      </c>
      <c r="AA509" s="3" t="s">
        <v>7350</v>
      </c>
    </row>
    <row r="510" customFormat="false" ht="15" hidden="false" customHeight="true" outlineLevel="0" collapsed="false">
      <c r="A510" s="3" t="s">
        <v>4352</v>
      </c>
      <c r="B510" s="3" t="n">
        <v>6</v>
      </c>
      <c r="C510" s="3" t="n">
        <v>26</v>
      </c>
      <c r="D510" s="3" t="str">
        <f aca="false">Combined!G510</f>
        <v>Student age (≤29)</v>
      </c>
      <c r="E510" s="3" t="s">
        <v>45</v>
      </c>
      <c r="F510" s="3" t="s">
        <v>437</v>
      </c>
      <c r="G510" s="3" t="s">
        <v>437</v>
      </c>
      <c r="H510" s="3" t="s">
        <v>4062</v>
      </c>
      <c r="I510" s="3" t="s">
        <v>7327</v>
      </c>
      <c r="J510" s="3" t="s">
        <v>4072</v>
      </c>
      <c r="K510" s="3" t="s">
        <v>6509</v>
      </c>
      <c r="L510" s="3" t="s">
        <v>4040</v>
      </c>
      <c r="M510" s="3" t="s">
        <v>6509</v>
      </c>
      <c r="N510" s="3" t="s">
        <v>4042</v>
      </c>
      <c r="O510" s="3" t="s">
        <v>6530</v>
      </c>
      <c r="P510" s="3" t="s">
        <v>4177</v>
      </c>
      <c r="Q510" s="3" t="s">
        <v>7363</v>
      </c>
      <c r="R510" s="3" t="s">
        <v>4308</v>
      </c>
      <c r="S510" s="3" t="s">
        <v>7396</v>
      </c>
      <c r="T510" s="3" t="s">
        <v>4170</v>
      </c>
      <c r="U510" s="3" t="s">
        <v>7320</v>
      </c>
      <c r="V510" s="3"/>
      <c r="W510" s="3"/>
      <c r="X510" s="3" t="s">
        <v>4048</v>
      </c>
      <c r="Y510" s="3" t="s">
        <v>6847</v>
      </c>
      <c r="Z510" s="3" t="s">
        <v>4353</v>
      </c>
      <c r="AA510" s="3" t="s">
        <v>7410</v>
      </c>
    </row>
    <row r="511" customFormat="false" ht="15" hidden="false" customHeight="true" outlineLevel="0" collapsed="false">
      <c r="A511" s="3" t="s">
        <v>4354</v>
      </c>
      <c r="B511" s="3" t="n">
        <v>6</v>
      </c>
      <c r="C511" s="3" t="n">
        <v>22</v>
      </c>
      <c r="D511" s="3" t="str">
        <f aca="false">Combined!G511</f>
        <v>Student age (≤29)</v>
      </c>
      <c r="E511" s="3" t="s">
        <v>45</v>
      </c>
      <c r="F511" s="3" t="s">
        <v>437</v>
      </c>
      <c r="G511" s="3" t="s">
        <v>2651</v>
      </c>
      <c r="H511" s="3" t="s">
        <v>4038</v>
      </c>
      <c r="I511" s="3" t="s">
        <v>7317</v>
      </c>
      <c r="J511" s="3" t="s">
        <v>4099</v>
      </c>
      <c r="K511" s="3" t="s">
        <v>6540</v>
      </c>
      <c r="L511" s="3" t="s">
        <v>4099</v>
      </c>
      <c r="M511" s="3" t="s">
        <v>6540</v>
      </c>
      <c r="N511" s="3" t="s">
        <v>4042</v>
      </c>
      <c r="O511" s="3" t="s">
        <v>6530</v>
      </c>
      <c r="P511" s="3" t="s">
        <v>4043</v>
      </c>
      <c r="Q511" s="3" t="s">
        <v>6711</v>
      </c>
      <c r="R511" s="3" t="s">
        <v>4093</v>
      </c>
      <c r="S511" s="3" t="s">
        <v>7333</v>
      </c>
      <c r="T511" s="3" t="s">
        <v>4095</v>
      </c>
      <c r="U511" s="3" t="s">
        <v>7334</v>
      </c>
      <c r="V511" s="3"/>
      <c r="W511" s="3"/>
      <c r="X511" s="3" t="s">
        <v>4077</v>
      </c>
      <c r="Y511" s="3" t="s">
        <v>7057</v>
      </c>
      <c r="Z511" s="3" t="s">
        <v>4175</v>
      </c>
      <c r="AA511" s="3" t="s">
        <v>7362</v>
      </c>
    </row>
    <row r="512" customFormat="false" ht="15" hidden="false" customHeight="true" outlineLevel="0" collapsed="false">
      <c r="A512" s="3" t="s">
        <v>4355</v>
      </c>
      <c r="B512" s="3" t="n">
        <v>6</v>
      </c>
      <c r="C512" s="3" t="n">
        <v>27</v>
      </c>
      <c r="D512" s="3" t="str">
        <f aca="false">Combined!G512</f>
        <v>Student age (≤29)</v>
      </c>
      <c r="E512" s="3" t="s">
        <v>83</v>
      </c>
      <c r="F512" s="3" t="s">
        <v>47</v>
      </c>
      <c r="G512" s="3" t="s">
        <v>47</v>
      </c>
      <c r="H512" s="3" t="s">
        <v>4038</v>
      </c>
      <c r="I512" s="3" t="s">
        <v>7317</v>
      </c>
      <c r="J512" s="3" t="s">
        <v>4099</v>
      </c>
      <c r="K512" s="3" t="s">
        <v>6540</v>
      </c>
      <c r="L512" s="3" t="s">
        <v>4040</v>
      </c>
      <c r="M512" s="3" t="s">
        <v>6509</v>
      </c>
      <c r="N512" s="3" t="s">
        <v>4054</v>
      </c>
      <c r="O512" s="3" t="s">
        <v>6517</v>
      </c>
      <c r="P512" s="3" t="s">
        <v>4065</v>
      </c>
      <c r="Q512" s="3" t="s">
        <v>7328</v>
      </c>
      <c r="R512" s="3" t="s">
        <v>4213</v>
      </c>
      <c r="S512" s="3" t="s">
        <v>6949</v>
      </c>
      <c r="T512" s="3" t="s">
        <v>4261</v>
      </c>
      <c r="U512" s="3" t="s">
        <v>6636</v>
      </c>
      <c r="V512" s="3"/>
      <c r="W512" s="3"/>
      <c r="X512" s="3" t="s">
        <v>4070</v>
      </c>
      <c r="Y512" s="3" t="s">
        <v>6510</v>
      </c>
      <c r="Z512" s="3" t="s">
        <v>4356</v>
      </c>
      <c r="AA512" s="3" t="s">
        <v>7331</v>
      </c>
    </row>
    <row r="513" customFormat="false" ht="15" hidden="false" customHeight="true" outlineLevel="0" collapsed="false">
      <c r="A513" s="3" t="s">
        <v>4357</v>
      </c>
      <c r="B513" s="3" t="n">
        <v>6</v>
      </c>
      <c r="C513" s="3" t="n">
        <v>21</v>
      </c>
      <c r="D513" s="3" t="str">
        <f aca="false">Combined!G513</f>
        <v>Student age (≤29)</v>
      </c>
      <c r="E513" s="3" t="s">
        <v>45</v>
      </c>
      <c r="F513" s="3" t="s">
        <v>437</v>
      </c>
      <c r="G513" s="3" t="s">
        <v>47</v>
      </c>
      <c r="H513" s="3" t="s">
        <v>4038</v>
      </c>
      <c r="I513" s="3" t="s">
        <v>7317</v>
      </c>
      <c r="J513" s="3" t="s">
        <v>4072</v>
      </c>
      <c r="K513" s="3" t="s">
        <v>6509</v>
      </c>
      <c r="L513" s="3" t="s">
        <v>4099</v>
      </c>
      <c r="M513" s="3" t="s">
        <v>6540</v>
      </c>
      <c r="N513" s="3" t="s">
        <v>4042</v>
      </c>
      <c r="O513" s="3" t="s">
        <v>6530</v>
      </c>
      <c r="P513" s="3" t="s">
        <v>4065</v>
      </c>
      <c r="Q513" s="3" t="s">
        <v>7328</v>
      </c>
      <c r="R513" s="3" t="s">
        <v>4358</v>
      </c>
      <c r="S513" s="3" t="s">
        <v>6543</v>
      </c>
      <c r="T513" s="3" t="s">
        <v>4261</v>
      </c>
      <c r="U513" s="3" t="s">
        <v>6636</v>
      </c>
      <c r="V513" s="3"/>
      <c r="W513" s="3"/>
      <c r="X513" s="3" t="s">
        <v>4059</v>
      </c>
      <c r="Y513" s="3" t="s">
        <v>6646</v>
      </c>
      <c r="Z513" s="3" t="s">
        <v>4205</v>
      </c>
      <c r="AA513" s="3" t="s">
        <v>7364</v>
      </c>
    </row>
    <row r="514" customFormat="false" ht="15" hidden="false" customHeight="true" outlineLevel="0" collapsed="false">
      <c r="A514" s="3" t="s">
        <v>4359</v>
      </c>
      <c r="B514" s="3" t="n">
        <v>6</v>
      </c>
      <c r="C514" s="3" t="n">
        <v>72</v>
      </c>
      <c r="D514" s="3" t="str">
        <f aca="false">Combined!G514</f>
        <v>Elderly (65+)</v>
      </c>
      <c r="E514" s="3" t="s">
        <v>45</v>
      </c>
      <c r="F514" s="3" t="s">
        <v>437</v>
      </c>
      <c r="G514" s="3" t="s">
        <v>437</v>
      </c>
      <c r="H514" s="3" t="s">
        <v>4038</v>
      </c>
      <c r="I514" s="3" t="s">
        <v>7317</v>
      </c>
      <c r="J514" s="3" t="s">
        <v>4039</v>
      </c>
      <c r="K514" s="3" t="s">
        <v>7318</v>
      </c>
      <c r="L514" s="3" t="s">
        <v>4099</v>
      </c>
      <c r="M514" s="3" t="s">
        <v>6540</v>
      </c>
      <c r="N514" s="3" t="s">
        <v>4042</v>
      </c>
      <c r="O514" s="3" t="s">
        <v>6530</v>
      </c>
      <c r="P514" s="3" t="s">
        <v>4065</v>
      </c>
      <c r="Q514" s="3" t="s">
        <v>7328</v>
      </c>
      <c r="R514" s="3" t="s">
        <v>4203</v>
      </c>
      <c r="S514" s="3" t="s">
        <v>6857</v>
      </c>
      <c r="T514" s="3" t="s">
        <v>4110</v>
      </c>
      <c r="U514" s="3" t="s">
        <v>6925</v>
      </c>
      <c r="V514" s="3"/>
      <c r="W514" s="3"/>
      <c r="X514" s="3" t="s">
        <v>4085</v>
      </c>
      <c r="Y514" s="3" t="s">
        <v>6907</v>
      </c>
      <c r="Z514" s="3" t="s">
        <v>2242</v>
      </c>
      <c r="AA514" s="3" t="s">
        <v>6538</v>
      </c>
    </row>
    <row r="515" customFormat="false" ht="15" hidden="false" customHeight="true" outlineLevel="0" collapsed="false">
      <c r="A515" s="3" t="s">
        <v>4360</v>
      </c>
      <c r="B515" s="3" t="n">
        <v>6</v>
      </c>
      <c r="C515" s="3" t="n">
        <v>24</v>
      </c>
      <c r="D515" s="3" t="str">
        <f aca="false">Combined!G515</f>
        <v>Student age (≤29)</v>
      </c>
      <c r="E515" s="3" t="s">
        <v>45</v>
      </c>
      <c r="F515" s="3" t="s">
        <v>47</v>
      </c>
      <c r="G515" s="3" t="s">
        <v>47</v>
      </c>
      <c r="H515" s="3" t="s">
        <v>4062</v>
      </c>
      <c r="I515" s="3" t="s">
        <v>7327</v>
      </c>
      <c r="J515" s="3" t="s">
        <v>4063</v>
      </c>
      <c r="K515" s="3" t="s">
        <v>6548</v>
      </c>
      <c r="L515" s="3" t="s">
        <v>4150</v>
      </c>
      <c r="M515" s="3" t="s">
        <v>7353</v>
      </c>
      <c r="N515" s="3" t="s">
        <v>4042</v>
      </c>
      <c r="O515" s="3" t="s">
        <v>6530</v>
      </c>
      <c r="P515" s="3" t="s">
        <v>4362</v>
      </c>
      <c r="Q515" s="3" t="s">
        <v>6979</v>
      </c>
      <c r="R515" s="3" t="s">
        <v>4363</v>
      </c>
      <c r="S515" s="3" t="s">
        <v>7354</v>
      </c>
      <c r="T515" s="3" t="s">
        <v>4117</v>
      </c>
      <c r="U515" s="3" t="s">
        <v>7343</v>
      </c>
      <c r="V515" s="3"/>
      <c r="W515" s="3"/>
      <c r="X515" s="3" t="s">
        <v>4164</v>
      </c>
      <c r="Y515" s="3" t="s">
        <v>6651</v>
      </c>
      <c r="Z515" s="3" t="s">
        <v>4365</v>
      </c>
      <c r="AA515" s="3" t="s">
        <v>7411</v>
      </c>
    </row>
    <row r="516" customFormat="false" ht="15" hidden="false" customHeight="true" outlineLevel="0" collapsed="false">
      <c r="A516" s="3" t="s">
        <v>4366</v>
      </c>
      <c r="B516" s="3" t="n">
        <v>6</v>
      </c>
      <c r="C516" s="3" t="n">
        <v>49</v>
      </c>
      <c r="D516" s="3" t="str">
        <f aca="false">Combined!G516</f>
        <v>Middle-aged (30–64)</v>
      </c>
      <c r="E516" s="3" t="s">
        <v>83</v>
      </c>
      <c r="F516" s="3" t="s">
        <v>437</v>
      </c>
      <c r="G516" s="3" t="s">
        <v>437</v>
      </c>
      <c r="H516" s="3" t="s">
        <v>4088</v>
      </c>
      <c r="I516" s="3" t="s">
        <v>6759</v>
      </c>
      <c r="J516" s="3" t="s">
        <v>4063</v>
      </c>
      <c r="K516" s="3" t="s">
        <v>6548</v>
      </c>
      <c r="L516" s="3" t="s">
        <v>4136</v>
      </c>
      <c r="M516" s="3" t="s">
        <v>6520</v>
      </c>
      <c r="N516" s="3" t="s">
        <v>4042</v>
      </c>
      <c r="O516" s="3" t="s">
        <v>6530</v>
      </c>
      <c r="P516" s="3" t="s">
        <v>4065</v>
      </c>
      <c r="Q516" s="3" t="s">
        <v>7328</v>
      </c>
      <c r="R516" s="3" t="s">
        <v>4221</v>
      </c>
      <c r="S516" s="3" t="s">
        <v>6709</v>
      </c>
      <c r="T516" s="3" t="s">
        <v>4117</v>
      </c>
      <c r="U516" s="3" t="s">
        <v>7343</v>
      </c>
      <c r="V516" s="3"/>
      <c r="W516" s="3"/>
      <c r="X516" s="3" t="s">
        <v>4059</v>
      </c>
      <c r="Y516" s="3" t="s">
        <v>6646</v>
      </c>
      <c r="Z516" s="3" t="s">
        <v>4368</v>
      </c>
      <c r="AA516" s="3" t="s">
        <v>7412</v>
      </c>
    </row>
    <row r="517" customFormat="false" ht="15" hidden="false" customHeight="true" outlineLevel="0" collapsed="false">
      <c r="A517" s="3" t="s">
        <v>4369</v>
      </c>
      <c r="B517" s="3" t="n">
        <v>6</v>
      </c>
      <c r="C517" s="3" t="n">
        <v>52</v>
      </c>
      <c r="D517" s="3" t="str">
        <f aca="false">Combined!G517</f>
        <v>Middle-aged (30–64)</v>
      </c>
      <c r="E517" s="3" t="s">
        <v>45</v>
      </c>
      <c r="F517" s="3" t="s">
        <v>437</v>
      </c>
      <c r="G517" s="3" t="s">
        <v>437</v>
      </c>
      <c r="H517" s="3" t="s">
        <v>4038</v>
      </c>
      <c r="I517" s="3" t="s">
        <v>7317</v>
      </c>
      <c r="J517" s="3" t="s">
        <v>4080</v>
      </c>
      <c r="K517" s="3" t="s">
        <v>6584</v>
      </c>
      <c r="L517" s="3" t="s">
        <v>4136</v>
      </c>
      <c r="M517" s="3" t="s">
        <v>6520</v>
      </c>
      <c r="N517" s="3" t="s">
        <v>4042</v>
      </c>
      <c r="O517" s="3" t="s">
        <v>6530</v>
      </c>
      <c r="P517" s="3" t="s">
        <v>4065</v>
      </c>
      <c r="Q517" s="3" t="s">
        <v>7328</v>
      </c>
      <c r="R517" s="3" t="s">
        <v>4093</v>
      </c>
      <c r="S517" s="3" t="s">
        <v>7333</v>
      </c>
      <c r="T517" s="3" t="s">
        <v>4117</v>
      </c>
      <c r="U517" s="3" t="s">
        <v>7343</v>
      </c>
      <c r="V517" s="3"/>
      <c r="W517" s="3"/>
      <c r="X517" s="3" t="s">
        <v>4059</v>
      </c>
      <c r="Y517" s="3" t="s">
        <v>6646</v>
      </c>
      <c r="Z517" s="3" t="s">
        <v>4371</v>
      </c>
      <c r="AA517" s="3" t="s">
        <v>7413</v>
      </c>
    </row>
    <row r="518" customFormat="false" ht="15" hidden="false" customHeight="true" outlineLevel="0" collapsed="false">
      <c r="A518" s="3" t="s">
        <v>4372</v>
      </c>
      <c r="B518" s="3" t="n">
        <v>6</v>
      </c>
      <c r="C518" s="3" t="n">
        <v>52</v>
      </c>
      <c r="D518" s="3" t="str">
        <f aca="false">Combined!G518</f>
        <v>Middle-aged (30–64)</v>
      </c>
      <c r="E518" s="3" t="s">
        <v>83</v>
      </c>
      <c r="F518" s="3" t="s">
        <v>437</v>
      </c>
      <c r="G518" s="3" t="s">
        <v>437</v>
      </c>
      <c r="H518" s="3" t="s">
        <v>4038</v>
      </c>
      <c r="I518" s="3" t="s">
        <v>7317</v>
      </c>
      <c r="J518" s="3" t="s">
        <v>4072</v>
      </c>
      <c r="K518" s="3" t="s">
        <v>6509</v>
      </c>
      <c r="L518" s="3" t="s">
        <v>4040</v>
      </c>
      <c r="M518" s="3" t="s">
        <v>6509</v>
      </c>
      <c r="N518" s="3" t="s">
        <v>4054</v>
      </c>
      <c r="O518" s="3" t="s">
        <v>6517</v>
      </c>
      <c r="P518" s="3" t="s">
        <v>4362</v>
      </c>
      <c r="Q518" s="3" t="s">
        <v>6979</v>
      </c>
      <c r="R518" s="3" t="s">
        <v>4373</v>
      </c>
      <c r="S518" s="3" t="s">
        <v>7282</v>
      </c>
      <c r="T518" s="3" t="s">
        <v>4123</v>
      </c>
      <c r="U518" s="3" t="s">
        <v>6509</v>
      </c>
      <c r="V518" s="3"/>
      <c r="W518" s="3"/>
      <c r="X518" s="3" t="s">
        <v>4111</v>
      </c>
      <c r="Y518" s="3" t="s">
        <v>6551</v>
      </c>
      <c r="Z518" s="3" t="s">
        <v>4375</v>
      </c>
      <c r="AA518" s="3" t="s">
        <v>7093</v>
      </c>
    </row>
    <row r="519" customFormat="false" ht="15" hidden="false" customHeight="true" outlineLevel="0" collapsed="false">
      <c r="A519" s="3" t="s">
        <v>4376</v>
      </c>
      <c r="B519" s="3" t="n">
        <v>6</v>
      </c>
      <c r="C519" s="3" t="n">
        <v>56</v>
      </c>
      <c r="D519" s="3" t="str">
        <f aca="false">Combined!G519</f>
        <v>Middle-aged (30–64)</v>
      </c>
      <c r="E519" s="3" t="s">
        <v>83</v>
      </c>
      <c r="F519" s="3" t="s">
        <v>437</v>
      </c>
      <c r="G519" s="3" t="s">
        <v>437</v>
      </c>
      <c r="H519" s="3" t="s">
        <v>4038</v>
      </c>
      <c r="I519" s="3" t="s">
        <v>7317</v>
      </c>
      <c r="J519" s="3" t="s">
        <v>4099</v>
      </c>
      <c r="K519" s="3" t="s">
        <v>6540</v>
      </c>
      <c r="L519" s="3" t="s">
        <v>4099</v>
      </c>
      <c r="M519" s="3" t="s">
        <v>6540</v>
      </c>
      <c r="N519" s="3" t="s">
        <v>4042</v>
      </c>
      <c r="O519" s="3" t="s">
        <v>6530</v>
      </c>
      <c r="P519" s="3" t="s">
        <v>4173</v>
      </c>
      <c r="Q519" s="3" t="s">
        <v>6932</v>
      </c>
      <c r="R519" s="3" t="s">
        <v>4377</v>
      </c>
      <c r="S519" s="3" t="s">
        <v>7414</v>
      </c>
      <c r="T519" s="3" t="s">
        <v>4117</v>
      </c>
      <c r="U519" s="3" t="s">
        <v>7343</v>
      </c>
      <c r="V519" s="3"/>
      <c r="W519" s="3"/>
      <c r="X519" s="3" t="s">
        <v>4085</v>
      </c>
      <c r="Y519" s="3" t="s">
        <v>6907</v>
      </c>
      <c r="Z519" s="3" t="s">
        <v>4175</v>
      </c>
      <c r="AA519" s="3" t="s">
        <v>7362</v>
      </c>
    </row>
    <row r="520" customFormat="false" ht="15" hidden="false" customHeight="true" outlineLevel="0" collapsed="false">
      <c r="A520" s="3" t="s">
        <v>4378</v>
      </c>
      <c r="B520" s="3" t="n">
        <v>6</v>
      </c>
      <c r="C520" s="3" t="n">
        <v>48</v>
      </c>
      <c r="D520" s="3" t="str">
        <f aca="false">Combined!G520</f>
        <v>Middle-aged (30–64)</v>
      </c>
      <c r="E520" s="3" t="s">
        <v>45</v>
      </c>
      <c r="F520" s="3" t="s">
        <v>437</v>
      </c>
      <c r="G520" s="3" t="s">
        <v>437</v>
      </c>
      <c r="H520" s="3" t="s">
        <v>4062</v>
      </c>
      <c r="I520" s="3" t="s">
        <v>7327</v>
      </c>
      <c r="J520" s="3" t="s">
        <v>4080</v>
      </c>
      <c r="K520" s="3" t="s">
        <v>6584</v>
      </c>
      <c r="L520" s="3" t="s">
        <v>4136</v>
      </c>
      <c r="M520" s="3" t="s">
        <v>6520</v>
      </c>
      <c r="N520" s="3" t="s">
        <v>4042</v>
      </c>
      <c r="O520" s="3" t="s">
        <v>6530</v>
      </c>
      <c r="P520" s="3" t="s">
        <v>4065</v>
      </c>
      <c r="Q520" s="3" t="s">
        <v>7328</v>
      </c>
      <c r="R520" s="3" t="s">
        <v>4379</v>
      </c>
      <c r="S520" s="3" t="s">
        <v>7332</v>
      </c>
      <c r="T520" s="3" t="s">
        <v>4110</v>
      </c>
      <c r="U520" s="3" t="s">
        <v>6925</v>
      </c>
      <c r="V520" s="3"/>
      <c r="W520" s="3"/>
      <c r="X520" s="3" t="s">
        <v>4059</v>
      </c>
      <c r="Y520" s="3" t="s">
        <v>6646</v>
      </c>
      <c r="Z520" s="3" t="s">
        <v>4380</v>
      </c>
      <c r="AA520" s="3" t="s">
        <v>7362</v>
      </c>
    </row>
    <row r="521" customFormat="false" ht="15" hidden="false" customHeight="true" outlineLevel="0" collapsed="false">
      <c r="A521" s="3" t="s">
        <v>4381</v>
      </c>
      <c r="B521" s="3" t="n">
        <v>6</v>
      </c>
      <c r="C521" s="3" t="n">
        <v>42</v>
      </c>
      <c r="D521" s="3" t="str">
        <f aca="false">Combined!G521</f>
        <v>Middle-aged (30–64)</v>
      </c>
      <c r="E521" s="3" t="s">
        <v>45</v>
      </c>
      <c r="F521" s="3" t="s">
        <v>437</v>
      </c>
      <c r="G521" s="3" t="s">
        <v>437</v>
      </c>
      <c r="H521" s="3" t="s">
        <v>4038</v>
      </c>
      <c r="I521" s="3" t="s">
        <v>7317</v>
      </c>
      <c r="J521" s="3" t="s">
        <v>4080</v>
      </c>
      <c r="K521" s="3" t="s">
        <v>6584</v>
      </c>
      <c r="L521" s="3" t="s">
        <v>4131</v>
      </c>
      <c r="M521" s="3" t="s">
        <v>7318</v>
      </c>
      <c r="N521" s="3" t="s">
        <v>4054</v>
      </c>
      <c r="O521" s="3" t="s">
        <v>6517</v>
      </c>
      <c r="P521" s="3" t="s">
        <v>4101</v>
      </c>
      <c r="Q521" s="3" t="s">
        <v>7336</v>
      </c>
      <c r="R521" s="3" t="s">
        <v>4155</v>
      </c>
      <c r="S521" s="3" t="s">
        <v>7356</v>
      </c>
      <c r="T521" s="3" t="s">
        <v>4134</v>
      </c>
      <c r="U521" s="3" t="s">
        <v>7348</v>
      </c>
      <c r="V521" s="3"/>
      <c r="W521" s="3"/>
      <c r="X521" s="3" t="s">
        <v>4059</v>
      </c>
      <c r="Y521" s="3" t="s">
        <v>6646</v>
      </c>
      <c r="Z521" s="3" t="s">
        <v>4382</v>
      </c>
      <c r="AA521" s="3" t="s">
        <v>7415</v>
      </c>
    </row>
    <row r="522" customFormat="false" ht="15" hidden="false" customHeight="true" outlineLevel="0" collapsed="false">
      <c r="A522" s="3" t="s">
        <v>4383</v>
      </c>
      <c r="B522" s="3" t="n">
        <v>6</v>
      </c>
      <c r="C522" s="3" t="n">
        <v>40</v>
      </c>
      <c r="D522" s="3" t="str">
        <f aca="false">Combined!G522</f>
        <v>Middle-aged (30–64)</v>
      </c>
      <c r="E522" s="3" t="s">
        <v>83</v>
      </c>
      <c r="F522" s="3" t="s">
        <v>437</v>
      </c>
      <c r="G522" s="3" t="s">
        <v>437</v>
      </c>
      <c r="H522" s="3" t="s">
        <v>4038</v>
      </c>
      <c r="I522" s="3" t="s">
        <v>7317</v>
      </c>
      <c r="J522" s="3" t="s">
        <v>4080</v>
      </c>
      <c r="K522" s="3" t="s">
        <v>6584</v>
      </c>
      <c r="L522" s="3" t="s">
        <v>4099</v>
      </c>
      <c r="M522" s="3" t="s">
        <v>6540</v>
      </c>
      <c r="N522" s="3" t="s">
        <v>4042</v>
      </c>
      <c r="O522" s="3" t="s">
        <v>6530</v>
      </c>
      <c r="P522" s="3" t="s">
        <v>4092</v>
      </c>
      <c r="Q522" s="3" t="s">
        <v>6893</v>
      </c>
      <c r="R522" s="3" t="s">
        <v>4093</v>
      </c>
      <c r="S522" s="3" t="s">
        <v>7333</v>
      </c>
      <c r="T522" s="3" t="s">
        <v>4261</v>
      </c>
      <c r="U522" s="3" t="s">
        <v>6636</v>
      </c>
      <c r="V522" s="3"/>
      <c r="W522" s="3"/>
      <c r="X522" s="3" t="s">
        <v>4085</v>
      </c>
      <c r="Y522" s="3" t="s">
        <v>6907</v>
      </c>
      <c r="Z522" s="3" t="s">
        <v>4384</v>
      </c>
      <c r="AA522" s="3" t="s">
        <v>7072</v>
      </c>
    </row>
    <row r="523" customFormat="false" ht="15" hidden="false" customHeight="true" outlineLevel="0" collapsed="false">
      <c r="A523" s="3" t="s">
        <v>4385</v>
      </c>
      <c r="B523" s="3" t="n">
        <v>6</v>
      </c>
      <c r="C523" s="3" t="n">
        <v>50</v>
      </c>
      <c r="D523" s="3" t="str">
        <f aca="false">Combined!G523</f>
        <v>Middle-aged (30–64)</v>
      </c>
      <c r="E523" s="3" t="s">
        <v>45</v>
      </c>
      <c r="F523" s="3" t="s">
        <v>437</v>
      </c>
      <c r="G523" s="3" t="s">
        <v>437</v>
      </c>
      <c r="H523" s="3" t="s">
        <v>4098</v>
      </c>
      <c r="I523" s="3" t="s">
        <v>6539</v>
      </c>
      <c r="J523" s="3" t="s">
        <v>4080</v>
      </c>
      <c r="K523" s="3" t="s">
        <v>6584</v>
      </c>
      <c r="L523" s="3" t="s">
        <v>4136</v>
      </c>
      <c r="M523" s="3" t="s">
        <v>6520</v>
      </c>
      <c r="N523" s="3" t="s">
        <v>4042</v>
      </c>
      <c r="O523" s="3" t="s">
        <v>6530</v>
      </c>
      <c r="P523" s="3" t="s">
        <v>4043</v>
      </c>
      <c r="Q523" s="3" t="s">
        <v>6711</v>
      </c>
      <c r="R523" s="3" t="s">
        <v>4386</v>
      </c>
      <c r="S523" s="3" t="s">
        <v>7414</v>
      </c>
      <c r="T523" s="3" t="s">
        <v>4123</v>
      </c>
      <c r="U523" s="3" t="s">
        <v>6509</v>
      </c>
      <c r="V523" s="3"/>
      <c r="W523" s="3"/>
      <c r="X523" s="3" t="s">
        <v>4059</v>
      </c>
      <c r="Y523" s="3" t="s">
        <v>6646</v>
      </c>
      <c r="Z523" s="3" t="s">
        <v>4387</v>
      </c>
      <c r="AA523" s="3" t="s">
        <v>7416</v>
      </c>
    </row>
    <row r="524" customFormat="false" ht="15" hidden="false" customHeight="true" outlineLevel="0" collapsed="false">
      <c r="A524" s="3" t="s">
        <v>4388</v>
      </c>
      <c r="B524" s="3" t="n">
        <v>6</v>
      </c>
      <c r="C524" s="3" t="n">
        <v>36</v>
      </c>
      <c r="D524" s="3" t="str">
        <f aca="false">Combined!G524</f>
        <v>Middle-aged (30–64)</v>
      </c>
      <c r="E524" s="3" t="s">
        <v>83</v>
      </c>
      <c r="F524" s="3" t="s">
        <v>437</v>
      </c>
      <c r="G524" s="3" t="s">
        <v>437</v>
      </c>
      <c r="H524" s="3" t="s">
        <v>4218</v>
      </c>
      <c r="I524" s="3" t="s">
        <v>6603</v>
      </c>
      <c r="J524" s="3" t="s">
        <v>4099</v>
      </c>
      <c r="K524" s="3" t="s">
        <v>6540</v>
      </c>
      <c r="L524" s="3" t="s">
        <v>4131</v>
      </c>
      <c r="M524" s="3" t="s">
        <v>7318</v>
      </c>
      <c r="N524" s="3" t="s">
        <v>4265</v>
      </c>
      <c r="O524" s="3" t="s">
        <v>6517</v>
      </c>
      <c r="P524" s="3" t="s">
        <v>4173</v>
      </c>
      <c r="Q524" s="3" t="s">
        <v>6932</v>
      </c>
      <c r="R524" s="3" t="s">
        <v>4389</v>
      </c>
      <c r="S524" s="3" t="s">
        <v>6613</v>
      </c>
      <c r="T524" s="3" t="s">
        <v>4281</v>
      </c>
      <c r="U524" s="3" t="s">
        <v>7386</v>
      </c>
      <c r="V524" s="3"/>
      <c r="W524" s="3"/>
      <c r="X524" s="3" t="s">
        <v>4070</v>
      </c>
      <c r="Y524" s="3" t="s">
        <v>6510</v>
      </c>
      <c r="Z524" s="3" t="s">
        <v>4086</v>
      </c>
      <c r="AA524" s="3" t="s">
        <v>7326</v>
      </c>
    </row>
    <row r="525" customFormat="false" ht="15" hidden="false" customHeight="true" outlineLevel="0" collapsed="false">
      <c r="A525" s="3" t="s">
        <v>4390</v>
      </c>
      <c r="B525" s="3" t="n">
        <v>6</v>
      </c>
      <c r="C525" s="3" t="n">
        <v>49</v>
      </c>
      <c r="D525" s="3" t="str">
        <f aca="false">Combined!G525</f>
        <v>Middle-aged (30–64)</v>
      </c>
      <c r="E525" s="3" t="s">
        <v>83</v>
      </c>
      <c r="F525" s="3" t="s">
        <v>437</v>
      </c>
      <c r="G525" s="3" t="s">
        <v>437</v>
      </c>
      <c r="H525" s="3" t="s">
        <v>4038</v>
      </c>
      <c r="I525" s="3" t="s">
        <v>7317</v>
      </c>
      <c r="J525" s="3" t="s">
        <v>4051</v>
      </c>
      <c r="K525" s="3" t="s">
        <v>7322</v>
      </c>
      <c r="L525" s="3" t="s">
        <v>4251</v>
      </c>
      <c r="M525" s="3" t="s">
        <v>7322</v>
      </c>
      <c r="N525" s="3" t="s">
        <v>4054</v>
      </c>
      <c r="O525" s="3" t="s">
        <v>6517</v>
      </c>
      <c r="P525" s="3" t="s">
        <v>4092</v>
      </c>
      <c r="Q525" s="3" t="s">
        <v>6893</v>
      </c>
      <c r="R525" s="3" t="s">
        <v>4093</v>
      </c>
      <c r="S525" s="3" t="s">
        <v>7333</v>
      </c>
      <c r="T525" s="3" t="s">
        <v>4261</v>
      </c>
      <c r="U525" s="3" t="s">
        <v>6636</v>
      </c>
      <c r="V525" s="3"/>
      <c r="W525" s="3"/>
      <c r="X525" s="3" t="s">
        <v>4070</v>
      </c>
      <c r="Y525" s="3" t="s">
        <v>6510</v>
      </c>
      <c r="Z525" s="3" t="s">
        <v>4391</v>
      </c>
      <c r="AA525" s="3" t="s">
        <v>7417</v>
      </c>
    </row>
    <row r="526" customFormat="false" ht="15" hidden="false" customHeight="true" outlineLevel="0" collapsed="false">
      <c r="A526" s="3" t="s">
        <v>4392</v>
      </c>
      <c r="B526" s="3" t="n">
        <v>6</v>
      </c>
      <c r="C526" s="3" t="n">
        <v>24</v>
      </c>
      <c r="D526" s="3" t="str">
        <f aca="false">Combined!G526</f>
        <v>Student age (≤29)</v>
      </c>
      <c r="E526" s="3" t="s">
        <v>45</v>
      </c>
      <c r="F526" s="3" t="s">
        <v>437</v>
      </c>
      <c r="G526" s="3" t="s">
        <v>437</v>
      </c>
      <c r="H526" s="3" t="s">
        <v>4038</v>
      </c>
      <c r="I526" s="3" t="s">
        <v>7317</v>
      </c>
      <c r="J526" s="3" t="s">
        <v>4039</v>
      </c>
      <c r="K526" s="3" t="s">
        <v>7318</v>
      </c>
      <c r="L526" s="3" t="s">
        <v>2062</v>
      </c>
      <c r="M526" s="3" t="s">
        <v>6569</v>
      </c>
      <c r="N526" s="3" t="s">
        <v>4042</v>
      </c>
      <c r="O526" s="3" t="s">
        <v>6530</v>
      </c>
      <c r="P526" s="3" t="s">
        <v>4202</v>
      </c>
      <c r="Q526" s="3" t="s">
        <v>6730</v>
      </c>
      <c r="R526" s="3" t="s">
        <v>4393</v>
      </c>
      <c r="S526" s="3" t="s">
        <v>7352</v>
      </c>
      <c r="T526" s="3" t="s">
        <v>4095</v>
      </c>
      <c r="U526" s="3" t="s">
        <v>7334</v>
      </c>
      <c r="V526" s="3"/>
      <c r="W526" s="3"/>
      <c r="X526" s="3" t="s">
        <v>4085</v>
      </c>
      <c r="Y526" s="3" t="s">
        <v>6907</v>
      </c>
      <c r="Z526" s="3" t="s">
        <v>4205</v>
      </c>
      <c r="AA526" s="3" t="s">
        <v>7364</v>
      </c>
    </row>
    <row r="527" customFormat="false" ht="15" hidden="false" customHeight="true" outlineLevel="0" collapsed="false">
      <c r="A527" s="3" t="s">
        <v>4394</v>
      </c>
      <c r="B527" s="3" t="n">
        <v>6</v>
      </c>
      <c r="C527" s="3" t="n">
        <v>62</v>
      </c>
      <c r="D527" s="3" t="str">
        <f aca="false">Combined!G527</f>
        <v>Middle-aged (30–64)</v>
      </c>
      <c r="E527" s="3" t="s">
        <v>83</v>
      </c>
      <c r="F527" s="3" t="s">
        <v>437</v>
      </c>
      <c r="G527" s="3" t="s">
        <v>437</v>
      </c>
      <c r="H527" s="3" t="s">
        <v>4062</v>
      </c>
      <c r="I527" s="3" t="s">
        <v>7327</v>
      </c>
      <c r="J527" s="3" t="s">
        <v>4099</v>
      </c>
      <c r="K527" s="3" t="s">
        <v>6540</v>
      </c>
      <c r="L527" s="3" t="s">
        <v>4099</v>
      </c>
      <c r="M527" s="3" t="s">
        <v>6540</v>
      </c>
      <c r="N527" s="3" t="s">
        <v>4054</v>
      </c>
      <c r="O527" s="3" t="s">
        <v>6517</v>
      </c>
      <c r="P527" s="3" t="s">
        <v>4043</v>
      </c>
      <c r="Q527" s="3" t="s">
        <v>6711</v>
      </c>
      <c r="R527" s="3" t="s">
        <v>4395</v>
      </c>
      <c r="S527" s="3" t="s">
        <v>7418</v>
      </c>
      <c r="T527" s="3" t="s">
        <v>4123</v>
      </c>
      <c r="U527" s="3" t="s">
        <v>6509</v>
      </c>
      <c r="V527" s="3"/>
      <c r="W527" s="3"/>
      <c r="X527" s="3" t="s">
        <v>4059</v>
      </c>
      <c r="Y527" s="3" t="s">
        <v>6646</v>
      </c>
      <c r="Z527" s="3" t="s">
        <v>2242</v>
      </c>
      <c r="AA527" s="3" t="s">
        <v>6538</v>
      </c>
    </row>
    <row r="528" customFormat="false" ht="15" hidden="false" customHeight="true" outlineLevel="0" collapsed="false">
      <c r="A528" s="3" t="s">
        <v>4396</v>
      </c>
      <c r="B528" s="3" t="n">
        <v>6</v>
      </c>
      <c r="C528" s="3" t="n">
        <v>23</v>
      </c>
      <c r="D528" s="3" t="str">
        <f aca="false">Combined!G528</f>
        <v>Student age (≤29)</v>
      </c>
      <c r="E528" s="3" t="s">
        <v>45</v>
      </c>
      <c r="F528" s="3" t="s">
        <v>437</v>
      </c>
      <c r="G528" s="3" t="s">
        <v>437</v>
      </c>
      <c r="H528" s="3" t="s">
        <v>4038</v>
      </c>
      <c r="I528" s="3" t="s">
        <v>7317</v>
      </c>
      <c r="J528" s="3" t="s">
        <v>4063</v>
      </c>
      <c r="K528" s="3" t="s">
        <v>6548</v>
      </c>
      <c r="L528" s="3" t="s">
        <v>4131</v>
      </c>
      <c r="M528" s="3" t="s">
        <v>7318</v>
      </c>
      <c r="N528" s="3" t="s">
        <v>4042</v>
      </c>
      <c r="O528" s="3" t="s">
        <v>6530</v>
      </c>
      <c r="P528" s="3" t="s">
        <v>4200</v>
      </c>
      <c r="Q528" s="3" t="s">
        <v>7371</v>
      </c>
      <c r="R528" s="3" t="s">
        <v>4363</v>
      </c>
      <c r="S528" s="3" t="s">
        <v>7354</v>
      </c>
      <c r="T528" s="3" t="s">
        <v>4095</v>
      </c>
      <c r="U528" s="3" t="s">
        <v>7334</v>
      </c>
      <c r="V528" s="3"/>
      <c r="W528" s="3"/>
      <c r="X528" s="3" t="s">
        <v>4059</v>
      </c>
      <c r="Y528" s="3" t="s">
        <v>6646</v>
      </c>
      <c r="Z528" s="3" t="s">
        <v>4124</v>
      </c>
      <c r="AA528" s="3" t="s">
        <v>7345</v>
      </c>
    </row>
    <row r="529" customFormat="false" ht="15" hidden="false" customHeight="true" outlineLevel="0" collapsed="false">
      <c r="A529" s="3" t="s">
        <v>4397</v>
      </c>
      <c r="B529" s="3" t="n">
        <v>6</v>
      </c>
      <c r="C529" s="3" t="n">
        <v>63</v>
      </c>
      <c r="D529" s="3" t="str">
        <f aca="false">Combined!G529</f>
        <v>Middle-aged (30–64)</v>
      </c>
      <c r="E529" s="3" t="s">
        <v>45</v>
      </c>
      <c r="F529" s="3" t="s">
        <v>437</v>
      </c>
      <c r="G529" s="3" t="s">
        <v>437</v>
      </c>
      <c r="H529" s="3" t="s">
        <v>4098</v>
      </c>
      <c r="I529" s="3" t="s">
        <v>6539</v>
      </c>
      <c r="J529" s="3" t="s">
        <v>4099</v>
      </c>
      <c r="K529" s="3" t="s">
        <v>6540</v>
      </c>
      <c r="L529" s="3" t="s">
        <v>4099</v>
      </c>
      <c r="M529" s="3" t="s">
        <v>6540</v>
      </c>
      <c r="N529" s="3" t="s">
        <v>4265</v>
      </c>
      <c r="O529" s="3" t="s">
        <v>6517</v>
      </c>
      <c r="P529" s="3" t="s">
        <v>4065</v>
      </c>
      <c r="Q529" s="3" t="s">
        <v>7328</v>
      </c>
      <c r="R529" s="3" t="s">
        <v>4259</v>
      </c>
      <c r="S529" s="3" t="s">
        <v>6857</v>
      </c>
      <c r="T529" s="3" t="s">
        <v>4095</v>
      </c>
      <c r="U529" s="3" t="s">
        <v>7334</v>
      </c>
      <c r="V529" s="3"/>
      <c r="W529" s="3"/>
      <c r="X529" s="3" t="s">
        <v>4059</v>
      </c>
      <c r="Y529" s="3" t="s">
        <v>6646</v>
      </c>
      <c r="Z529" s="3" t="s">
        <v>2242</v>
      </c>
      <c r="AA529" s="3" t="s">
        <v>6538</v>
      </c>
    </row>
    <row r="530" customFormat="false" ht="15" hidden="false" customHeight="true" outlineLevel="0" collapsed="false">
      <c r="A530" s="3" t="s">
        <v>4398</v>
      </c>
      <c r="B530" s="3" t="n">
        <v>6</v>
      </c>
      <c r="C530" s="3" t="n">
        <v>23</v>
      </c>
      <c r="D530" s="3" t="str">
        <f aca="false">Combined!G530</f>
        <v>Student age (≤29)</v>
      </c>
      <c r="E530" s="3" t="s">
        <v>45</v>
      </c>
      <c r="F530" s="3" t="s">
        <v>437</v>
      </c>
      <c r="G530" s="3" t="s">
        <v>437</v>
      </c>
      <c r="H530" s="3" t="s">
        <v>4038</v>
      </c>
      <c r="I530" s="3" t="s">
        <v>7317</v>
      </c>
      <c r="J530" s="3" t="s">
        <v>4063</v>
      </c>
      <c r="K530" s="3" t="s">
        <v>6548</v>
      </c>
      <c r="L530" s="3" t="s">
        <v>4040</v>
      </c>
      <c r="M530" s="3" t="s">
        <v>6509</v>
      </c>
      <c r="N530" s="3" t="s">
        <v>4042</v>
      </c>
      <c r="O530" s="3" t="s">
        <v>6530</v>
      </c>
      <c r="P530" s="3" t="s">
        <v>4286</v>
      </c>
      <c r="Q530" s="3" t="s">
        <v>7344</v>
      </c>
      <c r="R530" s="3" t="s">
        <v>4192</v>
      </c>
      <c r="S530" s="3" t="s">
        <v>7368</v>
      </c>
      <c r="T530" s="3" t="s">
        <v>4170</v>
      </c>
      <c r="U530" s="3" t="s">
        <v>7320</v>
      </c>
      <c r="V530" s="3"/>
      <c r="W530" s="3"/>
      <c r="X530" s="3" t="s">
        <v>4085</v>
      </c>
      <c r="Y530" s="3" t="s">
        <v>6907</v>
      </c>
      <c r="Z530" s="3" t="s">
        <v>4399</v>
      </c>
      <c r="AA530" s="3" t="s">
        <v>7419</v>
      </c>
    </row>
    <row r="531" customFormat="false" ht="15" hidden="false" customHeight="true" outlineLevel="0" collapsed="false">
      <c r="A531" s="3" t="s">
        <v>4400</v>
      </c>
      <c r="B531" s="3" t="n">
        <v>6</v>
      </c>
      <c r="C531" s="3" t="n">
        <v>23</v>
      </c>
      <c r="D531" s="3" t="str">
        <f aca="false">Combined!G531</f>
        <v>Student age (≤29)</v>
      </c>
      <c r="E531" s="3" t="s">
        <v>45</v>
      </c>
      <c r="F531" s="3" t="s">
        <v>437</v>
      </c>
      <c r="G531" s="3" t="s">
        <v>47</v>
      </c>
      <c r="H531" s="3" t="s">
        <v>4038</v>
      </c>
      <c r="I531" s="3" t="s">
        <v>7317</v>
      </c>
      <c r="J531" s="3" t="s">
        <v>4080</v>
      </c>
      <c r="K531" s="3" t="s">
        <v>6584</v>
      </c>
      <c r="L531" s="3" t="s">
        <v>4136</v>
      </c>
      <c r="M531" s="3" t="s">
        <v>6520</v>
      </c>
      <c r="N531" s="3" t="s">
        <v>4042</v>
      </c>
      <c r="O531" s="3" t="s">
        <v>6530</v>
      </c>
      <c r="P531" s="3" t="s">
        <v>4065</v>
      </c>
      <c r="Q531" s="3" t="s">
        <v>7328</v>
      </c>
      <c r="R531" s="3" t="s">
        <v>4389</v>
      </c>
      <c r="S531" s="3" t="s">
        <v>6613</v>
      </c>
      <c r="T531" s="3" t="s">
        <v>4084</v>
      </c>
      <c r="U531" s="3" t="s">
        <v>6601</v>
      </c>
      <c r="V531" s="3"/>
      <c r="W531" s="3"/>
      <c r="X531" s="3" t="s">
        <v>4059</v>
      </c>
      <c r="Y531" s="3" t="s">
        <v>6646</v>
      </c>
      <c r="Z531" s="3" t="s">
        <v>4380</v>
      </c>
      <c r="AA531" s="3" t="s">
        <v>7362</v>
      </c>
    </row>
    <row r="532" customFormat="false" ht="15" hidden="false" customHeight="true" outlineLevel="0" collapsed="false">
      <c r="A532" s="3" t="s">
        <v>4401</v>
      </c>
      <c r="B532" s="3" t="n">
        <v>6</v>
      </c>
      <c r="C532" s="3" t="n">
        <v>52</v>
      </c>
      <c r="D532" s="3" t="str">
        <f aca="false">Combined!G532</f>
        <v>Middle-aged (30–64)</v>
      </c>
      <c r="E532" s="3" t="s">
        <v>45</v>
      </c>
      <c r="F532" s="3" t="s">
        <v>437</v>
      </c>
      <c r="G532" s="3" t="s">
        <v>437</v>
      </c>
      <c r="H532" s="3" t="s">
        <v>4088</v>
      </c>
      <c r="I532" s="3" t="s">
        <v>6759</v>
      </c>
      <c r="J532" s="3" t="s">
        <v>4072</v>
      </c>
      <c r="K532" s="3" t="s">
        <v>6509</v>
      </c>
      <c r="L532" s="3" t="s">
        <v>4040</v>
      </c>
      <c r="M532" s="3" t="s">
        <v>6509</v>
      </c>
      <c r="N532" s="3" t="s">
        <v>4042</v>
      </c>
      <c r="O532" s="3" t="s">
        <v>6530</v>
      </c>
      <c r="P532" s="3" t="s">
        <v>4254</v>
      </c>
      <c r="Q532" s="3" t="s">
        <v>7084</v>
      </c>
      <c r="R532" s="3" t="s">
        <v>4306</v>
      </c>
      <c r="S532" s="3" t="s">
        <v>6513</v>
      </c>
      <c r="T532" s="3" t="s">
        <v>4084</v>
      </c>
      <c r="U532" s="3" t="s">
        <v>6601</v>
      </c>
      <c r="V532" s="3"/>
      <c r="W532" s="3"/>
      <c r="X532" s="3" t="s">
        <v>4048</v>
      </c>
      <c r="Y532" s="3" t="s">
        <v>6847</v>
      </c>
      <c r="Z532" s="3" t="s">
        <v>4399</v>
      </c>
      <c r="AA532" s="3" t="s">
        <v>7419</v>
      </c>
    </row>
    <row r="533" customFormat="false" ht="15" hidden="false" customHeight="true" outlineLevel="0" collapsed="false">
      <c r="A533" s="3" t="s">
        <v>4403</v>
      </c>
      <c r="B533" s="3" t="n">
        <v>6</v>
      </c>
      <c r="C533" s="3" t="n">
        <v>22</v>
      </c>
      <c r="D533" s="3" t="str">
        <f aca="false">Combined!G533</f>
        <v>Student age (≤29)</v>
      </c>
      <c r="E533" s="3" t="s">
        <v>45</v>
      </c>
      <c r="F533" s="3" t="s">
        <v>437</v>
      </c>
      <c r="G533" s="3" t="s">
        <v>437</v>
      </c>
      <c r="H533" s="3" t="s">
        <v>4062</v>
      </c>
      <c r="I533" s="3" t="s">
        <v>7327</v>
      </c>
      <c r="J533" s="3" t="s">
        <v>4099</v>
      </c>
      <c r="K533" s="3" t="s">
        <v>6540</v>
      </c>
      <c r="L533" s="3" t="s">
        <v>4040</v>
      </c>
      <c r="M533" s="3" t="s">
        <v>6509</v>
      </c>
      <c r="N533" s="3" t="s">
        <v>4042</v>
      </c>
      <c r="O533" s="3" t="s">
        <v>6530</v>
      </c>
      <c r="P533" s="3" t="s">
        <v>4208</v>
      </c>
      <c r="Q533" s="3" t="s">
        <v>6922</v>
      </c>
      <c r="R533" s="3" t="s">
        <v>4259</v>
      </c>
      <c r="S533" s="3" t="s">
        <v>6857</v>
      </c>
      <c r="T533" s="3" t="s">
        <v>4117</v>
      </c>
      <c r="U533" s="3" t="s">
        <v>7343</v>
      </c>
      <c r="V533" s="3"/>
      <c r="W533" s="3"/>
      <c r="X533" s="3" t="s">
        <v>4085</v>
      </c>
      <c r="Y533" s="3" t="s">
        <v>6907</v>
      </c>
      <c r="Z533" s="3" t="s">
        <v>4404</v>
      </c>
      <c r="AA533" s="3" t="s">
        <v>7420</v>
      </c>
    </row>
    <row r="534" customFormat="false" ht="15" hidden="false" customHeight="true" outlineLevel="0" collapsed="false">
      <c r="A534" s="3" t="s">
        <v>4405</v>
      </c>
      <c r="B534" s="3" t="n">
        <v>6</v>
      </c>
      <c r="C534" s="3" t="n">
        <v>23</v>
      </c>
      <c r="D534" s="3" t="str">
        <f aca="false">Combined!G534</f>
        <v>Student age (≤29)</v>
      </c>
      <c r="E534" s="3" t="s">
        <v>83</v>
      </c>
      <c r="F534" s="3" t="s">
        <v>437</v>
      </c>
      <c r="G534" s="3" t="s">
        <v>437</v>
      </c>
      <c r="H534" s="3" t="s">
        <v>4038</v>
      </c>
      <c r="I534" s="3" t="s">
        <v>7317</v>
      </c>
      <c r="J534" s="3" t="s">
        <v>4072</v>
      </c>
      <c r="K534" s="3" t="s">
        <v>6509</v>
      </c>
      <c r="L534" s="3" t="s">
        <v>2062</v>
      </c>
      <c r="M534" s="3" t="s">
        <v>6569</v>
      </c>
      <c r="N534" s="3" t="s">
        <v>4042</v>
      </c>
      <c r="O534" s="3" t="s">
        <v>6530</v>
      </c>
      <c r="P534" s="3" t="s">
        <v>4065</v>
      </c>
      <c r="Q534" s="3" t="s">
        <v>7328</v>
      </c>
      <c r="R534" s="3" t="s">
        <v>4259</v>
      </c>
      <c r="S534" s="3" t="s">
        <v>6857</v>
      </c>
      <c r="T534" s="3" t="s">
        <v>4134</v>
      </c>
      <c r="U534" s="3" t="s">
        <v>7348</v>
      </c>
      <c r="V534" s="3"/>
      <c r="W534" s="3"/>
      <c r="X534" s="3" t="s">
        <v>4085</v>
      </c>
      <c r="Y534" s="3" t="s">
        <v>6907</v>
      </c>
      <c r="Z534" s="3" t="s">
        <v>2242</v>
      </c>
      <c r="AA534" s="3" t="s">
        <v>6538</v>
      </c>
    </row>
    <row r="535" customFormat="false" ht="15" hidden="false" customHeight="true" outlineLevel="0" collapsed="false">
      <c r="A535" s="3" t="s">
        <v>4406</v>
      </c>
      <c r="B535" s="3" t="n">
        <v>6</v>
      </c>
      <c r="C535" s="3" t="n">
        <v>22</v>
      </c>
      <c r="D535" s="3" t="str">
        <f aca="false">Combined!G535</f>
        <v>Student age (≤29)</v>
      </c>
      <c r="E535" s="3" t="s">
        <v>45</v>
      </c>
      <c r="F535" s="3" t="s">
        <v>437</v>
      </c>
      <c r="G535" s="3" t="s">
        <v>437</v>
      </c>
      <c r="H535" s="3" t="s">
        <v>4038</v>
      </c>
      <c r="I535" s="3" t="s">
        <v>7317</v>
      </c>
      <c r="J535" s="3" t="s">
        <v>4039</v>
      </c>
      <c r="K535" s="3" t="s">
        <v>7318</v>
      </c>
      <c r="L535" s="3" t="s">
        <v>2062</v>
      </c>
      <c r="M535" s="3" t="s">
        <v>6569</v>
      </c>
      <c r="N535" s="3" t="s">
        <v>4042</v>
      </c>
      <c r="O535" s="3" t="s">
        <v>6530</v>
      </c>
      <c r="P535" s="3" t="s">
        <v>4229</v>
      </c>
      <c r="Q535" s="3" t="s">
        <v>6634</v>
      </c>
      <c r="R535" s="3" t="s">
        <v>4314</v>
      </c>
      <c r="S535" s="3" t="s">
        <v>6775</v>
      </c>
      <c r="T535" s="3" t="s">
        <v>4134</v>
      </c>
      <c r="U535" s="3" t="s">
        <v>7348</v>
      </c>
      <c r="V535" s="3"/>
      <c r="W535" s="3"/>
      <c r="X535" s="3" t="s">
        <v>4104</v>
      </c>
      <c r="Y535" s="3" t="s">
        <v>7338</v>
      </c>
      <c r="Z535" s="3" t="s">
        <v>4407</v>
      </c>
      <c r="AA535" s="3" t="s">
        <v>7421</v>
      </c>
    </row>
    <row r="536" customFormat="false" ht="15" hidden="false" customHeight="true" outlineLevel="0" collapsed="false">
      <c r="A536" s="3" t="s">
        <v>4408</v>
      </c>
      <c r="B536" s="3" t="n">
        <v>6</v>
      </c>
      <c r="C536" s="3" t="n">
        <v>24</v>
      </c>
      <c r="D536" s="3" t="str">
        <f aca="false">Combined!G536</f>
        <v>Student age (≤29)</v>
      </c>
      <c r="E536" s="3" t="s">
        <v>83</v>
      </c>
      <c r="F536" s="3" t="s">
        <v>437</v>
      </c>
      <c r="G536" s="3" t="s">
        <v>47</v>
      </c>
      <c r="H536" s="3" t="s">
        <v>4038</v>
      </c>
      <c r="I536" s="3" t="s">
        <v>7317</v>
      </c>
      <c r="J536" s="3" t="s">
        <v>4080</v>
      </c>
      <c r="K536" s="3" t="s">
        <v>6584</v>
      </c>
      <c r="L536" s="3" t="s">
        <v>4099</v>
      </c>
      <c r="M536" s="3" t="s">
        <v>6540</v>
      </c>
      <c r="N536" s="3" t="s">
        <v>4042</v>
      </c>
      <c r="O536" s="3" t="s">
        <v>6530</v>
      </c>
      <c r="P536" s="3" t="s">
        <v>4350</v>
      </c>
      <c r="Q536" s="3" t="s">
        <v>7409</v>
      </c>
      <c r="R536" s="3" t="s">
        <v>4389</v>
      </c>
      <c r="S536" s="3" t="s">
        <v>6613</v>
      </c>
      <c r="T536" s="3" t="s">
        <v>4410</v>
      </c>
      <c r="U536" s="3" t="s">
        <v>7381</v>
      </c>
      <c r="V536" s="3"/>
      <c r="W536" s="3"/>
      <c r="X536" s="3" t="s">
        <v>4104</v>
      </c>
      <c r="Y536" s="3" t="s">
        <v>7338</v>
      </c>
      <c r="Z536" s="3" t="s">
        <v>2242</v>
      </c>
      <c r="AA536" s="3" t="s">
        <v>6538</v>
      </c>
    </row>
    <row r="537" customFormat="false" ht="15" hidden="false" customHeight="true" outlineLevel="0" collapsed="false">
      <c r="A537" s="3" t="s">
        <v>4411</v>
      </c>
      <c r="B537" s="3" t="n">
        <v>6</v>
      </c>
      <c r="C537" s="3" t="n">
        <v>25</v>
      </c>
      <c r="D537" s="3" t="str">
        <f aca="false">Combined!G537</f>
        <v>Student age (≤29)</v>
      </c>
      <c r="E537" s="3" t="s">
        <v>45</v>
      </c>
      <c r="F537" s="3" t="s">
        <v>437</v>
      </c>
      <c r="G537" s="3" t="s">
        <v>47</v>
      </c>
      <c r="H537" s="3" t="s">
        <v>4038</v>
      </c>
      <c r="I537" s="3" t="s">
        <v>7317</v>
      </c>
      <c r="J537" s="3" t="s">
        <v>4072</v>
      </c>
      <c r="K537" s="3" t="s">
        <v>6509</v>
      </c>
      <c r="L537" s="3" t="s">
        <v>4040</v>
      </c>
      <c r="M537" s="3" t="s">
        <v>6509</v>
      </c>
      <c r="N537" s="3" t="s">
        <v>4042</v>
      </c>
      <c r="O537" s="3" t="s">
        <v>6530</v>
      </c>
      <c r="P537" s="3" t="s">
        <v>4065</v>
      </c>
      <c r="Q537" s="3" t="s">
        <v>7328</v>
      </c>
      <c r="R537" s="3" t="s">
        <v>4066</v>
      </c>
      <c r="S537" s="3" t="s">
        <v>6543</v>
      </c>
      <c r="T537" s="3" t="s">
        <v>4413</v>
      </c>
      <c r="U537" s="3" t="s">
        <v>6601</v>
      </c>
      <c r="V537" s="3"/>
      <c r="W537" s="3"/>
      <c r="X537" s="3" t="s">
        <v>4059</v>
      </c>
      <c r="Y537" s="3" t="s">
        <v>6646</v>
      </c>
      <c r="Z537" s="3" t="s">
        <v>4414</v>
      </c>
      <c r="AA537" s="3" t="s">
        <v>6869</v>
      </c>
    </row>
    <row r="538" customFormat="false" ht="15" hidden="false" customHeight="true" outlineLevel="0" collapsed="false">
      <c r="A538" s="3" t="s">
        <v>4415</v>
      </c>
      <c r="B538" s="3" t="n">
        <v>6</v>
      </c>
      <c r="C538" s="3" t="n">
        <v>24</v>
      </c>
      <c r="D538" s="3" t="str">
        <f aca="false">Combined!G538</f>
        <v>Student age (≤29)</v>
      </c>
      <c r="E538" s="3" t="s">
        <v>83</v>
      </c>
      <c r="F538" s="3" t="s">
        <v>437</v>
      </c>
      <c r="G538" s="3" t="s">
        <v>47</v>
      </c>
      <c r="H538" s="3" t="s">
        <v>4038</v>
      </c>
      <c r="I538" s="3" t="s">
        <v>7317</v>
      </c>
      <c r="J538" s="3" t="s">
        <v>4099</v>
      </c>
      <c r="K538" s="3" t="s">
        <v>6540</v>
      </c>
      <c r="L538" s="3" t="s">
        <v>4040</v>
      </c>
      <c r="M538" s="3" t="s">
        <v>6509</v>
      </c>
      <c r="N538" s="3" t="s">
        <v>4091</v>
      </c>
      <c r="O538" s="3" t="s">
        <v>59</v>
      </c>
      <c r="P538" s="3" t="s">
        <v>4200</v>
      </c>
      <c r="Q538" s="3" t="s">
        <v>7371</v>
      </c>
      <c r="R538" s="3" t="s">
        <v>4417</v>
      </c>
      <c r="S538" s="3" t="s">
        <v>7422</v>
      </c>
      <c r="T538" s="3" t="s">
        <v>4419</v>
      </c>
      <c r="U538" s="3" t="s">
        <v>6925</v>
      </c>
      <c r="V538" s="3"/>
      <c r="W538" s="3"/>
      <c r="X538" s="3" t="s">
        <v>4085</v>
      </c>
      <c r="Y538" s="3" t="s">
        <v>6907</v>
      </c>
      <c r="Z538" s="3" t="s">
        <v>4420</v>
      </c>
      <c r="AA538" s="3" t="s">
        <v>6972</v>
      </c>
    </row>
    <row r="539" customFormat="false" ht="15" hidden="false" customHeight="true" outlineLevel="0" collapsed="false">
      <c r="A539" s="3" t="s">
        <v>4421</v>
      </c>
      <c r="B539" s="3" t="n">
        <v>6</v>
      </c>
      <c r="C539" s="3" t="n">
        <v>24</v>
      </c>
      <c r="D539" s="3" t="str">
        <f aca="false">Combined!G539</f>
        <v>Student age (≤29)</v>
      </c>
      <c r="E539" s="3" t="s">
        <v>45</v>
      </c>
      <c r="F539" s="3" t="s">
        <v>47</v>
      </c>
      <c r="G539" s="3" t="s">
        <v>47</v>
      </c>
      <c r="H539" s="3" t="s">
        <v>4038</v>
      </c>
      <c r="I539" s="3" t="s">
        <v>7317</v>
      </c>
      <c r="J539" s="3" t="s">
        <v>4072</v>
      </c>
      <c r="K539" s="3" t="s">
        <v>6509</v>
      </c>
      <c r="L539" s="3" t="s">
        <v>4040</v>
      </c>
      <c r="M539" s="3" t="s">
        <v>6509</v>
      </c>
      <c r="N539" s="3" t="s">
        <v>4265</v>
      </c>
      <c r="O539" s="3" t="s">
        <v>6517</v>
      </c>
      <c r="P539" s="3" t="s">
        <v>4055</v>
      </c>
      <c r="Q539" s="3" t="s">
        <v>6893</v>
      </c>
      <c r="R539" s="3" t="s">
        <v>4093</v>
      </c>
      <c r="S539" s="3" t="s">
        <v>7333</v>
      </c>
      <c r="T539" s="3" t="s">
        <v>4084</v>
      </c>
      <c r="U539" s="3" t="s">
        <v>6601</v>
      </c>
      <c r="V539" s="3"/>
      <c r="W539" s="3"/>
      <c r="X539" s="3" t="s">
        <v>4164</v>
      </c>
      <c r="Y539" s="3" t="s">
        <v>6651</v>
      </c>
      <c r="Z539" s="3" t="s">
        <v>4086</v>
      </c>
      <c r="AA539" s="3" t="s">
        <v>7326</v>
      </c>
    </row>
    <row r="540" customFormat="false" ht="15" hidden="false" customHeight="true" outlineLevel="0" collapsed="false">
      <c r="A540" s="3" t="s">
        <v>4423</v>
      </c>
      <c r="B540" s="3" t="n">
        <v>6</v>
      </c>
      <c r="C540" s="3" t="n">
        <v>36</v>
      </c>
      <c r="D540" s="3" t="str">
        <f aca="false">Combined!G540</f>
        <v>Middle-aged (30–64)</v>
      </c>
      <c r="E540" s="3" t="s">
        <v>83</v>
      </c>
      <c r="F540" s="3" t="s">
        <v>437</v>
      </c>
      <c r="G540" s="3" t="s">
        <v>47</v>
      </c>
      <c r="H540" s="3" t="s">
        <v>4038</v>
      </c>
      <c r="I540" s="3" t="s">
        <v>7317</v>
      </c>
      <c r="J540" s="3" t="s">
        <v>4080</v>
      </c>
      <c r="K540" s="3" t="s">
        <v>6584</v>
      </c>
      <c r="L540" s="3" t="s">
        <v>4136</v>
      </c>
      <c r="M540" s="3" t="s">
        <v>6520</v>
      </c>
      <c r="N540" s="3" t="s">
        <v>4042</v>
      </c>
      <c r="O540" s="3" t="s">
        <v>6530</v>
      </c>
      <c r="P540" s="3" t="s">
        <v>4121</v>
      </c>
      <c r="Q540" s="3" t="s">
        <v>7344</v>
      </c>
      <c r="R540" s="3" t="s">
        <v>4351</v>
      </c>
      <c r="S540" s="3" t="s">
        <v>7333</v>
      </c>
      <c r="T540" s="3" t="s">
        <v>4424</v>
      </c>
      <c r="U540" s="3" t="s">
        <v>7423</v>
      </c>
      <c r="V540" s="3"/>
      <c r="W540" s="3"/>
      <c r="X540" s="3" t="s">
        <v>4164</v>
      </c>
      <c r="Y540" s="3" t="s">
        <v>6651</v>
      </c>
      <c r="Z540" s="3" t="s">
        <v>4425</v>
      </c>
      <c r="AA540" s="3" t="s">
        <v>7424</v>
      </c>
    </row>
    <row r="541" customFormat="false" ht="15" hidden="false" customHeight="true" outlineLevel="0" collapsed="false">
      <c r="A541" s="3" t="s">
        <v>4426</v>
      </c>
      <c r="B541" s="3" t="n">
        <v>6</v>
      </c>
      <c r="C541" s="3" t="n">
        <v>20</v>
      </c>
      <c r="D541" s="3" t="str">
        <f aca="false">Combined!G541</f>
        <v>Student age (≤29)</v>
      </c>
      <c r="E541" s="3" t="s">
        <v>45</v>
      </c>
      <c r="F541" s="3" t="s">
        <v>1687</v>
      </c>
      <c r="G541" s="3" t="s">
        <v>47</v>
      </c>
      <c r="H541" s="3" t="s">
        <v>4062</v>
      </c>
      <c r="I541" s="3" t="s">
        <v>7327</v>
      </c>
      <c r="J541" s="3" t="s">
        <v>4072</v>
      </c>
      <c r="K541" s="3" t="s">
        <v>6509</v>
      </c>
      <c r="L541" s="3" t="s">
        <v>4136</v>
      </c>
      <c r="M541" s="3" t="s">
        <v>6520</v>
      </c>
      <c r="N541" s="3" t="s">
        <v>4042</v>
      </c>
      <c r="O541" s="3" t="s">
        <v>6530</v>
      </c>
      <c r="P541" s="3" t="s">
        <v>4200</v>
      </c>
      <c r="Q541" s="3" t="s">
        <v>7371</v>
      </c>
      <c r="R541" s="3" t="s">
        <v>4066</v>
      </c>
      <c r="S541" s="3" t="s">
        <v>6543</v>
      </c>
      <c r="T541" s="3" t="s">
        <v>4216</v>
      </c>
      <c r="U541" s="3" t="s">
        <v>6693</v>
      </c>
      <c r="V541" s="3"/>
      <c r="W541" s="3"/>
      <c r="X541" s="3" t="s">
        <v>4070</v>
      </c>
      <c r="Y541" s="3" t="s">
        <v>6510</v>
      </c>
      <c r="Z541" s="3" t="s">
        <v>4356</v>
      </c>
      <c r="AA541" s="3" t="s">
        <v>7331</v>
      </c>
    </row>
    <row r="542" customFormat="false" ht="15" hidden="false" customHeight="true" outlineLevel="0" collapsed="false">
      <c r="A542" s="3" t="s">
        <v>4427</v>
      </c>
      <c r="B542" s="3" t="n">
        <v>6</v>
      </c>
      <c r="C542" s="3" t="n">
        <v>22</v>
      </c>
      <c r="D542" s="3" t="str">
        <f aca="false">Combined!G542</f>
        <v>Student age (≤29)</v>
      </c>
      <c r="E542" s="3" t="s">
        <v>45</v>
      </c>
      <c r="F542" s="3" t="s">
        <v>437</v>
      </c>
      <c r="G542" s="3" t="s">
        <v>2651</v>
      </c>
      <c r="H542" s="3" t="s">
        <v>4038</v>
      </c>
      <c r="I542" s="3" t="s">
        <v>7317</v>
      </c>
      <c r="J542" s="3" t="s">
        <v>4072</v>
      </c>
      <c r="K542" s="3" t="s">
        <v>6509</v>
      </c>
      <c r="L542" s="3" t="s">
        <v>4251</v>
      </c>
      <c r="M542" s="3" t="s">
        <v>7322</v>
      </c>
      <c r="N542" s="3" t="s">
        <v>4042</v>
      </c>
      <c r="O542" s="3" t="s">
        <v>6530</v>
      </c>
      <c r="P542" s="3" t="s">
        <v>4429</v>
      </c>
      <c r="Q542" s="3" t="s">
        <v>7425</v>
      </c>
      <c r="R542" s="3" t="s">
        <v>4430</v>
      </c>
      <c r="S542" s="3" t="s">
        <v>7426</v>
      </c>
      <c r="T542" s="3" t="s">
        <v>4095</v>
      </c>
      <c r="U542" s="3" t="s">
        <v>7334</v>
      </c>
      <c r="V542" s="3"/>
      <c r="W542" s="3"/>
      <c r="X542" s="3" t="s">
        <v>4077</v>
      </c>
      <c r="Y542" s="3" t="s">
        <v>7057</v>
      </c>
      <c r="Z542" s="3" t="s">
        <v>4431</v>
      </c>
      <c r="AA542" s="3" t="s">
        <v>7427</v>
      </c>
    </row>
    <row r="543" customFormat="false" ht="15" hidden="false" customHeight="true" outlineLevel="0" collapsed="false">
      <c r="A543" s="3" t="s">
        <v>4432</v>
      </c>
      <c r="B543" s="3" t="n">
        <v>6</v>
      </c>
      <c r="C543" s="3" t="n">
        <v>25</v>
      </c>
      <c r="D543" s="3" t="str">
        <f aca="false">Combined!G543</f>
        <v>Student age (≤29)</v>
      </c>
      <c r="E543" s="3" t="s">
        <v>1556</v>
      </c>
      <c r="F543" s="3" t="s">
        <v>437</v>
      </c>
      <c r="G543" s="3" t="s">
        <v>2651</v>
      </c>
      <c r="H543" s="3" t="s">
        <v>4038</v>
      </c>
      <c r="I543" s="3" t="s">
        <v>7317</v>
      </c>
      <c r="J543" s="3" t="s">
        <v>4072</v>
      </c>
      <c r="K543" s="3" t="s">
        <v>6509</v>
      </c>
      <c r="L543" s="3" t="s">
        <v>4099</v>
      </c>
      <c r="M543" s="3" t="s">
        <v>6540</v>
      </c>
      <c r="N543" s="3" t="s">
        <v>4042</v>
      </c>
      <c r="O543" s="3" t="s">
        <v>6530</v>
      </c>
      <c r="P543" s="3" t="s">
        <v>4065</v>
      </c>
      <c r="Q543" s="3" t="s">
        <v>7328</v>
      </c>
      <c r="R543" s="3" t="s">
        <v>4434</v>
      </c>
      <c r="S543" s="3" t="s">
        <v>7428</v>
      </c>
      <c r="T543" s="3" t="s">
        <v>4117</v>
      </c>
      <c r="U543" s="3" t="s">
        <v>7343</v>
      </c>
      <c r="V543" s="3"/>
      <c r="W543" s="3"/>
      <c r="X543" s="3" t="s">
        <v>4059</v>
      </c>
      <c r="Y543" s="3" t="s">
        <v>6646</v>
      </c>
      <c r="Z543" s="3" t="s">
        <v>4325</v>
      </c>
      <c r="AA543" s="3" t="s">
        <v>7400</v>
      </c>
    </row>
    <row r="544" customFormat="false" ht="15" hidden="false" customHeight="true" outlineLevel="0" collapsed="false">
      <c r="A544" s="3" t="s">
        <v>4435</v>
      </c>
      <c r="B544" s="3" t="n">
        <v>6</v>
      </c>
      <c r="C544" s="3" t="n">
        <v>23</v>
      </c>
      <c r="D544" s="3" t="str">
        <f aca="false">Combined!G544</f>
        <v>Student age (≤29)</v>
      </c>
      <c r="E544" s="3" t="s">
        <v>45</v>
      </c>
      <c r="F544" s="3" t="s">
        <v>437</v>
      </c>
      <c r="G544" s="3" t="s">
        <v>2651</v>
      </c>
      <c r="H544" s="3" t="s">
        <v>4038</v>
      </c>
      <c r="I544" s="3" t="s">
        <v>7317</v>
      </c>
      <c r="J544" s="3" t="s">
        <v>4436</v>
      </c>
      <c r="K544" s="3" t="s">
        <v>6569</v>
      </c>
      <c r="L544" s="3" t="s">
        <v>4131</v>
      </c>
      <c r="M544" s="3" t="s">
        <v>7318</v>
      </c>
      <c r="N544" s="3" t="s">
        <v>4042</v>
      </c>
      <c r="O544" s="3" t="s">
        <v>6530</v>
      </c>
      <c r="P544" s="3" t="s">
        <v>4437</v>
      </c>
      <c r="Q544" s="3" t="s">
        <v>7429</v>
      </c>
      <c r="R544" s="3" t="s">
        <v>4438</v>
      </c>
      <c r="S544" s="3" t="s">
        <v>6779</v>
      </c>
      <c r="T544" s="3" t="s">
        <v>4134</v>
      </c>
      <c r="U544" s="3" t="s">
        <v>7348</v>
      </c>
      <c r="V544" s="3"/>
      <c r="W544" s="3"/>
      <c r="X544" s="3" t="s">
        <v>4104</v>
      </c>
      <c r="Y544" s="3" t="s">
        <v>7338</v>
      </c>
      <c r="Z544" s="3" t="s">
        <v>4439</v>
      </c>
      <c r="AA544" s="3" t="s">
        <v>7424</v>
      </c>
    </row>
    <row r="545" customFormat="false" ht="15" hidden="false" customHeight="true" outlineLevel="0" collapsed="false">
      <c r="A545" s="3" t="s">
        <v>4440</v>
      </c>
      <c r="B545" s="3" t="n">
        <v>6</v>
      </c>
      <c r="C545" s="3" t="n">
        <v>22</v>
      </c>
      <c r="D545" s="3" t="str">
        <f aca="false">Combined!G545</f>
        <v>Student age (≤29)</v>
      </c>
      <c r="E545" s="3" t="s">
        <v>83</v>
      </c>
      <c r="F545" s="3" t="s">
        <v>437</v>
      </c>
      <c r="G545" s="3" t="s">
        <v>437</v>
      </c>
      <c r="H545" s="3" t="s">
        <v>4236</v>
      </c>
      <c r="I545" s="3" t="s">
        <v>6803</v>
      </c>
      <c r="J545" s="3" t="s">
        <v>4039</v>
      </c>
      <c r="K545" s="3" t="s">
        <v>7318</v>
      </c>
      <c r="L545" s="3" t="s">
        <v>2062</v>
      </c>
      <c r="M545" s="3" t="s">
        <v>6569</v>
      </c>
      <c r="N545" s="3" t="s">
        <v>4042</v>
      </c>
      <c r="O545" s="3" t="s">
        <v>6530</v>
      </c>
      <c r="P545" s="3" t="s">
        <v>4208</v>
      </c>
      <c r="Q545" s="3" t="s">
        <v>6922</v>
      </c>
      <c r="R545" s="3" t="s">
        <v>4314</v>
      </c>
      <c r="S545" s="3" t="s">
        <v>6775</v>
      </c>
      <c r="T545" s="3" t="s">
        <v>4117</v>
      </c>
      <c r="U545" s="3" t="s">
        <v>7343</v>
      </c>
      <c r="V545" s="3"/>
      <c r="W545" s="3"/>
      <c r="X545" s="3" t="s">
        <v>4085</v>
      </c>
      <c r="Y545" s="3" t="s">
        <v>6907</v>
      </c>
      <c r="Z545" s="3"/>
      <c r="AA545" s="3"/>
    </row>
    <row r="546" customFormat="false" ht="15" hidden="false" customHeight="true" outlineLevel="0" collapsed="false">
      <c r="A546" s="3" t="s">
        <v>4441</v>
      </c>
      <c r="B546" s="3" t="n">
        <v>6</v>
      </c>
      <c r="C546" s="3" t="n">
        <v>35</v>
      </c>
      <c r="D546" s="3" t="str">
        <f aca="false">Combined!G546</f>
        <v>Middle-aged (30–64)</v>
      </c>
      <c r="E546" s="3" t="s">
        <v>83</v>
      </c>
      <c r="F546" s="3" t="s">
        <v>47</v>
      </c>
      <c r="G546" s="3" t="s">
        <v>47</v>
      </c>
      <c r="H546" s="3" t="s">
        <v>4062</v>
      </c>
      <c r="I546" s="3" t="s">
        <v>7327</v>
      </c>
      <c r="J546" s="3" t="s">
        <v>4072</v>
      </c>
      <c r="K546" s="3" t="s">
        <v>6509</v>
      </c>
      <c r="L546" s="3" t="s">
        <v>4052</v>
      </c>
      <c r="M546" s="3" t="s">
        <v>7323</v>
      </c>
      <c r="N546" s="3" t="s">
        <v>4042</v>
      </c>
      <c r="O546" s="3" t="s">
        <v>6530</v>
      </c>
      <c r="P546" s="3" t="s">
        <v>4173</v>
      </c>
      <c r="Q546" s="3" t="s">
        <v>6932</v>
      </c>
      <c r="R546" s="3" t="s">
        <v>4442</v>
      </c>
      <c r="S546" s="3" t="s">
        <v>6709</v>
      </c>
      <c r="T546" s="3" t="s">
        <v>4095</v>
      </c>
      <c r="U546" s="3" t="s">
        <v>7334</v>
      </c>
      <c r="V546" s="3"/>
      <c r="W546" s="3"/>
      <c r="X546" s="3" t="s">
        <v>4085</v>
      </c>
      <c r="Y546" s="3" t="s">
        <v>6907</v>
      </c>
      <c r="Z546" s="3" t="s">
        <v>4443</v>
      </c>
      <c r="AA546" s="3" t="s">
        <v>7326</v>
      </c>
    </row>
    <row r="547" customFormat="false" ht="15" hidden="false" customHeight="true" outlineLevel="0" collapsed="false">
      <c r="A547" s="3" t="s">
        <v>4444</v>
      </c>
      <c r="B547" s="3" t="n">
        <v>6</v>
      </c>
      <c r="C547" s="3" t="n">
        <v>20</v>
      </c>
      <c r="D547" s="3" t="str">
        <f aca="false">Combined!G547</f>
        <v>Student age (≤29)</v>
      </c>
      <c r="E547" s="3" t="s">
        <v>1447</v>
      </c>
      <c r="F547" s="3" t="s">
        <v>4445</v>
      </c>
      <c r="G547" s="3" t="s">
        <v>4445</v>
      </c>
      <c r="H547" s="3" t="s">
        <v>4038</v>
      </c>
      <c r="I547" s="3" t="s">
        <v>7317</v>
      </c>
      <c r="J547" s="3" t="s">
        <v>4072</v>
      </c>
      <c r="K547" s="3" t="s">
        <v>6509</v>
      </c>
      <c r="L547" s="3" t="s">
        <v>4040</v>
      </c>
      <c r="M547" s="3" t="s">
        <v>6509</v>
      </c>
      <c r="N547" s="3" t="s">
        <v>4132</v>
      </c>
      <c r="O547" s="3" t="s">
        <v>1625</v>
      </c>
      <c r="P547" s="3" t="s">
        <v>4286</v>
      </c>
      <c r="Q547" s="3" t="s">
        <v>7344</v>
      </c>
      <c r="R547" s="3" t="s">
        <v>4446</v>
      </c>
      <c r="S547" s="3" t="s">
        <v>7387</v>
      </c>
      <c r="T547" s="3" t="s">
        <v>4095</v>
      </c>
      <c r="U547" s="3" t="s">
        <v>7334</v>
      </c>
      <c r="V547" s="3"/>
      <c r="W547" s="3"/>
      <c r="X547" s="3" t="s">
        <v>4164</v>
      </c>
      <c r="Y547" s="3" t="s">
        <v>6651</v>
      </c>
      <c r="Z547" s="3" t="s">
        <v>4262</v>
      </c>
      <c r="AA547" s="3" t="s">
        <v>7383</v>
      </c>
    </row>
    <row r="548" customFormat="false" ht="15" hidden="false" customHeight="true" outlineLevel="0" collapsed="false">
      <c r="A548" s="3" t="s">
        <v>4447</v>
      </c>
      <c r="B548" s="3" t="n">
        <v>6</v>
      </c>
      <c r="C548" s="3" t="n">
        <v>25</v>
      </c>
      <c r="D548" s="3" t="str">
        <f aca="false">Combined!G548</f>
        <v>Student age (≤29)</v>
      </c>
      <c r="E548" s="3" t="s">
        <v>45</v>
      </c>
      <c r="F548" s="3" t="s">
        <v>3277</v>
      </c>
      <c r="G548" s="3" t="s">
        <v>47</v>
      </c>
      <c r="H548" s="3" t="s">
        <v>4218</v>
      </c>
      <c r="I548" s="3" t="s">
        <v>6603</v>
      </c>
      <c r="J548" s="3" t="s">
        <v>4080</v>
      </c>
      <c r="K548" s="3" t="s">
        <v>6584</v>
      </c>
      <c r="L548" s="3" t="s">
        <v>4040</v>
      </c>
      <c r="M548" s="3" t="s">
        <v>6509</v>
      </c>
      <c r="N548" s="3" t="s">
        <v>4054</v>
      </c>
      <c r="O548" s="3" t="s">
        <v>6517</v>
      </c>
      <c r="P548" s="3" t="s">
        <v>4173</v>
      </c>
      <c r="Q548" s="3" t="s">
        <v>6932</v>
      </c>
      <c r="R548" s="3" t="s">
        <v>4449</v>
      </c>
      <c r="S548" s="3" t="s">
        <v>7430</v>
      </c>
      <c r="T548" s="3" t="s">
        <v>4451</v>
      </c>
      <c r="U548" s="3" t="s">
        <v>7431</v>
      </c>
      <c r="V548" s="3"/>
      <c r="W548" s="3"/>
      <c r="X548" s="3" t="s">
        <v>4070</v>
      </c>
      <c r="Y548" s="3" t="s">
        <v>6510</v>
      </c>
      <c r="Z548" s="3" t="s">
        <v>4452</v>
      </c>
      <c r="AA548" s="3" t="s">
        <v>7432</v>
      </c>
    </row>
    <row r="549" customFormat="false" ht="15" hidden="false" customHeight="true" outlineLevel="0" collapsed="false">
      <c r="A549" s="3" t="s">
        <v>4453</v>
      </c>
      <c r="B549" s="3" t="n">
        <v>6</v>
      </c>
      <c r="C549" s="3" t="n">
        <v>37</v>
      </c>
      <c r="D549" s="3" t="str">
        <f aca="false">Combined!G549</f>
        <v>Middle-aged (30–64)</v>
      </c>
      <c r="E549" s="3" t="s">
        <v>45</v>
      </c>
      <c r="F549" s="3" t="s">
        <v>4445</v>
      </c>
      <c r="G549" s="3" t="s">
        <v>4445</v>
      </c>
      <c r="H549" s="3" t="s">
        <v>4088</v>
      </c>
      <c r="I549" s="3" t="s">
        <v>6759</v>
      </c>
      <c r="J549" s="3" t="s">
        <v>4039</v>
      </c>
      <c r="K549" s="3" t="s">
        <v>7318</v>
      </c>
      <c r="L549" s="3" t="s">
        <v>4136</v>
      </c>
      <c r="M549" s="3" t="s">
        <v>6520</v>
      </c>
      <c r="N549" s="3" t="s">
        <v>4132</v>
      </c>
      <c r="O549" s="3" t="s">
        <v>1625</v>
      </c>
      <c r="P549" s="3" t="s">
        <v>4220</v>
      </c>
      <c r="Q549" s="3" t="s">
        <v>7000</v>
      </c>
      <c r="R549" s="3" t="s">
        <v>4252</v>
      </c>
      <c r="S549" s="3" t="s">
        <v>7332</v>
      </c>
      <c r="T549" s="3" t="s">
        <v>4134</v>
      </c>
      <c r="U549" s="3" t="s">
        <v>7348</v>
      </c>
      <c r="V549" s="3"/>
      <c r="W549" s="3"/>
      <c r="X549" s="3" t="s">
        <v>4077</v>
      </c>
      <c r="Y549" s="3" t="s">
        <v>7057</v>
      </c>
      <c r="Z549" s="3" t="s">
        <v>4454</v>
      </c>
      <c r="AA549" s="3" t="s">
        <v>7433</v>
      </c>
    </row>
    <row r="550" customFormat="false" ht="15" hidden="false" customHeight="true" outlineLevel="0" collapsed="false">
      <c r="A550" s="3" t="s">
        <v>4455</v>
      </c>
      <c r="B550" s="3" t="n">
        <v>6</v>
      </c>
      <c r="C550" s="3" t="n">
        <v>22</v>
      </c>
      <c r="D550" s="3" t="str">
        <f aca="false">Combined!G550</f>
        <v>Student age (≤29)</v>
      </c>
      <c r="E550" s="3" t="s">
        <v>45</v>
      </c>
      <c r="F550" s="3" t="s">
        <v>437</v>
      </c>
      <c r="G550" s="3" t="s">
        <v>47</v>
      </c>
      <c r="H550" s="3" t="s">
        <v>4098</v>
      </c>
      <c r="I550" s="3" t="s">
        <v>6539</v>
      </c>
      <c r="J550" s="3" t="s">
        <v>4099</v>
      </c>
      <c r="K550" s="3" t="s">
        <v>6540</v>
      </c>
      <c r="L550" s="3" t="s">
        <v>4131</v>
      </c>
      <c r="M550" s="3" t="s">
        <v>7318</v>
      </c>
      <c r="N550" s="3" t="s">
        <v>4042</v>
      </c>
      <c r="O550" s="3" t="s">
        <v>6530</v>
      </c>
      <c r="P550" s="3" t="s">
        <v>4457</v>
      </c>
      <c r="Q550" s="3" t="s">
        <v>6818</v>
      </c>
      <c r="R550" s="3" t="s">
        <v>4458</v>
      </c>
      <c r="S550" s="3" t="s">
        <v>7434</v>
      </c>
      <c r="T550" s="3" t="s">
        <v>4247</v>
      </c>
      <c r="U550" s="3" t="s">
        <v>7381</v>
      </c>
      <c r="V550" s="3"/>
      <c r="W550" s="3"/>
      <c r="X550" s="3" t="s">
        <v>4085</v>
      </c>
      <c r="Y550" s="3" t="s">
        <v>6907</v>
      </c>
      <c r="Z550" s="3" t="s">
        <v>4300</v>
      </c>
      <c r="AA550" s="3" t="s">
        <v>7394</v>
      </c>
    </row>
    <row r="551" customFormat="false" ht="15" hidden="false" customHeight="true" outlineLevel="0" collapsed="false">
      <c r="A551" s="3" t="s">
        <v>4459</v>
      </c>
      <c r="B551" s="3" t="n">
        <v>6</v>
      </c>
      <c r="C551" s="3" t="n">
        <v>22</v>
      </c>
      <c r="D551" s="3" t="str">
        <f aca="false">Combined!G551</f>
        <v>Student age (≤29)</v>
      </c>
      <c r="E551" s="3" t="s">
        <v>83</v>
      </c>
      <c r="F551" s="3" t="s">
        <v>437</v>
      </c>
      <c r="G551" s="3" t="s">
        <v>47</v>
      </c>
      <c r="H551" s="3" t="s">
        <v>4218</v>
      </c>
      <c r="I551" s="3" t="s">
        <v>6603</v>
      </c>
      <c r="J551" s="3" t="s">
        <v>4080</v>
      </c>
      <c r="K551" s="3" t="s">
        <v>6584</v>
      </c>
      <c r="L551" s="3" t="s">
        <v>2062</v>
      </c>
      <c r="M551" s="3" t="s">
        <v>6569</v>
      </c>
      <c r="N551" s="3" t="s">
        <v>4042</v>
      </c>
      <c r="O551" s="3" t="s">
        <v>6530</v>
      </c>
      <c r="P551" s="3" t="s">
        <v>4460</v>
      </c>
      <c r="Q551" s="3" t="s">
        <v>7409</v>
      </c>
      <c r="R551" s="3" t="s">
        <v>4461</v>
      </c>
      <c r="S551" s="3" t="s">
        <v>7388</v>
      </c>
      <c r="T551" s="3" t="s">
        <v>4462</v>
      </c>
      <c r="U551" s="3" t="s">
        <v>6568</v>
      </c>
      <c r="V551" s="3"/>
      <c r="W551" s="3"/>
      <c r="X551" s="3" t="s">
        <v>4104</v>
      </c>
      <c r="Y551" s="3" t="s">
        <v>7338</v>
      </c>
      <c r="Z551" s="3" t="s">
        <v>4463</v>
      </c>
      <c r="AA551" s="3" t="s">
        <v>7331</v>
      </c>
    </row>
    <row r="552" customFormat="false" ht="15" hidden="false" customHeight="true" outlineLevel="0" collapsed="false">
      <c r="A552" s="3" t="s">
        <v>4464</v>
      </c>
      <c r="B552" s="3" t="n">
        <v>6</v>
      </c>
      <c r="C552" s="3" t="n">
        <v>22</v>
      </c>
      <c r="D552" s="3" t="str">
        <f aca="false">Combined!G552</f>
        <v>Student age (≤29)</v>
      </c>
      <c r="E552" s="3" t="s">
        <v>45</v>
      </c>
      <c r="F552" s="3" t="s">
        <v>437</v>
      </c>
      <c r="G552" s="3" t="s">
        <v>47</v>
      </c>
      <c r="H552" s="3" t="s">
        <v>4038</v>
      </c>
      <c r="I552" s="3" t="s">
        <v>7317</v>
      </c>
      <c r="J552" s="3" t="s">
        <v>4099</v>
      </c>
      <c r="K552" s="3" t="s">
        <v>6540</v>
      </c>
      <c r="L552" s="3" t="s">
        <v>4099</v>
      </c>
      <c r="M552" s="3" t="s">
        <v>6540</v>
      </c>
      <c r="N552" s="3" t="s">
        <v>4042</v>
      </c>
      <c r="O552" s="3" t="s">
        <v>6530</v>
      </c>
      <c r="P552" s="3" t="s">
        <v>4121</v>
      </c>
      <c r="Q552" s="3" t="s">
        <v>7344</v>
      </c>
      <c r="R552" s="3" t="s">
        <v>4465</v>
      </c>
      <c r="S552" s="3" t="s">
        <v>7428</v>
      </c>
      <c r="T552" s="3" t="s">
        <v>4466</v>
      </c>
      <c r="U552" s="3" t="s">
        <v>6551</v>
      </c>
      <c r="V552" s="3"/>
      <c r="W552" s="3"/>
      <c r="X552" s="3" t="s">
        <v>4164</v>
      </c>
      <c r="Y552" s="3" t="s">
        <v>6651</v>
      </c>
      <c r="Z552" s="3" t="s">
        <v>4431</v>
      </c>
      <c r="AA552" s="3" t="s">
        <v>7427</v>
      </c>
    </row>
    <row r="553" customFormat="false" ht="15" hidden="false" customHeight="true" outlineLevel="0" collapsed="false">
      <c r="A553" s="3" t="s">
        <v>4467</v>
      </c>
      <c r="B553" s="3" t="n">
        <v>6</v>
      </c>
      <c r="C553" s="3" t="n">
        <v>79</v>
      </c>
      <c r="D553" s="3" t="str">
        <f aca="false">Combined!G553</f>
        <v>Elderly (65+)</v>
      </c>
      <c r="E553" s="3" t="s">
        <v>45</v>
      </c>
      <c r="F553" s="3" t="s">
        <v>2651</v>
      </c>
      <c r="G553" s="3" t="s">
        <v>2651</v>
      </c>
      <c r="H553" s="3" t="s">
        <v>4088</v>
      </c>
      <c r="I553" s="3" t="s">
        <v>6759</v>
      </c>
      <c r="J553" s="3" t="s">
        <v>4468</v>
      </c>
      <c r="K553" s="3" t="s">
        <v>6568</v>
      </c>
      <c r="L553" s="3" t="s">
        <v>4052</v>
      </c>
      <c r="M553" s="3" t="s">
        <v>7323</v>
      </c>
      <c r="N553" s="3" t="s">
        <v>4265</v>
      </c>
      <c r="O553" s="3" t="s">
        <v>6517</v>
      </c>
      <c r="P553" s="3" t="s">
        <v>4469</v>
      </c>
      <c r="Q553" s="3" t="s">
        <v>6571</v>
      </c>
      <c r="R553" s="3" t="s">
        <v>4470</v>
      </c>
      <c r="S553" s="3" t="s">
        <v>6928</v>
      </c>
      <c r="T553" s="3" t="s">
        <v>4084</v>
      </c>
      <c r="U553" s="3" t="s">
        <v>6601</v>
      </c>
      <c r="V553" s="3"/>
      <c r="W553" s="3"/>
      <c r="X553" s="3" t="s">
        <v>4085</v>
      </c>
      <c r="Y553" s="3" t="s">
        <v>6907</v>
      </c>
      <c r="Z553" s="3" t="s">
        <v>4471</v>
      </c>
      <c r="AA553" s="3" t="s">
        <v>7435</v>
      </c>
    </row>
    <row r="554" customFormat="false" ht="15" hidden="false" customHeight="true" outlineLevel="0" collapsed="false">
      <c r="A554" s="3" t="s">
        <v>4472</v>
      </c>
      <c r="B554" s="3" t="n">
        <v>6</v>
      </c>
      <c r="C554" s="3" t="n">
        <v>23</v>
      </c>
      <c r="D554" s="3" t="str">
        <f aca="false">Combined!G554</f>
        <v>Student age (≤29)</v>
      </c>
      <c r="E554" s="3" t="s">
        <v>45</v>
      </c>
      <c r="F554" s="3" t="s">
        <v>2651</v>
      </c>
      <c r="G554" s="3" t="s">
        <v>2651</v>
      </c>
      <c r="H554" s="3" t="s">
        <v>4038</v>
      </c>
      <c r="I554" s="3" t="s">
        <v>7317</v>
      </c>
      <c r="J554" s="3" t="s">
        <v>4099</v>
      </c>
      <c r="K554" s="3" t="s">
        <v>6540</v>
      </c>
      <c r="L554" s="3" t="s">
        <v>4099</v>
      </c>
      <c r="M554" s="3" t="s">
        <v>6540</v>
      </c>
      <c r="N554" s="3" t="s">
        <v>4042</v>
      </c>
      <c r="O554" s="3" t="s">
        <v>6530</v>
      </c>
      <c r="P554" s="3" t="s">
        <v>4173</v>
      </c>
      <c r="Q554" s="3" t="s">
        <v>6932</v>
      </c>
      <c r="R554" s="3" t="s">
        <v>4306</v>
      </c>
      <c r="S554" s="3" t="s">
        <v>6513</v>
      </c>
      <c r="T554" s="3" t="s">
        <v>4095</v>
      </c>
      <c r="U554" s="3" t="s">
        <v>7334</v>
      </c>
      <c r="V554" s="3"/>
      <c r="W554" s="3"/>
      <c r="X554" s="3" t="s">
        <v>4128</v>
      </c>
      <c r="Y554" s="3" t="s">
        <v>7346</v>
      </c>
      <c r="Z554" s="3" t="s">
        <v>4474</v>
      </c>
      <c r="AA554" s="3" t="s">
        <v>7394</v>
      </c>
    </row>
    <row r="555" customFormat="false" ht="15" hidden="false" customHeight="true" outlineLevel="0" collapsed="false">
      <c r="A555" s="3" t="s">
        <v>4475</v>
      </c>
      <c r="B555" s="3" t="n">
        <v>6</v>
      </c>
      <c r="C555" s="3" t="n">
        <v>23</v>
      </c>
      <c r="D555" s="3" t="str">
        <f aca="false">Combined!G555</f>
        <v>Student age (≤29)</v>
      </c>
      <c r="E555" s="3" t="s">
        <v>45</v>
      </c>
      <c r="F555" s="3" t="s">
        <v>1025</v>
      </c>
      <c r="G555" s="3" t="s">
        <v>2651</v>
      </c>
      <c r="H555" s="3" t="s">
        <v>4038</v>
      </c>
      <c r="I555" s="3" t="s">
        <v>7317</v>
      </c>
      <c r="J555" s="3" t="s">
        <v>4051</v>
      </c>
      <c r="K555" s="3" t="s">
        <v>7322</v>
      </c>
      <c r="L555" s="3" t="s">
        <v>4040</v>
      </c>
      <c r="M555" s="3" t="s">
        <v>6509</v>
      </c>
      <c r="N555" s="3" t="s">
        <v>4054</v>
      </c>
      <c r="O555" s="3" t="s">
        <v>6517</v>
      </c>
      <c r="P555" s="3" t="s">
        <v>4055</v>
      </c>
      <c r="Q555" s="3" t="s">
        <v>6893</v>
      </c>
      <c r="R555" s="3" t="s">
        <v>4306</v>
      </c>
      <c r="S555" s="3" t="s">
        <v>6513</v>
      </c>
      <c r="T555" s="3" t="s">
        <v>4281</v>
      </c>
      <c r="U555" s="3" t="s">
        <v>7386</v>
      </c>
      <c r="V555" s="3"/>
      <c r="W555" s="3"/>
      <c r="X555" s="3" t="s">
        <v>4164</v>
      </c>
      <c r="Y555" s="3" t="s">
        <v>6651</v>
      </c>
      <c r="Z555" s="3" t="s">
        <v>4476</v>
      </c>
      <c r="AA555" s="3" t="s">
        <v>7391</v>
      </c>
    </row>
    <row r="556" customFormat="false" ht="15" hidden="false" customHeight="true" outlineLevel="0" collapsed="false">
      <c r="A556" s="3" t="s">
        <v>4477</v>
      </c>
      <c r="B556" s="3" t="n">
        <v>6</v>
      </c>
      <c r="C556" s="3" t="n">
        <v>21</v>
      </c>
      <c r="D556" s="3" t="str">
        <f aca="false">Combined!G556</f>
        <v>Student age (≤29)</v>
      </c>
      <c r="E556" s="3" t="s">
        <v>83</v>
      </c>
      <c r="F556" s="3" t="s">
        <v>437</v>
      </c>
      <c r="G556" s="3" t="s">
        <v>47</v>
      </c>
      <c r="H556" s="3" t="s">
        <v>4038</v>
      </c>
      <c r="I556" s="3" t="s">
        <v>7317</v>
      </c>
      <c r="J556" s="3" t="s">
        <v>4099</v>
      </c>
      <c r="K556" s="3" t="s">
        <v>6540</v>
      </c>
      <c r="L556" s="3" t="s">
        <v>4136</v>
      </c>
      <c r="M556" s="3" t="s">
        <v>6520</v>
      </c>
      <c r="N556" s="3" t="s">
        <v>4042</v>
      </c>
      <c r="O556" s="3" t="s">
        <v>6530</v>
      </c>
      <c r="P556" s="3" t="s">
        <v>4065</v>
      </c>
      <c r="Q556" s="3" t="s">
        <v>7328</v>
      </c>
      <c r="R556" s="3" t="s">
        <v>4478</v>
      </c>
      <c r="S556" s="3" t="s">
        <v>7436</v>
      </c>
      <c r="T556" s="3" t="s">
        <v>4216</v>
      </c>
      <c r="U556" s="3" t="s">
        <v>6693</v>
      </c>
      <c r="V556" s="3"/>
      <c r="W556" s="3"/>
      <c r="X556" s="3" t="s">
        <v>4085</v>
      </c>
      <c r="Y556" s="3" t="s">
        <v>6907</v>
      </c>
      <c r="Z556" s="3" t="s">
        <v>4086</v>
      </c>
      <c r="AA556" s="3" t="s">
        <v>7326</v>
      </c>
    </row>
    <row r="557" customFormat="false" ht="15" hidden="false" customHeight="true" outlineLevel="0" collapsed="false">
      <c r="A557" s="3" t="s">
        <v>4479</v>
      </c>
      <c r="B557" s="3" t="n">
        <v>7</v>
      </c>
      <c r="C557" s="3" t="n">
        <v>21</v>
      </c>
      <c r="D557" s="3" t="str">
        <f aca="false">Combined!G557</f>
        <v>Student age (≤29)</v>
      </c>
      <c r="E557" s="3" t="s">
        <v>45</v>
      </c>
      <c r="F557" s="3" t="s">
        <v>47</v>
      </c>
      <c r="G557" s="3" t="s">
        <v>47</v>
      </c>
      <c r="H557" s="3" t="s">
        <v>4480</v>
      </c>
      <c r="I557" s="3" t="s">
        <v>6759</v>
      </c>
      <c r="J557" s="3" t="s">
        <v>4481</v>
      </c>
      <c r="K557" s="3" t="s">
        <v>6509</v>
      </c>
      <c r="L557" s="3" t="s">
        <v>4482</v>
      </c>
      <c r="M557" s="3" t="s">
        <v>6568</v>
      </c>
      <c r="N557" s="3" t="s">
        <v>4483</v>
      </c>
      <c r="O557" s="3" t="s">
        <v>6530</v>
      </c>
      <c r="P557" s="3" t="s">
        <v>4484</v>
      </c>
      <c r="Q557" s="3" t="s">
        <v>6730</v>
      </c>
      <c r="R557" s="3" t="s">
        <v>4485</v>
      </c>
      <c r="S557" s="3" t="s">
        <v>7437</v>
      </c>
      <c r="T557" s="3" t="s">
        <v>4487</v>
      </c>
      <c r="U557" s="3" t="s">
        <v>7438</v>
      </c>
      <c r="V557" s="3" t="s">
        <v>4488</v>
      </c>
      <c r="W557" s="3" t="s">
        <v>6541</v>
      </c>
      <c r="X557" s="3" t="s">
        <v>4489</v>
      </c>
      <c r="Y557" s="3" t="s">
        <v>6635</v>
      </c>
      <c r="Z557" s="3" t="s">
        <v>4490</v>
      </c>
      <c r="AA557" s="3" t="s">
        <v>6551</v>
      </c>
    </row>
    <row r="558" customFormat="false" ht="15" hidden="false" customHeight="true" outlineLevel="0" collapsed="false">
      <c r="A558" s="3" t="s">
        <v>4492</v>
      </c>
      <c r="B558" s="3" t="n">
        <v>7</v>
      </c>
      <c r="C558" s="3" t="n">
        <v>21</v>
      </c>
      <c r="D558" s="3" t="str">
        <f aca="false">Combined!G558</f>
        <v>Student age (≤29)</v>
      </c>
      <c r="E558" s="3" t="s">
        <v>45</v>
      </c>
      <c r="F558" s="3" t="s">
        <v>47</v>
      </c>
      <c r="G558" s="3" t="s">
        <v>47</v>
      </c>
      <c r="H558" s="3" t="s">
        <v>4493</v>
      </c>
      <c r="I558" s="3" t="s">
        <v>6874</v>
      </c>
      <c r="J558" s="3" t="s">
        <v>4494</v>
      </c>
      <c r="K558" s="3" t="s">
        <v>6568</v>
      </c>
      <c r="L558" s="3" t="s">
        <v>4495</v>
      </c>
      <c r="M558" s="3" t="s">
        <v>7439</v>
      </c>
      <c r="N558" s="3" t="s">
        <v>4496</v>
      </c>
      <c r="O558" s="3" t="s">
        <v>6511</v>
      </c>
      <c r="P558" s="3" t="s">
        <v>4497</v>
      </c>
      <c r="Q558" s="3" t="s">
        <v>6914</v>
      </c>
      <c r="R558" s="3" t="s">
        <v>59</v>
      </c>
      <c r="S558" s="3" t="s">
        <v>6647</v>
      </c>
      <c r="T558" s="3" t="s">
        <v>4499</v>
      </c>
      <c r="U558" s="3" t="s">
        <v>6688</v>
      </c>
      <c r="V558" s="3" t="s">
        <v>4500</v>
      </c>
      <c r="W558" s="3" t="s">
        <v>6611</v>
      </c>
      <c r="X558" s="3" t="s">
        <v>4501</v>
      </c>
      <c r="Y558" s="3" t="s">
        <v>6597</v>
      </c>
      <c r="Z558" s="3" t="s">
        <v>4502</v>
      </c>
      <c r="AA558" s="3" t="s">
        <v>6649</v>
      </c>
    </row>
    <row r="559" customFormat="false" ht="15" hidden="false" customHeight="true" outlineLevel="0" collapsed="false">
      <c r="A559" s="3" t="s">
        <v>4503</v>
      </c>
      <c r="B559" s="3" t="n">
        <v>7</v>
      </c>
      <c r="C559" s="3" t="n">
        <v>21</v>
      </c>
      <c r="D559" s="3" t="str">
        <f aca="false">Combined!G559</f>
        <v>Student age (≤29)</v>
      </c>
      <c r="E559" s="3" t="s">
        <v>45</v>
      </c>
      <c r="F559" s="3" t="s">
        <v>47</v>
      </c>
      <c r="G559" s="3" t="s">
        <v>47</v>
      </c>
      <c r="H559" s="3" t="s">
        <v>4504</v>
      </c>
      <c r="I559" s="3" t="s">
        <v>6637</v>
      </c>
      <c r="J559" s="3" t="s">
        <v>4505</v>
      </c>
      <c r="K559" s="3" t="s">
        <v>6820</v>
      </c>
      <c r="L559" s="3" t="s">
        <v>4506</v>
      </c>
      <c r="M559" s="3" t="s">
        <v>6545</v>
      </c>
      <c r="N559" s="3" t="s">
        <v>4507</v>
      </c>
      <c r="O559" s="3" t="s">
        <v>59</v>
      </c>
      <c r="P559" s="3" t="s">
        <v>4508</v>
      </c>
      <c r="Q559" s="3" t="s">
        <v>6667</v>
      </c>
      <c r="R559" s="3" t="s">
        <v>4509</v>
      </c>
      <c r="S559" s="3" t="s">
        <v>7440</v>
      </c>
      <c r="T559" s="3" t="s">
        <v>4511</v>
      </c>
      <c r="U559" s="3" t="s">
        <v>6596</v>
      </c>
      <c r="V559" s="3" t="s">
        <v>4512</v>
      </c>
      <c r="W559" s="3" t="s">
        <v>6528</v>
      </c>
      <c r="X559" s="3" t="s">
        <v>4513</v>
      </c>
      <c r="Y559" s="3" t="s">
        <v>7441</v>
      </c>
      <c r="Z559" s="3" t="s">
        <v>4514</v>
      </c>
      <c r="AA559" s="3" t="s">
        <v>6906</v>
      </c>
    </row>
    <row r="560" customFormat="false" ht="15" hidden="false" customHeight="true" outlineLevel="0" collapsed="false">
      <c r="A560" s="3" t="s">
        <v>4515</v>
      </c>
      <c r="B560" s="3" t="n">
        <v>7</v>
      </c>
      <c r="C560" s="3" t="n">
        <v>21</v>
      </c>
      <c r="D560" s="3" t="str">
        <f aca="false">Combined!G560</f>
        <v>Student age (≤29)</v>
      </c>
      <c r="E560" s="3" t="s">
        <v>83</v>
      </c>
      <c r="F560" s="3" t="s">
        <v>47</v>
      </c>
      <c r="G560" s="3" t="s">
        <v>47</v>
      </c>
      <c r="H560" s="3" t="s">
        <v>4518</v>
      </c>
      <c r="I560" s="3" t="s">
        <v>6759</v>
      </c>
      <c r="J560" s="3" t="s">
        <v>1366</v>
      </c>
      <c r="K560" s="3" t="s">
        <v>6520</v>
      </c>
      <c r="L560" s="3" t="s">
        <v>4519</v>
      </c>
      <c r="M560" s="3" t="s">
        <v>6797</v>
      </c>
      <c r="N560" s="3" t="s">
        <v>4520</v>
      </c>
      <c r="O560" s="3" t="s">
        <v>6511</v>
      </c>
      <c r="P560" s="3" t="s">
        <v>4521</v>
      </c>
      <c r="Q560" s="3" t="s">
        <v>6512</v>
      </c>
      <c r="R560" s="3" t="s">
        <v>4522</v>
      </c>
      <c r="S560" s="3" t="s">
        <v>6513</v>
      </c>
      <c r="T560" s="3" t="s">
        <v>4524</v>
      </c>
      <c r="U560" s="3" t="s">
        <v>6573</v>
      </c>
      <c r="V560" s="3" t="s">
        <v>4525</v>
      </c>
      <c r="W560" s="3" t="s">
        <v>6620</v>
      </c>
      <c r="X560" s="3" t="s">
        <v>4526</v>
      </c>
      <c r="Y560" s="3" t="s">
        <v>7442</v>
      </c>
      <c r="Z560" s="3" t="s">
        <v>4527</v>
      </c>
      <c r="AA560" s="3" t="s">
        <v>6649</v>
      </c>
    </row>
    <row r="561" customFormat="false" ht="15" hidden="false" customHeight="true" outlineLevel="0" collapsed="false">
      <c r="A561" s="3" t="s">
        <v>4528</v>
      </c>
      <c r="B561" s="3" t="n">
        <v>7</v>
      </c>
      <c r="C561" s="3" t="n">
        <v>20</v>
      </c>
      <c r="D561" s="3" t="str">
        <f aca="false">Combined!G561</f>
        <v>Student age (≤29)</v>
      </c>
      <c r="E561" s="3" t="s">
        <v>45</v>
      </c>
      <c r="F561" s="3" t="s">
        <v>47</v>
      </c>
      <c r="G561" s="3" t="s">
        <v>47</v>
      </c>
      <c r="H561" s="3" t="s">
        <v>4529</v>
      </c>
      <c r="I561" s="3" t="s">
        <v>6583</v>
      </c>
      <c r="J561" s="3" t="s">
        <v>4530</v>
      </c>
      <c r="K561" s="3" t="s">
        <v>6847</v>
      </c>
      <c r="L561" s="3" t="s">
        <v>4531</v>
      </c>
      <c r="M561" s="3" t="s">
        <v>7443</v>
      </c>
      <c r="N561" s="3" t="s">
        <v>4532</v>
      </c>
      <c r="O561" s="3" t="s">
        <v>6530</v>
      </c>
      <c r="P561" s="3" t="s">
        <v>4533</v>
      </c>
      <c r="Q561" s="3" t="s">
        <v>6518</v>
      </c>
      <c r="R561" s="3" t="s">
        <v>4534</v>
      </c>
      <c r="S561" s="3" t="s">
        <v>6513</v>
      </c>
      <c r="T561" s="3" t="s">
        <v>4536</v>
      </c>
      <c r="U561" s="3" t="s">
        <v>7444</v>
      </c>
      <c r="V561" s="3" t="s">
        <v>4537</v>
      </c>
      <c r="W561" s="3" t="s">
        <v>6545</v>
      </c>
      <c r="X561" s="3" t="s">
        <v>4538</v>
      </c>
      <c r="Y561" s="3" t="s">
        <v>7445</v>
      </c>
      <c r="Z561" s="3" t="s">
        <v>4539</v>
      </c>
      <c r="AA561" s="3" t="s">
        <v>7446</v>
      </c>
    </row>
    <row r="562" customFormat="false" ht="15" hidden="false" customHeight="true" outlineLevel="0" collapsed="false">
      <c r="A562" s="3" t="s">
        <v>4540</v>
      </c>
      <c r="B562" s="3" t="n">
        <v>7</v>
      </c>
      <c r="C562" s="3" t="n">
        <v>21</v>
      </c>
      <c r="D562" s="3" t="str">
        <f aca="false">Combined!G562</f>
        <v>Student age (≤29)</v>
      </c>
      <c r="E562" s="3" t="s">
        <v>45</v>
      </c>
      <c r="F562" s="3" t="s">
        <v>1025</v>
      </c>
      <c r="G562" s="3" t="s">
        <v>47</v>
      </c>
      <c r="H562" s="3" t="s">
        <v>4541</v>
      </c>
      <c r="I562" s="3" t="s">
        <v>6539</v>
      </c>
      <c r="J562" s="3" t="s">
        <v>4542</v>
      </c>
      <c r="K562" s="3" t="s">
        <v>7447</v>
      </c>
      <c r="L562" s="3" t="s">
        <v>4543</v>
      </c>
      <c r="M562" s="3" t="s">
        <v>7069</v>
      </c>
      <c r="N562" s="3" t="s">
        <v>4544</v>
      </c>
      <c r="O562" s="3" t="s">
        <v>6511</v>
      </c>
      <c r="P562" s="3" t="s">
        <v>4545</v>
      </c>
      <c r="Q562" s="3" t="s">
        <v>6640</v>
      </c>
      <c r="R562" s="3" t="s">
        <v>4546</v>
      </c>
      <c r="S562" s="3" t="s">
        <v>6581</v>
      </c>
      <c r="T562" s="3" t="s">
        <v>4548</v>
      </c>
      <c r="U562" s="3" t="s">
        <v>6545</v>
      </c>
      <c r="V562" s="3" t="s">
        <v>4549</v>
      </c>
      <c r="W562" s="3" t="s">
        <v>6568</v>
      </c>
      <c r="X562" s="3" t="s">
        <v>4550</v>
      </c>
      <c r="Y562" s="3" t="s">
        <v>6545</v>
      </c>
      <c r="Z562" s="3" t="s">
        <v>4551</v>
      </c>
      <c r="AA562" s="3" t="s">
        <v>6647</v>
      </c>
    </row>
    <row r="563" customFormat="false" ht="15" hidden="false" customHeight="true" outlineLevel="0" collapsed="false">
      <c r="A563" s="3" t="s">
        <v>4552</v>
      </c>
      <c r="B563" s="3" t="n">
        <v>7</v>
      </c>
      <c r="C563" s="3" t="n">
        <v>21</v>
      </c>
      <c r="D563" s="3" t="str">
        <f aca="false">Combined!G563</f>
        <v>Student age (≤29)</v>
      </c>
      <c r="E563" s="3" t="s">
        <v>45</v>
      </c>
      <c r="F563" s="3" t="s">
        <v>1025</v>
      </c>
      <c r="G563" s="3" t="s">
        <v>47</v>
      </c>
      <c r="H563" s="3" t="s">
        <v>4553</v>
      </c>
      <c r="I563" s="3" t="s">
        <v>6769</v>
      </c>
      <c r="J563" s="3" t="s">
        <v>4554</v>
      </c>
      <c r="K563" s="3" t="s">
        <v>6764</v>
      </c>
      <c r="L563" s="3" t="s">
        <v>4555</v>
      </c>
      <c r="M563" s="3" t="s">
        <v>7447</v>
      </c>
      <c r="N563" s="3" t="s">
        <v>4556</v>
      </c>
      <c r="O563" s="3" t="s">
        <v>6530</v>
      </c>
      <c r="P563" s="3" t="s">
        <v>4557</v>
      </c>
      <c r="Q563" s="3" t="s">
        <v>6518</v>
      </c>
      <c r="R563" s="3" t="s">
        <v>4558</v>
      </c>
      <c r="S563" s="3" t="s">
        <v>6513</v>
      </c>
      <c r="T563" s="3" t="s">
        <v>4560</v>
      </c>
      <c r="U563" s="3" t="s">
        <v>7448</v>
      </c>
      <c r="V563" s="3" t="s">
        <v>4561</v>
      </c>
      <c r="W563" s="3" t="s">
        <v>6770</v>
      </c>
      <c r="X563" s="3" t="s">
        <v>4562</v>
      </c>
      <c r="Y563" s="3" t="s">
        <v>7346</v>
      </c>
      <c r="Z563" s="3" t="s">
        <v>4563</v>
      </c>
      <c r="AA563" s="3" t="s">
        <v>6564</v>
      </c>
    </row>
    <row r="564" customFormat="false" ht="15" hidden="false" customHeight="true" outlineLevel="0" collapsed="false">
      <c r="A564" s="3" t="s">
        <v>4565</v>
      </c>
      <c r="B564" s="3" t="n">
        <v>7</v>
      </c>
      <c r="C564" s="3" t="n">
        <v>20</v>
      </c>
      <c r="D564" s="3" t="str">
        <f aca="false">Combined!G564</f>
        <v>Student age (≤29)</v>
      </c>
      <c r="E564" s="3" t="s">
        <v>83</v>
      </c>
      <c r="F564" s="3" t="s">
        <v>47</v>
      </c>
      <c r="G564" s="3" t="s">
        <v>47</v>
      </c>
      <c r="H564" s="3" t="s">
        <v>4566</v>
      </c>
      <c r="I564" s="3" t="s">
        <v>6539</v>
      </c>
      <c r="J564" s="3" t="s">
        <v>4567</v>
      </c>
      <c r="K564" s="3" t="s">
        <v>6509</v>
      </c>
      <c r="L564" s="3" t="s">
        <v>4568</v>
      </c>
      <c r="M564" s="3" t="s">
        <v>6559</v>
      </c>
      <c r="N564" s="3" t="s">
        <v>98</v>
      </c>
      <c r="O564" s="3" t="s">
        <v>6517</v>
      </c>
      <c r="P564" s="3" t="s">
        <v>4569</v>
      </c>
      <c r="Q564" s="3" t="s">
        <v>6730</v>
      </c>
      <c r="R564" s="3" t="s">
        <v>4570</v>
      </c>
      <c r="S564" s="3" t="s">
        <v>6581</v>
      </c>
      <c r="T564" s="3" t="s">
        <v>4572</v>
      </c>
      <c r="U564" s="3" t="s">
        <v>6601</v>
      </c>
      <c r="V564" s="3" t="s">
        <v>4573</v>
      </c>
      <c r="W564" s="3" t="s">
        <v>6528</v>
      </c>
      <c r="X564" s="3" t="s">
        <v>4574</v>
      </c>
      <c r="Y564" s="3" t="s">
        <v>6973</v>
      </c>
      <c r="Z564" s="3"/>
      <c r="AA564" s="3"/>
    </row>
    <row r="565" customFormat="false" ht="15" hidden="false" customHeight="true" outlineLevel="0" collapsed="false">
      <c r="A565" s="3" t="s">
        <v>4575</v>
      </c>
      <c r="B565" s="3" t="n">
        <v>7</v>
      </c>
      <c r="C565" s="3" t="n">
        <v>20</v>
      </c>
      <c r="D565" s="3" t="str">
        <f aca="false">Combined!G565</f>
        <v>Student age (≤29)</v>
      </c>
      <c r="E565" s="3" t="s">
        <v>83</v>
      </c>
      <c r="F565" s="3" t="s">
        <v>47</v>
      </c>
      <c r="G565" s="3" t="s">
        <v>47</v>
      </c>
      <c r="H565" s="3" t="s">
        <v>4576</v>
      </c>
      <c r="I565" s="3" t="s">
        <v>7229</v>
      </c>
      <c r="J565" s="3" t="s">
        <v>4577</v>
      </c>
      <c r="K565" s="3" t="s">
        <v>6516</v>
      </c>
      <c r="L565" s="3" t="s">
        <v>4578</v>
      </c>
      <c r="M565" s="3" t="s">
        <v>6592</v>
      </c>
      <c r="N565" s="3" t="s">
        <v>4579</v>
      </c>
      <c r="O565" s="3" t="s">
        <v>6511</v>
      </c>
      <c r="P565" s="3" t="s">
        <v>4580</v>
      </c>
      <c r="Q565" s="3" t="s">
        <v>6560</v>
      </c>
      <c r="R565" s="3" t="s">
        <v>4581</v>
      </c>
      <c r="S565" s="3" t="s">
        <v>7282</v>
      </c>
      <c r="T565" s="3" t="s">
        <v>4583</v>
      </c>
      <c r="U565" s="3" t="s">
        <v>6568</v>
      </c>
      <c r="V565" s="3" t="s">
        <v>4584</v>
      </c>
      <c r="W565" s="3" t="s">
        <v>6635</v>
      </c>
      <c r="X565" s="3" t="s">
        <v>4585</v>
      </c>
      <c r="Y565" s="3" t="s">
        <v>6651</v>
      </c>
      <c r="Z565" s="3" t="s">
        <v>4586</v>
      </c>
      <c r="AA565" s="3" t="s">
        <v>7449</v>
      </c>
    </row>
    <row r="566" customFormat="false" ht="15" hidden="false" customHeight="true" outlineLevel="0" collapsed="false">
      <c r="A566" s="3" t="s">
        <v>4588</v>
      </c>
      <c r="B566" s="3" t="n">
        <v>7</v>
      </c>
      <c r="C566" s="3" t="n">
        <v>19</v>
      </c>
      <c r="D566" s="3" t="str">
        <f aca="false">Combined!G566</f>
        <v>Student age (≤29)</v>
      </c>
      <c r="E566" s="3" t="s">
        <v>45</v>
      </c>
      <c r="F566" s="3" t="s">
        <v>4589</v>
      </c>
      <c r="G566" s="3" t="s">
        <v>47</v>
      </c>
      <c r="H566" s="3" t="s">
        <v>605</v>
      </c>
      <c r="I566" s="3" t="s">
        <v>6539</v>
      </c>
      <c r="J566" s="3" t="s">
        <v>4590</v>
      </c>
      <c r="K566" s="3" t="s">
        <v>6510</v>
      </c>
      <c r="L566" s="3" t="s">
        <v>4591</v>
      </c>
      <c r="M566" s="3" t="s">
        <v>6568</v>
      </c>
      <c r="N566" s="3" t="s">
        <v>4592</v>
      </c>
      <c r="O566" s="3" t="s">
        <v>6511</v>
      </c>
      <c r="P566" s="3" t="s">
        <v>4593</v>
      </c>
      <c r="Q566" s="3" t="s">
        <v>6512</v>
      </c>
      <c r="R566" s="3" t="s">
        <v>4594</v>
      </c>
      <c r="S566" s="3" t="s">
        <v>6513</v>
      </c>
      <c r="T566" s="3" t="s">
        <v>4596</v>
      </c>
      <c r="U566" s="3" t="s">
        <v>6635</v>
      </c>
      <c r="V566" s="3" t="s">
        <v>4597</v>
      </c>
      <c r="W566" s="3" t="s">
        <v>6650</v>
      </c>
      <c r="X566" s="3" t="s">
        <v>4598</v>
      </c>
      <c r="Y566" s="3" t="s">
        <v>6551</v>
      </c>
      <c r="Z566" s="3" t="s">
        <v>4599</v>
      </c>
      <c r="AA566" s="3" t="s">
        <v>6650</v>
      </c>
    </row>
    <row r="567" customFormat="false" ht="15" hidden="false" customHeight="true" outlineLevel="0" collapsed="false">
      <c r="A567" s="3" t="s">
        <v>4600</v>
      </c>
      <c r="B567" s="3" t="n">
        <v>7</v>
      </c>
      <c r="C567" s="3" t="n">
        <v>21</v>
      </c>
      <c r="D567" s="3" t="str">
        <f aca="false">Combined!G567</f>
        <v>Student age (≤29)</v>
      </c>
      <c r="E567" s="3" t="s">
        <v>45</v>
      </c>
      <c r="F567" s="3" t="s">
        <v>47</v>
      </c>
      <c r="G567" s="3" t="s">
        <v>47</v>
      </c>
      <c r="H567" s="3" t="s">
        <v>4601</v>
      </c>
      <c r="I567" s="3" t="s">
        <v>6539</v>
      </c>
      <c r="J567" s="3" t="s">
        <v>4602</v>
      </c>
      <c r="K567" s="3" t="s">
        <v>6564</v>
      </c>
      <c r="L567" s="3" t="s">
        <v>4603</v>
      </c>
      <c r="M567" s="3" t="s">
        <v>7450</v>
      </c>
      <c r="N567" s="3" t="s">
        <v>4604</v>
      </c>
      <c r="O567" s="3" t="s">
        <v>6511</v>
      </c>
      <c r="P567" s="3" t="s">
        <v>4605</v>
      </c>
      <c r="Q567" s="3" t="s">
        <v>6640</v>
      </c>
      <c r="R567" s="3" t="s">
        <v>4606</v>
      </c>
      <c r="S567" s="3" t="s">
        <v>6619</v>
      </c>
      <c r="T567" s="3" t="s">
        <v>4608</v>
      </c>
      <c r="U567" s="3" t="s">
        <v>6688</v>
      </c>
      <c r="V567" s="3" t="s">
        <v>4609</v>
      </c>
      <c r="W567" s="3" t="s">
        <v>7451</v>
      </c>
      <c r="X567" s="3" t="s">
        <v>4610</v>
      </c>
      <c r="Y567" s="3" t="s">
        <v>6662</v>
      </c>
      <c r="Z567" s="3" t="s">
        <v>4611</v>
      </c>
      <c r="AA567" s="3" t="s">
        <v>6662</v>
      </c>
    </row>
    <row r="568" customFormat="false" ht="15" hidden="false" customHeight="true" outlineLevel="0" collapsed="false">
      <c r="A568" s="3" t="s">
        <v>4612</v>
      </c>
      <c r="B568" s="3" t="n">
        <v>7</v>
      </c>
      <c r="C568" s="3" t="n">
        <v>19</v>
      </c>
      <c r="D568" s="3" t="str">
        <f aca="false">Combined!G568</f>
        <v>Student age (≤29)</v>
      </c>
      <c r="E568" s="3" t="s">
        <v>45</v>
      </c>
      <c r="F568" s="3" t="s">
        <v>47</v>
      </c>
      <c r="G568" s="3" t="s">
        <v>47</v>
      </c>
      <c r="H568" s="3" t="s">
        <v>4613</v>
      </c>
      <c r="I568" s="3" t="s">
        <v>6546</v>
      </c>
      <c r="J568" s="3" t="s">
        <v>4614</v>
      </c>
      <c r="K568" s="3" t="s">
        <v>6510</v>
      </c>
      <c r="L568" s="3" t="s">
        <v>4615</v>
      </c>
      <c r="M568" s="3" t="s">
        <v>6635</v>
      </c>
      <c r="N568" s="3" t="s">
        <v>4616</v>
      </c>
      <c r="O568" s="3" t="s">
        <v>6511</v>
      </c>
      <c r="P568" s="3" t="s">
        <v>4617</v>
      </c>
      <c r="Q568" s="3" t="s">
        <v>7000</v>
      </c>
      <c r="R568" s="3" t="s">
        <v>4618</v>
      </c>
      <c r="S568" s="3" t="s">
        <v>6537</v>
      </c>
      <c r="T568" s="3" t="s">
        <v>4620</v>
      </c>
      <c r="U568" s="3" t="s">
        <v>7452</v>
      </c>
      <c r="V568" s="3" t="s">
        <v>4621</v>
      </c>
      <c r="W568" s="3" t="s">
        <v>6541</v>
      </c>
      <c r="X568" s="3" t="s">
        <v>4622</v>
      </c>
      <c r="Y568" s="3" t="s">
        <v>6820</v>
      </c>
      <c r="Z568" s="3" t="s">
        <v>4623</v>
      </c>
      <c r="AA568" s="3" t="s">
        <v>6545</v>
      </c>
    </row>
    <row r="569" customFormat="false" ht="15" hidden="false" customHeight="true" outlineLevel="0" collapsed="false">
      <c r="A569" s="3" t="s">
        <v>4625</v>
      </c>
      <c r="B569" s="3" t="n">
        <v>7</v>
      </c>
      <c r="C569" s="3" t="n">
        <v>20</v>
      </c>
      <c r="D569" s="3" t="str">
        <f aca="false">Combined!G569</f>
        <v>Student age (≤29)</v>
      </c>
      <c r="E569" s="3" t="s">
        <v>83</v>
      </c>
      <c r="F569" s="3" t="s">
        <v>47</v>
      </c>
      <c r="G569" s="3" t="s">
        <v>47</v>
      </c>
      <c r="H569" s="3" t="s">
        <v>4626</v>
      </c>
      <c r="I569" s="3" t="s">
        <v>6608</v>
      </c>
      <c r="J569" s="3" t="s">
        <v>4627</v>
      </c>
      <c r="K569" s="3" t="s">
        <v>6510</v>
      </c>
      <c r="L569" s="3" t="s">
        <v>4628</v>
      </c>
      <c r="M569" s="3" t="s">
        <v>7453</v>
      </c>
      <c r="N569" s="3" t="s">
        <v>4629</v>
      </c>
      <c r="O569" s="3" t="s">
        <v>6511</v>
      </c>
      <c r="P569" s="3" t="s">
        <v>4630</v>
      </c>
      <c r="Q569" s="3" t="s">
        <v>6512</v>
      </c>
      <c r="R569" s="3" t="s">
        <v>4631</v>
      </c>
      <c r="S569" s="3" t="s">
        <v>6632</v>
      </c>
      <c r="T569" s="3" t="s">
        <v>4633</v>
      </c>
      <c r="U569" s="3" t="s">
        <v>7454</v>
      </c>
      <c r="V569" s="3" t="s">
        <v>4634</v>
      </c>
      <c r="W569" s="3" t="s">
        <v>7451</v>
      </c>
      <c r="X569" s="3" t="s">
        <v>4635</v>
      </c>
      <c r="Y569" s="3" t="s">
        <v>6528</v>
      </c>
      <c r="Z569" s="3" t="s">
        <v>4636</v>
      </c>
      <c r="AA569" s="3" t="s">
        <v>6592</v>
      </c>
    </row>
    <row r="570" customFormat="false" ht="15" hidden="false" customHeight="true" outlineLevel="0" collapsed="false">
      <c r="A570" s="3" t="s">
        <v>4637</v>
      </c>
      <c r="B570" s="3" t="n">
        <v>7</v>
      </c>
      <c r="C570" s="3" t="n">
        <v>19</v>
      </c>
      <c r="D570" s="3" t="str">
        <f aca="false">Combined!G570</f>
        <v>Student age (≤29)</v>
      </c>
      <c r="E570" s="3" t="s">
        <v>83</v>
      </c>
      <c r="F570" s="3" t="s">
        <v>47</v>
      </c>
      <c r="G570" s="3" t="s">
        <v>47</v>
      </c>
      <c r="H570" s="3" t="s">
        <v>4638</v>
      </c>
      <c r="I570" s="3" t="s">
        <v>6608</v>
      </c>
      <c r="J570" s="3" t="s">
        <v>4639</v>
      </c>
      <c r="K570" s="3" t="s">
        <v>6545</v>
      </c>
      <c r="L570" s="3" t="s">
        <v>4640</v>
      </c>
      <c r="M570" s="3" t="s">
        <v>7455</v>
      </c>
      <c r="N570" s="3" t="s">
        <v>4641</v>
      </c>
      <c r="O570" s="3" t="s">
        <v>6511</v>
      </c>
      <c r="P570" s="3" t="s">
        <v>4642</v>
      </c>
      <c r="Q570" s="3" t="s">
        <v>7076</v>
      </c>
      <c r="R570" s="3" t="s">
        <v>4643</v>
      </c>
      <c r="S570" s="3" t="s">
        <v>6513</v>
      </c>
      <c r="T570" s="3" t="s">
        <v>4645</v>
      </c>
      <c r="U570" s="3" t="s">
        <v>6568</v>
      </c>
      <c r="V570" s="3" t="s">
        <v>4646</v>
      </c>
      <c r="W570" s="3" t="s">
        <v>6747</v>
      </c>
      <c r="X570" s="3" t="s">
        <v>4647</v>
      </c>
      <c r="Y570" s="3" t="s">
        <v>6778</v>
      </c>
      <c r="Z570" s="3" t="s">
        <v>4648</v>
      </c>
      <c r="AA570" s="3" t="s">
        <v>7456</v>
      </c>
    </row>
    <row r="571" customFormat="false" ht="15" hidden="false" customHeight="true" outlineLevel="0" collapsed="false">
      <c r="A571" s="3" t="s">
        <v>4650</v>
      </c>
      <c r="B571" s="3" t="n">
        <v>7</v>
      </c>
      <c r="C571" s="3" t="n">
        <v>20</v>
      </c>
      <c r="D571" s="3" t="str">
        <f aca="false">Combined!G571</f>
        <v>Student age (≤29)</v>
      </c>
      <c r="E571" s="3" t="s">
        <v>45</v>
      </c>
      <c r="F571" s="3" t="s">
        <v>4651</v>
      </c>
      <c r="G571" s="3" t="s">
        <v>47</v>
      </c>
      <c r="H571" s="3" t="s">
        <v>4652</v>
      </c>
      <c r="I571" s="3" t="s">
        <v>7457</v>
      </c>
      <c r="J571" s="3" t="s">
        <v>4653</v>
      </c>
      <c r="K571" s="3" t="s">
        <v>6520</v>
      </c>
      <c r="L571" s="3" t="s">
        <v>4654</v>
      </c>
      <c r="M571" s="3" t="s">
        <v>7458</v>
      </c>
      <c r="N571" s="3" t="s">
        <v>4655</v>
      </c>
      <c r="O571" s="3" t="s">
        <v>6530</v>
      </c>
      <c r="P571" s="3" t="s">
        <v>4656</v>
      </c>
      <c r="Q571" s="3" t="s">
        <v>6968</v>
      </c>
      <c r="R571" s="3" t="s">
        <v>4657</v>
      </c>
      <c r="S571" s="3" t="s">
        <v>6581</v>
      </c>
      <c r="T571" s="3" t="s">
        <v>4659</v>
      </c>
      <c r="U571" s="3" t="s">
        <v>6540</v>
      </c>
      <c r="V571" s="3" t="s">
        <v>4660</v>
      </c>
      <c r="W571" s="3" t="s">
        <v>6924</v>
      </c>
      <c r="X571" s="3" t="s">
        <v>4661</v>
      </c>
      <c r="Y571" s="3" t="s">
        <v>6568</v>
      </c>
      <c r="Z571" s="3" t="s">
        <v>4662</v>
      </c>
      <c r="AA571" s="3" t="s">
        <v>6635</v>
      </c>
    </row>
    <row r="572" customFormat="false" ht="15" hidden="false" customHeight="true" outlineLevel="0" collapsed="false">
      <c r="A572" s="3" t="s">
        <v>4664</v>
      </c>
      <c r="B572" s="3" t="n">
        <v>7</v>
      </c>
      <c r="C572" s="3" t="n">
        <v>19</v>
      </c>
      <c r="D572" s="3" t="str">
        <f aca="false">Combined!G572</f>
        <v>Student age (≤29)</v>
      </c>
      <c r="E572" s="3" t="s">
        <v>45</v>
      </c>
      <c r="F572" s="3" t="s">
        <v>47</v>
      </c>
      <c r="G572" s="3" t="s">
        <v>47</v>
      </c>
      <c r="H572" s="3" t="s">
        <v>4665</v>
      </c>
      <c r="I572" s="3" t="s">
        <v>6551</v>
      </c>
      <c r="J572" s="3" t="s">
        <v>4666</v>
      </c>
      <c r="K572" s="3" t="s">
        <v>6545</v>
      </c>
      <c r="L572" s="3" t="s">
        <v>4667</v>
      </c>
      <c r="M572" s="3" t="s">
        <v>6509</v>
      </c>
      <c r="N572" s="3" t="s">
        <v>98</v>
      </c>
      <c r="O572" s="3" t="s">
        <v>6517</v>
      </c>
      <c r="P572" s="3" t="s">
        <v>4668</v>
      </c>
      <c r="Q572" s="3" t="s">
        <v>6542</v>
      </c>
      <c r="R572" s="3" t="s">
        <v>4669</v>
      </c>
      <c r="S572" s="3" t="s">
        <v>6581</v>
      </c>
      <c r="T572" s="3" t="s">
        <v>4671</v>
      </c>
      <c r="U572" s="3" t="s">
        <v>6611</v>
      </c>
      <c r="V572" s="3" t="s">
        <v>4672</v>
      </c>
      <c r="W572" s="3" t="s">
        <v>6611</v>
      </c>
      <c r="X572" s="3" t="s">
        <v>4673</v>
      </c>
      <c r="Y572" s="3" t="s">
        <v>6783</v>
      </c>
      <c r="Z572" s="3" t="s">
        <v>4674</v>
      </c>
      <c r="AA572" s="3" t="s">
        <v>6647</v>
      </c>
    </row>
    <row r="573" customFormat="false" ht="15" hidden="false" customHeight="true" outlineLevel="0" collapsed="false">
      <c r="A573" s="3" t="s">
        <v>4675</v>
      </c>
      <c r="B573" s="3" t="n">
        <v>7</v>
      </c>
      <c r="C573" s="3" t="n">
        <v>21</v>
      </c>
      <c r="D573" s="3" t="str">
        <f aca="false">Combined!G573</f>
        <v>Student age (≤29)</v>
      </c>
      <c r="E573" s="3" t="s">
        <v>83</v>
      </c>
      <c r="F573" s="3" t="s">
        <v>47</v>
      </c>
      <c r="G573" s="3" t="s">
        <v>47</v>
      </c>
      <c r="H573" s="3" t="s">
        <v>4676</v>
      </c>
      <c r="I573" s="3" t="s">
        <v>6546</v>
      </c>
      <c r="J573" s="3" t="s">
        <v>4677</v>
      </c>
      <c r="K573" s="3" t="s">
        <v>6540</v>
      </c>
      <c r="L573" s="3" t="s">
        <v>4678</v>
      </c>
      <c r="M573" s="3" t="s">
        <v>6820</v>
      </c>
      <c r="N573" s="3" t="s">
        <v>4679</v>
      </c>
      <c r="O573" s="3" t="s">
        <v>59</v>
      </c>
      <c r="P573" s="3" t="s">
        <v>4680</v>
      </c>
      <c r="Q573" s="3" t="s">
        <v>6512</v>
      </c>
      <c r="R573" s="3" t="s">
        <v>4681</v>
      </c>
      <c r="S573" s="3" t="s">
        <v>6775</v>
      </c>
      <c r="T573" s="3" t="s">
        <v>4683</v>
      </c>
      <c r="U573" s="3" t="s">
        <v>6545</v>
      </c>
      <c r="V573" s="3" t="s">
        <v>4684</v>
      </c>
      <c r="W573" s="3" t="s">
        <v>7459</v>
      </c>
      <c r="X573" s="3" t="s">
        <v>4685</v>
      </c>
      <c r="Y573" s="3" t="s">
        <v>6651</v>
      </c>
      <c r="Z573" s="3" t="s">
        <v>4686</v>
      </c>
      <c r="AA573" s="3" t="s">
        <v>6545</v>
      </c>
    </row>
    <row r="574" customFormat="false" ht="15" hidden="false" customHeight="true" outlineLevel="0" collapsed="false">
      <c r="A574" s="3" t="s">
        <v>4687</v>
      </c>
      <c r="B574" s="3" t="n">
        <v>7</v>
      </c>
      <c r="C574" s="3" t="n">
        <v>21</v>
      </c>
      <c r="D574" s="3" t="str">
        <f aca="false">Combined!G574</f>
        <v>Student age (≤29)</v>
      </c>
      <c r="E574" s="3" t="s">
        <v>45</v>
      </c>
      <c r="F574" s="3" t="s">
        <v>437</v>
      </c>
      <c r="G574" s="3" t="s">
        <v>47</v>
      </c>
      <c r="H574" s="3" t="s">
        <v>4688</v>
      </c>
      <c r="I574" s="3" t="s">
        <v>6763</v>
      </c>
      <c r="J574" s="3" t="s">
        <v>4689</v>
      </c>
      <c r="K574" s="3" t="s">
        <v>6540</v>
      </c>
      <c r="L574" s="3" t="s">
        <v>4690</v>
      </c>
      <c r="M574" s="3" t="s">
        <v>6611</v>
      </c>
      <c r="N574" s="3" t="s">
        <v>895</v>
      </c>
      <c r="O574" s="3" t="s">
        <v>6517</v>
      </c>
      <c r="P574" s="3" t="s">
        <v>4691</v>
      </c>
      <c r="Q574" s="3" t="s">
        <v>6524</v>
      </c>
      <c r="R574" s="3" t="s">
        <v>4692</v>
      </c>
      <c r="S574" s="3" t="s">
        <v>7460</v>
      </c>
      <c r="T574" s="3" t="s">
        <v>4694</v>
      </c>
      <c r="U574" s="3" t="s">
        <v>7461</v>
      </c>
      <c r="V574" s="3" t="s">
        <v>4695</v>
      </c>
      <c r="W574" s="3" t="s">
        <v>6551</v>
      </c>
      <c r="X574" s="3" t="s">
        <v>4696</v>
      </c>
      <c r="Y574" s="3" t="s">
        <v>6551</v>
      </c>
      <c r="Z574" s="3" t="s">
        <v>4697</v>
      </c>
      <c r="AA574" s="3" t="s">
        <v>7462</v>
      </c>
    </row>
    <row r="575" customFormat="false" ht="15" hidden="false" customHeight="true" outlineLevel="0" collapsed="false">
      <c r="A575" s="3" t="s">
        <v>4698</v>
      </c>
      <c r="B575" s="3" t="n">
        <v>7</v>
      </c>
      <c r="C575" s="3" t="n">
        <v>21</v>
      </c>
      <c r="D575" s="3" t="str">
        <f aca="false">Combined!G575</f>
        <v>Student age (≤29)</v>
      </c>
      <c r="E575" s="3" t="s">
        <v>83</v>
      </c>
      <c r="F575" s="3" t="s">
        <v>47</v>
      </c>
      <c r="G575" s="3" t="s">
        <v>47</v>
      </c>
      <c r="H575" s="3" t="s">
        <v>4699</v>
      </c>
      <c r="I575" s="3" t="s">
        <v>6803</v>
      </c>
      <c r="J575" s="3" t="s">
        <v>4700</v>
      </c>
      <c r="K575" s="3" t="s">
        <v>6556</v>
      </c>
      <c r="L575" s="3" t="s">
        <v>4701</v>
      </c>
      <c r="M575" s="3" t="s">
        <v>6516</v>
      </c>
      <c r="N575" s="3" t="s">
        <v>4702</v>
      </c>
      <c r="O575" s="3" t="s">
        <v>6511</v>
      </c>
      <c r="P575" s="3" t="s">
        <v>4703</v>
      </c>
      <c r="Q575" s="3" t="s">
        <v>6577</v>
      </c>
      <c r="R575" s="3" t="s">
        <v>4704</v>
      </c>
      <c r="S575" s="3" t="s">
        <v>7079</v>
      </c>
      <c r="T575" s="3" t="s">
        <v>4706</v>
      </c>
      <c r="U575" s="3" t="s">
        <v>7463</v>
      </c>
      <c r="V575" s="3" t="s">
        <v>4707</v>
      </c>
      <c r="W575" s="3" t="s">
        <v>6528</v>
      </c>
      <c r="X575" s="3" t="s">
        <v>4708</v>
      </c>
      <c r="Y575" s="3" t="s">
        <v>6545</v>
      </c>
      <c r="Z575" s="3" t="s">
        <v>4709</v>
      </c>
      <c r="AA575" s="3" t="s">
        <v>7464</v>
      </c>
    </row>
    <row r="576" customFormat="false" ht="15" hidden="false" customHeight="true" outlineLevel="0" collapsed="false">
      <c r="A576" s="3" t="s">
        <v>4710</v>
      </c>
      <c r="B576" s="3" t="n">
        <v>7</v>
      </c>
      <c r="C576" s="3" t="n">
        <v>19</v>
      </c>
      <c r="D576" s="3" t="str">
        <f aca="false">Combined!G576</f>
        <v>Student age (≤29)</v>
      </c>
      <c r="E576" s="3" t="s">
        <v>45</v>
      </c>
      <c r="F576" s="3" t="s">
        <v>47</v>
      </c>
      <c r="G576" s="3" t="s">
        <v>47</v>
      </c>
      <c r="H576" s="3" t="s">
        <v>4711</v>
      </c>
      <c r="I576" s="3" t="s">
        <v>6539</v>
      </c>
      <c r="J576" s="3" t="s">
        <v>4712</v>
      </c>
      <c r="K576" s="3" t="s">
        <v>6529</v>
      </c>
      <c r="L576" s="3" t="s">
        <v>4713</v>
      </c>
      <c r="M576" s="3" t="s">
        <v>7465</v>
      </c>
      <c r="N576" s="3" t="s">
        <v>4714</v>
      </c>
      <c r="O576" s="3" t="s">
        <v>6511</v>
      </c>
      <c r="P576" s="3" t="s">
        <v>4715</v>
      </c>
      <c r="Q576" s="3" t="s">
        <v>6512</v>
      </c>
      <c r="R576" s="3" t="s">
        <v>4716</v>
      </c>
      <c r="S576" s="3" t="s">
        <v>7466</v>
      </c>
      <c r="T576" s="3" t="s">
        <v>4718</v>
      </c>
      <c r="U576" s="3" t="s">
        <v>7467</v>
      </c>
      <c r="V576" s="3" t="s">
        <v>4719</v>
      </c>
      <c r="W576" s="3" t="s">
        <v>7120</v>
      </c>
      <c r="X576" s="3" t="s">
        <v>4720</v>
      </c>
      <c r="Y576" s="3" t="s">
        <v>7468</v>
      </c>
      <c r="Z576" s="3" t="s">
        <v>4721</v>
      </c>
      <c r="AA576" s="3" t="s">
        <v>7469</v>
      </c>
    </row>
    <row r="577" customFormat="false" ht="15" hidden="false" customHeight="true" outlineLevel="0" collapsed="false">
      <c r="A577" s="3" t="s">
        <v>4723</v>
      </c>
      <c r="B577" s="3" t="n">
        <v>7</v>
      </c>
      <c r="C577" s="3" t="n">
        <v>19</v>
      </c>
      <c r="D577" s="3" t="str">
        <f aca="false">Combined!G577</f>
        <v>Student age (≤29)</v>
      </c>
      <c r="E577" s="3" t="s">
        <v>83</v>
      </c>
      <c r="F577" s="3" t="s">
        <v>47</v>
      </c>
      <c r="G577" s="3" t="s">
        <v>47</v>
      </c>
      <c r="H577" s="3" t="s">
        <v>4724</v>
      </c>
      <c r="I577" s="3" t="s">
        <v>6608</v>
      </c>
      <c r="J577" s="3" t="s">
        <v>4725</v>
      </c>
      <c r="K577" s="3" t="s">
        <v>7005</v>
      </c>
      <c r="L577" s="3" t="s">
        <v>4726</v>
      </c>
      <c r="M577" s="3" t="s">
        <v>6547</v>
      </c>
      <c r="N577" s="3" t="s">
        <v>885</v>
      </c>
      <c r="O577" s="3" t="s">
        <v>6517</v>
      </c>
      <c r="P577" s="3" t="s">
        <v>4727</v>
      </c>
      <c r="Q577" s="3" t="s">
        <v>6571</v>
      </c>
      <c r="R577" s="3" t="s">
        <v>4728</v>
      </c>
      <c r="S577" s="3" t="s">
        <v>6537</v>
      </c>
      <c r="T577" s="3" t="s">
        <v>4730</v>
      </c>
      <c r="U577" s="3" t="s">
        <v>7470</v>
      </c>
      <c r="V577" s="3" t="s">
        <v>4731</v>
      </c>
      <c r="W577" s="3" t="s">
        <v>6528</v>
      </c>
      <c r="X577" s="3" t="s">
        <v>4732</v>
      </c>
      <c r="Y577" s="3" t="s">
        <v>6564</v>
      </c>
      <c r="Z577" s="3" t="s">
        <v>4733</v>
      </c>
      <c r="AA577" s="3" t="s">
        <v>6528</v>
      </c>
    </row>
    <row r="578" customFormat="false" ht="15" hidden="false" customHeight="true" outlineLevel="0" collapsed="false">
      <c r="A578" s="3" t="s">
        <v>4734</v>
      </c>
      <c r="B578" s="3" t="n">
        <v>7</v>
      </c>
      <c r="C578" s="3" t="n">
        <v>18</v>
      </c>
      <c r="D578" s="3" t="str">
        <f aca="false">Combined!G578</f>
        <v>Student age (≤29)</v>
      </c>
      <c r="E578" s="3" t="s">
        <v>45</v>
      </c>
      <c r="F578" s="3" t="s">
        <v>47</v>
      </c>
      <c r="G578" s="3" t="s">
        <v>47</v>
      </c>
      <c r="H578" s="3" t="s">
        <v>4735</v>
      </c>
      <c r="I578" s="3" t="s">
        <v>6539</v>
      </c>
      <c r="J578" s="3" t="s">
        <v>4736</v>
      </c>
      <c r="K578" s="3" t="s">
        <v>6569</v>
      </c>
      <c r="L578" s="3" t="s">
        <v>4737</v>
      </c>
      <c r="M578" s="3" t="s">
        <v>6526</v>
      </c>
      <c r="N578" s="3" t="s">
        <v>4738</v>
      </c>
      <c r="O578" s="3" t="s">
        <v>6511</v>
      </c>
      <c r="P578" s="3" t="s">
        <v>4739</v>
      </c>
      <c r="Q578" s="3" t="s">
        <v>6640</v>
      </c>
      <c r="R578" s="3" t="s">
        <v>4740</v>
      </c>
      <c r="S578" s="3" t="s">
        <v>7471</v>
      </c>
      <c r="T578" s="3" t="s">
        <v>4742</v>
      </c>
      <c r="U578" s="3" t="s">
        <v>7472</v>
      </c>
      <c r="V578" s="3" t="s">
        <v>4743</v>
      </c>
      <c r="W578" s="3" t="s">
        <v>6620</v>
      </c>
      <c r="X578" s="3" t="s">
        <v>4744</v>
      </c>
      <c r="Y578" s="3" t="s">
        <v>7067</v>
      </c>
      <c r="Z578" s="3" t="s">
        <v>4745</v>
      </c>
      <c r="AA578" s="3" t="s">
        <v>6847</v>
      </c>
    </row>
    <row r="579" customFormat="false" ht="15" hidden="false" customHeight="true" outlineLevel="0" collapsed="false">
      <c r="A579" s="3" t="s">
        <v>4746</v>
      </c>
      <c r="B579" s="3" t="n">
        <v>7</v>
      </c>
      <c r="C579" s="3" t="n">
        <v>20</v>
      </c>
      <c r="D579" s="3" t="str">
        <f aca="false">Combined!G579</f>
        <v>Student age (≤29)</v>
      </c>
      <c r="E579" s="3" t="s">
        <v>45</v>
      </c>
      <c r="F579" s="3" t="s">
        <v>4651</v>
      </c>
      <c r="G579" s="3" t="s">
        <v>47</v>
      </c>
      <c r="H579" s="3" t="s">
        <v>4747</v>
      </c>
      <c r="I579" s="3" t="s">
        <v>6608</v>
      </c>
      <c r="J579" s="3" t="s">
        <v>4748</v>
      </c>
      <c r="K579" s="3" t="s">
        <v>6509</v>
      </c>
      <c r="L579" s="3" t="s">
        <v>4749</v>
      </c>
      <c r="M579" s="3" t="s">
        <v>6568</v>
      </c>
      <c r="N579" s="3" t="s">
        <v>4750</v>
      </c>
      <c r="O579" s="3" t="s">
        <v>6511</v>
      </c>
      <c r="P579" s="3" t="s">
        <v>4751</v>
      </c>
      <c r="Q579" s="3" t="s">
        <v>6580</v>
      </c>
      <c r="R579" s="3" t="s">
        <v>4752</v>
      </c>
      <c r="S579" s="3" t="s">
        <v>6928</v>
      </c>
      <c r="T579" s="3" t="s">
        <v>4754</v>
      </c>
      <c r="U579" s="3" t="s">
        <v>7473</v>
      </c>
      <c r="V579" s="3" t="s">
        <v>4755</v>
      </c>
      <c r="W579" s="3" t="s">
        <v>7474</v>
      </c>
      <c r="X579" s="3" t="s">
        <v>4756</v>
      </c>
      <c r="Y579" s="3" t="s">
        <v>7475</v>
      </c>
      <c r="Z579" s="3" t="s">
        <v>4757</v>
      </c>
      <c r="AA579" s="3" t="s">
        <v>6597</v>
      </c>
    </row>
    <row r="580" customFormat="false" ht="15" hidden="false" customHeight="true" outlineLevel="0" collapsed="false">
      <c r="A580" s="3" t="s">
        <v>4758</v>
      </c>
      <c r="B580" s="3" t="n">
        <v>7</v>
      </c>
      <c r="C580" s="3" t="n">
        <v>19</v>
      </c>
      <c r="D580" s="3" t="str">
        <f aca="false">Combined!G580</f>
        <v>Student age (≤29)</v>
      </c>
      <c r="E580" s="3" t="s">
        <v>83</v>
      </c>
      <c r="F580" s="3" t="s">
        <v>47</v>
      </c>
      <c r="G580" s="3" t="s">
        <v>47</v>
      </c>
      <c r="H580" s="3" t="s">
        <v>4759</v>
      </c>
      <c r="I580" s="3" t="s">
        <v>6666</v>
      </c>
      <c r="J580" s="3" t="s">
        <v>4760</v>
      </c>
      <c r="K580" s="3" t="s">
        <v>6540</v>
      </c>
      <c r="L580" s="3" t="s">
        <v>4761</v>
      </c>
      <c r="M580" s="3" t="s">
        <v>6896</v>
      </c>
      <c r="N580" s="3" t="s">
        <v>4762</v>
      </c>
      <c r="O580" s="3" t="s">
        <v>6511</v>
      </c>
      <c r="P580" s="3" t="s">
        <v>4763</v>
      </c>
      <c r="Q580" s="3" t="s">
        <v>6914</v>
      </c>
      <c r="R580" s="3" t="s">
        <v>4764</v>
      </c>
      <c r="S580" s="3" t="s">
        <v>6721</v>
      </c>
      <c r="T580" s="3" t="s">
        <v>4766</v>
      </c>
      <c r="U580" s="3" t="s">
        <v>7476</v>
      </c>
      <c r="V580" s="3" t="s">
        <v>4767</v>
      </c>
      <c r="W580" s="3" t="s">
        <v>6509</v>
      </c>
      <c r="X580" s="3" t="s">
        <v>4768</v>
      </c>
      <c r="Y580" s="3" t="s">
        <v>6509</v>
      </c>
      <c r="Z580" s="3" t="s">
        <v>4769</v>
      </c>
      <c r="AA580" s="3" t="s">
        <v>6820</v>
      </c>
    </row>
    <row r="581" customFormat="false" ht="15" hidden="false" customHeight="true" outlineLevel="0" collapsed="false">
      <c r="A581" s="3" t="s">
        <v>4770</v>
      </c>
      <c r="B581" s="3" t="n">
        <v>7</v>
      </c>
      <c r="C581" s="3" t="n">
        <v>18</v>
      </c>
      <c r="D581" s="3" t="str">
        <f aca="false">Combined!G581</f>
        <v>Student age (≤29)</v>
      </c>
      <c r="E581" s="3" t="s">
        <v>45</v>
      </c>
      <c r="F581" s="3" t="s">
        <v>47</v>
      </c>
      <c r="G581" s="3" t="s">
        <v>47</v>
      </c>
      <c r="H581" s="3" t="s">
        <v>4771</v>
      </c>
      <c r="I581" s="3" t="s">
        <v>7477</v>
      </c>
      <c r="J581" s="3" t="s">
        <v>4772</v>
      </c>
      <c r="K581" s="3" t="s">
        <v>6509</v>
      </c>
      <c r="L581" s="3" t="s">
        <v>4773</v>
      </c>
      <c r="M581" s="3" t="s">
        <v>6939</v>
      </c>
      <c r="N581" s="3" t="s">
        <v>4774</v>
      </c>
      <c r="O581" s="3" t="s">
        <v>6511</v>
      </c>
      <c r="P581" s="3" t="s">
        <v>4775</v>
      </c>
      <c r="Q581" s="3" t="s">
        <v>6975</v>
      </c>
      <c r="R581" s="3" t="s">
        <v>4776</v>
      </c>
      <c r="S581" s="3" t="s">
        <v>6595</v>
      </c>
      <c r="T581" s="3" t="s">
        <v>4778</v>
      </c>
      <c r="U581" s="3" t="s">
        <v>6636</v>
      </c>
      <c r="V581" s="3" t="s">
        <v>4779</v>
      </c>
      <c r="W581" s="3" t="s">
        <v>6528</v>
      </c>
      <c r="X581" s="3" t="s">
        <v>4780</v>
      </c>
      <c r="Y581" s="3" t="s">
        <v>6651</v>
      </c>
      <c r="Z581" s="3" t="s">
        <v>4781</v>
      </c>
      <c r="AA581" s="3" t="s">
        <v>7325</v>
      </c>
    </row>
    <row r="582" customFormat="false" ht="15" hidden="false" customHeight="true" outlineLevel="0" collapsed="false">
      <c r="A582" s="3" t="s">
        <v>4782</v>
      </c>
      <c r="B582" s="3" t="n">
        <v>7</v>
      </c>
      <c r="C582" s="3" t="n">
        <v>20</v>
      </c>
      <c r="D582" s="3" t="str">
        <f aca="false">Combined!G582</f>
        <v>Student age (≤29)</v>
      </c>
      <c r="E582" s="3" t="s">
        <v>83</v>
      </c>
      <c r="F582" s="3" t="s">
        <v>47</v>
      </c>
      <c r="G582" s="3" t="s">
        <v>47</v>
      </c>
      <c r="H582" s="3" t="s">
        <v>4783</v>
      </c>
      <c r="I582" s="3" t="s">
        <v>7478</v>
      </c>
      <c r="J582" s="3" t="s">
        <v>4784</v>
      </c>
      <c r="K582" s="3" t="s">
        <v>6510</v>
      </c>
      <c r="L582" s="3" t="s">
        <v>4785</v>
      </c>
      <c r="M582" s="3" t="s">
        <v>7479</v>
      </c>
      <c r="N582" s="3" t="s">
        <v>4786</v>
      </c>
      <c r="O582" s="3" t="s">
        <v>6511</v>
      </c>
      <c r="P582" s="3" t="s">
        <v>4787</v>
      </c>
      <c r="Q582" s="3" t="s">
        <v>6524</v>
      </c>
      <c r="R582" s="3" t="s">
        <v>4788</v>
      </c>
      <c r="S582" s="3" t="s">
        <v>7480</v>
      </c>
      <c r="T582" s="3" t="s">
        <v>4790</v>
      </c>
      <c r="U582" s="3" t="s">
        <v>7481</v>
      </c>
      <c r="V582" s="3" t="s">
        <v>4791</v>
      </c>
      <c r="W582" s="3" t="s">
        <v>7482</v>
      </c>
      <c r="X582" s="3" t="s">
        <v>4792</v>
      </c>
      <c r="Y582" s="3" t="s">
        <v>7483</v>
      </c>
      <c r="Z582" s="3" t="s">
        <v>4793</v>
      </c>
      <c r="AA582" s="3" t="s">
        <v>7469</v>
      </c>
    </row>
    <row r="583" customFormat="false" ht="15" hidden="false" customHeight="true" outlineLevel="0" collapsed="false">
      <c r="A583" s="3" t="s">
        <v>4794</v>
      </c>
      <c r="B583" s="3" t="n">
        <v>7</v>
      </c>
      <c r="C583" s="3" t="n">
        <v>19</v>
      </c>
      <c r="D583" s="3" t="str">
        <f aca="false">Combined!G583</f>
        <v>Student age (≤29)</v>
      </c>
      <c r="E583" s="3" t="s">
        <v>45</v>
      </c>
      <c r="F583" s="3" t="s">
        <v>47</v>
      </c>
      <c r="G583" s="3" t="s">
        <v>47</v>
      </c>
      <c r="H583" s="3" t="s">
        <v>4795</v>
      </c>
      <c r="I583" s="3" t="s">
        <v>7136</v>
      </c>
      <c r="J583" s="3" t="s">
        <v>4796</v>
      </c>
      <c r="K583" s="3" t="s">
        <v>7484</v>
      </c>
      <c r="L583" s="3" t="s">
        <v>4797</v>
      </c>
      <c r="M583" s="3" t="s">
        <v>7485</v>
      </c>
      <c r="N583" s="3" t="s">
        <v>4798</v>
      </c>
      <c r="O583" s="3" t="s">
        <v>6511</v>
      </c>
      <c r="P583" s="3" t="s">
        <v>4799</v>
      </c>
      <c r="Q583" s="3" t="s">
        <v>7486</v>
      </c>
      <c r="R583" s="3" t="s">
        <v>4800</v>
      </c>
      <c r="S583" s="3" t="s">
        <v>6619</v>
      </c>
      <c r="T583" s="3" t="s">
        <v>4802</v>
      </c>
      <c r="U583" s="3" t="s">
        <v>7487</v>
      </c>
      <c r="V583" s="3" t="s">
        <v>4803</v>
      </c>
      <c r="W583" s="3" t="s">
        <v>7488</v>
      </c>
      <c r="X583" s="3" t="s">
        <v>4804</v>
      </c>
      <c r="Y583" s="3" t="s">
        <v>7489</v>
      </c>
      <c r="Z583" s="3" t="s">
        <v>4805</v>
      </c>
      <c r="AA583" s="3" t="s">
        <v>7490</v>
      </c>
    </row>
    <row r="584" customFormat="false" ht="15" hidden="false" customHeight="true" outlineLevel="0" collapsed="false">
      <c r="A584" s="3" t="s">
        <v>4806</v>
      </c>
      <c r="B584" s="3" t="n">
        <v>7</v>
      </c>
      <c r="C584" s="3" t="n">
        <v>21</v>
      </c>
      <c r="D584" s="3" t="str">
        <f aca="false">Combined!G584</f>
        <v>Student age (≤29)</v>
      </c>
      <c r="E584" s="3" t="s">
        <v>45</v>
      </c>
      <c r="F584" s="3" t="s">
        <v>47</v>
      </c>
      <c r="G584" s="3" t="s">
        <v>47</v>
      </c>
      <c r="H584" s="3" t="s">
        <v>4807</v>
      </c>
      <c r="I584" s="3" t="s">
        <v>6539</v>
      </c>
      <c r="J584" s="3" t="s">
        <v>4808</v>
      </c>
      <c r="K584" s="3" t="s">
        <v>6509</v>
      </c>
      <c r="L584" s="3" t="s">
        <v>4809</v>
      </c>
      <c r="M584" s="3" t="s">
        <v>6650</v>
      </c>
      <c r="N584" s="3" t="s">
        <v>4810</v>
      </c>
      <c r="O584" s="3" t="s">
        <v>6517</v>
      </c>
      <c r="P584" s="3" t="s">
        <v>4811</v>
      </c>
      <c r="Q584" s="3" t="s">
        <v>6571</v>
      </c>
      <c r="R584" s="3" t="s">
        <v>4812</v>
      </c>
      <c r="S584" s="3" t="s">
        <v>6549</v>
      </c>
      <c r="T584" s="3" t="s">
        <v>4814</v>
      </c>
      <c r="U584" s="3" t="s">
        <v>7491</v>
      </c>
      <c r="V584" s="3" t="s">
        <v>4815</v>
      </c>
      <c r="W584" s="3" t="s">
        <v>6828</v>
      </c>
      <c r="X584" s="3" t="s">
        <v>4816</v>
      </c>
      <c r="Y584" s="3" t="s">
        <v>6602</v>
      </c>
      <c r="Z584" s="3" t="s">
        <v>4817</v>
      </c>
      <c r="AA584" s="3" t="s">
        <v>7492</v>
      </c>
    </row>
    <row r="585" customFormat="false" ht="15" hidden="false" customHeight="true" outlineLevel="0" collapsed="false">
      <c r="A585" s="3" t="s">
        <v>4818</v>
      </c>
      <c r="B585" s="3" t="n">
        <v>7</v>
      </c>
      <c r="C585" s="3" t="n">
        <v>20</v>
      </c>
      <c r="D585" s="3" t="str">
        <f aca="false">Combined!G585</f>
        <v>Student age (≤29)</v>
      </c>
      <c r="E585" s="3" t="s">
        <v>83</v>
      </c>
      <c r="F585" s="3" t="s">
        <v>47</v>
      </c>
      <c r="G585" s="3" t="s">
        <v>47</v>
      </c>
      <c r="H585" s="3" t="s">
        <v>4819</v>
      </c>
      <c r="I585" s="3" t="s">
        <v>6675</v>
      </c>
      <c r="J585" s="3" t="s">
        <v>4820</v>
      </c>
      <c r="K585" s="3" t="s">
        <v>6547</v>
      </c>
      <c r="L585" s="3" t="s">
        <v>4821</v>
      </c>
      <c r="M585" s="3" t="s">
        <v>6564</v>
      </c>
      <c r="N585" s="3" t="s">
        <v>4822</v>
      </c>
      <c r="O585" s="3" t="s">
        <v>6511</v>
      </c>
      <c r="P585" s="3" t="s">
        <v>4823</v>
      </c>
      <c r="Q585" s="3" t="s">
        <v>6815</v>
      </c>
      <c r="R585" s="3" t="s">
        <v>4824</v>
      </c>
      <c r="S585" s="3" t="s">
        <v>6551</v>
      </c>
      <c r="T585" s="3" t="s">
        <v>4826</v>
      </c>
      <c r="U585" s="3" t="s">
        <v>7493</v>
      </c>
      <c r="V585" s="3" t="s">
        <v>4827</v>
      </c>
      <c r="W585" s="3" t="s">
        <v>6716</v>
      </c>
      <c r="X585" s="3" t="s">
        <v>4828</v>
      </c>
      <c r="Y585" s="3" t="s">
        <v>7080</v>
      </c>
      <c r="Z585" s="3" t="s">
        <v>4829</v>
      </c>
      <c r="AA585" s="3" t="s">
        <v>7494</v>
      </c>
    </row>
    <row r="586" customFormat="false" ht="15" hidden="false" customHeight="true" outlineLevel="0" collapsed="false">
      <c r="A586" s="3" t="s">
        <v>4830</v>
      </c>
      <c r="B586" s="3" t="n">
        <v>7</v>
      </c>
      <c r="C586" s="3" t="n">
        <v>21</v>
      </c>
      <c r="D586" s="3" t="str">
        <f aca="false">Combined!G586</f>
        <v>Student age (≤29)</v>
      </c>
      <c r="E586" s="3" t="s">
        <v>45</v>
      </c>
      <c r="F586" s="3" t="s">
        <v>47</v>
      </c>
      <c r="G586" s="3" t="s">
        <v>47</v>
      </c>
      <c r="H586" s="3" t="s">
        <v>4831</v>
      </c>
      <c r="I586" s="3" t="s">
        <v>6598</v>
      </c>
      <c r="J586" s="3" t="s">
        <v>4832</v>
      </c>
      <c r="K586" s="3" t="s">
        <v>6545</v>
      </c>
      <c r="L586" s="3" t="s">
        <v>4833</v>
      </c>
      <c r="M586" s="3" t="s">
        <v>6599</v>
      </c>
      <c r="N586" s="3" t="s">
        <v>4834</v>
      </c>
      <c r="O586" s="3" t="s">
        <v>6511</v>
      </c>
      <c r="P586" s="3" t="s">
        <v>4835</v>
      </c>
      <c r="Q586" s="3" t="s">
        <v>6612</v>
      </c>
      <c r="R586" s="3" t="s">
        <v>4836</v>
      </c>
      <c r="S586" s="3" t="s">
        <v>6537</v>
      </c>
      <c r="T586" s="3" t="s">
        <v>4838</v>
      </c>
      <c r="U586" s="3" t="s">
        <v>7495</v>
      </c>
      <c r="V586" s="3" t="s">
        <v>4839</v>
      </c>
      <c r="W586" s="3" t="s">
        <v>6900</v>
      </c>
      <c r="X586" s="3" t="s">
        <v>4840</v>
      </c>
      <c r="Y586" s="3" t="s">
        <v>6545</v>
      </c>
      <c r="Z586" s="3" t="s">
        <v>4841</v>
      </c>
      <c r="AA586" s="3" t="s">
        <v>7424</v>
      </c>
    </row>
    <row r="587" customFormat="false" ht="15" hidden="false" customHeight="true" outlineLevel="0" collapsed="false">
      <c r="A587" s="3" t="s">
        <v>4842</v>
      </c>
      <c r="B587" s="3" t="n">
        <v>7</v>
      </c>
      <c r="C587" s="3" t="n">
        <v>19</v>
      </c>
      <c r="D587" s="3" t="str">
        <f aca="false">Combined!G587</f>
        <v>Student age (≤29)</v>
      </c>
      <c r="E587" s="3" t="s">
        <v>45</v>
      </c>
      <c r="F587" s="3" t="s">
        <v>437</v>
      </c>
      <c r="G587" s="3" t="s">
        <v>47</v>
      </c>
      <c r="H587" s="3" t="s">
        <v>4843</v>
      </c>
      <c r="I587" s="3" t="s">
        <v>6805</v>
      </c>
      <c r="J587" s="3" t="s">
        <v>4844</v>
      </c>
      <c r="K587" s="3" t="s">
        <v>7496</v>
      </c>
      <c r="L587" s="3" t="s">
        <v>4845</v>
      </c>
      <c r="M587" s="3" t="s">
        <v>6977</v>
      </c>
      <c r="N587" s="3" t="s">
        <v>4846</v>
      </c>
      <c r="O587" s="3" t="s">
        <v>6517</v>
      </c>
      <c r="P587" s="3" t="s">
        <v>4847</v>
      </c>
      <c r="Q587" s="3" t="s">
        <v>6571</v>
      </c>
      <c r="R587" s="3" t="s">
        <v>4848</v>
      </c>
      <c r="S587" s="3" t="s">
        <v>6537</v>
      </c>
      <c r="T587" s="3" t="s">
        <v>4850</v>
      </c>
      <c r="U587" s="3" t="s">
        <v>7497</v>
      </c>
      <c r="V587" s="3" t="s">
        <v>4851</v>
      </c>
      <c r="W587" s="3" t="s">
        <v>6545</v>
      </c>
      <c r="X587" s="3" t="s">
        <v>4852</v>
      </c>
      <c r="Y587" s="3" t="s">
        <v>7067</v>
      </c>
      <c r="Z587" s="3"/>
      <c r="AA587" s="3"/>
    </row>
    <row r="588" customFormat="false" ht="15" hidden="false" customHeight="true" outlineLevel="0" collapsed="false">
      <c r="A588" s="3" t="s">
        <v>4853</v>
      </c>
      <c r="B588" s="3" t="n">
        <v>7</v>
      </c>
      <c r="C588" s="3" t="n">
        <v>20</v>
      </c>
      <c r="D588" s="3" t="str">
        <f aca="false">Combined!G588</f>
        <v>Student age (≤29)</v>
      </c>
      <c r="E588" s="3" t="s">
        <v>83</v>
      </c>
      <c r="F588" s="3" t="s">
        <v>47</v>
      </c>
      <c r="G588" s="3" t="s">
        <v>47</v>
      </c>
      <c r="H588" s="3" t="s">
        <v>4854</v>
      </c>
      <c r="I588" s="3" t="s">
        <v>7498</v>
      </c>
      <c r="J588" s="3" t="s">
        <v>4855</v>
      </c>
      <c r="K588" s="3" t="s">
        <v>7499</v>
      </c>
      <c r="L588" s="3" t="s">
        <v>4856</v>
      </c>
      <c r="M588" s="3" t="s">
        <v>6540</v>
      </c>
      <c r="N588" s="3" t="s">
        <v>4857</v>
      </c>
      <c r="O588" s="3" t="s">
        <v>6511</v>
      </c>
      <c r="P588" s="3" t="s">
        <v>4858</v>
      </c>
      <c r="Q588" s="3" t="s">
        <v>6849</v>
      </c>
      <c r="R588" s="3" t="s">
        <v>4859</v>
      </c>
      <c r="S588" s="3" t="s">
        <v>7365</v>
      </c>
      <c r="T588" s="3" t="s">
        <v>4861</v>
      </c>
      <c r="U588" s="3" t="s">
        <v>7500</v>
      </c>
      <c r="V588" s="3" t="s">
        <v>4862</v>
      </c>
      <c r="W588" s="3" t="s">
        <v>6828</v>
      </c>
      <c r="X588" s="3" t="s">
        <v>4863</v>
      </c>
      <c r="Y588" s="3" t="s">
        <v>6646</v>
      </c>
      <c r="Z588" s="3" t="s">
        <v>4864</v>
      </c>
      <c r="AA588" s="3" t="s">
        <v>6783</v>
      </c>
    </row>
    <row r="589" customFormat="false" ht="15" hidden="false" customHeight="true" outlineLevel="0" collapsed="false">
      <c r="A589" s="3" t="s">
        <v>4866</v>
      </c>
      <c r="B589" s="3" t="n">
        <v>7</v>
      </c>
      <c r="C589" s="3" t="n">
        <v>21</v>
      </c>
      <c r="D589" s="3" t="str">
        <f aca="false">Combined!G589</f>
        <v>Student age (≤29)</v>
      </c>
      <c r="E589" s="3" t="s">
        <v>45</v>
      </c>
      <c r="F589" s="3" t="s">
        <v>47</v>
      </c>
      <c r="G589" s="3" t="s">
        <v>47</v>
      </c>
      <c r="H589" s="3" t="s">
        <v>4869</v>
      </c>
      <c r="I589" s="3" t="s">
        <v>6803</v>
      </c>
      <c r="J589" s="3" t="s">
        <v>4870</v>
      </c>
      <c r="K589" s="3" t="s">
        <v>2035</v>
      </c>
      <c r="L589" s="3" t="s">
        <v>4871</v>
      </c>
      <c r="M589" s="3" t="s">
        <v>6564</v>
      </c>
      <c r="N589" s="3" t="s">
        <v>442</v>
      </c>
      <c r="O589" s="3" t="s">
        <v>59</v>
      </c>
      <c r="P589" s="3" t="s">
        <v>1125</v>
      </c>
      <c r="Q589" s="3" t="s">
        <v>7204</v>
      </c>
      <c r="R589" s="3" t="s">
        <v>4872</v>
      </c>
      <c r="S589" s="3" t="s">
        <v>6581</v>
      </c>
      <c r="T589" s="3" t="s">
        <v>4874</v>
      </c>
      <c r="U589" s="3" t="s">
        <v>7501</v>
      </c>
      <c r="V589" s="3" t="s">
        <v>4875</v>
      </c>
      <c r="W589" s="3" t="s">
        <v>6510</v>
      </c>
      <c r="X589" s="3" t="s">
        <v>4876</v>
      </c>
      <c r="Y589" s="3" t="s">
        <v>6529</v>
      </c>
      <c r="Z589" s="3" t="s">
        <v>4877</v>
      </c>
      <c r="AA589" s="3" t="s">
        <v>6611</v>
      </c>
    </row>
    <row r="590" customFormat="false" ht="15" hidden="false" customHeight="true" outlineLevel="0" collapsed="false">
      <c r="A590" s="3" t="s">
        <v>4878</v>
      </c>
      <c r="B590" s="3" t="n">
        <v>7</v>
      </c>
      <c r="C590" s="3" t="n">
        <v>21</v>
      </c>
      <c r="D590" s="3" t="str">
        <f aca="false">Combined!G590</f>
        <v>Student age (≤29)</v>
      </c>
      <c r="E590" s="3" t="s">
        <v>45</v>
      </c>
      <c r="F590" s="3" t="s">
        <v>47</v>
      </c>
      <c r="G590" s="3" t="s">
        <v>47</v>
      </c>
      <c r="H590" s="3" t="s">
        <v>4879</v>
      </c>
      <c r="I590" s="3" t="s">
        <v>6759</v>
      </c>
      <c r="J590" s="3" t="s">
        <v>4880</v>
      </c>
      <c r="K590" s="3" t="s">
        <v>6747</v>
      </c>
      <c r="L590" s="3" t="s">
        <v>4881</v>
      </c>
      <c r="M590" s="3" t="s">
        <v>7502</v>
      </c>
      <c r="N590" s="3" t="s">
        <v>4882</v>
      </c>
      <c r="O590" s="3" t="s">
        <v>6517</v>
      </c>
      <c r="P590" s="3" t="s">
        <v>4883</v>
      </c>
      <c r="Q590" s="3" t="s">
        <v>6640</v>
      </c>
      <c r="R590" s="3" t="s">
        <v>4884</v>
      </c>
      <c r="S590" s="3" t="s">
        <v>6701</v>
      </c>
      <c r="T590" s="3" t="s">
        <v>4886</v>
      </c>
      <c r="U590" s="3" t="s">
        <v>7503</v>
      </c>
      <c r="V590" s="3" t="s">
        <v>4887</v>
      </c>
      <c r="W590" s="3" t="s">
        <v>6610</v>
      </c>
      <c r="X590" s="3" t="s">
        <v>4888</v>
      </c>
      <c r="Y590" s="3" t="s">
        <v>6545</v>
      </c>
      <c r="Z590" s="3" t="s">
        <v>4889</v>
      </c>
      <c r="AA590" s="3" t="s">
        <v>7504</v>
      </c>
    </row>
    <row r="591" customFormat="false" ht="15" hidden="false" customHeight="true" outlineLevel="0" collapsed="false">
      <c r="A591" s="3" t="s">
        <v>4890</v>
      </c>
      <c r="B591" s="3" t="n">
        <v>7</v>
      </c>
      <c r="C591" s="3" t="n">
        <v>19</v>
      </c>
      <c r="D591" s="3" t="str">
        <f aca="false">Combined!G591</f>
        <v>Student age (≤29)</v>
      </c>
      <c r="E591" s="3" t="s">
        <v>83</v>
      </c>
      <c r="F591" s="3" t="s">
        <v>47</v>
      </c>
      <c r="G591" s="3" t="s">
        <v>47</v>
      </c>
      <c r="H591" s="3" t="s">
        <v>4891</v>
      </c>
      <c r="I591" s="3" t="s">
        <v>6733</v>
      </c>
      <c r="J591" s="3" t="s">
        <v>4892</v>
      </c>
      <c r="K591" s="3" t="s">
        <v>6569</v>
      </c>
      <c r="L591" s="3" t="s">
        <v>4893</v>
      </c>
      <c r="M591" s="3" t="s">
        <v>6820</v>
      </c>
      <c r="N591" s="3" t="s">
        <v>4894</v>
      </c>
      <c r="O591" s="3" t="s">
        <v>6511</v>
      </c>
      <c r="P591" s="3" t="s">
        <v>4895</v>
      </c>
      <c r="Q591" s="3" t="s">
        <v>7505</v>
      </c>
      <c r="R591" s="3" t="s">
        <v>4896</v>
      </c>
      <c r="S591" s="3" t="s">
        <v>6532</v>
      </c>
      <c r="T591" s="3" t="s">
        <v>4898</v>
      </c>
      <c r="U591" s="3" t="s">
        <v>7030</v>
      </c>
      <c r="V591" s="3" t="s">
        <v>4899</v>
      </c>
      <c r="W591" s="3" t="s">
        <v>6828</v>
      </c>
      <c r="X591" s="3" t="s">
        <v>4900</v>
      </c>
      <c r="Y591" s="3" t="s">
        <v>6564</v>
      </c>
      <c r="Z591" s="3" t="s">
        <v>4901</v>
      </c>
      <c r="AA591" s="3" t="s">
        <v>6545</v>
      </c>
    </row>
    <row r="592" customFormat="false" ht="15" hidden="false" customHeight="true" outlineLevel="0" collapsed="false">
      <c r="A592" s="3" t="s">
        <v>4902</v>
      </c>
      <c r="B592" s="3" t="n">
        <v>7</v>
      </c>
      <c r="C592" s="3" t="n">
        <v>21</v>
      </c>
      <c r="D592" s="3" t="str">
        <f aca="false">Combined!G592</f>
        <v>Student age (≤29)</v>
      </c>
      <c r="E592" s="3" t="s">
        <v>83</v>
      </c>
      <c r="F592" s="3" t="s">
        <v>47</v>
      </c>
      <c r="G592" s="3" t="s">
        <v>47</v>
      </c>
      <c r="H592" s="3" t="s">
        <v>4903</v>
      </c>
      <c r="I592" s="3" t="s">
        <v>6703</v>
      </c>
      <c r="J592" s="3" t="s">
        <v>4904</v>
      </c>
      <c r="K592" s="3" t="s">
        <v>6510</v>
      </c>
      <c r="L592" s="3" t="s">
        <v>4905</v>
      </c>
      <c r="M592" s="3" t="s">
        <v>6820</v>
      </c>
      <c r="N592" s="3" t="s">
        <v>4906</v>
      </c>
      <c r="O592" s="3" t="s">
        <v>6511</v>
      </c>
      <c r="P592" s="3" t="s">
        <v>4907</v>
      </c>
      <c r="Q592" s="3" t="s">
        <v>6542</v>
      </c>
      <c r="R592" s="3" t="s">
        <v>4908</v>
      </c>
      <c r="S592" s="3" t="s">
        <v>6721</v>
      </c>
      <c r="T592" s="3" t="s">
        <v>4910</v>
      </c>
      <c r="U592" s="3" t="s">
        <v>6540</v>
      </c>
      <c r="V592" s="3" t="s">
        <v>4911</v>
      </c>
      <c r="W592" s="3" t="s">
        <v>6758</v>
      </c>
      <c r="X592" s="3" t="s">
        <v>4912</v>
      </c>
      <c r="Y592" s="3" t="s">
        <v>6820</v>
      </c>
      <c r="Z592" s="3" t="s">
        <v>4913</v>
      </c>
      <c r="AA592" s="3" t="s">
        <v>6528</v>
      </c>
    </row>
    <row r="593" customFormat="false" ht="15" hidden="false" customHeight="true" outlineLevel="0" collapsed="false">
      <c r="A593" s="3" t="s">
        <v>4914</v>
      </c>
      <c r="B593" s="3" t="n">
        <v>7</v>
      </c>
      <c r="C593" s="3" t="n">
        <v>19</v>
      </c>
      <c r="D593" s="3" t="str">
        <f aca="false">Combined!G593</f>
        <v>Student age (≤29)</v>
      </c>
      <c r="E593" s="3" t="s">
        <v>45</v>
      </c>
      <c r="F593" s="3" t="s">
        <v>47</v>
      </c>
      <c r="G593" s="3" t="s">
        <v>47</v>
      </c>
      <c r="H593" s="3" t="s">
        <v>4915</v>
      </c>
      <c r="I593" s="3" t="s">
        <v>6759</v>
      </c>
      <c r="J593" s="3" t="s">
        <v>4916</v>
      </c>
      <c r="K593" s="3" t="s">
        <v>6551</v>
      </c>
      <c r="L593" s="3" t="s">
        <v>4917</v>
      </c>
      <c r="M593" s="3" t="s">
        <v>6540</v>
      </c>
      <c r="N593" s="3" t="s">
        <v>4918</v>
      </c>
      <c r="O593" s="3" t="s">
        <v>6511</v>
      </c>
      <c r="P593" s="3" t="s">
        <v>4919</v>
      </c>
      <c r="Q593" s="3" t="s">
        <v>6577</v>
      </c>
      <c r="R593" s="3" t="s">
        <v>4920</v>
      </c>
      <c r="S593" s="3" t="s">
        <v>7430</v>
      </c>
      <c r="T593" s="3" t="s">
        <v>4922</v>
      </c>
      <c r="U593" s="3" t="s">
        <v>7506</v>
      </c>
      <c r="V593" s="3" t="s">
        <v>4923</v>
      </c>
      <c r="W593" s="3" t="s">
        <v>6941</v>
      </c>
      <c r="X593" s="3" t="s">
        <v>4924</v>
      </c>
      <c r="Y593" s="3" t="s">
        <v>7507</v>
      </c>
      <c r="Z593" s="3" t="s">
        <v>4925</v>
      </c>
      <c r="AA593" s="3" t="s">
        <v>7346</v>
      </c>
    </row>
    <row r="594" customFormat="false" ht="15" hidden="false" customHeight="true" outlineLevel="0" collapsed="false">
      <c r="A594" s="3" t="s">
        <v>4927</v>
      </c>
      <c r="B594" s="3" t="n">
        <v>7</v>
      </c>
      <c r="C594" s="3" t="n">
        <v>19</v>
      </c>
      <c r="D594" s="3" t="str">
        <f aca="false">Combined!G594</f>
        <v>Student age (≤29)</v>
      </c>
      <c r="E594" s="3" t="s">
        <v>45</v>
      </c>
      <c r="F594" s="3" t="s">
        <v>437</v>
      </c>
      <c r="G594" s="3" t="s">
        <v>47</v>
      </c>
      <c r="H594" s="3" t="s">
        <v>4928</v>
      </c>
      <c r="I594" s="3" t="s">
        <v>6608</v>
      </c>
      <c r="J594" s="3" t="s">
        <v>4929</v>
      </c>
      <c r="K594" s="3" t="s">
        <v>7111</v>
      </c>
      <c r="L594" s="3" t="s">
        <v>4930</v>
      </c>
      <c r="M594" s="3" t="s">
        <v>6557</v>
      </c>
      <c r="N594" s="3" t="s">
        <v>4931</v>
      </c>
      <c r="O594" s="3" t="s">
        <v>6530</v>
      </c>
      <c r="P594" s="3" t="s">
        <v>4932</v>
      </c>
      <c r="Q594" s="3" t="s">
        <v>7000</v>
      </c>
      <c r="R594" s="3" t="s">
        <v>4933</v>
      </c>
      <c r="S594" s="3" t="s">
        <v>6537</v>
      </c>
      <c r="T594" s="3" t="s">
        <v>4935</v>
      </c>
      <c r="U594" s="3" t="s">
        <v>6693</v>
      </c>
      <c r="V594" s="3" t="s">
        <v>4936</v>
      </c>
      <c r="W594" s="3" t="s">
        <v>7508</v>
      </c>
      <c r="X594" s="3" t="s">
        <v>4937</v>
      </c>
      <c r="Y594" s="3" t="s">
        <v>7346</v>
      </c>
      <c r="Z594" s="3" t="s">
        <v>4938</v>
      </c>
      <c r="AA594" s="3" t="s">
        <v>6847</v>
      </c>
    </row>
    <row r="595" customFormat="false" ht="15" hidden="false" customHeight="true" outlineLevel="0" collapsed="false">
      <c r="A595" s="3" t="s">
        <v>4940</v>
      </c>
      <c r="B595" s="3" t="n">
        <v>7</v>
      </c>
      <c r="C595" s="3" t="n">
        <v>21</v>
      </c>
      <c r="D595" s="3" t="str">
        <f aca="false">Combined!G595</f>
        <v>Student age (≤29)</v>
      </c>
      <c r="E595" s="3" t="s">
        <v>45</v>
      </c>
      <c r="F595" s="3" t="s">
        <v>47</v>
      </c>
      <c r="G595" s="3" t="s">
        <v>47</v>
      </c>
      <c r="H595" s="3" t="s">
        <v>4941</v>
      </c>
      <c r="I595" s="3" t="s">
        <v>7229</v>
      </c>
      <c r="J595" s="3" t="s">
        <v>4942</v>
      </c>
      <c r="K595" s="3" t="s">
        <v>7509</v>
      </c>
      <c r="L595" s="3" t="s">
        <v>4943</v>
      </c>
      <c r="M595" s="3" t="s">
        <v>6916</v>
      </c>
      <c r="N595" s="3" t="s">
        <v>4944</v>
      </c>
      <c r="O595" s="3" t="s">
        <v>6511</v>
      </c>
      <c r="P595" s="3" t="s">
        <v>4945</v>
      </c>
      <c r="Q595" s="3" t="s">
        <v>6914</v>
      </c>
      <c r="R595" s="3" t="s">
        <v>4946</v>
      </c>
      <c r="S595" s="3" t="s">
        <v>6721</v>
      </c>
      <c r="T595" s="3" t="s">
        <v>4948</v>
      </c>
      <c r="U595" s="3" t="s">
        <v>7510</v>
      </c>
      <c r="V595" s="3" t="s">
        <v>4949</v>
      </c>
      <c r="W595" s="3" t="s">
        <v>6611</v>
      </c>
      <c r="X595" s="3" t="s">
        <v>4950</v>
      </c>
      <c r="Y595" s="3" t="s">
        <v>6646</v>
      </c>
      <c r="Z595" s="3" t="s">
        <v>4951</v>
      </c>
      <c r="AA595" s="3" t="s">
        <v>7511</v>
      </c>
    </row>
    <row r="596" customFormat="false" ht="15" hidden="false" customHeight="true" outlineLevel="0" collapsed="false">
      <c r="A596" s="3" t="s">
        <v>4953</v>
      </c>
      <c r="B596" s="3" t="n">
        <v>7</v>
      </c>
      <c r="C596" s="3" t="n">
        <v>22</v>
      </c>
      <c r="D596" s="3" t="str">
        <f aca="false">Combined!G596</f>
        <v>Student age (≤29)</v>
      </c>
      <c r="E596" s="3" t="s">
        <v>83</v>
      </c>
      <c r="F596" s="3" t="s">
        <v>47</v>
      </c>
      <c r="G596" s="3" t="s">
        <v>47</v>
      </c>
      <c r="H596" s="3" t="s">
        <v>4954</v>
      </c>
      <c r="I596" s="3" t="s">
        <v>7512</v>
      </c>
      <c r="J596" s="3" t="s">
        <v>4955</v>
      </c>
      <c r="K596" s="3" t="s">
        <v>7513</v>
      </c>
      <c r="L596" s="3" t="s">
        <v>4956</v>
      </c>
      <c r="M596" s="3" t="s">
        <v>7514</v>
      </c>
      <c r="N596" s="3" t="s">
        <v>4957</v>
      </c>
      <c r="O596" s="3" t="s">
        <v>6511</v>
      </c>
      <c r="P596" s="3" t="s">
        <v>4958</v>
      </c>
      <c r="Q596" s="3" t="s">
        <v>6914</v>
      </c>
      <c r="R596" s="3" t="s">
        <v>4959</v>
      </c>
      <c r="S596" s="3" t="s">
        <v>6619</v>
      </c>
      <c r="T596" s="3" t="s">
        <v>4961</v>
      </c>
      <c r="U596" s="3" t="s">
        <v>7515</v>
      </c>
      <c r="V596" s="3" t="s">
        <v>4635</v>
      </c>
      <c r="W596" s="3" t="s">
        <v>6528</v>
      </c>
      <c r="X596" s="3" t="s">
        <v>4962</v>
      </c>
      <c r="Y596" s="3" t="s">
        <v>6651</v>
      </c>
      <c r="Z596" s="3" t="s">
        <v>4963</v>
      </c>
      <c r="AA596" s="3" t="s">
        <v>6574</v>
      </c>
    </row>
    <row r="597" customFormat="false" ht="15" hidden="false" customHeight="true" outlineLevel="0" collapsed="false">
      <c r="A597" s="3" t="s">
        <v>4964</v>
      </c>
      <c r="B597" s="3" t="n">
        <v>7</v>
      </c>
      <c r="C597" s="3" t="n">
        <v>19</v>
      </c>
      <c r="D597" s="3" t="str">
        <f aca="false">Combined!G597</f>
        <v>Student age (≤29)</v>
      </c>
      <c r="E597" s="3" t="s">
        <v>83</v>
      </c>
      <c r="F597" s="3" t="s">
        <v>47</v>
      </c>
      <c r="G597" s="3" t="s">
        <v>47</v>
      </c>
      <c r="H597" s="3" t="s">
        <v>4965</v>
      </c>
      <c r="I597" s="3" t="s">
        <v>6603</v>
      </c>
      <c r="J597" s="3" t="s">
        <v>4966</v>
      </c>
      <c r="K597" s="3" t="s">
        <v>6569</v>
      </c>
      <c r="L597" s="3" t="s">
        <v>4967</v>
      </c>
      <c r="M597" s="3" t="s">
        <v>7186</v>
      </c>
      <c r="N597" s="3" t="s">
        <v>4968</v>
      </c>
      <c r="O597" s="3" t="s">
        <v>6517</v>
      </c>
      <c r="P597" s="3" t="s">
        <v>4969</v>
      </c>
      <c r="Q597" s="3" t="s">
        <v>6594</v>
      </c>
      <c r="R597" s="3" t="s">
        <v>4970</v>
      </c>
      <c r="S597" s="3" t="s">
        <v>6632</v>
      </c>
      <c r="T597" s="3" t="s">
        <v>4972</v>
      </c>
      <c r="U597" s="3" t="s">
        <v>7516</v>
      </c>
      <c r="V597" s="3" t="s">
        <v>4973</v>
      </c>
      <c r="W597" s="3" t="s">
        <v>6520</v>
      </c>
      <c r="X597" s="3" t="s">
        <v>4974</v>
      </c>
      <c r="Y597" s="3" t="s">
        <v>7517</v>
      </c>
      <c r="Z597" s="3" t="s">
        <v>4975</v>
      </c>
      <c r="AA597" s="3" t="s">
        <v>7009</v>
      </c>
    </row>
    <row r="598" customFormat="false" ht="15" hidden="false" customHeight="true" outlineLevel="0" collapsed="false">
      <c r="A598" s="3" t="s">
        <v>4977</v>
      </c>
      <c r="B598" s="3" t="n">
        <v>7</v>
      </c>
      <c r="C598" s="3" t="n">
        <v>21</v>
      </c>
      <c r="D598" s="3" t="str">
        <f aca="false">Combined!G598</f>
        <v>Student age (≤29)</v>
      </c>
      <c r="E598" s="3" t="s">
        <v>83</v>
      </c>
      <c r="F598" s="3" t="s">
        <v>47</v>
      </c>
      <c r="G598" s="3" t="s">
        <v>47</v>
      </c>
      <c r="H598" s="3" t="s">
        <v>4978</v>
      </c>
      <c r="I598" s="3" t="s">
        <v>6608</v>
      </c>
      <c r="J598" s="3" t="s">
        <v>4979</v>
      </c>
      <c r="K598" s="3" t="s">
        <v>6568</v>
      </c>
      <c r="L598" s="3" t="s">
        <v>4980</v>
      </c>
      <c r="M598" s="3" t="s">
        <v>7518</v>
      </c>
      <c r="N598" s="3" t="s">
        <v>4981</v>
      </c>
      <c r="O598" s="3" t="s">
        <v>6511</v>
      </c>
      <c r="P598" s="3" t="s">
        <v>4982</v>
      </c>
      <c r="Q598" s="3" t="s">
        <v>7519</v>
      </c>
      <c r="R598" s="3" t="s">
        <v>4983</v>
      </c>
      <c r="S598" s="3" t="s">
        <v>7520</v>
      </c>
      <c r="T598" s="3" t="s">
        <v>4985</v>
      </c>
      <c r="U598" s="3" t="s">
        <v>6551</v>
      </c>
      <c r="V598" s="3" t="s">
        <v>4986</v>
      </c>
      <c r="W598" s="3" t="s">
        <v>6814</v>
      </c>
      <c r="X598" s="3" t="s">
        <v>4987</v>
      </c>
      <c r="Y598" s="3" t="s">
        <v>6545</v>
      </c>
      <c r="Z598" s="3" t="s">
        <v>4988</v>
      </c>
      <c r="AA598" s="3" t="s">
        <v>6551</v>
      </c>
    </row>
    <row r="599" customFormat="false" ht="15" hidden="false" customHeight="true" outlineLevel="0" collapsed="false">
      <c r="A599" s="3" t="s">
        <v>4990</v>
      </c>
      <c r="B599" s="3" t="n">
        <v>7</v>
      </c>
      <c r="C599" s="3" t="n">
        <v>15</v>
      </c>
      <c r="D599" s="3" t="str">
        <f aca="false">Combined!G599</f>
        <v>Student age (≤29)</v>
      </c>
      <c r="E599" s="3" t="s">
        <v>45</v>
      </c>
      <c r="F599" s="3" t="s">
        <v>47</v>
      </c>
      <c r="G599" s="3" t="s">
        <v>47</v>
      </c>
      <c r="H599" s="3" t="s">
        <v>4991</v>
      </c>
      <c r="I599" s="3" t="s">
        <v>6598</v>
      </c>
      <c r="J599" s="3" t="s">
        <v>4992</v>
      </c>
      <c r="K599" s="3" t="s">
        <v>6540</v>
      </c>
      <c r="L599" s="3" t="s">
        <v>4993</v>
      </c>
      <c r="M599" s="3" t="s">
        <v>6764</v>
      </c>
      <c r="N599" s="3" t="s">
        <v>4994</v>
      </c>
      <c r="O599" s="3" t="s">
        <v>6511</v>
      </c>
      <c r="P599" s="3" t="s">
        <v>4995</v>
      </c>
      <c r="Q599" s="3" t="s">
        <v>6512</v>
      </c>
      <c r="R599" s="3" t="s">
        <v>59</v>
      </c>
      <c r="S599" s="3" t="s">
        <v>6647</v>
      </c>
      <c r="T599" s="3" t="s">
        <v>4997</v>
      </c>
      <c r="U599" s="3" t="s">
        <v>7521</v>
      </c>
      <c r="V599" s="3" t="s">
        <v>4998</v>
      </c>
      <c r="W599" s="3" t="s">
        <v>6568</v>
      </c>
      <c r="X599" s="3" t="s">
        <v>4999</v>
      </c>
      <c r="Y599" s="3" t="s">
        <v>7138</v>
      </c>
      <c r="Z599" s="3"/>
      <c r="AA599" s="3"/>
    </row>
    <row r="600" customFormat="false" ht="15" hidden="false" customHeight="true" outlineLevel="0" collapsed="false">
      <c r="A600" s="3" t="s">
        <v>5000</v>
      </c>
      <c r="B600" s="3" t="n">
        <v>7</v>
      </c>
      <c r="C600" s="3" t="n">
        <v>23</v>
      </c>
      <c r="D600" s="3" t="str">
        <f aca="false">Combined!G600</f>
        <v>Student age (≤29)</v>
      </c>
      <c r="E600" s="3" t="s">
        <v>83</v>
      </c>
      <c r="F600" s="3" t="s">
        <v>453</v>
      </c>
      <c r="G600" s="3" t="s">
        <v>453</v>
      </c>
      <c r="H600" s="3" t="s">
        <v>104</v>
      </c>
      <c r="I600" s="3" t="s">
        <v>6539</v>
      </c>
      <c r="J600" s="3" t="s">
        <v>5001</v>
      </c>
      <c r="K600" s="3" t="s">
        <v>6540</v>
      </c>
      <c r="L600" s="3" t="s">
        <v>5002</v>
      </c>
      <c r="M600" s="3" t="s">
        <v>6568</v>
      </c>
      <c r="N600" s="3" t="s">
        <v>5003</v>
      </c>
      <c r="O600" s="3" t="s">
        <v>59</v>
      </c>
      <c r="P600" s="3" t="s">
        <v>5004</v>
      </c>
      <c r="Q600" s="3" t="s">
        <v>6542</v>
      </c>
      <c r="R600" s="3" t="s">
        <v>5005</v>
      </c>
      <c r="S600" s="3" t="s">
        <v>6775</v>
      </c>
      <c r="T600" s="3" t="s">
        <v>5007</v>
      </c>
      <c r="U600" s="3" t="s">
        <v>6680</v>
      </c>
      <c r="V600" s="3" t="s">
        <v>5008</v>
      </c>
      <c r="W600" s="3" t="s">
        <v>6545</v>
      </c>
      <c r="X600" s="3" t="s">
        <v>5008</v>
      </c>
      <c r="Y600" s="3" t="s">
        <v>6545</v>
      </c>
      <c r="Z600" s="3" t="s">
        <v>5009</v>
      </c>
      <c r="AA600" s="3" t="s">
        <v>6847</v>
      </c>
    </row>
    <row r="601" customFormat="false" ht="15" hidden="false" customHeight="true" outlineLevel="0" collapsed="false">
      <c r="A601" s="3" t="s">
        <v>5010</v>
      </c>
      <c r="B601" s="3" t="n">
        <v>7</v>
      </c>
      <c r="C601" s="3" t="n">
        <v>20</v>
      </c>
      <c r="D601" s="3" t="str">
        <f aca="false">Combined!G601</f>
        <v>Student age (≤29)</v>
      </c>
      <c r="E601" s="3" t="s">
        <v>45</v>
      </c>
      <c r="F601" s="3" t="s">
        <v>47</v>
      </c>
      <c r="G601" s="3" t="s">
        <v>47</v>
      </c>
      <c r="H601" s="3" t="s">
        <v>5011</v>
      </c>
      <c r="I601" s="3" t="s">
        <v>6539</v>
      </c>
      <c r="J601" s="3" t="s">
        <v>5012</v>
      </c>
      <c r="K601" s="3" t="s">
        <v>6540</v>
      </c>
      <c r="L601" s="3" t="s">
        <v>5013</v>
      </c>
      <c r="M601" s="3" t="s">
        <v>6540</v>
      </c>
      <c r="N601" s="3" t="s">
        <v>5014</v>
      </c>
      <c r="O601" s="3" t="s">
        <v>6511</v>
      </c>
      <c r="P601" s="3" t="s">
        <v>5015</v>
      </c>
      <c r="Q601" s="3" t="s">
        <v>6512</v>
      </c>
      <c r="R601" s="3" t="s">
        <v>5016</v>
      </c>
      <c r="S601" s="3" t="s">
        <v>6581</v>
      </c>
      <c r="T601" s="3" t="s">
        <v>5018</v>
      </c>
      <c r="U601" s="3" t="s">
        <v>6602</v>
      </c>
      <c r="V601" s="3" t="s">
        <v>3184</v>
      </c>
      <c r="W601" s="3" t="s">
        <v>6545</v>
      </c>
      <c r="X601" s="3" t="s">
        <v>5019</v>
      </c>
      <c r="Y601" s="3" t="s">
        <v>6574</v>
      </c>
      <c r="Z601" s="3" t="s">
        <v>5020</v>
      </c>
      <c r="AA601" s="3" t="s">
        <v>6564</v>
      </c>
    </row>
    <row r="602" customFormat="false" ht="15" hidden="false" customHeight="true" outlineLevel="0" collapsed="false">
      <c r="A602" s="3" t="s">
        <v>5021</v>
      </c>
      <c r="B602" s="3" t="n">
        <v>7</v>
      </c>
      <c r="C602" s="3" t="n">
        <v>26</v>
      </c>
      <c r="D602" s="3" t="str">
        <f aca="false">Combined!G602</f>
        <v>Student age (≤29)</v>
      </c>
      <c r="E602" s="3" t="s">
        <v>83</v>
      </c>
      <c r="F602" s="3" t="s">
        <v>47</v>
      </c>
      <c r="G602" s="3" t="s">
        <v>47</v>
      </c>
      <c r="H602" s="3" t="s">
        <v>5022</v>
      </c>
      <c r="I602" s="3" t="s">
        <v>6681</v>
      </c>
      <c r="J602" s="3" t="s">
        <v>5023</v>
      </c>
      <c r="K602" s="3" t="s">
        <v>6545</v>
      </c>
      <c r="L602" s="3" t="s">
        <v>5024</v>
      </c>
      <c r="M602" s="3" t="s">
        <v>6545</v>
      </c>
      <c r="N602" s="3" t="s">
        <v>98</v>
      </c>
      <c r="O602" s="3" t="s">
        <v>6517</v>
      </c>
      <c r="P602" s="3" t="s">
        <v>5025</v>
      </c>
      <c r="Q602" s="3" t="s">
        <v>6542</v>
      </c>
      <c r="R602" s="3" t="s">
        <v>5026</v>
      </c>
      <c r="S602" s="3" t="s">
        <v>6721</v>
      </c>
      <c r="T602" s="3" t="s">
        <v>5028</v>
      </c>
      <c r="U602" s="3" t="s">
        <v>7522</v>
      </c>
      <c r="V602" s="3" t="s">
        <v>5029</v>
      </c>
      <c r="W602" s="3" t="s">
        <v>6545</v>
      </c>
      <c r="X602" s="3" t="s">
        <v>5030</v>
      </c>
      <c r="Y602" s="3" t="s">
        <v>7077</v>
      </c>
      <c r="Z602" s="3" t="s">
        <v>5031</v>
      </c>
      <c r="AA602" s="3" t="s">
        <v>6901</v>
      </c>
    </row>
    <row r="603" customFormat="false" ht="15" hidden="false" customHeight="true" outlineLevel="0" collapsed="false">
      <c r="A603" s="3" t="s">
        <v>5032</v>
      </c>
      <c r="B603" s="3" t="n">
        <v>7</v>
      </c>
      <c r="C603" s="3" t="n">
        <v>18</v>
      </c>
      <c r="D603" s="3" t="str">
        <f aca="false">Combined!G603</f>
        <v>Student age (≤29)</v>
      </c>
      <c r="E603" s="3" t="s">
        <v>83</v>
      </c>
      <c r="F603" s="3" t="s">
        <v>47</v>
      </c>
      <c r="G603" s="3" t="s">
        <v>47</v>
      </c>
      <c r="H603" s="3" t="s">
        <v>5033</v>
      </c>
      <c r="I603" s="3" t="s">
        <v>6587</v>
      </c>
      <c r="J603" s="3" t="s">
        <v>5034</v>
      </c>
      <c r="K603" s="3" t="s">
        <v>6569</v>
      </c>
      <c r="L603" s="3" t="s">
        <v>5035</v>
      </c>
      <c r="M603" s="3" t="s">
        <v>6569</v>
      </c>
      <c r="N603" s="3" t="s">
        <v>5036</v>
      </c>
      <c r="O603" s="3" t="s">
        <v>6511</v>
      </c>
      <c r="P603" s="3" t="s">
        <v>5037</v>
      </c>
      <c r="Q603" s="3" t="s">
        <v>6881</v>
      </c>
      <c r="R603" s="3" t="s">
        <v>5038</v>
      </c>
      <c r="S603" s="3" t="s">
        <v>6551</v>
      </c>
      <c r="T603" s="3" t="s">
        <v>5040</v>
      </c>
      <c r="U603" s="3" t="s">
        <v>7523</v>
      </c>
      <c r="V603" s="3" t="s">
        <v>5041</v>
      </c>
      <c r="W603" s="3" t="s">
        <v>6528</v>
      </c>
      <c r="X603" s="3" t="s">
        <v>5042</v>
      </c>
      <c r="Y603" s="3" t="s">
        <v>6568</v>
      </c>
      <c r="Z603" s="3" t="s">
        <v>5043</v>
      </c>
      <c r="AA603" s="3" t="s">
        <v>6929</v>
      </c>
    </row>
    <row r="604" customFormat="false" ht="15" hidden="false" customHeight="true" outlineLevel="0" collapsed="false">
      <c r="A604" s="3" t="s">
        <v>5044</v>
      </c>
      <c r="B604" s="3" t="n">
        <v>7</v>
      </c>
      <c r="C604" s="3" t="n">
        <v>26</v>
      </c>
      <c r="D604" s="3" t="str">
        <f aca="false">Combined!G604</f>
        <v>Student age (≤29)</v>
      </c>
      <c r="E604" s="3" t="s">
        <v>83</v>
      </c>
      <c r="F604" s="3" t="s">
        <v>47</v>
      </c>
      <c r="G604" s="3" t="s">
        <v>47</v>
      </c>
      <c r="H604" s="3" t="s">
        <v>5045</v>
      </c>
      <c r="I604" s="3" t="s">
        <v>6603</v>
      </c>
      <c r="J604" s="3" t="s">
        <v>5046</v>
      </c>
      <c r="K604" s="3" t="s">
        <v>7524</v>
      </c>
      <c r="L604" s="3" t="s">
        <v>5047</v>
      </c>
      <c r="M604" s="3" t="s">
        <v>6516</v>
      </c>
      <c r="N604" s="3" t="s">
        <v>5048</v>
      </c>
      <c r="O604" s="3" t="s">
        <v>6511</v>
      </c>
      <c r="P604" s="3" t="s">
        <v>5049</v>
      </c>
      <c r="Q604" s="3" t="s">
        <v>6577</v>
      </c>
      <c r="R604" s="3" t="s">
        <v>5050</v>
      </c>
      <c r="S604" s="3" t="s">
        <v>7430</v>
      </c>
      <c r="T604" s="3" t="s">
        <v>5052</v>
      </c>
      <c r="U604" s="3" t="s">
        <v>6683</v>
      </c>
      <c r="V604" s="3" t="s">
        <v>5053</v>
      </c>
      <c r="W604" s="3" t="s">
        <v>6651</v>
      </c>
      <c r="X604" s="3" t="s">
        <v>5054</v>
      </c>
      <c r="Y604" s="3" t="s">
        <v>6545</v>
      </c>
      <c r="Z604" s="3" t="s">
        <v>5055</v>
      </c>
      <c r="AA604" s="3" t="s">
        <v>6651</v>
      </c>
    </row>
    <row r="605" customFormat="false" ht="15" hidden="false" customHeight="true" outlineLevel="0" collapsed="false">
      <c r="A605" s="3" t="s">
        <v>5057</v>
      </c>
      <c r="B605" s="3" t="n">
        <v>7</v>
      </c>
      <c r="C605" s="3" t="n">
        <v>57</v>
      </c>
      <c r="D605" s="3" t="str">
        <f aca="false">Combined!G605</f>
        <v>Middle-aged (30–64)</v>
      </c>
      <c r="E605" s="3" t="s">
        <v>45</v>
      </c>
      <c r="F605" s="3" t="s">
        <v>47</v>
      </c>
      <c r="G605" s="3" t="s">
        <v>47</v>
      </c>
      <c r="H605" s="3" t="s">
        <v>5058</v>
      </c>
      <c r="I605" s="3" t="s">
        <v>6551</v>
      </c>
      <c r="J605" s="3" t="s">
        <v>5059</v>
      </c>
      <c r="K605" s="3" t="s">
        <v>6557</v>
      </c>
      <c r="L605" s="3" t="s">
        <v>5060</v>
      </c>
      <c r="M605" s="3" t="s">
        <v>7525</v>
      </c>
      <c r="N605" s="3" t="s">
        <v>5061</v>
      </c>
      <c r="O605" s="3" t="s">
        <v>6511</v>
      </c>
      <c r="P605" s="3" t="s">
        <v>5062</v>
      </c>
      <c r="Q605" s="3" t="s">
        <v>6612</v>
      </c>
      <c r="R605" s="3" t="s">
        <v>5063</v>
      </c>
      <c r="S605" s="3" t="s">
        <v>7520</v>
      </c>
      <c r="T605" s="3" t="s">
        <v>5065</v>
      </c>
      <c r="U605" s="3" t="s">
        <v>7376</v>
      </c>
      <c r="V605" s="3" t="s">
        <v>5066</v>
      </c>
      <c r="W605" s="3" t="s">
        <v>7526</v>
      </c>
      <c r="X605" s="3" t="s">
        <v>5067</v>
      </c>
      <c r="Y605" s="3" t="s">
        <v>7527</v>
      </c>
      <c r="Z605" s="3"/>
      <c r="AA605" s="3"/>
    </row>
    <row r="606" customFormat="false" ht="15" hidden="false" customHeight="true" outlineLevel="0" collapsed="false">
      <c r="A606" s="3" t="s">
        <v>5068</v>
      </c>
      <c r="B606" s="3" t="n">
        <v>7</v>
      </c>
      <c r="C606" s="3" t="n">
        <v>36</v>
      </c>
      <c r="D606" s="3" t="str">
        <f aca="false">Combined!G606</f>
        <v>Middle-aged (30–64)</v>
      </c>
      <c r="E606" s="3" t="s">
        <v>45</v>
      </c>
      <c r="F606" s="3" t="s">
        <v>437</v>
      </c>
      <c r="G606" s="3" t="s">
        <v>47</v>
      </c>
      <c r="H606" s="3" t="s">
        <v>104</v>
      </c>
      <c r="I606" s="3" t="s">
        <v>6539</v>
      </c>
      <c r="J606" s="3" t="s">
        <v>5069</v>
      </c>
      <c r="K606" s="3" t="s">
        <v>6551</v>
      </c>
      <c r="L606" s="3" t="s">
        <v>5070</v>
      </c>
      <c r="M606" s="3" t="s">
        <v>6509</v>
      </c>
      <c r="N606" s="3" t="s">
        <v>5071</v>
      </c>
      <c r="O606" s="3" t="s">
        <v>6511</v>
      </c>
      <c r="P606" s="3" t="s">
        <v>5072</v>
      </c>
      <c r="Q606" s="3" t="s">
        <v>6542</v>
      </c>
      <c r="R606" s="3" t="s">
        <v>5073</v>
      </c>
      <c r="S606" s="3" t="s">
        <v>6595</v>
      </c>
      <c r="T606" s="3" t="s">
        <v>5075</v>
      </c>
      <c r="U606" s="3" t="s">
        <v>6545</v>
      </c>
      <c r="V606" s="3" t="s">
        <v>5076</v>
      </c>
      <c r="W606" s="3" t="s">
        <v>6646</v>
      </c>
      <c r="X606" s="3" t="s">
        <v>5077</v>
      </c>
      <c r="Y606" s="3" t="s">
        <v>6551</v>
      </c>
      <c r="Z606" s="3" t="s">
        <v>5078</v>
      </c>
      <c r="AA606" s="3" t="s">
        <v>6646</v>
      </c>
    </row>
    <row r="607" customFormat="false" ht="15" hidden="false" customHeight="true" outlineLevel="0" collapsed="false">
      <c r="A607" s="3" t="s">
        <v>5079</v>
      </c>
      <c r="B607" s="3" t="n">
        <v>7</v>
      </c>
      <c r="C607" s="3" t="n">
        <v>19</v>
      </c>
      <c r="D607" s="3" t="str">
        <f aca="false">Combined!G607</f>
        <v>Student age (≤29)</v>
      </c>
      <c r="E607" s="3" t="s">
        <v>45</v>
      </c>
      <c r="F607" s="3" t="s">
        <v>437</v>
      </c>
      <c r="G607" s="3" t="s">
        <v>47</v>
      </c>
      <c r="H607" s="3" t="s">
        <v>5080</v>
      </c>
      <c r="I607" s="3" t="s">
        <v>6842</v>
      </c>
      <c r="J607" s="3" t="s">
        <v>5081</v>
      </c>
      <c r="K607" s="3" t="s">
        <v>6569</v>
      </c>
      <c r="L607" s="3" t="s">
        <v>5082</v>
      </c>
      <c r="M607" s="3" t="s">
        <v>6569</v>
      </c>
      <c r="N607" s="3" t="s">
        <v>5083</v>
      </c>
      <c r="O607" s="3" t="s">
        <v>1625</v>
      </c>
      <c r="P607" s="3" t="s">
        <v>5084</v>
      </c>
      <c r="Q607" s="3" t="s">
        <v>6512</v>
      </c>
      <c r="R607" s="3" t="s">
        <v>5085</v>
      </c>
      <c r="S607" s="3" t="s">
        <v>6595</v>
      </c>
      <c r="T607" s="3" t="s">
        <v>5087</v>
      </c>
      <c r="U607" s="3" t="s">
        <v>7043</v>
      </c>
      <c r="V607" s="3" t="s">
        <v>5088</v>
      </c>
      <c r="W607" s="3" t="s">
        <v>6551</v>
      </c>
      <c r="X607" s="3" t="s">
        <v>5089</v>
      </c>
      <c r="Y607" s="3" t="s">
        <v>6900</v>
      </c>
      <c r="Z607" s="3" t="s">
        <v>5090</v>
      </c>
      <c r="AA607" s="3" t="s">
        <v>6820</v>
      </c>
    </row>
    <row r="608" customFormat="false" ht="15" hidden="false" customHeight="true" outlineLevel="0" collapsed="false">
      <c r="A608" s="3" t="s">
        <v>5091</v>
      </c>
      <c r="B608" s="3" t="n">
        <v>7</v>
      </c>
      <c r="C608" s="3" t="n">
        <v>21</v>
      </c>
      <c r="D608" s="3" t="str">
        <f aca="false">Combined!G608</f>
        <v>Student age (≤29)</v>
      </c>
      <c r="E608" s="3" t="s">
        <v>45</v>
      </c>
      <c r="F608" s="3" t="s">
        <v>437</v>
      </c>
      <c r="G608" s="3" t="s">
        <v>47</v>
      </c>
      <c r="H608" s="3" t="s">
        <v>5092</v>
      </c>
      <c r="I608" s="3" t="s">
        <v>6551</v>
      </c>
      <c r="J608" s="3" t="s">
        <v>5093</v>
      </c>
      <c r="K608" s="3" t="s">
        <v>6569</v>
      </c>
      <c r="L608" s="3" t="s">
        <v>5094</v>
      </c>
      <c r="M608" s="3" t="s">
        <v>7528</v>
      </c>
      <c r="N608" s="3" t="s">
        <v>5095</v>
      </c>
      <c r="O608" s="3" t="s">
        <v>6511</v>
      </c>
      <c r="P608" s="3" t="s">
        <v>5096</v>
      </c>
      <c r="Q608" s="3" t="s">
        <v>7051</v>
      </c>
      <c r="R608" s="3" t="s">
        <v>5097</v>
      </c>
      <c r="S608" s="3" t="s">
        <v>7529</v>
      </c>
      <c r="T608" s="3" t="s">
        <v>5099</v>
      </c>
      <c r="U608" s="3" t="s">
        <v>7530</v>
      </c>
      <c r="V608" s="3" t="s">
        <v>5100</v>
      </c>
      <c r="W608" s="3" t="s">
        <v>7531</v>
      </c>
      <c r="X608" s="3" t="s">
        <v>5101</v>
      </c>
      <c r="Y608" s="3" t="s">
        <v>7532</v>
      </c>
      <c r="Z608" s="3" t="s">
        <v>5102</v>
      </c>
      <c r="AA608" s="3" t="s">
        <v>7533</v>
      </c>
    </row>
    <row r="609" customFormat="false" ht="15" hidden="false" customHeight="true" outlineLevel="0" collapsed="false">
      <c r="A609" s="3" t="s">
        <v>5103</v>
      </c>
      <c r="B609" s="3" t="n">
        <v>7</v>
      </c>
      <c r="C609" s="3" t="n">
        <v>21</v>
      </c>
      <c r="D609" s="3" t="str">
        <f aca="false">Combined!G609</f>
        <v>Student age (≤29)</v>
      </c>
      <c r="E609" s="3" t="s">
        <v>45</v>
      </c>
      <c r="F609" s="3" t="s">
        <v>47</v>
      </c>
      <c r="G609" s="3" t="s">
        <v>47</v>
      </c>
      <c r="H609" s="3" t="s">
        <v>104</v>
      </c>
      <c r="I609" s="3" t="s">
        <v>6539</v>
      </c>
      <c r="J609" s="3" t="s">
        <v>5104</v>
      </c>
      <c r="K609" s="3" t="s">
        <v>6863</v>
      </c>
      <c r="L609" s="3" t="s">
        <v>5105</v>
      </c>
      <c r="M609" s="3" t="s">
        <v>6747</v>
      </c>
      <c r="N609" s="3" t="s">
        <v>5106</v>
      </c>
      <c r="O609" s="3" t="s">
        <v>6511</v>
      </c>
      <c r="P609" s="3" t="s">
        <v>5107</v>
      </c>
      <c r="Q609" s="3" t="s">
        <v>6542</v>
      </c>
      <c r="R609" s="3" t="s">
        <v>5108</v>
      </c>
      <c r="S609" s="3" t="s">
        <v>6532</v>
      </c>
      <c r="T609" s="3" t="s">
        <v>5110</v>
      </c>
      <c r="U609" s="3" t="s">
        <v>6688</v>
      </c>
      <c r="V609" s="3" t="s">
        <v>5111</v>
      </c>
      <c r="W609" s="3" t="s">
        <v>6568</v>
      </c>
      <c r="X609" s="3" t="s">
        <v>5112</v>
      </c>
      <c r="Y609" s="3" t="s">
        <v>6906</v>
      </c>
      <c r="Z609" s="3"/>
      <c r="AA609" s="3"/>
    </row>
    <row r="610" customFormat="false" ht="15" hidden="false" customHeight="true" outlineLevel="0" collapsed="false">
      <c r="A610" s="3" t="s">
        <v>5113</v>
      </c>
      <c r="B610" s="3" t="n">
        <v>7</v>
      </c>
      <c r="C610" s="3" t="n">
        <v>23</v>
      </c>
      <c r="D610" s="3" t="str">
        <f aca="false">Combined!G610</f>
        <v>Student age (≤29)</v>
      </c>
      <c r="E610" s="3" t="s">
        <v>45</v>
      </c>
      <c r="F610" s="3" t="s">
        <v>437</v>
      </c>
      <c r="G610" s="3" t="s">
        <v>47</v>
      </c>
      <c r="H610" s="3" t="s">
        <v>5114</v>
      </c>
      <c r="I610" s="3" t="s">
        <v>6623</v>
      </c>
      <c r="J610" s="3" t="s">
        <v>5115</v>
      </c>
      <c r="K610" s="3" t="s">
        <v>6540</v>
      </c>
      <c r="L610" s="3" t="s">
        <v>386</v>
      </c>
      <c r="M610" s="3" t="s">
        <v>6540</v>
      </c>
      <c r="N610" s="3" t="s">
        <v>5116</v>
      </c>
      <c r="O610" s="3" t="s">
        <v>6511</v>
      </c>
      <c r="P610" s="3" t="s">
        <v>5117</v>
      </c>
      <c r="Q610" s="3" t="s">
        <v>6580</v>
      </c>
      <c r="R610" s="3" t="s">
        <v>5118</v>
      </c>
      <c r="S610" s="3" t="s">
        <v>6581</v>
      </c>
      <c r="T610" s="3" t="s">
        <v>5120</v>
      </c>
      <c r="U610" s="3" t="s">
        <v>6538</v>
      </c>
      <c r="V610" s="3" t="s">
        <v>5121</v>
      </c>
      <c r="W610" s="3" t="s">
        <v>6828</v>
      </c>
      <c r="X610" s="3" t="s">
        <v>5122</v>
      </c>
      <c r="Y610" s="3" t="s">
        <v>6828</v>
      </c>
      <c r="Z610" s="3" t="s">
        <v>5123</v>
      </c>
      <c r="AA610" s="3" t="s">
        <v>6646</v>
      </c>
    </row>
    <row r="611" customFormat="false" ht="15" hidden="false" customHeight="true" outlineLevel="0" collapsed="false">
      <c r="A611" s="3" t="s">
        <v>5124</v>
      </c>
      <c r="B611" s="3" t="n">
        <v>7</v>
      </c>
      <c r="C611" s="3" t="n">
        <v>23</v>
      </c>
      <c r="D611" s="3" t="str">
        <f aca="false">Combined!G611</f>
        <v>Student age (≤29)</v>
      </c>
      <c r="E611" s="3" t="s">
        <v>45</v>
      </c>
      <c r="F611" s="3" t="s">
        <v>437</v>
      </c>
      <c r="G611" s="3" t="s">
        <v>47</v>
      </c>
      <c r="H611" s="3" t="s">
        <v>5125</v>
      </c>
      <c r="I611" s="3" t="s">
        <v>7534</v>
      </c>
      <c r="J611" s="3" t="s">
        <v>5126</v>
      </c>
      <c r="K611" s="3" t="s">
        <v>6787</v>
      </c>
      <c r="L611" s="3" t="s">
        <v>5127</v>
      </c>
      <c r="M611" s="3" t="s">
        <v>7131</v>
      </c>
      <c r="N611" s="3" t="s">
        <v>5128</v>
      </c>
      <c r="O611" s="3" t="s">
        <v>59</v>
      </c>
      <c r="P611" s="3" t="s">
        <v>5129</v>
      </c>
      <c r="Q611" s="3" t="s">
        <v>6512</v>
      </c>
      <c r="R611" s="3" t="s">
        <v>5130</v>
      </c>
      <c r="S611" s="3" t="s">
        <v>6513</v>
      </c>
      <c r="T611" s="3" t="s">
        <v>5132</v>
      </c>
      <c r="U611" s="3" t="s">
        <v>7535</v>
      </c>
      <c r="V611" s="3" t="s">
        <v>5133</v>
      </c>
      <c r="W611" s="3" t="s">
        <v>6574</v>
      </c>
      <c r="X611" s="3" t="s">
        <v>5134</v>
      </c>
      <c r="Y611" s="3" t="s">
        <v>6651</v>
      </c>
      <c r="Z611" s="3" t="s">
        <v>5135</v>
      </c>
      <c r="AA611" s="3" t="s">
        <v>6649</v>
      </c>
    </row>
    <row r="612" customFormat="false" ht="15" hidden="false" customHeight="true" outlineLevel="0" collapsed="false">
      <c r="A612" s="3" t="s">
        <v>5136</v>
      </c>
      <c r="B612" s="3" t="n">
        <v>7</v>
      </c>
      <c r="C612" s="3" t="n">
        <v>21</v>
      </c>
      <c r="D612" s="3" t="str">
        <f aca="false">Combined!G612</f>
        <v>Student age (≤29)</v>
      </c>
      <c r="E612" s="3" t="s">
        <v>45</v>
      </c>
      <c r="F612" s="3" t="s">
        <v>47</v>
      </c>
      <c r="G612" s="3" t="s">
        <v>47</v>
      </c>
      <c r="H612" s="3" t="s">
        <v>5137</v>
      </c>
      <c r="I612" s="3" t="s">
        <v>6637</v>
      </c>
      <c r="J612" s="3" t="s">
        <v>1731</v>
      </c>
      <c r="K612" s="3" t="s">
        <v>6545</v>
      </c>
      <c r="L612" s="3" t="s">
        <v>5138</v>
      </c>
      <c r="M612" s="3" t="s">
        <v>6646</v>
      </c>
      <c r="N612" s="3" t="s">
        <v>5139</v>
      </c>
      <c r="O612" s="3" t="s">
        <v>6517</v>
      </c>
      <c r="P612" s="3" t="s">
        <v>5140</v>
      </c>
      <c r="Q612" s="3" t="s">
        <v>6512</v>
      </c>
      <c r="R612" s="3" t="s">
        <v>5141</v>
      </c>
      <c r="S612" s="3" t="s">
        <v>6632</v>
      </c>
      <c r="T612" s="3" t="s">
        <v>5143</v>
      </c>
      <c r="U612" s="3" t="s">
        <v>7536</v>
      </c>
      <c r="V612" s="3" t="s">
        <v>5144</v>
      </c>
      <c r="W612" s="3" t="s">
        <v>6551</v>
      </c>
      <c r="X612" s="3" t="s">
        <v>5145</v>
      </c>
      <c r="Y612" s="3" t="s">
        <v>6528</v>
      </c>
      <c r="Z612" s="3" t="s">
        <v>5146</v>
      </c>
      <c r="AA612" s="3" t="s">
        <v>6649</v>
      </c>
    </row>
    <row r="613" customFormat="false" ht="15" hidden="false" customHeight="true" outlineLevel="0" collapsed="false">
      <c r="A613" s="3" t="s">
        <v>5147</v>
      </c>
      <c r="B613" s="3" t="n">
        <v>7</v>
      </c>
      <c r="C613" s="3" t="n">
        <v>55</v>
      </c>
      <c r="D613" s="3" t="str">
        <f aca="false">Combined!G613</f>
        <v>Middle-aged (30–64)</v>
      </c>
      <c r="E613" s="3" t="s">
        <v>45</v>
      </c>
      <c r="F613" s="3" t="s">
        <v>437</v>
      </c>
      <c r="G613" s="3" t="s">
        <v>437</v>
      </c>
      <c r="H613" s="3" t="s">
        <v>5148</v>
      </c>
      <c r="I613" s="3" t="s">
        <v>6803</v>
      </c>
      <c r="J613" s="3" t="s">
        <v>5149</v>
      </c>
      <c r="K613" s="3" t="s">
        <v>6509</v>
      </c>
      <c r="L613" s="3" t="s">
        <v>5150</v>
      </c>
      <c r="M613" s="3" t="s">
        <v>6541</v>
      </c>
      <c r="N613" s="3" t="s">
        <v>5151</v>
      </c>
      <c r="O613" s="3" t="s">
        <v>6511</v>
      </c>
      <c r="P613" s="3" t="s">
        <v>5152</v>
      </c>
      <c r="Q613" s="3" t="s">
        <v>6640</v>
      </c>
      <c r="R613" s="3" t="s">
        <v>5153</v>
      </c>
      <c r="S613" s="3" t="s">
        <v>6721</v>
      </c>
      <c r="T613" s="3" t="s">
        <v>5155</v>
      </c>
      <c r="U613" s="3" t="s">
        <v>7537</v>
      </c>
      <c r="V613" s="3" t="s">
        <v>5156</v>
      </c>
      <c r="W613" s="3" t="s">
        <v>6574</v>
      </c>
      <c r="X613" s="3" t="s">
        <v>5156</v>
      </c>
      <c r="Y613" s="3" t="s">
        <v>6574</v>
      </c>
      <c r="Z613" s="3" t="s">
        <v>5157</v>
      </c>
      <c r="AA613" s="3" t="s">
        <v>6820</v>
      </c>
    </row>
    <row r="614" customFormat="false" ht="15" hidden="false" customHeight="true" outlineLevel="0" collapsed="false">
      <c r="A614" s="3" t="s">
        <v>5158</v>
      </c>
      <c r="B614" s="3" t="n">
        <v>7</v>
      </c>
      <c r="C614" s="3" t="n">
        <v>25</v>
      </c>
      <c r="D614" s="3" t="str">
        <f aca="false">Combined!G614</f>
        <v>Student age (≤29)</v>
      </c>
      <c r="E614" s="3" t="s">
        <v>45</v>
      </c>
      <c r="F614" s="3" t="s">
        <v>47</v>
      </c>
      <c r="G614" s="3" t="s">
        <v>47</v>
      </c>
      <c r="H614" s="3" t="s">
        <v>129</v>
      </c>
      <c r="I614" s="3" t="s">
        <v>6539</v>
      </c>
      <c r="J614" s="3" t="s">
        <v>5159</v>
      </c>
      <c r="K614" s="3" t="s">
        <v>6540</v>
      </c>
      <c r="L614" s="3" t="s">
        <v>5160</v>
      </c>
      <c r="M614" s="3" t="s">
        <v>7465</v>
      </c>
      <c r="N614" s="3" t="s">
        <v>5161</v>
      </c>
      <c r="O614" s="3" t="s">
        <v>6511</v>
      </c>
      <c r="P614" s="3" t="s">
        <v>5162</v>
      </c>
      <c r="Q614" s="3" t="s">
        <v>6542</v>
      </c>
      <c r="R614" s="3" t="s">
        <v>5163</v>
      </c>
      <c r="S614" s="3" t="s">
        <v>6552</v>
      </c>
      <c r="T614" s="3" t="s">
        <v>5165</v>
      </c>
      <c r="U614" s="3" t="s">
        <v>6551</v>
      </c>
      <c r="V614" s="3" t="s">
        <v>5166</v>
      </c>
      <c r="W614" s="3" t="s">
        <v>7030</v>
      </c>
      <c r="X614" s="3" t="s">
        <v>5167</v>
      </c>
      <c r="Y614" s="3" t="s">
        <v>6568</v>
      </c>
      <c r="Z614" s="3" t="s">
        <v>5168</v>
      </c>
      <c r="AA614" s="3" t="s">
        <v>7245</v>
      </c>
    </row>
    <row r="615" customFormat="false" ht="15" hidden="false" customHeight="true" outlineLevel="0" collapsed="false">
      <c r="A615" s="3" t="s">
        <v>5169</v>
      </c>
      <c r="B615" s="3" t="n">
        <v>7</v>
      </c>
      <c r="C615" s="3" t="n">
        <v>35</v>
      </c>
      <c r="D615" s="3" t="str">
        <f aca="false">Combined!G615</f>
        <v>Middle-aged (30–64)</v>
      </c>
      <c r="E615" s="3" t="s">
        <v>83</v>
      </c>
      <c r="F615" s="3" t="s">
        <v>47</v>
      </c>
      <c r="G615" s="3" t="s">
        <v>47</v>
      </c>
      <c r="H615" s="3" t="s">
        <v>104</v>
      </c>
      <c r="I615" s="3" t="s">
        <v>6539</v>
      </c>
      <c r="J615" s="3" t="s">
        <v>5170</v>
      </c>
      <c r="K615" s="3" t="s">
        <v>6540</v>
      </c>
      <c r="L615" s="3" t="s">
        <v>5171</v>
      </c>
      <c r="M615" s="3" t="s">
        <v>6729</v>
      </c>
      <c r="N615" s="3" t="s">
        <v>5172</v>
      </c>
      <c r="O615" s="3" t="s">
        <v>6511</v>
      </c>
      <c r="P615" s="3" t="s">
        <v>5173</v>
      </c>
      <c r="Q615" s="3" t="s">
        <v>6609</v>
      </c>
      <c r="R615" s="3" t="s">
        <v>5174</v>
      </c>
      <c r="S615" s="3" t="s">
        <v>6581</v>
      </c>
      <c r="T615" s="3" t="s">
        <v>5176</v>
      </c>
      <c r="U615" s="3" t="s">
        <v>6738</v>
      </c>
      <c r="V615" s="3" t="s">
        <v>5177</v>
      </c>
      <c r="W615" s="3" t="s">
        <v>6545</v>
      </c>
      <c r="X615" s="3" t="s">
        <v>5178</v>
      </c>
      <c r="Y615" s="3" t="s">
        <v>6568</v>
      </c>
      <c r="Z615" s="3" t="s">
        <v>5179</v>
      </c>
      <c r="AA615" s="3" t="s">
        <v>6568</v>
      </c>
    </row>
    <row r="616" customFormat="false" ht="15" hidden="false" customHeight="true" outlineLevel="0" collapsed="false">
      <c r="A616" s="3" t="s">
        <v>5180</v>
      </c>
      <c r="B616" s="3" t="n">
        <v>7</v>
      </c>
      <c r="C616" s="3" t="n">
        <v>21</v>
      </c>
      <c r="D616" s="3" t="str">
        <f aca="false">Combined!G616</f>
        <v>Student age (≤29)</v>
      </c>
      <c r="E616" s="3" t="s">
        <v>83</v>
      </c>
      <c r="F616" s="3" t="s">
        <v>47</v>
      </c>
      <c r="G616" s="3" t="s">
        <v>47</v>
      </c>
      <c r="H616" s="3" t="s">
        <v>5181</v>
      </c>
      <c r="I616" s="3" t="s">
        <v>6555</v>
      </c>
      <c r="J616" s="3" t="s">
        <v>5182</v>
      </c>
      <c r="K616" s="3" t="s">
        <v>6863</v>
      </c>
      <c r="L616" s="3" t="s">
        <v>5183</v>
      </c>
      <c r="M616" s="3" t="s">
        <v>7538</v>
      </c>
      <c r="N616" s="3" t="s">
        <v>5184</v>
      </c>
      <c r="O616" s="3" t="s">
        <v>6511</v>
      </c>
      <c r="P616" s="3" t="s">
        <v>5185</v>
      </c>
      <c r="Q616" s="3" t="s">
        <v>6512</v>
      </c>
      <c r="R616" s="3" t="s">
        <v>5186</v>
      </c>
      <c r="S616" s="3" t="s">
        <v>6690</v>
      </c>
      <c r="T616" s="3" t="s">
        <v>5188</v>
      </c>
      <c r="U616" s="3" t="s">
        <v>7539</v>
      </c>
      <c r="V616" s="3" t="s">
        <v>5189</v>
      </c>
      <c r="W616" s="3" t="s">
        <v>7043</v>
      </c>
      <c r="X616" s="3" t="s">
        <v>5190</v>
      </c>
      <c r="Y616" s="3" t="s">
        <v>6602</v>
      </c>
      <c r="Z616" s="3" t="s">
        <v>5191</v>
      </c>
      <c r="AA616" s="3" t="s">
        <v>7492</v>
      </c>
    </row>
    <row r="617" customFormat="false" ht="15" hidden="false" customHeight="true" outlineLevel="0" collapsed="false">
      <c r="A617" s="3" t="s">
        <v>5192</v>
      </c>
      <c r="B617" s="3" t="n">
        <v>7</v>
      </c>
      <c r="C617" s="3" t="n">
        <v>21</v>
      </c>
      <c r="D617" s="3" t="str">
        <f aca="false">Combined!G617</f>
        <v>Student age (≤29)</v>
      </c>
      <c r="E617" s="3" t="s">
        <v>45</v>
      </c>
      <c r="F617" s="3" t="s">
        <v>47</v>
      </c>
      <c r="G617" s="3" t="s">
        <v>47</v>
      </c>
      <c r="H617" s="3" t="s">
        <v>5193</v>
      </c>
      <c r="I617" s="3" t="s">
        <v>6598</v>
      </c>
      <c r="J617" s="3" t="s">
        <v>5194</v>
      </c>
      <c r="K617" s="3" t="s">
        <v>7540</v>
      </c>
      <c r="L617" s="3" t="s">
        <v>5195</v>
      </c>
      <c r="M617" s="3" t="s">
        <v>7541</v>
      </c>
      <c r="N617" s="3" t="s">
        <v>5196</v>
      </c>
      <c r="O617" s="3" t="s">
        <v>6511</v>
      </c>
      <c r="P617" s="3" t="s">
        <v>5197</v>
      </c>
      <c r="Q617" s="3" t="s">
        <v>6512</v>
      </c>
      <c r="R617" s="3" t="s">
        <v>5198</v>
      </c>
      <c r="S617" s="3" t="s">
        <v>7542</v>
      </c>
      <c r="T617" s="3" t="s">
        <v>5200</v>
      </c>
      <c r="U617" s="3" t="s">
        <v>7543</v>
      </c>
      <c r="V617" s="3" t="s">
        <v>5201</v>
      </c>
      <c r="W617" s="3" t="s">
        <v>7544</v>
      </c>
      <c r="X617" s="3" t="s">
        <v>5202</v>
      </c>
      <c r="Y617" s="3" t="s">
        <v>7545</v>
      </c>
      <c r="Z617" s="3" t="s">
        <v>5203</v>
      </c>
      <c r="AA617" s="3" t="s">
        <v>6974</v>
      </c>
    </row>
    <row r="618" customFormat="false" ht="15" hidden="false" customHeight="true" outlineLevel="0" collapsed="false">
      <c r="A618" s="3" t="s">
        <v>5204</v>
      </c>
      <c r="B618" s="3" t="n">
        <v>7</v>
      </c>
      <c r="C618" s="3" t="n">
        <v>21</v>
      </c>
      <c r="D618" s="3" t="str">
        <f aca="false">Combined!G618</f>
        <v>Student age (≤29)</v>
      </c>
      <c r="E618" s="3" t="s">
        <v>45</v>
      </c>
      <c r="F618" s="3" t="s">
        <v>47</v>
      </c>
      <c r="G618" s="3" t="s">
        <v>47</v>
      </c>
      <c r="H618" s="3" t="s">
        <v>5205</v>
      </c>
      <c r="I618" s="3" t="s">
        <v>6539</v>
      </c>
      <c r="J618" s="3" t="s">
        <v>5206</v>
      </c>
      <c r="K618" s="3" t="s">
        <v>6569</v>
      </c>
      <c r="L618" s="3" t="s">
        <v>5207</v>
      </c>
      <c r="M618" s="3" t="s">
        <v>6569</v>
      </c>
      <c r="N618" s="3" t="s">
        <v>5208</v>
      </c>
      <c r="O618" s="3" t="s">
        <v>6511</v>
      </c>
      <c r="P618" s="3" t="s">
        <v>5015</v>
      </c>
      <c r="Q618" s="3" t="s">
        <v>6512</v>
      </c>
      <c r="R618" s="3" t="s">
        <v>59</v>
      </c>
      <c r="S618" s="3" t="s">
        <v>6647</v>
      </c>
      <c r="T618" s="3" t="s">
        <v>5210</v>
      </c>
      <c r="U618" s="3" t="s">
        <v>6790</v>
      </c>
      <c r="V618" s="3" t="s">
        <v>5211</v>
      </c>
      <c r="W618" s="3" t="s">
        <v>6551</v>
      </c>
      <c r="X618" s="3" t="s">
        <v>5212</v>
      </c>
      <c r="Y618" s="3" t="s">
        <v>6551</v>
      </c>
      <c r="Z618" s="3" t="s">
        <v>5213</v>
      </c>
      <c r="AA618" s="3" t="s">
        <v>6551</v>
      </c>
    </row>
    <row r="619" customFormat="false" ht="15" hidden="false" customHeight="true" outlineLevel="0" collapsed="false">
      <c r="A619" s="3" t="s">
        <v>5214</v>
      </c>
      <c r="B619" s="3" t="n">
        <v>7</v>
      </c>
      <c r="C619" s="3" t="n">
        <v>21</v>
      </c>
      <c r="D619" s="3" t="str">
        <f aca="false">Combined!G619</f>
        <v>Student age (≤29)</v>
      </c>
      <c r="E619" s="3" t="s">
        <v>45</v>
      </c>
      <c r="F619" s="3" t="s">
        <v>47</v>
      </c>
      <c r="G619" s="3" t="s">
        <v>47</v>
      </c>
      <c r="H619" s="3" t="s">
        <v>5215</v>
      </c>
      <c r="I619" s="3" t="s">
        <v>6539</v>
      </c>
      <c r="J619" s="3" t="s">
        <v>5216</v>
      </c>
      <c r="K619" s="3" t="s">
        <v>6764</v>
      </c>
      <c r="L619" s="3" t="s">
        <v>5217</v>
      </c>
      <c r="M619" s="3" t="s">
        <v>6547</v>
      </c>
      <c r="N619" s="3" t="s">
        <v>5218</v>
      </c>
      <c r="O619" s="3" t="s">
        <v>6511</v>
      </c>
      <c r="P619" s="3" t="s">
        <v>5219</v>
      </c>
      <c r="Q619" s="3" t="s">
        <v>6640</v>
      </c>
      <c r="R619" s="3" t="s">
        <v>5220</v>
      </c>
      <c r="S619" s="3" t="s">
        <v>6775</v>
      </c>
      <c r="T619" s="3" t="s">
        <v>5222</v>
      </c>
      <c r="U619" s="3" t="s">
        <v>7546</v>
      </c>
      <c r="V619" s="3" t="s">
        <v>5223</v>
      </c>
      <c r="W619" s="3" t="s">
        <v>6574</v>
      </c>
      <c r="X619" s="3" t="s">
        <v>5224</v>
      </c>
      <c r="Y619" s="3" t="s">
        <v>6651</v>
      </c>
      <c r="Z619" s="3" t="s">
        <v>5225</v>
      </c>
      <c r="AA619" s="3" t="s">
        <v>7148</v>
      </c>
    </row>
    <row r="620" customFormat="false" ht="15" hidden="false" customHeight="true" outlineLevel="0" collapsed="false">
      <c r="A620" s="3" t="s">
        <v>5226</v>
      </c>
      <c r="B620" s="3" t="n">
        <v>7</v>
      </c>
      <c r="C620" s="3" t="n">
        <v>49</v>
      </c>
      <c r="D620" s="3" t="str">
        <f aca="false">Combined!G620</f>
        <v>Middle-aged (30–64)</v>
      </c>
      <c r="E620" s="3" t="s">
        <v>45</v>
      </c>
      <c r="F620" s="3" t="s">
        <v>437</v>
      </c>
      <c r="G620" s="3" t="s">
        <v>47</v>
      </c>
      <c r="H620" s="3" t="s">
        <v>5229</v>
      </c>
      <c r="I620" s="3" t="s">
        <v>6769</v>
      </c>
      <c r="J620" s="3" t="s">
        <v>5230</v>
      </c>
      <c r="K620" s="3" t="s">
        <v>6509</v>
      </c>
      <c r="L620" s="3" t="s">
        <v>5231</v>
      </c>
      <c r="M620" s="3" t="s">
        <v>7547</v>
      </c>
      <c r="N620" s="3" t="s">
        <v>5232</v>
      </c>
      <c r="O620" s="3" t="s">
        <v>6530</v>
      </c>
      <c r="P620" s="3" t="s">
        <v>5233</v>
      </c>
      <c r="Q620" s="3" t="s">
        <v>6577</v>
      </c>
      <c r="R620" s="3" t="s">
        <v>5234</v>
      </c>
      <c r="S620" s="3" t="s">
        <v>6513</v>
      </c>
      <c r="T620" s="3" t="s">
        <v>5236</v>
      </c>
      <c r="U620" s="3" t="s">
        <v>6528</v>
      </c>
      <c r="V620" s="3" t="s">
        <v>5237</v>
      </c>
      <c r="W620" s="3" t="s">
        <v>6989</v>
      </c>
      <c r="X620" s="3" t="s">
        <v>5238</v>
      </c>
      <c r="Y620" s="3" t="s">
        <v>7120</v>
      </c>
      <c r="Z620" s="3" t="s">
        <v>5239</v>
      </c>
      <c r="AA620" s="3" t="s">
        <v>7016</v>
      </c>
    </row>
    <row r="621" customFormat="false" ht="15" hidden="false" customHeight="true" outlineLevel="0" collapsed="false">
      <c r="A621" s="3" t="s">
        <v>5240</v>
      </c>
      <c r="B621" s="3" t="n">
        <v>7</v>
      </c>
      <c r="C621" s="3" t="n">
        <v>18</v>
      </c>
      <c r="D621" s="3" t="str">
        <f aca="false">Combined!G621</f>
        <v>Student age (≤29)</v>
      </c>
      <c r="E621" s="3" t="s">
        <v>83</v>
      </c>
      <c r="F621" s="3" t="s">
        <v>47</v>
      </c>
      <c r="G621" s="3" t="s">
        <v>47</v>
      </c>
      <c r="H621" s="3" t="s">
        <v>5241</v>
      </c>
      <c r="I621" s="3" t="s">
        <v>6608</v>
      </c>
      <c r="J621" s="3" t="s">
        <v>5242</v>
      </c>
      <c r="K621" s="3" t="s">
        <v>6564</v>
      </c>
      <c r="L621" s="3" t="s">
        <v>5243</v>
      </c>
      <c r="M621" s="3" t="s">
        <v>6545</v>
      </c>
      <c r="N621" s="3" t="s">
        <v>5244</v>
      </c>
      <c r="O621" s="3" t="s">
        <v>6511</v>
      </c>
      <c r="P621" s="3" t="s">
        <v>5245</v>
      </c>
      <c r="Q621" s="3" t="s">
        <v>6512</v>
      </c>
      <c r="R621" s="3" t="s">
        <v>5246</v>
      </c>
      <c r="S621" s="3" t="s">
        <v>6632</v>
      </c>
      <c r="T621" s="3" t="s">
        <v>5248</v>
      </c>
      <c r="U621" s="3" t="s">
        <v>7030</v>
      </c>
      <c r="V621" s="3" t="s">
        <v>5249</v>
      </c>
      <c r="W621" s="3" t="s">
        <v>6574</v>
      </c>
      <c r="X621" s="3" t="s">
        <v>5250</v>
      </c>
      <c r="Y621" s="3" t="s">
        <v>6545</v>
      </c>
      <c r="Z621" s="3" t="s">
        <v>5251</v>
      </c>
      <c r="AA621" s="3" t="s">
        <v>7382</v>
      </c>
    </row>
    <row r="622" customFormat="false" ht="15" hidden="false" customHeight="true" outlineLevel="0" collapsed="false">
      <c r="A622" s="3" t="s">
        <v>5252</v>
      </c>
      <c r="B622" s="3" t="n">
        <v>7</v>
      </c>
      <c r="C622" s="3" t="n">
        <v>51</v>
      </c>
      <c r="D622" s="3" t="str">
        <f aca="false">Combined!G622</f>
        <v>Middle-aged (30–64)</v>
      </c>
      <c r="E622" s="3" t="s">
        <v>83</v>
      </c>
      <c r="F622" s="3" t="s">
        <v>437</v>
      </c>
      <c r="G622" s="3" t="s">
        <v>47</v>
      </c>
      <c r="H622" s="3" t="s">
        <v>5253</v>
      </c>
      <c r="I622" s="3" t="s">
        <v>7104</v>
      </c>
      <c r="J622" s="3" t="s">
        <v>5254</v>
      </c>
      <c r="K622" s="3" t="s">
        <v>6509</v>
      </c>
      <c r="L622" s="3" t="s">
        <v>5255</v>
      </c>
      <c r="M622" s="3" t="s">
        <v>7450</v>
      </c>
      <c r="N622" s="3" t="s">
        <v>5256</v>
      </c>
      <c r="O622" s="3" t="s">
        <v>59</v>
      </c>
      <c r="P622" s="3" t="s">
        <v>5257</v>
      </c>
      <c r="Q622" s="3" t="s">
        <v>6542</v>
      </c>
      <c r="R622" s="3" t="s">
        <v>5258</v>
      </c>
      <c r="S622" s="3" t="s">
        <v>6619</v>
      </c>
      <c r="T622" s="3" t="s">
        <v>5260</v>
      </c>
      <c r="U622" s="3" t="s">
        <v>6551</v>
      </c>
      <c r="V622" s="3" t="s">
        <v>2215</v>
      </c>
      <c r="W622" s="3" t="s">
        <v>6568</v>
      </c>
      <c r="X622" s="3" t="s">
        <v>1845</v>
      </c>
      <c r="Y622" s="3" t="s">
        <v>6545</v>
      </c>
      <c r="Z622" s="3" t="s">
        <v>5261</v>
      </c>
      <c r="AA622" s="3" t="s">
        <v>6918</v>
      </c>
    </row>
    <row r="623" customFormat="false" ht="15" hidden="false" customHeight="true" outlineLevel="0" collapsed="false">
      <c r="A623" s="3" t="s">
        <v>5262</v>
      </c>
      <c r="B623" s="3" t="n">
        <v>7</v>
      </c>
      <c r="C623" s="3" t="n">
        <v>23</v>
      </c>
      <c r="D623" s="3" t="str">
        <f aca="false">Combined!G623</f>
        <v>Student age (≤29)</v>
      </c>
      <c r="E623" s="3" t="s">
        <v>45</v>
      </c>
      <c r="F623" s="3" t="s">
        <v>437</v>
      </c>
      <c r="G623" s="3" t="s">
        <v>47</v>
      </c>
      <c r="H623" s="3" t="s">
        <v>5263</v>
      </c>
      <c r="I623" s="3" t="s">
        <v>7548</v>
      </c>
      <c r="J623" s="3" t="s">
        <v>5264</v>
      </c>
      <c r="K623" s="3" t="s">
        <v>7549</v>
      </c>
      <c r="L623" s="3" t="s">
        <v>5265</v>
      </c>
      <c r="M623" s="3" t="s">
        <v>7550</v>
      </c>
      <c r="N623" s="3" t="s">
        <v>5266</v>
      </c>
      <c r="O623" s="3" t="s">
        <v>6511</v>
      </c>
      <c r="P623" s="3" t="s">
        <v>5267</v>
      </c>
      <c r="Q623" s="3" t="s">
        <v>6580</v>
      </c>
      <c r="R623" s="3" t="s">
        <v>5268</v>
      </c>
      <c r="S623" s="3" t="s">
        <v>6581</v>
      </c>
      <c r="T623" s="3" t="s">
        <v>5270</v>
      </c>
      <c r="U623" s="3" t="s">
        <v>7551</v>
      </c>
      <c r="V623" s="3" t="s">
        <v>5271</v>
      </c>
      <c r="W623" s="3" t="s">
        <v>6828</v>
      </c>
      <c r="X623" s="3" t="s">
        <v>5272</v>
      </c>
      <c r="Y623" s="3" t="s">
        <v>7552</v>
      </c>
      <c r="Z623" s="3" t="s">
        <v>5273</v>
      </c>
      <c r="AA623" s="3" t="s">
        <v>6551</v>
      </c>
    </row>
    <row r="624" customFormat="false" ht="15" hidden="false" customHeight="true" outlineLevel="0" collapsed="false">
      <c r="A624" s="3" t="s">
        <v>5274</v>
      </c>
      <c r="B624" s="3" t="n">
        <v>7</v>
      </c>
      <c r="C624" s="3" t="n">
        <v>23</v>
      </c>
      <c r="D624" s="3" t="str">
        <f aca="false">Combined!G624</f>
        <v>Student age (≤29)</v>
      </c>
      <c r="E624" s="3" t="s">
        <v>45</v>
      </c>
      <c r="F624" s="3" t="s">
        <v>437</v>
      </c>
      <c r="G624" s="3" t="s">
        <v>47</v>
      </c>
      <c r="H624" s="3" t="s">
        <v>5275</v>
      </c>
      <c r="I624" s="3" t="s">
        <v>7553</v>
      </c>
      <c r="J624" s="3" t="s">
        <v>5276</v>
      </c>
      <c r="K624" s="3" t="s">
        <v>6551</v>
      </c>
      <c r="L624" s="3" t="s">
        <v>5277</v>
      </c>
      <c r="M624" s="3" t="s">
        <v>6551</v>
      </c>
      <c r="N624" s="3" t="s">
        <v>5278</v>
      </c>
      <c r="O624" s="3" t="s">
        <v>1625</v>
      </c>
      <c r="P624" s="3" t="s">
        <v>5279</v>
      </c>
      <c r="Q624" s="3" t="s">
        <v>7013</v>
      </c>
      <c r="R624" s="3" t="s">
        <v>5280</v>
      </c>
      <c r="S624" s="3" t="s">
        <v>6621</v>
      </c>
      <c r="T624" s="3" t="s">
        <v>5282</v>
      </c>
      <c r="U624" s="3" t="s">
        <v>6601</v>
      </c>
      <c r="V624" s="3" t="s">
        <v>5283</v>
      </c>
      <c r="W624" s="3" t="s">
        <v>6545</v>
      </c>
      <c r="X624" s="3" t="s">
        <v>5284</v>
      </c>
      <c r="Y624" s="3" t="s">
        <v>6551</v>
      </c>
      <c r="Z624" s="3" t="s">
        <v>5285</v>
      </c>
      <c r="AA624" s="3" t="s">
        <v>6820</v>
      </c>
    </row>
    <row r="625" customFormat="false" ht="15" hidden="false" customHeight="true" outlineLevel="0" collapsed="false">
      <c r="A625" s="3" t="s">
        <v>5286</v>
      </c>
      <c r="B625" s="3" t="n">
        <v>7</v>
      </c>
      <c r="C625" s="3" t="n">
        <v>54</v>
      </c>
      <c r="D625" s="3" t="str">
        <f aca="false">Combined!G625</f>
        <v>Middle-aged (30–64)</v>
      </c>
      <c r="E625" s="3" t="s">
        <v>83</v>
      </c>
      <c r="F625" s="3" t="s">
        <v>437</v>
      </c>
      <c r="G625" s="3" t="s">
        <v>437</v>
      </c>
      <c r="H625" s="3" t="s">
        <v>5287</v>
      </c>
      <c r="I625" s="3" t="s">
        <v>7554</v>
      </c>
      <c r="J625" s="3" t="s">
        <v>5288</v>
      </c>
      <c r="K625" s="3" t="s">
        <v>6864</v>
      </c>
      <c r="L625" s="3" t="s">
        <v>5289</v>
      </c>
      <c r="M625" s="3" t="s">
        <v>6510</v>
      </c>
      <c r="N625" s="3" t="s">
        <v>5290</v>
      </c>
      <c r="O625" s="3" t="s">
        <v>6511</v>
      </c>
      <c r="P625" s="3" t="s">
        <v>5291</v>
      </c>
      <c r="Q625" s="3" t="s">
        <v>6512</v>
      </c>
      <c r="R625" s="3" t="s">
        <v>5292</v>
      </c>
      <c r="S625" s="3" t="s">
        <v>6567</v>
      </c>
      <c r="T625" s="3" t="s">
        <v>5294</v>
      </c>
      <c r="U625" s="3" t="s">
        <v>7243</v>
      </c>
      <c r="V625" s="3" t="s">
        <v>5295</v>
      </c>
      <c r="W625" s="3" t="s">
        <v>6758</v>
      </c>
      <c r="X625" s="3" t="s">
        <v>5296</v>
      </c>
      <c r="Y625" s="3" t="s">
        <v>7053</v>
      </c>
      <c r="Z625" s="3" t="s">
        <v>5297</v>
      </c>
      <c r="AA625" s="3" t="s">
        <v>6551</v>
      </c>
    </row>
    <row r="626" customFormat="false" ht="15" hidden="false" customHeight="true" outlineLevel="0" collapsed="false">
      <c r="A626" s="3" t="s">
        <v>5298</v>
      </c>
      <c r="B626" s="3" t="n">
        <v>7</v>
      </c>
      <c r="C626" s="3" t="n">
        <v>15</v>
      </c>
      <c r="D626" s="3" t="str">
        <f aca="false">Combined!G626</f>
        <v>Student age (≤29)</v>
      </c>
      <c r="E626" s="3" t="s">
        <v>83</v>
      </c>
      <c r="F626" s="3" t="s">
        <v>47</v>
      </c>
      <c r="G626" s="3" t="s">
        <v>47</v>
      </c>
      <c r="H626" s="3" t="s">
        <v>104</v>
      </c>
      <c r="I626" s="3" t="s">
        <v>6539</v>
      </c>
      <c r="J626" s="3" t="s">
        <v>5299</v>
      </c>
      <c r="K626" s="3" t="s">
        <v>6540</v>
      </c>
      <c r="L626" s="3" t="s">
        <v>5300</v>
      </c>
      <c r="M626" s="3" t="s">
        <v>7294</v>
      </c>
      <c r="N626" s="3" t="s">
        <v>98</v>
      </c>
      <c r="O626" s="3" t="s">
        <v>6517</v>
      </c>
      <c r="P626" s="3" t="s">
        <v>5301</v>
      </c>
      <c r="Q626" s="3" t="s">
        <v>6512</v>
      </c>
      <c r="R626" s="3" t="s">
        <v>5302</v>
      </c>
      <c r="S626" s="3" t="s">
        <v>6581</v>
      </c>
      <c r="T626" s="3" t="s">
        <v>5304</v>
      </c>
      <c r="U626" s="3" t="s">
        <v>7294</v>
      </c>
      <c r="V626" s="3" t="s">
        <v>5305</v>
      </c>
      <c r="W626" s="3" t="s">
        <v>6545</v>
      </c>
      <c r="X626" s="3" t="s">
        <v>5306</v>
      </c>
      <c r="Y626" s="3" t="s">
        <v>7376</v>
      </c>
      <c r="Z626" s="3" t="s">
        <v>5307</v>
      </c>
      <c r="AA626" s="3" t="s">
        <v>6906</v>
      </c>
    </row>
    <row r="627" customFormat="false" ht="15" hidden="false" customHeight="true" outlineLevel="0" collapsed="false">
      <c r="A627" s="3" t="s">
        <v>5308</v>
      </c>
      <c r="B627" s="3" t="n">
        <v>7</v>
      </c>
      <c r="C627" s="3" t="n">
        <v>53</v>
      </c>
      <c r="D627" s="3" t="str">
        <f aca="false">Combined!G627</f>
        <v>Middle-aged (30–64)</v>
      </c>
      <c r="E627" s="3" t="s">
        <v>45</v>
      </c>
      <c r="F627" s="3" t="s">
        <v>5309</v>
      </c>
      <c r="G627" s="3" t="s">
        <v>47</v>
      </c>
      <c r="H627" s="3" t="s">
        <v>5310</v>
      </c>
      <c r="I627" s="3" t="s">
        <v>6637</v>
      </c>
      <c r="J627" s="3" t="s">
        <v>5311</v>
      </c>
      <c r="K627" s="3" t="s">
        <v>6540</v>
      </c>
      <c r="L627" s="3" t="s">
        <v>5312</v>
      </c>
      <c r="M627" s="3" t="s">
        <v>7514</v>
      </c>
      <c r="N627" s="3" t="s">
        <v>5313</v>
      </c>
      <c r="O627" s="3" t="s">
        <v>6511</v>
      </c>
      <c r="P627" s="3" t="s">
        <v>5314</v>
      </c>
      <c r="Q627" s="3" t="s">
        <v>6667</v>
      </c>
      <c r="R627" s="3" t="s">
        <v>5315</v>
      </c>
      <c r="S627" s="3" t="s">
        <v>6619</v>
      </c>
      <c r="T627" s="3" t="s">
        <v>5317</v>
      </c>
      <c r="U627" s="3" t="s">
        <v>7555</v>
      </c>
      <c r="V627" s="3" t="s">
        <v>5318</v>
      </c>
      <c r="W627" s="3" t="s">
        <v>6611</v>
      </c>
      <c r="X627" s="3" t="s">
        <v>5319</v>
      </c>
      <c r="Y627" s="3" t="s">
        <v>6509</v>
      </c>
      <c r="Z627" s="3" t="s">
        <v>5320</v>
      </c>
      <c r="AA627" s="3" t="s">
        <v>6906</v>
      </c>
    </row>
    <row r="628" customFormat="false" ht="15" hidden="false" customHeight="true" outlineLevel="0" collapsed="false">
      <c r="A628" s="3" t="s">
        <v>5321</v>
      </c>
      <c r="B628" s="3" t="n">
        <v>7</v>
      </c>
      <c r="C628" s="3" t="n">
        <v>22</v>
      </c>
      <c r="D628" s="3" t="str">
        <f aca="false">Combined!G628</f>
        <v>Student age (≤29)</v>
      </c>
      <c r="E628" s="3" t="s">
        <v>45</v>
      </c>
      <c r="F628" s="3" t="s">
        <v>47</v>
      </c>
      <c r="G628" s="3" t="s">
        <v>47</v>
      </c>
      <c r="H628" s="3" t="s">
        <v>5322</v>
      </c>
      <c r="I628" s="3" t="s">
        <v>6598</v>
      </c>
      <c r="J628" s="3" t="s">
        <v>5323</v>
      </c>
      <c r="K628" s="3" t="s">
        <v>6584</v>
      </c>
      <c r="L628" s="3" t="s">
        <v>5324</v>
      </c>
      <c r="M628" s="3" t="s">
        <v>6509</v>
      </c>
      <c r="N628" s="3" t="s">
        <v>5325</v>
      </c>
      <c r="O628" s="3" t="s">
        <v>6517</v>
      </c>
      <c r="P628" s="3" t="s">
        <v>5326</v>
      </c>
      <c r="Q628" s="3" t="s">
        <v>6600</v>
      </c>
      <c r="R628" s="3" t="s">
        <v>5327</v>
      </c>
      <c r="S628" s="3" t="s">
        <v>6595</v>
      </c>
      <c r="T628" s="3" t="s">
        <v>5329</v>
      </c>
      <c r="U628" s="3" t="s">
        <v>7556</v>
      </c>
      <c r="V628" s="3" t="s">
        <v>5330</v>
      </c>
      <c r="W628" s="3" t="s">
        <v>6545</v>
      </c>
      <c r="X628" s="3" t="s">
        <v>5331</v>
      </c>
      <c r="Y628" s="3" t="s">
        <v>6509</v>
      </c>
      <c r="Z628" s="3" t="s">
        <v>5332</v>
      </c>
      <c r="AA628" s="3" t="s">
        <v>6568</v>
      </c>
    </row>
    <row r="629" customFormat="false" ht="15" hidden="false" customHeight="true" outlineLevel="0" collapsed="false">
      <c r="A629" s="3" t="s">
        <v>5333</v>
      </c>
      <c r="B629" s="3" t="n">
        <v>7</v>
      </c>
      <c r="C629" s="3" t="n">
        <v>21</v>
      </c>
      <c r="D629" s="3" t="str">
        <f aca="false">Combined!G629</f>
        <v>Student age (≤29)</v>
      </c>
      <c r="E629" s="3" t="s">
        <v>83</v>
      </c>
      <c r="F629" s="3" t="s">
        <v>47</v>
      </c>
      <c r="G629" s="3" t="s">
        <v>47</v>
      </c>
      <c r="H629" s="3" t="s">
        <v>104</v>
      </c>
      <c r="I629" s="3" t="s">
        <v>6539</v>
      </c>
      <c r="J629" s="3" t="s">
        <v>5159</v>
      </c>
      <c r="K629" s="3" t="s">
        <v>6540</v>
      </c>
      <c r="L629" s="3" t="s">
        <v>5334</v>
      </c>
      <c r="M629" s="3" t="s">
        <v>6568</v>
      </c>
      <c r="N629" s="3" t="s">
        <v>5335</v>
      </c>
      <c r="O629" s="3" t="s">
        <v>6517</v>
      </c>
      <c r="P629" s="3" t="s">
        <v>5336</v>
      </c>
      <c r="Q629" s="3" t="s">
        <v>6640</v>
      </c>
      <c r="R629" s="3" t="s">
        <v>5337</v>
      </c>
      <c r="S629" s="3" t="s">
        <v>6771</v>
      </c>
      <c r="T629" s="3" t="s">
        <v>5339</v>
      </c>
      <c r="U629" s="3" t="s">
        <v>7557</v>
      </c>
      <c r="V629" s="3" t="s">
        <v>5340</v>
      </c>
      <c r="W629" s="3" t="s">
        <v>6509</v>
      </c>
      <c r="X629" s="3" t="s">
        <v>5341</v>
      </c>
      <c r="Y629" s="3" t="s">
        <v>6611</v>
      </c>
      <c r="Z629" s="3"/>
      <c r="AA629" s="3"/>
    </row>
    <row r="630" customFormat="false" ht="15" hidden="false" customHeight="true" outlineLevel="0" collapsed="false">
      <c r="A630" s="3" t="s">
        <v>5342</v>
      </c>
      <c r="B630" s="3" t="n">
        <v>7</v>
      </c>
      <c r="C630" s="3" t="n">
        <v>21</v>
      </c>
      <c r="D630" s="3" t="str">
        <f aca="false">Combined!G630</f>
        <v>Student age (≤29)</v>
      </c>
      <c r="E630" s="3" t="s">
        <v>45</v>
      </c>
      <c r="F630" s="3" t="s">
        <v>47</v>
      </c>
      <c r="G630" s="3" t="s">
        <v>47</v>
      </c>
      <c r="H630" s="3" t="s">
        <v>5343</v>
      </c>
      <c r="I630" s="3" t="s">
        <v>6539</v>
      </c>
      <c r="J630" s="3" t="s">
        <v>5344</v>
      </c>
      <c r="K630" s="3" t="s">
        <v>6540</v>
      </c>
      <c r="L630" s="3" t="s">
        <v>5345</v>
      </c>
      <c r="M630" s="3" t="s">
        <v>6516</v>
      </c>
      <c r="N630" s="3" t="s">
        <v>5346</v>
      </c>
      <c r="O630" s="3" t="s">
        <v>6511</v>
      </c>
      <c r="P630" s="3" t="s">
        <v>5347</v>
      </c>
      <c r="Q630" s="3" t="s">
        <v>6640</v>
      </c>
      <c r="R630" s="3" t="s">
        <v>5348</v>
      </c>
      <c r="S630" s="3" t="s">
        <v>6537</v>
      </c>
      <c r="T630" s="3" t="s">
        <v>5350</v>
      </c>
      <c r="U630" s="3" t="s">
        <v>6526</v>
      </c>
      <c r="V630" s="3" t="s">
        <v>5351</v>
      </c>
      <c r="W630" s="3" t="s">
        <v>7210</v>
      </c>
      <c r="X630" s="3" t="s">
        <v>5352</v>
      </c>
      <c r="Y630" s="3" t="s">
        <v>6509</v>
      </c>
      <c r="Z630" s="3"/>
      <c r="AA630" s="3"/>
    </row>
    <row r="631" customFormat="false" ht="15" hidden="false" customHeight="true" outlineLevel="0" collapsed="false">
      <c r="A631" s="3" t="s">
        <v>5353</v>
      </c>
      <c r="B631" s="3" t="n">
        <v>7</v>
      </c>
      <c r="C631" s="3" t="n">
        <v>21</v>
      </c>
      <c r="D631" s="3" t="str">
        <f aca="false">Combined!G631</f>
        <v>Student age (≤29)</v>
      </c>
      <c r="E631" s="3" t="s">
        <v>45</v>
      </c>
      <c r="F631" s="3" t="s">
        <v>47</v>
      </c>
      <c r="G631" s="3" t="s">
        <v>47</v>
      </c>
      <c r="H631" s="3" t="s">
        <v>5354</v>
      </c>
      <c r="I631" s="3" t="s">
        <v>6539</v>
      </c>
      <c r="J631" s="3" t="s">
        <v>5120</v>
      </c>
      <c r="K631" s="3" t="s">
        <v>6538</v>
      </c>
      <c r="L631" s="3" t="s">
        <v>5355</v>
      </c>
      <c r="M631" s="3" t="s">
        <v>6569</v>
      </c>
      <c r="N631" s="3" t="s">
        <v>5356</v>
      </c>
      <c r="O631" s="3" t="s">
        <v>6511</v>
      </c>
      <c r="P631" s="3" t="s">
        <v>5357</v>
      </c>
      <c r="Q631" s="3" t="s">
        <v>6849</v>
      </c>
      <c r="R631" s="3" t="s">
        <v>5358</v>
      </c>
      <c r="S631" s="3" t="s">
        <v>6581</v>
      </c>
      <c r="T631" s="3" t="s">
        <v>5360</v>
      </c>
      <c r="U631" s="3" t="s">
        <v>6540</v>
      </c>
      <c r="V631" s="3" t="s">
        <v>5361</v>
      </c>
      <c r="W631" s="3" t="s">
        <v>6900</v>
      </c>
      <c r="X631" s="3" t="s">
        <v>5362</v>
      </c>
      <c r="Y631" s="3" t="s">
        <v>6551</v>
      </c>
      <c r="Z631" s="3" t="s">
        <v>5363</v>
      </c>
      <c r="AA631" s="3" t="s">
        <v>6646</v>
      </c>
    </row>
    <row r="632" customFormat="false" ht="15" hidden="false" customHeight="true" outlineLevel="0" collapsed="false">
      <c r="A632" s="3" t="s">
        <v>5364</v>
      </c>
      <c r="B632" s="3" t="n">
        <v>7</v>
      </c>
      <c r="C632" s="3" t="n">
        <v>23</v>
      </c>
      <c r="D632" s="3" t="str">
        <f aca="false">Combined!G632</f>
        <v>Student age (≤29)</v>
      </c>
      <c r="E632" s="3" t="s">
        <v>45</v>
      </c>
      <c r="F632" s="3" t="s">
        <v>47</v>
      </c>
      <c r="G632" s="3" t="s">
        <v>47</v>
      </c>
      <c r="H632" s="3" t="s">
        <v>5367</v>
      </c>
      <c r="I632" s="3" t="s">
        <v>6539</v>
      </c>
      <c r="J632" s="3" t="s">
        <v>5368</v>
      </c>
      <c r="K632" s="3" t="s">
        <v>6551</v>
      </c>
      <c r="L632" s="3" t="s">
        <v>5369</v>
      </c>
      <c r="M632" s="3" t="s">
        <v>6540</v>
      </c>
      <c r="N632" s="3" t="s">
        <v>5370</v>
      </c>
      <c r="O632" s="3" t="s">
        <v>6511</v>
      </c>
      <c r="P632" s="3" t="s">
        <v>5371</v>
      </c>
      <c r="Q632" s="3" t="s">
        <v>6575</v>
      </c>
      <c r="R632" s="3" t="s">
        <v>5372</v>
      </c>
      <c r="S632" s="3" t="s">
        <v>6551</v>
      </c>
      <c r="T632" s="3" t="s">
        <v>5374</v>
      </c>
      <c r="U632" s="3" t="s">
        <v>6540</v>
      </c>
      <c r="V632" s="3" t="s">
        <v>5361</v>
      </c>
      <c r="W632" s="3" t="s">
        <v>6900</v>
      </c>
      <c r="X632" s="3" t="s">
        <v>5375</v>
      </c>
      <c r="Y632" s="3" t="s">
        <v>6551</v>
      </c>
      <c r="Z632" s="3" t="s">
        <v>5376</v>
      </c>
      <c r="AA632" s="3" t="s">
        <v>6551</v>
      </c>
    </row>
    <row r="633" customFormat="false" ht="15" hidden="false" customHeight="true" outlineLevel="0" collapsed="false">
      <c r="A633" s="3" t="s">
        <v>5377</v>
      </c>
      <c r="B633" s="3" t="n">
        <v>7</v>
      </c>
      <c r="C633" s="3" t="n">
        <v>20</v>
      </c>
      <c r="D633" s="3" t="str">
        <f aca="false">Combined!G633</f>
        <v>Student age (≤29)</v>
      </c>
      <c r="E633" s="3" t="s">
        <v>83</v>
      </c>
      <c r="F633" s="3" t="s">
        <v>47</v>
      </c>
      <c r="G633" s="3" t="s">
        <v>47</v>
      </c>
      <c r="H633" s="3" t="s">
        <v>5378</v>
      </c>
      <c r="I633" s="3" t="s">
        <v>6993</v>
      </c>
      <c r="J633" s="3" t="s">
        <v>5379</v>
      </c>
      <c r="K633" s="3" t="s">
        <v>6770</v>
      </c>
      <c r="L633" s="3" t="s">
        <v>5380</v>
      </c>
      <c r="M633" s="3" t="s">
        <v>6510</v>
      </c>
      <c r="N633" s="3" t="s">
        <v>5381</v>
      </c>
      <c r="O633" s="3" t="s">
        <v>6511</v>
      </c>
      <c r="P633" s="3" t="s">
        <v>5382</v>
      </c>
      <c r="Q633" s="3" t="s">
        <v>7176</v>
      </c>
      <c r="R633" s="3" t="s">
        <v>5383</v>
      </c>
      <c r="S633" s="3" t="s">
        <v>6595</v>
      </c>
      <c r="T633" s="3" t="s">
        <v>5385</v>
      </c>
      <c r="U633" s="3" t="s">
        <v>7243</v>
      </c>
      <c r="V633" s="3" t="s">
        <v>5386</v>
      </c>
      <c r="W633" s="3" t="s">
        <v>6545</v>
      </c>
      <c r="X633" s="3" t="s">
        <v>5387</v>
      </c>
      <c r="Y633" s="3" t="s">
        <v>6651</v>
      </c>
      <c r="Z633" s="3" t="s">
        <v>5388</v>
      </c>
      <c r="AA633" s="3" t="s">
        <v>6647</v>
      </c>
    </row>
    <row r="634" customFormat="false" ht="15" hidden="false" customHeight="true" outlineLevel="0" collapsed="false">
      <c r="A634" s="3" t="s">
        <v>5389</v>
      </c>
      <c r="B634" s="3" t="n">
        <v>7</v>
      </c>
      <c r="C634" s="3" t="n">
        <v>28</v>
      </c>
      <c r="D634" s="3" t="str">
        <f aca="false">Combined!G634</f>
        <v>Student age (≤29)</v>
      </c>
      <c r="E634" s="3" t="s">
        <v>45</v>
      </c>
      <c r="F634" s="3" t="s">
        <v>47</v>
      </c>
      <c r="G634" s="3" t="s">
        <v>47</v>
      </c>
      <c r="H634" s="3" t="s">
        <v>5390</v>
      </c>
      <c r="I634" s="3" t="s">
        <v>6608</v>
      </c>
      <c r="J634" s="3" t="s">
        <v>5391</v>
      </c>
      <c r="K634" s="3" t="s">
        <v>6509</v>
      </c>
      <c r="L634" s="3" t="s">
        <v>5391</v>
      </c>
      <c r="M634" s="3" t="s">
        <v>6509</v>
      </c>
      <c r="N634" s="3" t="s">
        <v>98</v>
      </c>
      <c r="O634" s="3" t="s">
        <v>6517</v>
      </c>
      <c r="P634" s="3" t="s">
        <v>5392</v>
      </c>
      <c r="Q634" s="3" t="s">
        <v>6640</v>
      </c>
      <c r="R634" s="3" t="s">
        <v>2257</v>
      </c>
      <c r="S634" s="3" t="s">
        <v>6581</v>
      </c>
      <c r="T634" s="3" t="s">
        <v>5394</v>
      </c>
      <c r="U634" s="3" t="s">
        <v>7558</v>
      </c>
      <c r="V634" s="3" t="s">
        <v>5395</v>
      </c>
      <c r="W634" s="3" t="s">
        <v>6509</v>
      </c>
      <c r="X634" s="3" t="s">
        <v>5396</v>
      </c>
      <c r="Y634" s="3" t="s">
        <v>6635</v>
      </c>
      <c r="Z634" s="3" t="s">
        <v>5397</v>
      </c>
      <c r="AA634" s="3" t="s">
        <v>6790</v>
      </c>
    </row>
    <row r="635" customFormat="false" ht="15" hidden="false" customHeight="true" outlineLevel="0" collapsed="false">
      <c r="A635" s="3" t="s">
        <v>5398</v>
      </c>
      <c r="B635" s="3" t="n">
        <v>7</v>
      </c>
      <c r="C635" s="3" t="n">
        <v>23</v>
      </c>
      <c r="D635" s="3" t="str">
        <f aca="false">Combined!G635</f>
        <v>Student age (≤29)</v>
      </c>
      <c r="E635" s="3" t="s">
        <v>83</v>
      </c>
      <c r="F635" s="3" t="s">
        <v>47</v>
      </c>
      <c r="G635" s="3" t="s">
        <v>47</v>
      </c>
      <c r="H635" s="3" t="s">
        <v>5399</v>
      </c>
      <c r="I635" s="3" t="s">
        <v>6637</v>
      </c>
      <c r="J635" s="3" t="s">
        <v>5400</v>
      </c>
      <c r="K635" s="3" t="s">
        <v>6584</v>
      </c>
      <c r="L635" s="3" t="s">
        <v>5401</v>
      </c>
      <c r="M635" s="3" t="s">
        <v>6848</v>
      </c>
      <c r="N635" s="3" t="s">
        <v>5402</v>
      </c>
      <c r="O635" s="3" t="s">
        <v>6517</v>
      </c>
      <c r="P635" s="3" t="s">
        <v>5403</v>
      </c>
      <c r="Q635" s="3" t="s">
        <v>6600</v>
      </c>
      <c r="R635" s="3" t="s">
        <v>5404</v>
      </c>
      <c r="S635" s="3" t="s">
        <v>6551</v>
      </c>
      <c r="T635" s="3" t="s">
        <v>5406</v>
      </c>
      <c r="U635" s="3" t="s">
        <v>7559</v>
      </c>
      <c r="V635" s="3" t="s">
        <v>5407</v>
      </c>
      <c r="W635" s="3" t="s">
        <v>6652</v>
      </c>
      <c r="X635" s="3" t="s">
        <v>1322</v>
      </c>
      <c r="Y635" s="3" t="s">
        <v>6538</v>
      </c>
      <c r="Z635" s="3"/>
      <c r="AA635" s="3"/>
    </row>
    <row r="636" customFormat="false" ht="15" hidden="false" customHeight="true" outlineLevel="0" collapsed="false">
      <c r="A636" s="3" t="s">
        <v>5408</v>
      </c>
      <c r="B636" s="3" t="n">
        <v>7</v>
      </c>
      <c r="C636" s="3" t="n">
        <v>19</v>
      </c>
      <c r="D636" s="3" t="str">
        <f aca="false">Combined!G636</f>
        <v>Student age (≤29)</v>
      </c>
      <c r="E636" s="3" t="s">
        <v>45</v>
      </c>
      <c r="F636" s="3" t="s">
        <v>47</v>
      </c>
      <c r="G636" s="3" t="s">
        <v>47</v>
      </c>
      <c r="H636" s="3" t="s">
        <v>5409</v>
      </c>
      <c r="I636" s="3" t="s">
        <v>6803</v>
      </c>
      <c r="J636" s="3" t="s">
        <v>5410</v>
      </c>
      <c r="K636" s="3" t="s">
        <v>6516</v>
      </c>
      <c r="L636" s="3" t="s">
        <v>5411</v>
      </c>
      <c r="M636" s="3" t="s">
        <v>7132</v>
      </c>
      <c r="N636" s="3" t="s">
        <v>1390</v>
      </c>
      <c r="O636" s="3" t="s">
        <v>6517</v>
      </c>
      <c r="P636" s="3" t="s">
        <v>5412</v>
      </c>
      <c r="Q636" s="3" t="s">
        <v>7146</v>
      </c>
      <c r="R636" s="3" t="s">
        <v>59</v>
      </c>
      <c r="S636" s="3" t="s">
        <v>6647</v>
      </c>
      <c r="T636" s="3" t="s">
        <v>5414</v>
      </c>
      <c r="U636" s="3" t="s">
        <v>6592</v>
      </c>
      <c r="V636" s="3" t="s">
        <v>5415</v>
      </c>
      <c r="W636" s="3" t="s">
        <v>6551</v>
      </c>
      <c r="X636" s="3" t="s">
        <v>5416</v>
      </c>
      <c r="Y636" s="3" t="s">
        <v>6545</v>
      </c>
      <c r="Z636" s="3"/>
      <c r="AA636" s="3"/>
    </row>
    <row r="637" customFormat="false" ht="15" hidden="false" customHeight="true" outlineLevel="0" collapsed="false">
      <c r="A637" s="3" t="s">
        <v>5417</v>
      </c>
      <c r="B637" s="3" t="n">
        <v>7</v>
      </c>
      <c r="C637" s="3" t="n">
        <v>54</v>
      </c>
      <c r="D637" s="3" t="str">
        <f aca="false">Combined!G637</f>
        <v>Middle-aged (30–64)</v>
      </c>
      <c r="E637" s="3" t="s">
        <v>45</v>
      </c>
      <c r="F637" s="3" t="s">
        <v>47</v>
      </c>
      <c r="G637" s="3" t="s">
        <v>47</v>
      </c>
      <c r="H637" s="3" t="s">
        <v>5418</v>
      </c>
      <c r="I637" s="3" t="s">
        <v>6598</v>
      </c>
      <c r="J637" s="3" t="s">
        <v>5419</v>
      </c>
      <c r="K637" s="3" t="s">
        <v>6540</v>
      </c>
      <c r="L637" s="3" t="s">
        <v>5420</v>
      </c>
      <c r="M637" s="3" t="s">
        <v>7560</v>
      </c>
      <c r="N637" s="3" t="s">
        <v>885</v>
      </c>
      <c r="O637" s="3" t="s">
        <v>6517</v>
      </c>
      <c r="P637" s="3" t="s">
        <v>5421</v>
      </c>
      <c r="Q637" s="3" t="s">
        <v>7175</v>
      </c>
      <c r="R637" s="3" t="s">
        <v>5422</v>
      </c>
      <c r="S637" s="3" t="s">
        <v>6532</v>
      </c>
      <c r="T637" s="3" t="s">
        <v>5424</v>
      </c>
      <c r="U637" s="3" t="s">
        <v>6602</v>
      </c>
      <c r="V637" s="3" t="s">
        <v>5425</v>
      </c>
      <c r="W637" s="3" t="s">
        <v>7561</v>
      </c>
      <c r="X637" s="3" t="s">
        <v>5426</v>
      </c>
      <c r="Y637" s="3" t="s">
        <v>6820</v>
      </c>
      <c r="Z637" s="3" t="s">
        <v>5427</v>
      </c>
      <c r="AA637" s="3" t="s">
        <v>6529</v>
      </c>
    </row>
    <row r="638" customFormat="false" ht="15" hidden="false" customHeight="true" outlineLevel="0" collapsed="false">
      <c r="A638" s="3" t="s">
        <v>5428</v>
      </c>
      <c r="B638" s="3" t="n">
        <v>7</v>
      </c>
      <c r="C638" s="3" t="n">
        <v>22</v>
      </c>
      <c r="D638" s="3" t="str">
        <f aca="false">Combined!G638</f>
        <v>Student age (≤29)</v>
      </c>
      <c r="E638" s="3" t="s">
        <v>83</v>
      </c>
      <c r="F638" s="3" t="s">
        <v>47</v>
      </c>
      <c r="G638" s="3" t="s">
        <v>47</v>
      </c>
      <c r="H638" s="3" t="s">
        <v>5429</v>
      </c>
      <c r="I638" s="3" t="s">
        <v>6539</v>
      </c>
      <c r="J638" s="3" t="s">
        <v>5395</v>
      </c>
      <c r="K638" s="3" t="s">
        <v>6509</v>
      </c>
      <c r="L638" s="3" t="s">
        <v>5430</v>
      </c>
      <c r="M638" s="3" t="s">
        <v>6650</v>
      </c>
      <c r="N638" s="3" t="s">
        <v>98</v>
      </c>
      <c r="O638" s="3" t="s">
        <v>6517</v>
      </c>
      <c r="P638" s="3" t="s">
        <v>5431</v>
      </c>
      <c r="Q638" s="3" t="s">
        <v>6512</v>
      </c>
      <c r="R638" s="3" t="s">
        <v>5432</v>
      </c>
      <c r="S638" s="3" t="s">
        <v>6628</v>
      </c>
      <c r="T638" s="3" t="s">
        <v>5434</v>
      </c>
      <c r="U638" s="3" t="s">
        <v>7562</v>
      </c>
      <c r="V638" s="3" t="s">
        <v>5435</v>
      </c>
      <c r="W638" s="3" t="s">
        <v>6611</v>
      </c>
      <c r="X638" s="3" t="s">
        <v>5436</v>
      </c>
      <c r="Y638" s="3" t="s">
        <v>6551</v>
      </c>
      <c r="Z638" s="3" t="s">
        <v>5437</v>
      </c>
      <c r="AA638" s="3" t="s">
        <v>6906</v>
      </c>
    </row>
    <row r="639" customFormat="false" ht="15" hidden="false" customHeight="true" outlineLevel="0" collapsed="false">
      <c r="A639" s="3" t="s">
        <v>5438</v>
      </c>
      <c r="B639" s="3" t="n">
        <v>7</v>
      </c>
      <c r="C639" s="3" t="n">
        <v>20</v>
      </c>
      <c r="D639" s="3" t="str">
        <f aca="false">Combined!G639</f>
        <v>Student age (≤29)</v>
      </c>
      <c r="E639" s="3" t="s">
        <v>45</v>
      </c>
      <c r="F639" s="3" t="s">
        <v>47</v>
      </c>
      <c r="G639" s="3" t="s">
        <v>47</v>
      </c>
      <c r="H639" s="3" t="s">
        <v>5439</v>
      </c>
      <c r="I639" s="3" t="s">
        <v>6539</v>
      </c>
      <c r="J639" s="3" t="s">
        <v>5440</v>
      </c>
      <c r="K639" s="3" t="s">
        <v>6929</v>
      </c>
      <c r="L639" s="3" t="s">
        <v>5441</v>
      </c>
      <c r="M639" s="3" t="s">
        <v>6548</v>
      </c>
      <c r="N639" s="3" t="s">
        <v>895</v>
      </c>
      <c r="O639" s="3" t="s">
        <v>6517</v>
      </c>
      <c r="P639" s="3" t="s">
        <v>5442</v>
      </c>
      <c r="Q639" s="3" t="s">
        <v>6730</v>
      </c>
      <c r="R639" s="3" t="s">
        <v>5443</v>
      </c>
      <c r="S639" s="3" t="s">
        <v>6628</v>
      </c>
      <c r="T639" s="3" t="s">
        <v>5445</v>
      </c>
      <c r="U639" s="3" t="s">
        <v>7162</v>
      </c>
      <c r="V639" s="3" t="s">
        <v>5446</v>
      </c>
      <c r="W639" s="3" t="s">
        <v>6699</v>
      </c>
      <c r="X639" s="3" t="s">
        <v>5447</v>
      </c>
      <c r="Y639" s="3" t="s">
        <v>6651</v>
      </c>
      <c r="Z639" s="3"/>
      <c r="AA639" s="3"/>
    </row>
    <row r="640" customFormat="false" ht="15" hidden="false" customHeight="true" outlineLevel="0" collapsed="false">
      <c r="A640" s="3" t="s">
        <v>5448</v>
      </c>
      <c r="B640" s="3" t="n">
        <v>7</v>
      </c>
      <c r="C640" s="3" t="n">
        <v>21</v>
      </c>
      <c r="D640" s="3" t="str">
        <f aca="false">Combined!G640</f>
        <v>Student age (≤29)</v>
      </c>
      <c r="E640" s="3" t="s">
        <v>45</v>
      </c>
      <c r="F640" s="3" t="s">
        <v>47</v>
      </c>
      <c r="G640" s="3" t="s">
        <v>47</v>
      </c>
      <c r="H640" s="3" t="s">
        <v>5449</v>
      </c>
      <c r="I640" s="3" t="s">
        <v>6759</v>
      </c>
      <c r="J640" s="3" t="s">
        <v>5450</v>
      </c>
      <c r="K640" s="3" t="s">
        <v>6540</v>
      </c>
      <c r="L640" s="3" t="s">
        <v>5451</v>
      </c>
      <c r="M640" s="3" t="s">
        <v>7550</v>
      </c>
      <c r="N640" s="3" t="s">
        <v>5452</v>
      </c>
      <c r="O640" s="3" t="s">
        <v>6511</v>
      </c>
      <c r="P640" s="3" t="s">
        <v>5453</v>
      </c>
      <c r="Q640" s="3" t="s">
        <v>6640</v>
      </c>
      <c r="R640" s="3" t="s">
        <v>5454</v>
      </c>
      <c r="S640" s="3" t="s">
        <v>6549</v>
      </c>
      <c r="T640" s="3" t="s">
        <v>5456</v>
      </c>
      <c r="U640" s="3" t="s">
        <v>7431</v>
      </c>
      <c r="V640" s="3" t="s">
        <v>5019</v>
      </c>
      <c r="W640" s="3" t="s">
        <v>6574</v>
      </c>
      <c r="X640" s="3" t="s">
        <v>5457</v>
      </c>
      <c r="Y640" s="3" t="s">
        <v>6611</v>
      </c>
      <c r="Z640" s="3" t="s">
        <v>5458</v>
      </c>
      <c r="AA640" s="3" t="s">
        <v>6646</v>
      </c>
    </row>
    <row r="641" customFormat="false" ht="15" hidden="false" customHeight="true" outlineLevel="0" collapsed="false">
      <c r="A641" s="3" t="s">
        <v>5459</v>
      </c>
      <c r="B641" s="3" t="n">
        <v>7</v>
      </c>
      <c r="C641" s="3" t="n">
        <v>55</v>
      </c>
      <c r="D641" s="3" t="str">
        <f aca="false">Combined!G641</f>
        <v>Middle-aged (30–64)</v>
      </c>
      <c r="E641" s="3" t="s">
        <v>83</v>
      </c>
      <c r="F641" s="3" t="s">
        <v>437</v>
      </c>
      <c r="G641" s="3" t="s">
        <v>47</v>
      </c>
      <c r="H641" s="3" t="s">
        <v>5460</v>
      </c>
      <c r="I641" s="3" t="s">
        <v>6624</v>
      </c>
      <c r="J641" s="3" t="s">
        <v>5461</v>
      </c>
      <c r="K641" s="3" t="s">
        <v>6978</v>
      </c>
      <c r="L641" s="3" t="s">
        <v>5462</v>
      </c>
      <c r="M641" s="3" t="s">
        <v>7563</v>
      </c>
      <c r="N641" s="3" t="s">
        <v>5463</v>
      </c>
      <c r="O641" s="3" t="s">
        <v>6511</v>
      </c>
      <c r="P641" s="3" t="s">
        <v>5464</v>
      </c>
      <c r="Q641" s="3" t="s">
        <v>6730</v>
      </c>
      <c r="R641" s="3" t="s">
        <v>5465</v>
      </c>
      <c r="S641" s="3" t="s">
        <v>6525</v>
      </c>
      <c r="T641" s="3" t="s">
        <v>5467</v>
      </c>
      <c r="U641" s="3" t="s">
        <v>7564</v>
      </c>
      <c r="V641" s="3" t="s">
        <v>5468</v>
      </c>
      <c r="W641" s="3" t="s">
        <v>7565</v>
      </c>
      <c r="X641" s="3" t="s">
        <v>5469</v>
      </c>
      <c r="Y641" s="3" t="s">
        <v>6783</v>
      </c>
      <c r="Z641" s="3"/>
      <c r="AA641" s="3"/>
    </row>
    <row r="642" customFormat="false" ht="15" hidden="false" customHeight="true" outlineLevel="0" collapsed="false">
      <c r="A642" s="3" t="s">
        <v>5470</v>
      </c>
      <c r="B642" s="3" t="n">
        <v>7</v>
      </c>
      <c r="C642" s="3" t="n">
        <v>22</v>
      </c>
      <c r="D642" s="3" t="str">
        <f aca="false">Combined!G642</f>
        <v>Student age (≤29)</v>
      </c>
      <c r="E642" s="3" t="s">
        <v>83</v>
      </c>
      <c r="F642" s="3" t="s">
        <v>47</v>
      </c>
      <c r="G642" s="3" t="s">
        <v>47</v>
      </c>
      <c r="H642" s="3" t="s">
        <v>5471</v>
      </c>
      <c r="I642" s="3" t="s">
        <v>6842</v>
      </c>
      <c r="J642" s="3" t="s">
        <v>5472</v>
      </c>
      <c r="K642" s="3" t="s">
        <v>6646</v>
      </c>
      <c r="L642" s="3" t="s">
        <v>5473</v>
      </c>
      <c r="M642" s="3" t="s">
        <v>6646</v>
      </c>
      <c r="N642" s="3" t="s">
        <v>5474</v>
      </c>
      <c r="O642" s="3" t="s">
        <v>6511</v>
      </c>
      <c r="P642" s="3" t="s">
        <v>5475</v>
      </c>
      <c r="Q642" s="3" t="s">
        <v>6594</v>
      </c>
      <c r="R642" s="3" t="s">
        <v>5476</v>
      </c>
      <c r="S642" s="3" t="s">
        <v>6532</v>
      </c>
      <c r="T642" s="3" t="s">
        <v>5478</v>
      </c>
      <c r="U642" s="3" t="s">
        <v>6522</v>
      </c>
      <c r="V642" s="3" t="s">
        <v>5479</v>
      </c>
      <c r="W642" s="3" t="s">
        <v>6984</v>
      </c>
      <c r="X642" s="3" t="s">
        <v>5480</v>
      </c>
      <c r="Y642" s="3" t="s">
        <v>6568</v>
      </c>
      <c r="Z642" s="3" t="s">
        <v>5481</v>
      </c>
      <c r="AA642" s="3" t="s">
        <v>6611</v>
      </c>
    </row>
    <row r="643" customFormat="false" ht="15" hidden="false" customHeight="true" outlineLevel="0" collapsed="false">
      <c r="A643" s="3" t="s">
        <v>5483</v>
      </c>
      <c r="B643" s="3" t="n">
        <v>7</v>
      </c>
      <c r="C643" s="3" t="n">
        <v>21</v>
      </c>
      <c r="D643" s="3" t="str">
        <f aca="false">Combined!G643</f>
        <v>Student age (≤29)</v>
      </c>
      <c r="E643" s="3" t="s">
        <v>45</v>
      </c>
      <c r="F643" s="3" t="s">
        <v>47</v>
      </c>
      <c r="G643" s="3" t="s">
        <v>47</v>
      </c>
      <c r="H643" s="3" t="s">
        <v>5484</v>
      </c>
      <c r="I643" s="3" t="s">
        <v>7104</v>
      </c>
      <c r="J643" s="3" t="s">
        <v>5485</v>
      </c>
      <c r="K643" s="3" t="s">
        <v>6765</v>
      </c>
      <c r="L643" s="3" t="s">
        <v>5486</v>
      </c>
      <c r="M643" s="3" t="s">
        <v>6735</v>
      </c>
      <c r="N643" s="3" t="s">
        <v>5487</v>
      </c>
      <c r="O643" s="3" t="s">
        <v>6511</v>
      </c>
      <c r="P643" s="3" t="s">
        <v>5488</v>
      </c>
      <c r="Q643" s="3" t="s">
        <v>6730</v>
      </c>
      <c r="R643" s="3" t="s">
        <v>5489</v>
      </c>
      <c r="S643" s="3" t="s">
        <v>6595</v>
      </c>
      <c r="T643" s="3" t="s">
        <v>5491</v>
      </c>
      <c r="U643" s="3" t="s">
        <v>7516</v>
      </c>
      <c r="V643" s="3" t="s">
        <v>5492</v>
      </c>
      <c r="W643" s="3" t="s">
        <v>6770</v>
      </c>
      <c r="X643" s="3" t="s">
        <v>5493</v>
      </c>
      <c r="Y643" s="3" t="s">
        <v>6828</v>
      </c>
      <c r="Z643" s="3" t="s">
        <v>5494</v>
      </c>
      <c r="AA643" s="3" t="s">
        <v>6568</v>
      </c>
    </row>
    <row r="644" customFormat="false" ht="15" hidden="false" customHeight="true" outlineLevel="0" collapsed="false">
      <c r="A644" s="3" t="s">
        <v>5496</v>
      </c>
      <c r="B644" s="3" t="n">
        <v>7</v>
      </c>
      <c r="C644" s="3" t="n">
        <v>55</v>
      </c>
      <c r="D644" s="3" t="str">
        <f aca="false">Combined!G644</f>
        <v>Middle-aged (30–64)</v>
      </c>
      <c r="E644" s="3" t="s">
        <v>83</v>
      </c>
      <c r="F644" s="3" t="s">
        <v>437</v>
      </c>
      <c r="G644" s="3" t="s">
        <v>47</v>
      </c>
      <c r="H644" s="3" t="s">
        <v>5497</v>
      </c>
      <c r="I644" s="3" t="s">
        <v>6608</v>
      </c>
      <c r="J644" s="3" t="s">
        <v>5498</v>
      </c>
      <c r="K644" s="3" t="s">
        <v>6509</v>
      </c>
      <c r="L644" s="3" t="s">
        <v>5499</v>
      </c>
      <c r="M644" s="3" t="s">
        <v>6650</v>
      </c>
      <c r="N644" s="3" t="s">
        <v>5500</v>
      </c>
      <c r="O644" s="3" t="s">
        <v>6511</v>
      </c>
      <c r="P644" s="3" t="s">
        <v>5501</v>
      </c>
      <c r="Q644" s="3" t="s">
        <v>6524</v>
      </c>
      <c r="R644" s="3" t="s">
        <v>5502</v>
      </c>
      <c r="S644" s="3" t="s">
        <v>6537</v>
      </c>
      <c r="T644" s="3" t="s">
        <v>5504</v>
      </c>
      <c r="U644" s="3" t="s">
        <v>6545</v>
      </c>
      <c r="V644" s="3" t="s">
        <v>5505</v>
      </c>
      <c r="W644" s="3" t="s">
        <v>6611</v>
      </c>
      <c r="X644" s="3" t="s">
        <v>5506</v>
      </c>
      <c r="Y644" s="3" t="s">
        <v>6611</v>
      </c>
      <c r="Z644" s="3" t="s">
        <v>5507</v>
      </c>
      <c r="AA644" s="3" t="s">
        <v>7325</v>
      </c>
    </row>
    <row r="645" customFormat="false" ht="15" hidden="false" customHeight="true" outlineLevel="0" collapsed="false">
      <c r="A645" s="3" t="s">
        <v>5509</v>
      </c>
      <c r="B645" s="3" t="n">
        <v>7</v>
      </c>
      <c r="C645" s="3" t="n">
        <v>52</v>
      </c>
      <c r="D645" s="3" t="str">
        <f aca="false">Combined!G645</f>
        <v>Middle-aged (30–64)</v>
      </c>
      <c r="E645" s="3" t="s">
        <v>45</v>
      </c>
      <c r="F645" s="3" t="s">
        <v>437</v>
      </c>
      <c r="G645" s="3" t="s">
        <v>47</v>
      </c>
      <c r="H645" s="3" t="s">
        <v>5510</v>
      </c>
      <c r="I645" s="3" t="s">
        <v>6551</v>
      </c>
      <c r="J645" s="3" t="s">
        <v>5511</v>
      </c>
      <c r="K645" s="3" t="s">
        <v>6880</v>
      </c>
      <c r="L645" s="3" t="s">
        <v>5512</v>
      </c>
      <c r="M645" s="3" t="s">
        <v>6540</v>
      </c>
      <c r="N645" s="3" t="s">
        <v>59</v>
      </c>
      <c r="O645" s="3" t="s">
        <v>59</v>
      </c>
      <c r="P645" s="3" t="s">
        <v>5513</v>
      </c>
      <c r="Q645" s="3" t="s">
        <v>6640</v>
      </c>
      <c r="R645" s="3" t="s">
        <v>5514</v>
      </c>
      <c r="S645" s="3" t="s">
        <v>6572</v>
      </c>
      <c r="T645" s="3" t="s">
        <v>5516</v>
      </c>
      <c r="U645" s="3" t="s">
        <v>7566</v>
      </c>
      <c r="V645" s="3" t="s">
        <v>5517</v>
      </c>
      <c r="W645" s="3" t="s">
        <v>6828</v>
      </c>
      <c r="X645" s="3" t="s">
        <v>5019</v>
      </c>
      <c r="Y645" s="3" t="s">
        <v>6574</v>
      </c>
      <c r="Z645" s="3"/>
      <c r="AA645" s="3"/>
    </row>
    <row r="646" customFormat="false" ht="15" hidden="false" customHeight="true" outlineLevel="0" collapsed="false">
      <c r="A646" s="3" t="s">
        <v>5518</v>
      </c>
      <c r="B646" s="3" t="n">
        <v>7</v>
      </c>
      <c r="C646" s="3" t="n">
        <v>52</v>
      </c>
      <c r="D646" s="3" t="str">
        <f aca="false">Combined!G646</f>
        <v>Middle-aged (30–64)</v>
      </c>
      <c r="E646" s="3" t="s">
        <v>45</v>
      </c>
      <c r="F646" s="3" t="s">
        <v>437</v>
      </c>
      <c r="G646" s="3" t="s">
        <v>47</v>
      </c>
      <c r="H646" s="3" t="s">
        <v>5519</v>
      </c>
      <c r="I646" s="3" t="s">
        <v>6954</v>
      </c>
      <c r="J646" s="3" t="s">
        <v>5520</v>
      </c>
      <c r="K646" s="3" t="s">
        <v>6770</v>
      </c>
      <c r="L646" s="3" t="s">
        <v>5521</v>
      </c>
      <c r="M646" s="3" t="s">
        <v>6770</v>
      </c>
      <c r="N646" s="3" t="s">
        <v>5522</v>
      </c>
      <c r="O646" s="3" t="s">
        <v>6511</v>
      </c>
      <c r="P646" s="3" t="s">
        <v>5523</v>
      </c>
      <c r="Q646" s="3" t="s">
        <v>7000</v>
      </c>
      <c r="R646" s="3" t="s">
        <v>5524</v>
      </c>
      <c r="S646" s="3" t="s">
        <v>6551</v>
      </c>
      <c r="T646" s="3" t="s">
        <v>5526</v>
      </c>
      <c r="U646" s="3" t="s">
        <v>7567</v>
      </c>
      <c r="V646" s="3" t="s">
        <v>5527</v>
      </c>
      <c r="W646" s="3" t="s">
        <v>6765</v>
      </c>
      <c r="X646" s="3" t="s">
        <v>5528</v>
      </c>
      <c r="Y646" s="3" t="s">
        <v>6847</v>
      </c>
      <c r="Z646" s="3" t="s">
        <v>5529</v>
      </c>
      <c r="AA646" s="3" t="s">
        <v>7568</v>
      </c>
    </row>
    <row r="647" customFormat="false" ht="15" hidden="false" customHeight="true" outlineLevel="0" collapsed="false">
      <c r="A647" s="3" t="s">
        <v>5531</v>
      </c>
      <c r="B647" s="3" t="n">
        <v>7</v>
      </c>
      <c r="C647" s="3" t="n">
        <v>22</v>
      </c>
      <c r="D647" s="3" t="str">
        <f aca="false">Combined!G647</f>
        <v>Student age (≤29)</v>
      </c>
      <c r="E647" s="3" t="s">
        <v>83</v>
      </c>
      <c r="F647" s="3" t="s">
        <v>47</v>
      </c>
      <c r="G647" s="3" t="s">
        <v>3277</v>
      </c>
      <c r="H647" s="3" t="s">
        <v>5532</v>
      </c>
      <c r="I647" s="3" t="s">
        <v>6608</v>
      </c>
      <c r="J647" s="3" t="s">
        <v>547</v>
      </c>
      <c r="K647" s="3" t="s">
        <v>6510</v>
      </c>
      <c r="L647" s="3" t="s">
        <v>5533</v>
      </c>
      <c r="M647" s="3" t="s">
        <v>7111</v>
      </c>
      <c r="N647" s="3" t="s">
        <v>5534</v>
      </c>
      <c r="O647" s="3" t="s">
        <v>6511</v>
      </c>
      <c r="P647" s="3" t="s">
        <v>5535</v>
      </c>
      <c r="Q647" s="3" t="s">
        <v>7218</v>
      </c>
      <c r="R647" s="3" t="s">
        <v>5536</v>
      </c>
      <c r="S647" s="3" t="s">
        <v>6721</v>
      </c>
      <c r="T647" s="3" t="s">
        <v>5538</v>
      </c>
      <c r="U647" s="3" t="s">
        <v>7569</v>
      </c>
      <c r="V647" s="3" t="s">
        <v>5539</v>
      </c>
      <c r="W647" s="3" t="s">
        <v>6551</v>
      </c>
      <c r="X647" s="3" t="s">
        <v>5540</v>
      </c>
      <c r="Y647" s="3" t="s">
        <v>6636</v>
      </c>
      <c r="Z647" s="3" t="s">
        <v>5541</v>
      </c>
      <c r="AA647" s="3" t="s">
        <v>7570</v>
      </c>
    </row>
    <row r="648" customFormat="false" ht="15" hidden="false" customHeight="true" outlineLevel="0" collapsed="false">
      <c r="A648" s="3" t="s">
        <v>5542</v>
      </c>
      <c r="B648" s="3" t="n">
        <v>7</v>
      </c>
      <c r="C648" s="3" t="n">
        <v>22</v>
      </c>
      <c r="D648" s="3" t="str">
        <f aca="false">Combined!G648</f>
        <v>Student age (≤29)</v>
      </c>
      <c r="E648" s="3" t="s">
        <v>83</v>
      </c>
      <c r="F648" s="3" t="s">
        <v>47</v>
      </c>
      <c r="G648" s="3" t="s">
        <v>47</v>
      </c>
      <c r="H648" s="3" t="s">
        <v>5543</v>
      </c>
      <c r="I648" s="3" t="s">
        <v>7571</v>
      </c>
      <c r="J648" s="3" t="s">
        <v>5544</v>
      </c>
      <c r="K648" s="3" t="s">
        <v>6540</v>
      </c>
      <c r="L648" s="3" t="s">
        <v>5545</v>
      </c>
      <c r="M648" s="3" t="s">
        <v>7572</v>
      </c>
      <c r="N648" s="3" t="s">
        <v>5546</v>
      </c>
      <c r="O648" s="3" t="s">
        <v>6511</v>
      </c>
      <c r="P648" s="3" t="s">
        <v>5547</v>
      </c>
      <c r="Q648" s="3" t="s">
        <v>6512</v>
      </c>
      <c r="R648" s="3" t="s">
        <v>5548</v>
      </c>
      <c r="S648" s="3" t="s">
        <v>6513</v>
      </c>
      <c r="T648" s="3" t="s">
        <v>5550</v>
      </c>
      <c r="U648" s="3" t="s">
        <v>7438</v>
      </c>
      <c r="V648" s="3" t="s">
        <v>5551</v>
      </c>
      <c r="W648" s="3" t="s">
        <v>6510</v>
      </c>
      <c r="X648" s="3" t="s">
        <v>5552</v>
      </c>
      <c r="Y648" s="3" t="s">
        <v>7573</v>
      </c>
      <c r="Z648" s="3" t="s">
        <v>5553</v>
      </c>
      <c r="AA648" s="3" t="s">
        <v>6828</v>
      </c>
    </row>
    <row r="649" customFormat="false" ht="15" hidden="false" customHeight="true" outlineLevel="0" collapsed="false">
      <c r="A649" s="3" t="s">
        <v>5555</v>
      </c>
      <c r="B649" s="3" t="n">
        <v>7</v>
      </c>
      <c r="C649" s="3" t="n">
        <v>22</v>
      </c>
      <c r="D649" s="3" t="str">
        <f aca="false">Combined!G649</f>
        <v>Student age (≤29)</v>
      </c>
      <c r="E649" s="3" t="s">
        <v>83</v>
      </c>
      <c r="F649" s="3" t="s">
        <v>47</v>
      </c>
      <c r="G649" s="3" t="s">
        <v>47</v>
      </c>
      <c r="H649" s="3" t="s">
        <v>5556</v>
      </c>
      <c r="I649" s="3" t="s">
        <v>6583</v>
      </c>
      <c r="J649" s="3" t="s">
        <v>5557</v>
      </c>
      <c r="K649" s="3" t="s">
        <v>7574</v>
      </c>
      <c r="L649" s="3" t="s">
        <v>5558</v>
      </c>
      <c r="M649" s="3" t="s">
        <v>7575</v>
      </c>
      <c r="N649" s="3" t="s">
        <v>5559</v>
      </c>
      <c r="O649" s="3" t="s">
        <v>59</v>
      </c>
      <c r="P649" s="3" t="s">
        <v>5560</v>
      </c>
      <c r="Q649" s="3" t="s">
        <v>6512</v>
      </c>
      <c r="R649" s="3" t="s">
        <v>5561</v>
      </c>
      <c r="S649" s="3" t="s">
        <v>6766</v>
      </c>
      <c r="T649" s="3" t="s">
        <v>5563</v>
      </c>
      <c r="U649" s="3" t="s">
        <v>7576</v>
      </c>
      <c r="V649" s="3" t="s">
        <v>5564</v>
      </c>
      <c r="W649" s="3" t="s">
        <v>7577</v>
      </c>
      <c r="X649" s="3" t="s">
        <v>5565</v>
      </c>
      <c r="Y649" s="3" t="s">
        <v>6991</v>
      </c>
      <c r="Z649" s="3" t="s">
        <v>5566</v>
      </c>
      <c r="AA649" s="3" t="s">
        <v>7578</v>
      </c>
    </row>
    <row r="650" customFormat="false" ht="15" hidden="false" customHeight="true" outlineLevel="0" collapsed="false">
      <c r="A650" s="3" t="s">
        <v>5567</v>
      </c>
      <c r="B650" s="3" t="n">
        <v>7</v>
      </c>
      <c r="C650" s="3" t="n">
        <v>18</v>
      </c>
      <c r="D650" s="3" t="str">
        <f aca="false">Combined!G650</f>
        <v>Student age (≤29)</v>
      </c>
      <c r="E650" s="3" t="s">
        <v>45</v>
      </c>
      <c r="F650" s="3" t="s">
        <v>47</v>
      </c>
      <c r="G650" s="3" t="s">
        <v>47</v>
      </c>
      <c r="H650" s="3" t="s">
        <v>5568</v>
      </c>
      <c r="I650" s="3" t="s">
        <v>6637</v>
      </c>
      <c r="J650" s="3" t="s">
        <v>5569</v>
      </c>
      <c r="K650" s="3" t="s">
        <v>6548</v>
      </c>
      <c r="L650" s="3" t="s">
        <v>5570</v>
      </c>
      <c r="M650" s="3" t="s">
        <v>7267</v>
      </c>
      <c r="N650" s="3" t="s">
        <v>5571</v>
      </c>
      <c r="O650" s="3" t="s">
        <v>6530</v>
      </c>
      <c r="P650" s="3" t="s">
        <v>5572</v>
      </c>
      <c r="Q650" s="3" t="s">
        <v>7336</v>
      </c>
      <c r="R650" s="3" t="s">
        <v>5573</v>
      </c>
      <c r="S650" s="3" t="s">
        <v>6551</v>
      </c>
      <c r="T650" s="3" t="s">
        <v>5575</v>
      </c>
      <c r="U650" s="3" t="s">
        <v>7579</v>
      </c>
      <c r="V650" s="3" t="s">
        <v>5576</v>
      </c>
      <c r="W650" s="3" t="s">
        <v>6635</v>
      </c>
      <c r="X650" s="3" t="s">
        <v>5577</v>
      </c>
      <c r="Y650" s="3" t="s">
        <v>6948</v>
      </c>
      <c r="Z650" s="3" t="s">
        <v>5578</v>
      </c>
      <c r="AA650" s="3" t="s">
        <v>6820</v>
      </c>
    </row>
    <row r="651" customFormat="false" ht="15" hidden="false" customHeight="true" outlineLevel="0" collapsed="false">
      <c r="A651" s="3" t="s">
        <v>5580</v>
      </c>
      <c r="B651" s="3" t="n">
        <v>7</v>
      </c>
      <c r="C651" s="3" t="n">
        <v>18</v>
      </c>
      <c r="D651" s="3" t="str">
        <f aca="false">Combined!G651</f>
        <v>Student age (≤29)</v>
      </c>
      <c r="E651" s="3" t="s">
        <v>83</v>
      </c>
      <c r="F651" s="3" t="s">
        <v>437</v>
      </c>
      <c r="G651" s="3" t="s">
        <v>47</v>
      </c>
      <c r="H651" s="3" t="s">
        <v>5581</v>
      </c>
      <c r="I651" s="3" t="s">
        <v>7580</v>
      </c>
      <c r="J651" s="3" t="s">
        <v>5582</v>
      </c>
      <c r="K651" s="3" t="s">
        <v>6564</v>
      </c>
      <c r="L651" s="3" t="s">
        <v>5583</v>
      </c>
      <c r="M651" s="3" t="s">
        <v>6547</v>
      </c>
      <c r="N651" s="3" t="s">
        <v>5584</v>
      </c>
      <c r="O651" s="3" t="s">
        <v>6511</v>
      </c>
      <c r="P651" s="3" t="s">
        <v>5585</v>
      </c>
      <c r="Q651" s="3" t="s">
        <v>6512</v>
      </c>
      <c r="R651" s="3" t="s">
        <v>5586</v>
      </c>
      <c r="S651" s="3" t="s">
        <v>6619</v>
      </c>
      <c r="T651" s="3" t="s">
        <v>5588</v>
      </c>
      <c r="U651" s="3" t="s">
        <v>6551</v>
      </c>
      <c r="V651" s="3" t="s">
        <v>5589</v>
      </c>
      <c r="W651" s="3" t="s">
        <v>6551</v>
      </c>
      <c r="X651" s="3" t="s">
        <v>5590</v>
      </c>
      <c r="Y651" s="3" t="s">
        <v>6906</v>
      </c>
      <c r="Z651" s="3" t="s">
        <v>5591</v>
      </c>
      <c r="AA651" s="3" t="s">
        <v>7581</v>
      </c>
    </row>
    <row r="652" customFormat="false" ht="15" hidden="false" customHeight="true" outlineLevel="0" collapsed="false">
      <c r="A652" s="3" t="s">
        <v>5593</v>
      </c>
      <c r="B652" s="3" t="n">
        <v>7</v>
      </c>
      <c r="C652" s="3" t="n">
        <v>23</v>
      </c>
      <c r="D652" s="3" t="str">
        <f aca="false">Combined!G652</f>
        <v>Student age (≤29)</v>
      </c>
      <c r="E652" s="3" t="s">
        <v>45</v>
      </c>
      <c r="F652" s="3" t="s">
        <v>47</v>
      </c>
      <c r="G652" s="3" t="s">
        <v>47</v>
      </c>
      <c r="H652" s="3" t="s">
        <v>5594</v>
      </c>
      <c r="I652" s="3" t="s">
        <v>6675</v>
      </c>
      <c r="J652" s="3" t="s">
        <v>5595</v>
      </c>
      <c r="K652" s="3" t="s">
        <v>7582</v>
      </c>
      <c r="L652" s="3" t="s">
        <v>5596</v>
      </c>
      <c r="M652" s="3" t="s">
        <v>6548</v>
      </c>
      <c r="N652" s="3" t="s">
        <v>5597</v>
      </c>
      <c r="O652" s="3" t="s">
        <v>6511</v>
      </c>
      <c r="P652" s="3" t="s">
        <v>5598</v>
      </c>
      <c r="Q652" s="3" t="s">
        <v>6640</v>
      </c>
      <c r="R652" s="3" t="s">
        <v>5599</v>
      </c>
      <c r="S652" s="3" t="s">
        <v>7583</v>
      </c>
      <c r="T652" s="3" t="s">
        <v>5601</v>
      </c>
      <c r="U652" s="3" t="s">
        <v>7584</v>
      </c>
      <c r="V652" s="3" t="s">
        <v>5602</v>
      </c>
      <c r="W652" s="3" t="s">
        <v>7585</v>
      </c>
      <c r="X652" s="3" t="s">
        <v>5603</v>
      </c>
      <c r="Y652" s="3" t="s">
        <v>7586</v>
      </c>
      <c r="Z652" s="3" t="s">
        <v>5604</v>
      </c>
      <c r="AA652" s="3" t="s">
        <v>7587</v>
      </c>
    </row>
    <row r="653" customFormat="false" ht="15" hidden="false" customHeight="true" outlineLevel="0" collapsed="false">
      <c r="A653" s="3" t="s">
        <v>5605</v>
      </c>
      <c r="B653" s="3" t="n">
        <v>7</v>
      </c>
      <c r="C653" s="3" t="n">
        <v>22</v>
      </c>
      <c r="D653" s="3" t="str">
        <f aca="false">Combined!G653</f>
        <v>Student age (≤29)</v>
      </c>
      <c r="E653" s="3" t="s">
        <v>45</v>
      </c>
      <c r="F653" s="3" t="s">
        <v>5309</v>
      </c>
      <c r="G653" s="3" t="s">
        <v>47</v>
      </c>
      <c r="H653" s="3" t="s">
        <v>5606</v>
      </c>
      <c r="I653" s="3" t="s">
        <v>6539</v>
      </c>
      <c r="J653" s="3" t="s">
        <v>5607</v>
      </c>
      <c r="K653" s="3" t="s">
        <v>6540</v>
      </c>
      <c r="L653" s="3" t="s">
        <v>5608</v>
      </c>
      <c r="M653" s="3" t="s">
        <v>6509</v>
      </c>
      <c r="N653" s="3" t="s">
        <v>98</v>
      </c>
      <c r="O653" s="3" t="s">
        <v>6517</v>
      </c>
      <c r="P653" s="3" t="s">
        <v>5609</v>
      </c>
      <c r="Q653" s="3" t="s">
        <v>6830</v>
      </c>
      <c r="R653" s="3" t="s">
        <v>5610</v>
      </c>
      <c r="S653" s="3" t="s">
        <v>7280</v>
      </c>
      <c r="T653" s="3" t="s">
        <v>5612</v>
      </c>
      <c r="U653" s="3" t="s">
        <v>7556</v>
      </c>
      <c r="V653" s="3" t="s">
        <v>5613</v>
      </c>
      <c r="W653" s="3" t="s">
        <v>6758</v>
      </c>
      <c r="X653" s="3" t="s">
        <v>5614</v>
      </c>
      <c r="Y653" s="3" t="s">
        <v>6545</v>
      </c>
      <c r="Z653" s="3" t="s">
        <v>5615</v>
      </c>
      <c r="AA653" s="3" t="s">
        <v>7588</v>
      </c>
    </row>
    <row r="654" customFormat="false" ht="15" hidden="false" customHeight="true" outlineLevel="0" collapsed="false">
      <c r="A654" s="3" t="s">
        <v>5616</v>
      </c>
      <c r="B654" s="3" t="n">
        <v>7</v>
      </c>
      <c r="C654" s="3" t="n">
        <v>22</v>
      </c>
      <c r="D654" s="3" t="str">
        <f aca="false">Combined!G654</f>
        <v>Student age (≤29)</v>
      </c>
      <c r="E654" s="3" t="s">
        <v>45</v>
      </c>
      <c r="F654" s="3" t="s">
        <v>437</v>
      </c>
      <c r="G654" s="3" t="s">
        <v>47</v>
      </c>
      <c r="H654" s="3" t="s">
        <v>5617</v>
      </c>
      <c r="I654" s="3" t="s">
        <v>6551</v>
      </c>
      <c r="J654" s="3" t="s">
        <v>5618</v>
      </c>
      <c r="K654" s="3" t="s">
        <v>6551</v>
      </c>
      <c r="L654" s="3" t="s">
        <v>5619</v>
      </c>
      <c r="M654" s="3" t="s">
        <v>6547</v>
      </c>
      <c r="N654" s="3" t="s">
        <v>98</v>
      </c>
      <c r="O654" s="3" t="s">
        <v>6517</v>
      </c>
      <c r="P654" s="3" t="s">
        <v>5620</v>
      </c>
      <c r="Q654" s="3" t="s">
        <v>6609</v>
      </c>
      <c r="R654" s="3" t="s">
        <v>5621</v>
      </c>
      <c r="S654" s="3" t="s">
        <v>6685</v>
      </c>
      <c r="T654" s="3" t="s">
        <v>5623</v>
      </c>
      <c r="U654" s="3" t="s">
        <v>6900</v>
      </c>
      <c r="V654" s="3" t="s">
        <v>5624</v>
      </c>
      <c r="W654" s="3" t="s">
        <v>6551</v>
      </c>
      <c r="X654" s="3" t="s">
        <v>5625</v>
      </c>
      <c r="Y654" s="3" t="s">
        <v>6551</v>
      </c>
      <c r="Z654" s="3" t="s">
        <v>5626</v>
      </c>
      <c r="AA654" s="3" t="s">
        <v>6569</v>
      </c>
    </row>
    <row r="655" customFormat="false" ht="15" hidden="false" customHeight="true" outlineLevel="0" collapsed="false">
      <c r="A655" s="3" t="s">
        <v>5627</v>
      </c>
      <c r="B655" s="3" t="n">
        <v>7</v>
      </c>
      <c r="C655" s="3" t="n">
        <v>25</v>
      </c>
      <c r="D655" s="3" t="str">
        <f aca="false">Combined!G655</f>
        <v>Student age (≤29)</v>
      </c>
      <c r="E655" s="3" t="s">
        <v>45</v>
      </c>
      <c r="F655" s="3" t="s">
        <v>437</v>
      </c>
      <c r="G655" s="3" t="s">
        <v>47</v>
      </c>
      <c r="H655" s="3" t="s">
        <v>5628</v>
      </c>
      <c r="I655" s="3" t="s">
        <v>6803</v>
      </c>
      <c r="J655" s="3" t="s">
        <v>5629</v>
      </c>
      <c r="K655" s="3" t="s">
        <v>7589</v>
      </c>
      <c r="L655" s="3" t="s">
        <v>5630</v>
      </c>
      <c r="M655" s="3" t="s">
        <v>6556</v>
      </c>
      <c r="N655" s="3" t="s">
        <v>5631</v>
      </c>
      <c r="O655" s="3" t="s">
        <v>59</v>
      </c>
      <c r="P655" s="3" t="s">
        <v>5632</v>
      </c>
      <c r="Q655" s="3" t="s">
        <v>7218</v>
      </c>
      <c r="R655" s="3" t="s">
        <v>5633</v>
      </c>
      <c r="S655" s="3" t="s">
        <v>6632</v>
      </c>
      <c r="T655" s="3" t="s">
        <v>5635</v>
      </c>
      <c r="U655" s="3" t="s">
        <v>6931</v>
      </c>
      <c r="V655" s="3" t="s">
        <v>5636</v>
      </c>
      <c r="W655" s="3" t="s">
        <v>6545</v>
      </c>
      <c r="X655" s="3" t="s">
        <v>5636</v>
      </c>
      <c r="Y655" s="3" t="s">
        <v>6545</v>
      </c>
      <c r="Z655" s="3" t="s">
        <v>5637</v>
      </c>
      <c r="AA655" s="3" t="s">
        <v>6611</v>
      </c>
    </row>
    <row r="656" customFormat="false" ht="15" hidden="false" customHeight="true" outlineLevel="0" collapsed="false">
      <c r="A656" s="3" t="s">
        <v>5638</v>
      </c>
      <c r="B656" s="3" t="n">
        <v>7</v>
      </c>
      <c r="C656" s="3" t="n">
        <v>24</v>
      </c>
      <c r="D656" s="3" t="str">
        <f aca="false">Combined!G656</f>
        <v>Student age (≤29)</v>
      </c>
      <c r="E656" s="3" t="s">
        <v>45</v>
      </c>
      <c r="F656" s="3" t="s">
        <v>437</v>
      </c>
      <c r="G656" s="3" t="s">
        <v>47</v>
      </c>
      <c r="H656" s="3" t="s">
        <v>5639</v>
      </c>
      <c r="I656" s="3" t="s">
        <v>6527</v>
      </c>
      <c r="J656" s="3" t="s">
        <v>5640</v>
      </c>
      <c r="K656" s="3" t="s">
        <v>6770</v>
      </c>
      <c r="L656" s="3" t="s">
        <v>5641</v>
      </c>
      <c r="M656" s="3" t="s">
        <v>7590</v>
      </c>
      <c r="N656" s="3" t="s">
        <v>5642</v>
      </c>
      <c r="O656" s="3" t="s">
        <v>6511</v>
      </c>
      <c r="P656" s="3" t="s">
        <v>5643</v>
      </c>
      <c r="Q656" s="3" t="s">
        <v>6640</v>
      </c>
      <c r="R656" s="3" t="s">
        <v>5644</v>
      </c>
      <c r="S656" s="3" t="s">
        <v>7591</v>
      </c>
      <c r="T656" s="3" t="s">
        <v>5646</v>
      </c>
      <c r="U656" s="3" t="s">
        <v>7592</v>
      </c>
      <c r="V656" s="3" t="s">
        <v>5295</v>
      </c>
      <c r="W656" s="3" t="s">
        <v>6758</v>
      </c>
      <c r="X656" s="3" t="s">
        <v>5647</v>
      </c>
      <c r="Y656" s="3" t="s">
        <v>6574</v>
      </c>
      <c r="Z656" s="3" t="s">
        <v>5648</v>
      </c>
      <c r="AA656" s="3" t="s">
        <v>7593</v>
      </c>
    </row>
    <row r="657" customFormat="false" ht="15" hidden="false" customHeight="true" outlineLevel="0" collapsed="false">
      <c r="A657" s="3" t="s">
        <v>5649</v>
      </c>
      <c r="B657" s="3" t="n">
        <v>8</v>
      </c>
      <c r="C657" s="3" t="n">
        <v>22</v>
      </c>
      <c r="D657" s="3" t="str">
        <f aca="false">Combined!G657</f>
        <v>Student age (≤29)</v>
      </c>
      <c r="E657" s="3" t="s">
        <v>83</v>
      </c>
      <c r="F657" s="3" t="s">
        <v>47</v>
      </c>
      <c r="G657" s="3" t="s">
        <v>47</v>
      </c>
      <c r="H657" s="3" t="s">
        <v>5650</v>
      </c>
      <c r="I657" s="3" t="s">
        <v>6527</v>
      </c>
      <c r="J657" s="3" t="s">
        <v>5651</v>
      </c>
      <c r="K657" s="3" t="s">
        <v>6545</v>
      </c>
      <c r="L657" s="3" t="s">
        <v>5652</v>
      </c>
      <c r="M657" s="3" t="s">
        <v>6540</v>
      </c>
      <c r="N657" s="3" t="s">
        <v>59</v>
      </c>
      <c r="O657" s="3" t="s">
        <v>59</v>
      </c>
      <c r="P657" s="3" t="s">
        <v>5653</v>
      </c>
      <c r="Q657" s="3" t="s">
        <v>6711</v>
      </c>
      <c r="R657" s="3" t="s">
        <v>5654</v>
      </c>
      <c r="S657" s="3" t="s">
        <v>6647</v>
      </c>
      <c r="T657" s="3" t="s">
        <v>5656</v>
      </c>
      <c r="U657" s="3" t="s">
        <v>6545</v>
      </c>
      <c r="V657" s="3" t="s">
        <v>5657</v>
      </c>
      <c r="W657" s="3" t="s">
        <v>6611</v>
      </c>
      <c r="X657" s="3" t="s">
        <v>5658</v>
      </c>
      <c r="Y657" s="3" t="s">
        <v>6820</v>
      </c>
      <c r="Z657" s="3"/>
      <c r="AA657" s="3"/>
    </row>
    <row r="658" customFormat="false" ht="15" hidden="false" customHeight="true" outlineLevel="0" collapsed="false">
      <c r="A658" s="3" t="s">
        <v>5659</v>
      </c>
      <c r="B658" s="3" t="n">
        <v>8</v>
      </c>
      <c r="C658" s="3" t="n">
        <v>27</v>
      </c>
      <c r="D658" s="3" t="str">
        <f aca="false">Combined!G658</f>
        <v>Student age (≤29)</v>
      </c>
      <c r="E658" s="3" t="s">
        <v>83</v>
      </c>
      <c r="F658" s="3" t="s">
        <v>3947</v>
      </c>
      <c r="G658" s="3" t="s">
        <v>47</v>
      </c>
      <c r="H658" s="3" t="s">
        <v>5660</v>
      </c>
      <c r="I658" s="3" t="s">
        <v>6803</v>
      </c>
      <c r="J658" s="3" t="s">
        <v>5661</v>
      </c>
      <c r="K658" s="3" t="s">
        <v>6557</v>
      </c>
      <c r="L658" s="3" t="s">
        <v>5662</v>
      </c>
      <c r="M658" s="3" t="s">
        <v>7594</v>
      </c>
      <c r="N658" s="3" t="s">
        <v>5663</v>
      </c>
      <c r="O658" s="3" t="s">
        <v>6511</v>
      </c>
      <c r="P658" s="3" t="s">
        <v>5664</v>
      </c>
      <c r="Q658" s="3" t="s">
        <v>6968</v>
      </c>
      <c r="R658" s="3" t="s">
        <v>5665</v>
      </c>
      <c r="S658" s="3" t="s">
        <v>6537</v>
      </c>
      <c r="T658" s="3" t="s">
        <v>5667</v>
      </c>
      <c r="U658" s="3" t="s">
        <v>7595</v>
      </c>
      <c r="V658" s="3" t="s">
        <v>5668</v>
      </c>
      <c r="W658" s="3" t="s">
        <v>6941</v>
      </c>
      <c r="X658" s="3" t="s">
        <v>5669</v>
      </c>
      <c r="Y658" s="3" t="s">
        <v>7596</v>
      </c>
      <c r="Z658" s="3" t="s">
        <v>5670</v>
      </c>
      <c r="AA658" s="3" t="s">
        <v>6647</v>
      </c>
    </row>
    <row r="659" customFormat="false" ht="15" hidden="false" customHeight="true" outlineLevel="0" collapsed="false">
      <c r="A659" s="3" t="s">
        <v>5671</v>
      </c>
      <c r="B659" s="3" t="n">
        <v>8</v>
      </c>
      <c r="C659" s="3" t="n">
        <v>20</v>
      </c>
      <c r="D659" s="3" t="str">
        <f aca="false">Combined!G659</f>
        <v>Student age (≤29)</v>
      </c>
      <c r="E659" s="3" t="s">
        <v>45</v>
      </c>
      <c r="F659" s="3" t="s">
        <v>47</v>
      </c>
      <c r="G659" s="3" t="s">
        <v>47</v>
      </c>
      <c r="H659" s="3" t="s">
        <v>5672</v>
      </c>
      <c r="I659" s="3" t="s">
        <v>6539</v>
      </c>
      <c r="J659" s="3" t="s">
        <v>5673</v>
      </c>
      <c r="K659" s="3" t="s">
        <v>7597</v>
      </c>
      <c r="L659" s="3" t="s">
        <v>5674</v>
      </c>
      <c r="M659" s="3" t="s">
        <v>7598</v>
      </c>
      <c r="N659" s="3" t="s">
        <v>5675</v>
      </c>
      <c r="O659" s="3" t="s">
        <v>6511</v>
      </c>
      <c r="P659" s="3" t="s">
        <v>5676</v>
      </c>
      <c r="Q659" s="3" t="s">
        <v>6560</v>
      </c>
      <c r="R659" s="3" t="s">
        <v>5677</v>
      </c>
      <c r="S659" s="3" t="s">
        <v>6632</v>
      </c>
      <c r="T659" s="3" t="s">
        <v>5679</v>
      </c>
      <c r="U659" s="3" t="s">
        <v>7599</v>
      </c>
      <c r="V659" s="3" t="s">
        <v>5680</v>
      </c>
      <c r="W659" s="3" t="s">
        <v>6540</v>
      </c>
      <c r="X659" s="3" t="s">
        <v>5681</v>
      </c>
      <c r="Y659" s="3" t="s">
        <v>6828</v>
      </c>
      <c r="Z659" s="3" t="s">
        <v>5682</v>
      </c>
      <c r="AA659" s="3" t="s">
        <v>6568</v>
      </c>
    </row>
    <row r="660" customFormat="false" ht="15" hidden="false" customHeight="true" outlineLevel="0" collapsed="false">
      <c r="A660" s="3" t="s">
        <v>5683</v>
      </c>
      <c r="B660" s="3" t="n">
        <v>8</v>
      </c>
      <c r="C660" s="3" t="n">
        <v>21</v>
      </c>
      <c r="D660" s="3" t="str">
        <f aca="false">Combined!G660</f>
        <v>Student age (≤29)</v>
      </c>
      <c r="E660" s="3" t="s">
        <v>83</v>
      </c>
      <c r="F660" s="3" t="s">
        <v>47</v>
      </c>
      <c r="G660" s="3" t="s">
        <v>47</v>
      </c>
      <c r="H660" s="3" t="s">
        <v>104</v>
      </c>
      <c r="I660" s="3" t="s">
        <v>6539</v>
      </c>
      <c r="J660" s="3" t="s">
        <v>5684</v>
      </c>
      <c r="K660" s="3" t="s">
        <v>6540</v>
      </c>
      <c r="L660" s="3" t="s">
        <v>5685</v>
      </c>
      <c r="M660" s="3" t="s">
        <v>7447</v>
      </c>
      <c r="N660" s="3" t="s">
        <v>5686</v>
      </c>
      <c r="O660" s="3" t="s">
        <v>6530</v>
      </c>
      <c r="P660" s="3" t="s">
        <v>5687</v>
      </c>
      <c r="Q660" s="3" t="s">
        <v>6542</v>
      </c>
      <c r="R660" s="3" t="s">
        <v>5688</v>
      </c>
      <c r="S660" s="3" t="s">
        <v>6578</v>
      </c>
      <c r="T660" s="3" t="s">
        <v>5690</v>
      </c>
      <c r="U660" s="3" t="s">
        <v>6588</v>
      </c>
      <c r="V660" s="3" t="s">
        <v>5691</v>
      </c>
      <c r="W660" s="3" t="s">
        <v>6611</v>
      </c>
      <c r="X660" s="3" t="s">
        <v>5692</v>
      </c>
      <c r="Y660" s="3" t="s">
        <v>6847</v>
      </c>
      <c r="Z660" s="3" t="s">
        <v>5693</v>
      </c>
      <c r="AA660" s="3" t="s">
        <v>6649</v>
      </c>
    </row>
    <row r="661" customFormat="false" ht="15" hidden="false" customHeight="true" outlineLevel="0" collapsed="false">
      <c r="A661" s="3" t="s">
        <v>5694</v>
      </c>
      <c r="B661" s="3" t="n">
        <v>8</v>
      </c>
      <c r="C661" s="3" t="n">
        <v>21</v>
      </c>
      <c r="D661" s="3" t="str">
        <f aca="false">Combined!G661</f>
        <v>Student age (≤29)</v>
      </c>
      <c r="E661" s="3" t="s">
        <v>45</v>
      </c>
      <c r="F661" s="3" t="s">
        <v>47</v>
      </c>
      <c r="G661" s="3" t="s">
        <v>47</v>
      </c>
      <c r="H661" s="3" t="s">
        <v>5695</v>
      </c>
      <c r="I661" s="3" t="s">
        <v>7229</v>
      </c>
      <c r="J661" s="3" t="s">
        <v>5696</v>
      </c>
      <c r="K661" s="3" t="s">
        <v>6540</v>
      </c>
      <c r="L661" s="3" t="s">
        <v>5697</v>
      </c>
      <c r="M661" s="3" t="s">
        <v>7600</v>
      </c>
      <c r="N661" s="3" t="s">
        <v>5698</v>
      </c>
      <c r="O661" s="3" t="s">
        <v>1625</v>
      </c>
      <c r="P661" s="3" t="s">
        <v>5699</v>
      </c>
      <c r="Q661" s="3" t="s">
        <v>6512</v>
      </c>
      <c r="R661" s="3" t="s">
        <v>5700</v>
      </c>
      <c r="S661" s="3" t="s">
        <v>6744</v>
      </c>
      <c r="T661" s="3" t="s">
        <v>5702</v>
      </c>
      <c r="U661" s="3" t="s">
        <v>6526</v>
      </c>
      <c r="V661" s="3" t="s">
        <v>5703</v>
      </c>
      <c r="W661" s="3" t="s">
        <v>6551</v>
      </c>
      <c r="X661" s="3" t="s">
        <v>5704</v>
      </c>
      <c r="Y661" s="3" t="s">
        <v>6847</v>
      </c>
      <c r="Z661" s="3" t="s">
        <v>5705</v>
      </c>
      <c r="AA661" s="3" t="s">
        <v>7601</v>
      </c>
    </row>
    <row r="662" customFormat="false" ht="15" hidden="false" customHeight="true" outlineLevel="0" collapsed="false">
      <c r="A662" s="3" t="s">
        <v>5706</v>
      </c>
      <c r="B662" s="3" t="n">
        <v>8</v>
      </c>
      <c r="C662" s="3" t="n">
        <v>22</v>
      </c>
      <c r="D662" s="3" t="str">
        <f aca="false">Combined!G662</f>
        <v>Student age (≤29)</v>
      </c>
      <c r="E662" s="3" t="s">
        <v>83</v>
      </c>
      <c r="F662" s="3" t="s">
        <v>1025</v>
      </c>
      <c r="G662" s="3" t="s">
        <v>47</v>
      </c>
      <c r="H662" s="3" t="s">
        <v>5707</v>
      </c>
      <c r="I662" s="3" t="s">
        <v>6691</v>
      </c>
      <c r="J662" s="3" t="s">
        <v>5708</v>
      </c>
      <c r="K662" s="3" t="s">
        <v>6540</v>
      </c>
      <c r="L662" s="3" t="s">
        <v>5709</v>
      </c>
      <c r="M662" s="3" t="s">
        <v>6924</v>
      </c>
      <c r="N662" s="3" t="s">
        <v>5710</v>
      </c>
      <c r="O662" s="3" t="s">
        <v>6511</v>
      </c>
      <c r="P662" s="3" t="s">
        <v>5711</v>
      </c>
      <c r="Q662" s="3" t="s">
        <v>6634</v>
      </c>
      <c r="R662" s="3" t="s">
        <v>5712</v>
      </c>
      <c r="S662" s="3" t="s">
        <v>7032</v>
      </c>
      <c r="T662" s="3" t="s">
        <v>5714</v>
      </c>
      <c r="U662" s="3" t="s">
        <v>7315</v>
      </c>
      <c r="V662" s="3" t="s">
        <v>5715</v>
      </c>
      <c r="W662" s="3" t="s">
        <v>6930</v>
      </c>
      <c r="X662" s="3" t="s">
        <v>5716</v>
      </c>
      <c r="Y662" s="3" t="s">
        <v>6900</v>
      </c>
      <c r="Z662" s="3" t="s">
        <v>5717</v>
      </c>
      <c r="AA662" s="3" t="s">
        <v>6900</v>
      </c>
    </row>
    <row r="663" customFormat="false" ht="15" hidden="false" customHeight="true" outlineLevel="0" collapsed="false">
      <c r="A663" s="3" t="s">
        <v>5718</v>
      </c>
      <c r="B663" s="3" t="n">
        <v>8</v>
      </c>
      <c r="C663" s="3" t="n">
        <v>22</v>
      </c>
      <c r="D663" s="3" t="str">
        <f aca="false">Combined!G663</f>
        <v>Student age (≤29)</v>
      </c>
      <c r="E663" s="3" t="s">
        <v>45</v>
      </c>
      <c r="F663" s="3" t="s">
        <v>1025</v>
      </c>
      <c r="G663" s="3" t="s">
        <v>47</v>
      </c>
      <c r="H663" s="3" t="s">
        <v>5719</v>
      </c>
      <c r="I663" s="3" t="s">
        <v>6539</v>
      </c>
      <c r="J663" s="3" t="s">
        <v>5720</v>
      </c>
      <c r="K663" s="3" t="s">
        <v>6551</v>
      </c>
      <c r="L663" s="3" t="s">
        <v>5721</v>
      </c>
      <c r="M663" s="3" t="s">
        <v>6551</v>
      </c>
      <c r="N663" s="3" t="s">
        <v>2242</v>
      </c>
      <c r="O663" s="3" t="s">
        <v>1625</v>
      </c>
      <c r="P663" s="3" t="s">
        <v>5722</v>
      </c>
      <c r="Q663" s="3" t="s">
        <v>7505</v>
      </c>
      <c r="R663" s="3" t="s">
        <v>5723</v>
      </c>
      <c r="S663" s="3" t="s">
        <v>6532</v>
      </c>
      <c r="T663" s="3" t="s">
        <v>5725</v>
      </c>
      <c r="U663" s="3" t="s">
        <v>6602</v>
      </c>
      <c r="V663" s="3" t="s">
        <v>5726</v>
      </c>
      <c r="W663" s="3" t="s">
        <v>6551</v>
      </c>
      <c r="X663" s="3" t="s">
        <v>5727</v>
      </c>
      <c r="Y663" s="3" t="s">
        <v>7602</v>
      </c>
      <c r="Z663" s="3" t="s">
        <v>5728</v>
      </c>
      <c r="AA663" s="3" t="s">
        <v>6918</v>
      </c>
    </row>
    <row r="664" customFormat="false" ht="15" hidden="false" customHeight="true" outlineLevel="0" collapsed="false">
      <c r="A664" s="3" t="s">
        <v>5729</v>
      </c>
      <c r="B664" s="3" t="n">
        <v>8</v>
      </c>
      <c r="C664" s="3" t="n">
        <v>21</v>
      </c>
      <c r="D664" s="3" t="str">
        <f aca="false">Combined!G664</f>
        <v>Student age (≤29)</v>
      </c>
      <c r="E664" s="3" t="s">
        <v>83</v>
      </c>
      <c r="F664" s="3" t="s">
        <v>47</v>
      </c>
      <c r="G664" s="3" t="s">
        <v>47</v>
      </c>
      <c r="H664" s="3" t="s">
        <v>5732</v>
      </c>
      <c r="I664" s="3" t="s">
        <v>6608</v>
      </c>
      <c r="J664" s="3" t="s">
        <v>5733</v>
      </c>
      <c r="K664" s="3" t="s">
        <v>7300</v>
      </c>
      <c r="L664" s="3" t="s">
        <v>5734</v>
      </c>
      <c r="M664" s="3" t="s">
        <v>7603</v>
      </c>
      <c r="N664" s="3" t="s">
        <v>5735</v>
      </c>
      <c r="O664" s="3" t="s">
        <v>6511</v>
      </c>
      <c r="P664" s="3" t="s">
        <v>5736</v>
      </c>
      <c r="Q664" s="3" t="s">
        <v>7604</v>
      </c>
      <c r="R664" s="3" t="s">
        <v>59</v>
      </c>
      <c r="S664" s="3" t="s">
        <v>6647</v>
      </c>
      <c r="T664" s="3" t="s">
        <v>5738</v>
      </c>
      <c r="U664" s="3" t="s">
        <v>7605</v>
      </c>
      <c r="V664" s="3" t="s">
        <v>5739</v>
      </c>
      <c r="W664" s="3" t="s">
        <v>6540</v>
      </c>
      <c r="X664" s="3" t="s">
        <v>5740</v>
      </c>
      <c r="Y664" s="3" t="s">
        <v>7291</v>
      </c>
      <c r="Z664" s="3"/>
      <c r="AA664" s="3"/>
    </row>
    <row r="665" customFormat="false" ht="15" hidden="false" customHeight="true" outlineLevel="0" collapsed="false">
      <c r="A665" s="3" t="s">
        <v>5741</v>
      </c>
      <c r="B665" s="3" t="n">
        <v>8</v>
      </c>
      <c r="C665" s="3" t="n">
        <v>20</v>
      </c>
      <c r="D665" s="3" t="str">
        <f aca="false">Combined!G665</f>
        <v>Student age (≤29)</v>
      </c>
      <c r="E665" s="3" t="s">
        <v>45</v>
      </c>
      <c r="F665" s="3" t="s">
        <v>47</v>
      </c>
      <c r="G665" s="3" t="s">
        <v>47</v>
      </c>
      <c r="H665" s="3" t="s">
        <v>5742</v>
      </c>
      <c r="I665" s="3" t="s">
        <v>7229</v>
      </c>
      <c r="J665" s="3" t="s">
        <v>5743</v>
      </c>
      <c r="K665" s="3" t="s">
        <v>6650</v>
      </c>
      <c r="L665" s="3" t="s">
        <v>5744</v>
      </c>
      <c r="M665" s="3" t="s">
        <v>6551</v>
      </c>
      <c r="N665" s="3" t="s">
        <v>5745</v>
      </c>
      <c r="O665" s="3" t="s">
        <v>6511</v>
      </c>
      <c r="P665" s="3" t="s">
        <v>5746</v>
      </c>
      <c r="Q665" s="3" t="s">
        <v>6914</v>
      </c>
      <c r="R665" s="3" t="s">
        <v>5747</v>
      </c>
      <c r="S665" s="3" t="s">
        <v>6537</v>
      </c>
      <c r="T665" s="3" t="s">
        <v>5749</v>
      </c>
      <c r="U665" s="3" t="s">
        <v>6601</v>
      </c>
      <c r="V665" s="3" t="s">
        <v>5750</v>
      </c>
      <c r="W665" s="3" t="s">
        <v>7606</v>
      </c>
      <c r="X665" s="3" t="s">
        <v>5751</v>
      </c>
      <c r="Y665" s="3" t="s">
        <v>6564</v>
      </c>
      <c r="Z665" s="3" t="s">
        <v>5752</v>
      </c>
      <c r="AA665" s="3" t="s">
        <v>6551</v>
      </c>
    </row>
    <row r="666" customFormat="false" ht="15" hidden="false" customHeight="true" outlineLevel="0" collapsed="false">
      <c r="A666" s="3" t="s">
        <v>5753</v>
      </c>
      <c r="B666" s="3" t="n">
        <v>8</v>
      </c>
      <c r="C666" s="3" t="n">
        <v>21</v>
      </c>
      <c r="D666" s="3" t="str">
        <f aca="false">Combined!G666</f>
        <v>Student age (≤29)</v>
      </c>
      <c r="E666" s="3" t="s">
        <v>45</v>
      </c>
      <c r="F666" s="3" t="s">
        <v>47</v>
      </c>
      <c r="G666" s="3" t="s">
        <v>47</v>
      </c>
      <c r="H666" s="3" t="s">
        <v>104</v>
      </c>
      <c r="I666" s="3" t="s">
        <v>6539</v>
      </c>
      <c r="J666" s="3" t="s">
        <v>5754</v>
      </c>
      <c r="K666" s="3" t="s">
        <v>6650</v>
      </c>
      <c r="L666" s="3" t="s">
        <v>5755</v>
      </c>
      <c r="M666" s="3" t="s">
        <v>6516</v>
      </c>
      <c r="N666" s="3" t="s">
        <v>5756</v>
      </c>
      <c r="O666" s="3" t="s">
        <v>6517</v>
      </c>
      <c r="P666" s="3" t="s">
        <v>5757</v>
      </c>
      <c r="Q666" s="3" t="s">
        <v>6815</v>
      </c>
      <c r="R666" s="3" t="s">
        <v>5758</v>
      </c>
      <c r="S666" s="3" t="s">
        <v>6911</v>
      </c>
      <c r="T666" s="3" t="s">
        <v>5760</v>
      </c>
      <c r="U666" s="3" t="s">
        <v>7607</v>
      </c>
      <c r="V666" s="3" t="s">
        <v>5761</v>
      </c>
      <c r="W666" s="3" t="s">
        <v>6935</v>
      </c>
      <c r="X666" s="3" t="s">
        <v>5762</v>
      </c>
      <c r="Y666" s="3" t="s">
        <v>7608</v>
      </c>
      <c r="Z666" s="3" t="s">
        <v>5763</v>
      </c>
      <c r="AA666" s="3" t="s">
        <v>7325</v>
      </c>
    </row>
    <row r="667" customFormat="false" ht="15" hidden="false" customHeight="true" outlineLevel="0" collapsed="false">
      <c r="A667" s="3" t="s">
        <v>5764</v>
      </c>
      <c r="B667" s="3" t="n">
        <v>8</v>
      </c>
      <c r="C667" s="3" t="n">
        <v>20</v>
      </c>
      <c r="D667" s="3" t="str">
        <f aca="false">Combined!G667</f>
        <v>Student age (≤29)</v>
      </c>
      <c r="E667" s="3" t="s">
        <v>45</v>
      </c>
      <c r="F667" s="3" t="s">
        <v>437</v>
      </c>
      <c r="G667" s="3" t="s">
        <v>47</v>
      </c>
      <c r="H667" s="3" t="s">
        <v>311</v>
      </c>
      <c r="I667" s="3" t="s">
        <v>6539</v>
      </c>
      <c r="J667" s="3" t="s">
        <v>3245</v>
      </c>
      <c r="K667" s="3" t="s">
        <v>6540</v>
      </c>
      <c r="L667" s="3" t="s">
        <v>5765</v>
      </c>
      <c r="M667" s="3" t="s">
        <v>6509</v>
      </c>
      <c r="N667" s="3" t="s">
        <v>895</v>
      </c>
      <c r="O667" s="3" t="s">
        <v>6517</v>
      </c>
      <c r="P667" s="3" t="s">
        <v>5766</v>
      </c>
      <c r="Q667" s="3" t="s">
        <v>6580</v>
      </c>
      <c r="R667" s="3" t="s">
        <v>5767</v>
      </c>
      <c r="S667" s="3" t="s">
        <v>6581</v>
      </c>
      <c r="T667" s="3" t="s">
        <v>3183</v>
      </c>
      <c r="U667" s="3" t="s">
        <v>6551</v>
      </c>
      <c r="V667" s="3" t="s">
        <v>5769</v>
      </c>
      <c r="W667" s="3" t="s">
        <v>6551</v>
      </c>
      <c r="X667" s="3" t="s">
        <v>5770</v>
      </c>
      <c r="Y667" s="3" t="s">
        <v>6699</v>
      </c>
      <c r="Z667" s="3"/>
      <c r="AA667" s="3"/>
    </row>
    <row r="668" customFormat="false" ht="15" hidden="false" customHeight="true" outlineLevel="0" collapsed="false">
      <c r="A668" s="3" t="s">
        <v>5771</v>
      </c>
      <c r="B668" s="3" t="n">
        <v>8</v>
      </c>
      <c r="C668" s="3" t="n">
        <v>22</v>
      </c>
      <c r="D668" s="3" t="str">
        <f aca="false">Combined!G668</f>
        <v>Student age (≤29)</v>
      </c>
      <c r="E668" s="3" t="s">
        <v>83</v>
      </c>
      <c r="F668" s="3" t="s">
        <v>47</v>
      </c>
      <c r="G668" s="3" t="s">
        <v>47</v>
      </c>
      <c r="H668" s="3" t="s">
        <v>5772</v>
      </c>
      <c r="I668" s="3" t="s">
        <v>6608</v>
      </c>
      <c r="J668" s="3" t="s">
        <v>5773</v>
      </c>
      <c r="K668" s="3" t="s">
        <v>6516</v>
      </c>
      <c r="L668" s="3" t="s">
        <v>5774</v>
      </c>
      <c r="M668" s="3" t="s">
        <v>7524</v>
      </c>
      <c r="N668" s="3" t="s">
        <v>5775</v>
      </c>
      <c r="O668" s="3" t="s">
        <v>6517</v>
      </c>
      <c r="P668" s="3" t="s">
        <v>5776</v>
      </c>
      <c r="Q668" s="3" t="s">
        <v>7011</v>
      </c>
      <c r="R668" s="3" t="s">
        <v>5777</v>
      </c>
      <c r="S668" s="3" t="s">
        <v>6632</v>
      </c>
      <c r="T668" s="3" t="s">
        <v>5779</v>
      </c>
      <c r="U668" s="3" t="s">
        <v>7609</v>
      </c>
      <c r="V668" s="3" t="s">
        <v>5780</v>
      </c>
      <c r="W668" s="3" t="s">
        <v>6551</v>
      </c>
      <c r="X668" s="3" t="s">
        <v>5781</v>
      </c>
      <c r="Y668" s="3" t="s">
        <v>6551</v>
      </c>
      <c r="Z668" s="3" t="s">
        <v>5782</v>
      </c>
      <c r="AA668" s="3" t="s">
        <v>6551</v>
      </c>
    </row>
    <row r="669" customFormat="false" ht="15" hidden="false" customHeight="true" outlineLevel="0" collapsed="false">
      <c r="A669" s="3" t="s">
        <v>5783</v>
      </c>
      <c r="B669" s="3" t="n">
        <v>8</v>
      </c>
      <c r="C669" s="3" t="n">
        <v>21</v>
      </c>
      <c r="D669" s="3" t="str">
        <f aca="false">Combined!G669</f>
        <v>Student age (≤29)</v>
      </c>
      <c r="E669" s="3" t="s">
        <v>45</v>
      </c>
      <c r="F669" s="3" t="s">
        <v>47</v>
      </c>
      <c r="G669" s="3" t="s">
        <v>47</v>
      </c>
      <c r="H669" s="3" t="s">
        <v>5784</v>
      </c>
      <c r="I669" s="3" t="s">
        <v>6759</v>
      </c>
      <c r="J669" s="3" t="s">
        <v>5785</v>
      </c>
      <c r="K669" s="3" t="s">
        <v>6569</v>
      </c>
      <c r="L669" s="3" t="s">
        <v>5786</v>
      </c>
      <c r="M669" s="3" t="s">
        <v>7610</v>
      </c>
      <c r="N669" s="3" t="s">
        <v>5787</v>
      </c>
      <c r="O669" s="3" t="s">
        <v>6517</v>
      </c>
      <c r="P669" s="3" t="s">
        <v>5788</v>
      </c>
      <c r="Q669" s="3" t="s">
        <v>6512</v>
      </c>
      <c r="R669" s="3" t="s">
        <v>5789</v>
      </c>
      <c r="S669" s="3" t="s">
        <v>6519</v>
      </c>
      <c r="T669" s="3" t="s">
        <v>5791</v>
      </c>
      <c r="U669" s="3" t="s">
        <v>7611</v>
      </c>
      <c r="V669" s="3" t="s">
        <v>5792</v>
      </c>
      <c r="W669" s="3" t="s">
        <v>6516</v>
      </c>
      <c r="X669" s="3" t="s">
        <v>5793</v>
      </c>
      <c r="Y669" s="3" t="s">
        <v>6568</v>
      </c>
      <c r="Z669" s="3" t="s">
        <v>5794</v>
      </c>
      <c r="AA669" s="3" t="s">
        <v>7612</v>
      </c>
    </row>
    <row r="670" customFormat="false" ht="15" hidden="false" customHeight="true" outlineLevel="0" collapsed="false">
      <c r="A670" s="3" t="s">
        <v>5795</v>
      </c>
      <c r="B670" s="3" t="n">
        <v>8</v>
      </c>
      <c r="C670" s="3" t="n">
        <v>21</v>
      </c>
      <c r="D670" s="3" t="str">
        <f aca="false">Combined!G670</f>
        <v>Student age (≤29)</v>
      </c>
      <c r="E670" s="3" t="s">
        <v>45</v>
      </c>
      <c r="F670" s="3" t="s">
        <v>47</v>
      </c>
      <c r="G670" s="3" t="s">
        <v>47</v>
      </c>
      <c r="H670" s="3" t="s">
        <v>104</v>
      </c>
      <c r="I670" s="3" t="s">
        <v>6539</v>
      </c>
      <c r="J670" s="3" t="s">
        <v>5796</v>
      </c>
      <c r="K670" s="3" t="s">
        <v>6509</v>
      </c>
      <c r="L670" s="3" t="s">
        <v>5797</v>
      </c>
      <c r="M670" s="3" t="s">
        <v>6568</v>
      </c>
      <c r="N670" s="3" t="s">
        <v>3898</v>
      </c>
      <c r="O670" s="3" t="s">
        <v>6517</v>
      </c>
      <c r="P670" s="3" t="s">
        <v>5798</v>
      </c>
      <c r="Q670" s="3" t="s">
        <v>7505</v>
      </c>
      <c r="R670" s="3" t="s">
        <v>5799</v>
      </c>
      <c r="S670" s="3" t="s">
        <v>6513</v>
      </c>
      <c r="T670" s="3" t="s">
        <v>5801</v>
      </c>
      <c r="U670" s="3" t="s">
        <v>6829</v>
      </c>
      <c r="V670" s="3" t="s">
        <v>5802</v>
      </c>
      <c r="W670" s="3" t="s">
        <v>6610</v>
      </c>
      <c r="X670" s="3" t="s">
        <v>1360</v>
      </c>
      <c r="Y670" s="3" t="s">
        <v>6545</v>
      </c>
      <c r="Z670" s="3"/>
      <c r="AA670" s="3"/>
    </row>
    <row r="671" customFormat="false" ht="15" hidden="false" customHeight="true" outlineLevel="0" collapsed="false">
      <c r="A671" s="3" t="s">
        <v>5803</v>
      </c>
      <c r="B671" s="3" t="n">
        <v>8</v>
      </c>
      <c r="C671" s="3" t="n">
        <v>23</v>
      </c>
      <c r="D671" s="3" t="str">
        <f aca="false">Combined!G671</f>
        <v>Student age (≤29)</v>
      </c>
      <c r="E671" s="3" t="s">
        <v>45</v>
      </c>
      <c r="F671" s="3" t="s">
        <v>47</v>
      </c>
      <c r="G671" s="3" t="s">
        <v>47</v>
      </c>
      <c r="H671" s="3" t="s">
        <v>5804</v>
      </c>
      <c r="I671" s="3" t="s">
        <v>6539</v>
      </c>
      <c r="J671" s="3" t="s">
        <v>5805</v>
      </c>
      <c r="K671" s="3" t="s">
        <v>6510</v>
      </c>
      <c r="L671" s="3" t="s">
        <v>5806</v>
      </c>
      <c r="M671" s="3" t="s">
        <v>6547</v>
      </c>
      <c r="N671" s="3" t="s">
        <v>5807</v>
      </c>
      <c r="O671" s="3" t="s">
        <v>1625</v>
      </c>
      <c r="P671" s="3" t="s">
        <v>5808</v>
      </c>
      <c r="Q671" s="3" t="s">
        <v>7090</v>
      </c>
      <c r="R671" s="3" t="s">
        <v>5809</v>
      </c>
      <c r="S671" s="3" t="s">
        <v>7280</v>
      </c>
      <c r="T671" s="3" t="s">
        <v>5811</v>
      </c>
      <c r="U671" s="3" t="s">
        <v>7148</v>
      </c>
      <c r="V671" s="3" t="s">
        <v>5812</v>
      </c>
      <c r="W671" s="3" t="s">
        <v>6551</v>
      </c>
      <c r="X671" s="3" t="s">
        <v>5813</v>
      </c>
      <c r="Y671" s="3" t="s">
        <v>6548</v>
      </c>
      <c r="Z671" s="3" t="s">
        <v>5814</v>
      </c>
      <c r="AA671" s="3" t="s">
        <v>6790</v>
      </c>
    </row>
    <row r="672" customFormat="false" ht="15" hidden="false" customHeight="true" outlineLevel="0" collapsed="false">
      <c r="A672" s="3" t="s">
        <v>5815</v>
      </c>
      <c r="B672" s="3" t="n">
        <v>8</v>
      </c>
      <c r="C672" s="3" t="n">
        <v>19</v>
      </c>
      <c r="D672" s="3" t="str">
        <f aca="false">Combined!G672</f>
        <v>Student age (≤29)</v>
      </c>
      <c r="E672" s="3" t="s">
        <v>83</v>
      </c>
      <c r="F672" s="3" t="s">
        <v>47</v>
      </c>
      <c r="G672" s="3" t="s">
        <v>47</v>
      </c>
      <c r="H672" s="3" t="s">
        <v>5816</v>
      </c>
      <c r="I672" s="3" t="s">
        <v>7613</v>
      </c>
      <c r="J672" s="3" t="s">
        <v>5817</v>
      </c>
      <c r="K672" s="3" t="s">
        <v>7560</v>
      </c>
      <c r="L672" s="3" t="s">
        <v>5818</v>
      </c>
      <c r="M672" s="3" t="s">
        <v>6901</v>
      </c>
      <c r="N672" s="3" t="s">
        <v>5819</v>
      </c>
      <c r="O672" s="3" t="s">
        <v>6530</v>
      </c>
      <c r="P672" s="3" t="s">
        <v>5820</v>
      </c>
      <c r="Q672" s="3" t="s">
        <v>6594</v>
      </c>
      <c r="R672" s="3" t="s">
        <v>5821</v>
      </c>
      <c r="S672" s="3" t="s">
        <v>7614</v>
      </c>
      <c r="T672" s="3" t="s">
        <v>5823</v>
      </c>
      <c r="U672" s="3" t="s">
        <v>7615</v>
      </c>
      <c r="V672" s="3" t="s">
        <v>5824</v>
      </c>
      <c r="W672" s="3" t="s">
        <v>6522</v>
      </c>
      <c r="X672" s="3" t="s">
        <v>5825</v>
      </c>
      <c r="Y672" s="3" t="s">
        <v>6670</v>
      </c>
      <c r="Z672" s="3" t="s">
        <v>5826</v>
      </c>
      <c r="AA672" s="3" t="s">
        <v>7616</v>
      </c>
    </row>
    <row r="673" customFormat="false" ht="15" hidden="false" customHeight="true" outlineLevel="0" collapsed="false">
      <c r="A673" s="3" t="s">
        <v>5827</v>
      </c>
      <c r="B673" s="3" t="n">
        <v>8</v>
      </c>
      <c r="C673" s="3" t="n">
        <v>18</v>
      </c>
      <c r="D673" s="3" t="str">
        <f aca="false">Combined!G673</f>
        <v>Student age (≤29)</v>
      </c>
      <c r="E673" s="3" t="s">
        <v>83</v>
      </c>
      <c r="F673" s="3" t="s">
        <v>47</v>
      </c>
      <c r="G673" s="3" t="s">
        <v>47</v>
      </c>
      <c r="H673" s="3" t="s">
        <v>5828</v>
      </c>
      <c r="I673" s="3" t="s">
        <v>6539</v>
      </c>
      <c r="J673" s="3" t="s">
        <v>5829</v>
      </c>
      <c r="K673" s="3" t="s">
        <v>6520</v>
      </c>
      <c r="L673" s="3" t="s">
        <v>5829</v>
      </c>
      <c r="M673" s="3" t="s">
        <v>6520</v>
      </c>
      <c r="N673" s="3" t="s">
        <v>5830</v>
      </c>
      <c r="O673" s="3" t="s">
        <v>59</v>
      </c>
      <c r="P673" s="3" t="s">
        <v>5831</v>
      </c>
      <c r="Q673" s="3" t="s">
        <v>6580</v>
      </c>
      <c r="R673" s="3" t="s">
        <v>895</v>
      </c>
      <c r="S673" s="3" t="s">
        <v>6679</v>
      </c>
      <c r="T673" s="3" t="s">
        <v>5833</v>
      </c>
      <c r="U673" s="3" t="s">
        <v>6568</v>
      </c>
      <c r="V673" s="3" t="s">
        <v>5833</v>
      </c>
      <c r="W673" s="3" t="s">
        <v>6568</v>
      </c>
      <c r="X673" s="3" t="s">
        <v>5834</v>
      </c>
      <c r="Y673" s="3" t="s">
        <v>6551</v>
      </c>
      <c r="Z673" s="3"/>
      <c r="AA673" s="3"/>
    </row>
    <row r="674" customFormat="false" ht="15" hidden="false" customHeight="true" outlineLevel="0" collapsed="false">
      <c r="A674" s="3" t="s">
        <v>5835</v>
      </c>
      <c r="B674" s="3" t="n">
        <v>8</v>
      </c>
      <c r="C674" s="3" t="n">
        <v>20</v>
      </c>
      <c r="D674" s="3" t="str">
        <f aca="false">Combined!G674</f>
        <v>Student age (≤29)</v>
      </c>
      <c r="E674" s="3" t="s">
        <v>83</v>
      </c>
      <c r="F674" s="3" t="s">
        <v>437</v>
      </c>
      <c r="G674" s="3" t="s">
        <v>47</v>
      </c>
      <c r="H674" s="3" t="s">
        <v>5836</v>
      </c>
      <c r="I674" s="3" t="s">
        <v>6803</v>
      </c>
      <c r="J674" s="3" t="s">
        <v>5837</v>
      </c>
      <c r="K674" s="3" t="s">
        <v>6551</v>
      </c>
      <c r="L674" s="3" t="s">
        <v>5838</v>
      </c>
      <c r="M674" s="3" t="s">
        <v>6551</v>
      </c>
      <c r="N674" s="3" t="s">
        <v>5839</v>
      </c>
      <c r="O674" s="3" t="s">
        <v>6511</v>
      </c>
      <c r="P674" s="3" t="s">
        <v>5840</v>
      </c>
      <c r="Q674" s="3" t="s">
        <v>6542</v>
      </c>
      <c r="R674" s="3" t="s">
        <v>5841</v>
      </c>
      <c r="S674" s="3" t="s">
        <v>6885</v>
      </c>
      <c r="T674" s="3" t="s">
        <v>5843</v>
      </c>
      <c r="U674" s="3" t="s">
        <v>7518</v>
      </c>
      <c r="V674" s="3" t="s">
        <v>5844</v>
      </c>
      <c r="W674" s="3" t="s">
        <v>6611</v>
      </c>
      <c r="X674" s="3" t="s">
        <v>5845</v>
      </c>
      <c r="Y674" s="3" t="s">
        <v>6651</v>
      </c>
      <c r="Z674" s="3"/>
      <c r="AA674" s="3"/>
    </row>
    <row r="675" customFormat="false" ht="15" hidden="false" customHeight="true" outlineLevel="0" collapsed="false">
      <c r="A675" s="3" t="s">
        <v>5846</v>
      </c>
      <c r="B675" s="3" t="n">
        <v>8</v>
      </c>
      <c r="C675" s="3" t="n">
        <v>21</v>
      </c>
      <c r="D675" s="3" t="str">
        <f aca="false">Combined!G675</f>
        <v>Student age (≤29)</v>
      </c>
      <c r="E675" s="3" t="s">
        <v>83</v>
      </c>
      <c r="F675" s="3" t="s">
        <v>47</v>
      </c>
      <c r="G675" s="3" t="s">
        <v>47</v>
      </c>
      <c r="H675" s="3" t="s">
        <v>5847</v>
      </c>
      <c r="I675" s="3" t="s">
        <v>6539</v>
      </c>
      <c r="J675" s="3" t="s">
        <v>5848</v>
      </c>
      <c r="K675" s="3" t="s">
        <v>6564</v>
      </c>
      <c r="L675" s="3" t="s">
        <v>5849</v>
      </c>
      <c r="M675" s="3" t="s">
        <v>7617</v>
      </c>
      <c r="N675" s="3" t="s">
        <v>5850</v>
      </c>
      <c r="O675" s="3" t="s">
        <v>6517</v>
      </c>
      <c r="P675" s="3" t="s">
        <v>5851</v>
      </c>
      <c r="Q675" s="3" t="s">
        <v>7618</v>
      </c>
      <c r="R675" s="3" t="s">
        <v>5852</v>
      </c>
      <c r="S675" s="3" t="s">
        <v>7619</v>
      </c>
      <c r="T675" s="3" t="s">
        <v>5854</v>
      </c>
      <c r="U675" s="3" t="s">
        <v>6688</v>
      </c>
      <c r="V675" s="3" t="s">
        <v>5855</v>
      </c>
      <c r="W675" s="3" t="s">
        <v>6551</v>
      </c>
      <c r="X675" s="3" t="s">
        <v>5856</v>
      </c>
      <c r="Y675" s="3" t="s">
        <v>6941</v>
      </c>
      <c r="Z675" s="3" t="s">
        <v>5857</v>
      </c>
      <c r="AA675" s="3" t="s">
        <v>6568</v>
      </c>
    </row>
    <row r="676" customFormat="false" ht="15" hidden="false" customHeight="true" outlineLevel="0" collapsed="false">
      <c r="A676" s="3" t="s">
        <v>5858</v>
      </c>
      <c r="B676" s="3" t="n">
        <v>8</v>
      </c>
      <c r="C676" s="3" t="n">
        <v>60</v>
      </c>
      <c r="D676" s="3" t="str">
        <f aca="false">Combined!G676</f>
        <v>Middle-aged (30–64)</v>
      </c>
      <c r="E676" s="3" t="s">
        <v>83</v>
      </c>
      <c r="F676" s="3" t="s">
        <v>437</v>
      </c>
      <c r="G676" s="3" t="s">
        <v>47</v>
      </c>
      <c r="H676" s="3" t="s">
        <v>5859</v>
      </c>
      <c r="I676" s="3" t="s">
        <v>6538</v>
      </c>
      <c r="J676" s="3" t="s">
        <v>5860</v>
      </c>
      <c r="K676" s="3" t="s">
        <v>6569</v>
      </c>
      <c r="L676" s="3" t="s">
        <v>5861</v>
      </c>
      <c r="M676" s="3" t="s">
        <v>6551</v>
      </c>
      <c r="N676" s="3" t="s">
        <v>5862</v>
      </c>
      <c r="O676" s="3" t="s">
        <v>59</v>
      </c>
      <c r="P676" s="3" t="s">
        <v>5863</v>
      </c>
      <c r="Q676" s="3" t="s">
        <v>6612</v>
      </c>
      <c r="R676" s="3" t="s">
        <v>5864</v>
      </c>
      <c r="S676" s="3" t="s">
        <v>6647</v>
      </c>
      <c r="T676" s="3" t="s">
        <v>5866</v>
      </c>
      <c r="U676" s="3" t="s">
        <v>7593</v>
      </c>
      <c r="V676" s="3" t="s">
        <v>5867</v>
      </c>
      <c r="W676" s="3" t="s">
        <v>6551</v>
      </c>
      <c r="X676" s="3" t="s">
        <v>5868</v>
      </c>
      <c r="Y676" s="3" t="s">
        <v>6551</v>
      </c>
      <c r="Z676" s="3"/>
      <c r="AA676" s="3"/>
    </row>
    <row r="677" customFormat="false" ht="15" hidden="false" customHeight="true" outlineLevel="0" collapsed="false">
      <c r="A677" s="3" t="s">
        <v>5869</v>
      </c>
      <c r="B677" s="3" t="n">
        <v>8</v>
      </c>
      <c r="C677" s="3" t="n">
        <v>23</v>
      </c>
      <c r="D677" s="3" t="str">
        <f aca="false">Combined!G677</f>
        <v>Student age (≤29)</v>
      </c>
      <c r="E677" s="3" t="s">
        <v>83</v>
      </c>
      <c r="F677" s="3" t="s">
        <v>47</v>
      </c>
      <c r="G677" s="3" t="s">
        <v>47</v>
      </c>
      <c r="H677" s="3" t="s">
        <v>5870</v>
      </c>
      <c r="I677" s="3" t="s">
        <v>6539</v>
      </c>
      <c r="J677" s="3" t="s">
        <v>5871</v>
      </c>
      <c r="K677" s="3" t="s">
        <v>7620</v>
      </c>
      <c r="L677" s="3" t="s">
        <v>5872</v>
      </c>
      <c r="M677" s="3" t="s">
        <v>7621</v>
      </c>
      <c r="N677" s="3" t="s">
        <v>98</v>
      </c>
      <c r="O677" s="3" t="s">
        <v>6517</v>
      </c>
      <c r="P677" s="3" t="s">
        <v>5873</v>
      </c>
      <c r="Q677" s="3" t="s">
        <v>6542</v>
      </c>
      <c r="R677" s="3" t="s">
        <v>59</v>
      </c>
      <c r="S677" s="3" t="s">
        <v>6647</v>
      </c>
      <c r="T677" s="3" t="s">
        <v>5875</v>
      </c>
      <c r="U677" s="3" t="s">
        <v>6551</v>
      </c>
      <c r="V677" s="3" t="s">
        <v>5876</v>
      </c>
      <c r="W677" s="3" t="s">
        <v>6611</v>
      </c>
      <c r="X677" s="3" t="s">
        <v>5877</v>
      </c>
      <c r="Y677" s="3" t="s">
        <v>6611</v>
      </c>
      <c r="Z677" s="3" t="s">
        <v>5878</v>
      </c>
      <c r="AA677" s="3" t="s">
        <v>6765</v>
      </c>
    </row>
    <row r="678" customFormat="false" ht="15" hidden="false" customHeight="true" outlineLevel="0" collapsed="false">
      <c r="A678" s="3" t="s">
        <v>5879</v>
      </c>
      <c r="B678" s="3" t="n">
        <v>8</v>
      </c>
      <c r="C678" s="3" t="n">
        <v>55</v>
      </c>
      <c r="D678" s="3" t="str">
        <f aca="false">Combined!G678</f>
        <v>Middle-aged (30–64)</v>
      </c>
      <c r="E678" s="3" t="s">
        <v>83</v>
      </c>
      <c r="F678" s="3" t="s">
        <v>47</v>
      </c>
      <c r="G678" s="3" t="s">
        <v>47</v>
      </c>
      <c r="H678" s="3" t="s">
        <v>5880</v>
      </c>
      <c r="I678" s="3" t="s">
        <v>7104</v>
      </c>
      <c r="J678" s="3" t="s">
        <v>2062</v>
      </c>
      <c r="K678" s="3" t="s">
        <v>6569</v>
      </c>
      <c r="L678" s="3" t="s">
        <v>5881</v>
      </c>
      <c r="M678" s="3" t="s">
        <v>6559</v>
      </c>
      <c r="N678" s="3" t="s">
        <v>5882</v>
      </c>
      <c r="O678" s="3" t="s">
        <v>6517</v>
      </c>
      <c r="P678" s="3" t="s">
        <v>5883</v>
      </c>
      <c r="Q678" s="3" t="s">
        <v>7191</v>
      </c>
      <c r="R678" s="3" t="s">
        <v>5884</v>
      </c>
      <c r="S678" s="3" t="s">
        <v>6690</v>
      </c>
      <c r="T678" s="3" t="s">
        <v>5886</v>
      </c>
      <c r="U678" s="3" t="s">
        <v>7622</v>
      </c>
      <c r="V678" s="3" t="s">
        <v>5887</v>
      </c>
      <c r="W678" s="3" t="s">
        <v>6548</v>
      </c>
      <c r="X678" s="3" t="s">
        <v>5888</v>
      </c>
      <c r="Y678" s="3" t="s">
        <v>6551</v>
      </c>
      <c r="Z678" s="3" t="s">
        <v>5889</v>
      </c>
      <c r="AA678" s="3" t="s">
        <v>6551</v>
      </c>
    </row>
    <row r="679" customFormat="false" ht="15" hidden="false" customHeight="true" outlineLevel="0" collapsed="false">
      <c r="A679" s="3" t="s">
        <v>5890</v>
      </c>
      <c r="B679" s="3" t="n">
        <v>8</v>
      </c>
      <c r="C679" s="3" t="n">
        <v>21</v>
      </c>
      <c r="D679" s="3" t="str">
        <f aca="false">Combined!G679</f>
        <v>Student age (≤29)</v>
      </c>
      <c r="E679" s="3" t="s">
        <v>45</v>
      </c>
      <c r="F679" s="3" t="s">
        <v>47</v>
      </c>
      <c r="G679" s="3" t="s">
        <v>47</v>
      </c>
      <c r="H679" s="3" t="s">
        <v>5891</v>
      </c>
      <c r="I679" s="3" t="s">
        <v>6675</v>
      </c>
      <c r="J679" s="3" t="s">
        <v>5892</v>
      </c>
      <c r="K679" s="3" t="s">
        <v>6509</v>
      </c>
      <c r="L679" s="3" t="s">
        <v>5893</v>
      </c>
      <c r="M679" s="3" t="s">
        <v>6551</v>
      </c>
      <c r="N679" s="3" t="s">
        <v>5894</v>
      </c>
      <c r="O679" s="3" t="s">
        <v>6517</v>
      </c>
      <c r="P679" s="3" t="s">
        <v>5895</v>
      </c>
      <c r="Q679" s="3" t="s">
        <v>7623</v>
      </c>
      <c r="R679" s="3" t="s">
        <v>5896</v>
      </c>
      <c r="S679" s="3" t="s">
        <v>6532</v>
      </c>
      <c r="T679" s="3" t="s">
        <v>5898</v>
      </c>
      <c r="U679" s="3" t="s">
        <v>7624</v>
      </c>
      <c r="V679" s="3" t="s">
        <v>5899</v>
      </c>
      <c r="W679" s="3" t="s">
        <v>6910</v>
      </c>
      <c r="X679" s="3" t="s">
        <v>5900</v>
      </c>
      <c r="Y679" s="3" t="s">
        <v>7451</v>
      </c>
      <c r="Z679" s="3" t="s">
        <v>5901</v>
      </c>
      <c r="AA679" s="3" t="s">
        <v>6551</v>
      </c>
    </row>
    <row r="680" customFormat="false" ht="15" hidden="false" customHeight="true" outlineLevel="0" collapsed="false">
      <c r="A680" s="3" t="s">
        <v>5902</v>
      </c>
      <c r="B680" s="3" t="n">
        <v>8</v>
      </c>
      <c r="C680" s="3" t="n">
        <v>19</v>
      </c>
      <c r="D680" s="3" t="str">
        <f aca="false">Combined!G680</f>
        <v>Student age (≤29)</v>
      </c>
      <c r="E680" s="3" t="s">
        <v>45</v>
      </c>
      <c r="F680" s="3" t="s">
        <v>47</v>
      </c>
      <c r="G680" s="3" t="s">
        <v>47</v>
      </c>
      <c r="H680" s="3" t="s">
        <v>5903</v>
      </c>
      <c r="I680" s="3" t="s">
        <v>6637</v>
      </c>
      <c r="J680" s="3" t="s">
        <v>5904</v>
      </c>
      <c r="K680" s="3" t="s">
        <v>6651</v>
      </c>
      <c r="L680" s="3" t="s">
        <v>5905</v>
      </c>
      <c r="M680" s="3" t="s">
        <v>7625</v>
      </c>
      <c r="N680" s="3" t="s">
        <v>5906</v>
      </c>
      <c r="O680" s="3" t="s">
        <v>6511</v>
      </c>
      <c r="P680" s="3" t="s">
        <v>5907</v>
      </c>
      <c r="Q680" s="3" t="s">
        <v>6512</v>
      </c>
      <c r="R680" s="3" t="s">
        <v>5908</v>
      </c>
      <c r="S680" s="3" t="s">
        <v>7626</v>
      </c>
      <c r="T680" s="3" t="s">
        <v>5910</v>
      </c>
      <c r="U680" s="3" t="s">
        <v>7627</v>
      </c>
      <c r="V680" s="3" t="s">
        <v>5911</v>
      </c>
      <c r="W680" s="3" t="s">
        <v>6924</v>
      </c>
      <c r="X680" s="3" t="s">
        <v>5912</v>
      </c>
      <c r="Y680" s="3" t="s">
        <v>7527</v>
      </c>
      <c r="Z680" s="3" t="s">
        <v>5913</v>
      </c>
      <c r="AA680" s="3" t="s">
        <v>6569</v>
      </c>
    </row>
    <row r="681" customFormat="false" ht="15" hidden="false" customHeight="true" outlineLevel="0" collapsed="false">
      <c r="A681" s="3" t="s">
        <v>5914</v>
      </c>
      <c r="B681" s="3" t="n">
        <v>8</v>
      </c>
      <c r="C681" s="3" t="n">
        <v>19</v>
      </c>
      <c r="D681" s="3" t="str">
        <f aca="false">Combined!G681</f>
        <v>Student age (≤29)</v>
      </c>
      <c r="E681" s="3" t="s">
        <v>83</v>
      </c>
      <c r="F681" s="3" t="s">
        <v>47</v>
      </c>
      <c r="G681" s="3" t="s">
        <v>47</v>
      </c>
      <c r="H681" s="3" t="s">
        <v>104</v>
      </c>
      <c r="I681" s="3" t="s">
        <v>6539</v>
      </c>
      <c r="J681" s="3" t="s">
        <v>5915</v>
      </c>
      <c r="K681" s="3" t="s">
        <v>7628</v>
      </c>
      <c r="L681" s="3" t="s">
        <v>5916</v>
      </c>
      <c r="M681" s="3" t="s">
        <v>6551</v>
      </c>
      <c r="N681" s="3" t="s">
        <v>98</v>
      </c>
      <c r="O681" s="3" t="s">
        <v>6517</v>
      </c>
      <c r="P681" s="3" t="s">
        <v>5917</v>
      </c>
      <c r="Q681" s="3" t="s">
        <v>7046</v>
      </c>
      <c r="R681" s="3" t="s">
        <v>5918</v>
      </c>
      <c r="S681" s="3" t="s">
        <v>6532</v>
      </c>
      <c r="T681" s="3" t="s">
        <v>5920</v>
      </c>
      <c r="U681" s="3" t="s">
        <v>6551</v>
      </c>
      <c r="V681" s="3" t="s">
        <v>5921</v>
      </c>
      <c r="W681" s="3" t="s">
        <v>6551</v>
      </c>
      <c r="X681" s="3" t="s">
        <v>1859</v>
      </c>
      <c r="Y681" s="3" t="s">
        <v>6540</v>
      </c>
      <c r="Z681" s="3"/>
      <c r="AA681" s="3"/>
    </row>
    <row r="682" customFormat="false" ht="15" hidden="false" customHeight="true" outlineLevel="0" collapsed="false">
      <c r="A682" s="3" t="s">
        <v>5922</v>
      </c>
      <c r="B682" s="3" t="n">
        <v>8</v>
      </c>
      <c r="C682" s="3" t="n">
        <v>19</v>
      </c>
      <c r="D682" s="3" t="str">
        <f aca="false">Combined!G682</f>
        <v>Student age (≤29)</v>
      </c>
      <c r="E682" s="3" t="s">
        <v>83</v>
      </c>
      <c r="F682" s="3" t="s">
        <v>47</v>
      </c>
      <c r="G682" s="3" t="s">
        <v>47</v>
      </c>
      <c r="H682" s="3" t="s">
        <v>5923</v>
      </c>
      <c r="I682" s="3" t="s">
        <v>7629</v>
      </c>
      <c r="J682" s="3" t="s">
        <v>5924</v>
      </c>
      <c r="K682" s="3" t="s">
        <v>6942</v>
      </c>
      <c r="L682" s="3" t="s">
        <v>5925</v>
      </c>
      <c r="M682" s="3" t="s">
        <v>7125</v>
      </c>
      <c r="N682" s="3" t="s">
        <v>885</v>
      </c>
      <c r="O682" s="3" t="s">
        <v>6517</v>
      </c>
      <c r="P682" s="3" t="s">
        <v>5926</v>
      </c>
      <c r="Q682" s="3" t="s">
        <v>6968</v>
      </c>
      <c r="R682" s="3" t="s">
        <v>5927</v>
      </c>
      <c r="S682" s="3" t="s">
        <v>6532</v>
      </c>
      <c r="T682" s="3" t="s">
        <v>5929</v>
      </c>
      <c r="U682" s="3" t="s">
        <v>6601</v>
      </c>
      <c r="V682" s="3" t="s">
        <v>5930</v>
      </c>
      <c r="W682" s="3" t="s">
        <v>6921</v>
      </c>
      <c r="X682" s="3" t="s">
        <v>5931</v>
      </c>
      <c r="Y682" s="3" t="s">
        <v>6918</v>
      </c>
      <c r="Z682" s="3" t="s">
        <v>5932</v>
      </c>
      <c r="AA682" s="3" t="s">
        <v>6918</v>
      </c>
    </row>
    <row r="683" customFormat="false" ht="15" hidden="false" customHeight="true" outlineLevel="0" collapsed="false">
      <c r="A683" s="3" t="s">
        <v>5933</v>
      </c>
      <c r="B683" s="3" t="n">
        <v>8</v>
      </c>
      <c r="C683" s="3" t="n">
        <v>18</v>
      </c>
      <c r="D683" s="3" t="str">
        <f aca="false">Combined!G683</f>
        <v>Student age (≤29)</v>
      </c>
      <c r="E683" s="3" t="s">
        <v>83</v>
      </c>
      <c r="F683" s="3" t="s">
        <v>5934</v>
      </c>
      <c r="G683" s="3" t="s">
        <v>47</v>
      </c>
      <c r="H683" s="3" t="s">
        <v>5935</v>
      </c>
      <c r="I683" s="3" t="s">
        <v>6555</v>
      </c>
      <c r="J683" s="3" t="s">
        <v>5936</v>
      </c>
      <c r="K683" s="3" t="s">
        <v>6569</v>
      </c>
      <c r="L683" s="3" t="s">
        <v>5937</v>
      </c>
      <c r="M683" s="3" t="s">
        <v>7201</v>
      </c>
      <c r="N683" s="3" t="s">
        <v>5938</v>
      </c>
      <c r="O683" s="3" t="s">
        <v>6511</v>
      </c>
      <c r="P683" s="3" t="s">
        <v>5939</v>
      </c>
      <c r="Q683" s="3" t="s">
        <v>6717</v>
      </c>
      <c r="R683" s="3" t="s">
        <v>5940</v>
      </c>
      <c r="S683" s="3" t="s">
        <v>6578</v>
      </c>
      <c r="T683" s="3" t="s">
        <v>5942</v>
      </c>
      <c r="U683" s="3" t="s">
        <v>6551</v>
      </c>
      <c r="V683" s="3" t="s">
        <v>5943</v>
      </c>
      <c r="W683" s="3" t="s">
        <v>6568</v>
      </c>
      <c r="X683" s="3" t="s">
        <v>5944</v>
      </c>
      <c r="Y683" s="3" t="s">
        <v>6545</v>
      </c>
      <c r="Z683" s="3" t="s">
        <v>5945</v>
      </c>
      <c r="AA683" s="3" t="s">
        <v>6651</v>
      </c>
    </row>
    <row r="684" customFormat="false" ht="15" hidden="false" customHeight="true" outlineLevel="0" collapsed="false">
      <c r="A684" s="3" t="s">
        <v>5946</v>
      </c>
      <c r="B684" s="3" t="n">
        <v>8</v>
      </c>
      <c r="C684" s="3" t="n">
        <v>20</v>
      </c>
      <c r="D684" s="3" t="str">
        <f aca="false">Combined!G684</f>
        <v>Student age (≤29)</v>
      </c>
      <c r="E684" s="3" t="s">
        <v>45</v>
      </c>
      <c r="F684" s="3" t="s">
        <v>47</v>
      </c>
      <c r="G684" s="3" t="s">
        <v>47</v>
      </c>
      <c r="H684" s="3" t="s">
        <v>1055</v>
      </c>
      <c r="I684" s="3" t="s">
        <v>6539</v>
      </c>
      <c r="J684" s="3" t="s">
        <v>5947</v>
      </c>
      <c r="K684" s="3" t="s">
        <v>6564</v>
      </c>
      <c r="L684" s="3" t="s">
        <v>5948</v>
      </c>
      <c r="M684" s="3" t="s">
        <v>6559</v>
      </c>
      <c r="N684" s="3" t="s">
        <v>5949</v>
      </c>
      <c r="O684" s="3" t="s">
        <v>6517</v>
      </c>
      <c r="P684" s="3" t="s">
        <v>5950</v>
      </c>
      <c r="Q684" s="3" t="s">
        <v>7013</v>
      </c>
      <c r="R684" s="3" t="s">
        <v>5951</v>
      </c>
      <c r="S684" s="3" t="s">
        <v>7630</v>
      </c>
      <c r="T684" s="3" t="s">
        <v>5953</v>
      </c>
      <c r="U684" s="3" t="s">
        <v>7631</v>
      </c>
      <c r="V684" s="3" t="s">
        <v>5954</v>
      </c>
      <c r="W684" s="3" t="s">
        <v>6778</v>
      </c>
      <c r="X684" s="3" t="s">
        <v>5955</v>
      </c>
      <c r="Y684" s="3" t="s">
        <v>6847</v>
      </c>
      <c r="Z684" s="3" t="s">
        <v>5956</v>
      </c>
      <c r="AA684" s="3" t="s">
        <v>7632</v>
      </c>
    </row>
    <row r="685" customFormat="false" ht="15" hidden="false" customHeight="true" outlineLevel="0" collapsed="false">
      <c r="A685" s="3" t="s">
        <v>5957</v>
      </c>
      <c r="B685" s="3" t="n">
        <v>8</v>
      </c>
      <c r="C685" s="3" t="n">
        <v>20</v>
      </c>
      <c r="D685" s="3" t="str">
        <f aca="false">Combined!G685</f>
        <v>Student age (≤29)</v>
      </c>
      <c r="E685" s="3" t="s">
        <v>83</v>
      </c>
      <c r="F685" s="3" t="s">
        <v>437</v>
      </c>
      <c r="G685" s="3" t="s">
        <v>47</v>
      </c>
      <c r="H685" s="3" t="s">
        <v>104</v>
      </c>
      <c r="I685" s="3" t="s">
        <v>6539</v>
      </c>
      <c r="J685" s="3" t="s">
        <v>5958</v>
      </c>
      <c r="K685" s="3" t="s">
        <v>6520</v>
      </c>
      <c r="L685" s="3" t="s">
        <v>1366</v>
      </c>
      <c r="M685" s="3" t="s">
        <v>6520</v>
      </c>
      <c r="N685" s="3" t="s">
        <v>5959</v>
      </c>
      <c r="O685" s="3" t="s">
        <v>6530</v>
      </c>
      <c r="P685" s="3" t="s">
        <v>5960</v>
      </c>
      <c r="Q685" s="3" t="s">
        <v>7017</v>
      </c>
      <c r="R685" s="3" t="s">
        <v>5961</v>
      </c>
      <c r="S685" s="3" t="s">
        <v>6551</v>
      </c>
      <c r="T685" s="3" t="s">
        <v>5963</v>
      </c>
      <c r="U685" s="3" t="s">
        <v>6662</v>
      </c>
      <c r="V685" s="3" t="s">
        <v>5964</v>
      </c>
      <c r="W685" s="3" t="s">
        <v>6551</v>
      </c>
      <c r="X685" s="3" t="s">
        <v>5965</v>
      </c>
      <c r="Y685" s="3" t="s">
        <v>6545</v>
      </c>
      <c r="Z685" s="3" t="s">
        <v>5966</v>
      </c>
      <c r="AA685" s="3" t="s">
        <v>6647</v>
      </c>
    </row>
    <row r="686" customFormat="false" ht="15" hidden="false" customHeight="true" outlineLevel="0" collapsed="false">
      <c r="A686" s="3" t="s">
        <v>5967</v>
      </c>
      <c r="B686" s="3" t="n">
        <v>8</v>
      </c>
      <c r="C686" s="3" t="n">
        <v>21</v>
      </c>
      <c r="D686" s="3" t="str">
        <f aca="false">Combined!G686</f>
        <v>Student age (≤29)</v>
      </c>
      <c r="E686" s="3" t="s">
        <v>45</v>
      </c>
      <c r="F686" s="3" t="s">
        <v>47</v>
      </c>
      <c r="G686" s="3" t="s">
        <v>47</v>
      </c>
      <c r="H686" s="3" t="s">
        <v>5968</v>
      </c>
      <c r="I686" s="3" t="s">
        <v>6539</v>
      </c>
      <c r="J686" s="3" t="s">
        <v>5969</v>
      </c>
      <c r="K686" s="3" t="s">
        <v>6820</v>
      </c>
      <c r="L686" s="3" t="s">
        <v>5970</v>
      </c>
      <c r="M686" s="3" t="s">
        <v>6516</v>
      </c>
      <c r="N686" s="3" t="s">
        <v>5971</v>
      </c>
      <c r="O686" s="3" t="s">
        <v>6511</v>
      </c>
      <c r="P686" s="3" t="s">
        <v>5972</v>
      </c>
      <c r="Q686" s="3" t="s">
        <v>6717</v>
      </c>
      <c r="R686" s="3" t="s">
        <v>5973</v>
      </c>
      <c r="S686" s="3" t="s">
        <v>6551</v>
      </c>
      <c r="T686" s="3" t="s">
        <v>5975</v>
      </c>
      <c r="U686" s="3" t="s">
        <v>6693</v>
      </c>
      <c r="V686" s="3" t="s">
        <v>5976</v>
      </c>
      <c r="W686" s="3" t="s">
        <v>6551</v>
      </c>
      <c r="X686" s="3" t="s">
        <v>5977</v>
      </c>
      <c r="Y686" s="3" t="s">
        <v>6545</v>
      </c>
      <c r="Z686" s="3" t="s">
        <v>5978</v>
      </c>
      <c r="AA686" s="3" t="s">
        <v>6545</v>
      </c>
    </row>
    <row r="687" customFormat="false" ht="15" hidden="false" customHeight="true" outlineLevel="0" collapsed="false">
      <c r="A687" s="3" t="s">
        <v>5979</v>
      </c>
      <c r="B687" s="3" t="n">
        <v>8</v>
      </c>
      <c r="C687" s="3" t="n">
        <v>18</v>
      </c>
      <c r="D687" s="3" t="str">
        <f aca="false">Combined!G687</f>
        <v>Student age (≤29)</v>
      </c>
      <c r="E687" s="3" t="s">
        <v>45</v>
      </c>
      <c r="F687" s="3" t="s">
        <v>5980</v>
      </c>
      <c r="G687" s="3" t="s">
        <v>47</v>
      </c>
      <c r="H687" s="3" t="s">
        <v>5981</v>
      </c>
      <c r="I687" s="3" t="s">
        <v>6608</v>
      </c>
      <c r="J687" s="3" t="s">
        <v>5982</v>
      </c>
      <c r="K687" s="3" t="s">
        <v>6564</v>
      </c>
      <c r="L687" s="3" t="s">
        <v>5983</v>
      </c>
      <c r="M687" s="3" t="s">
        <v>6547</v>
      </c>
      <c r="N687" s="3" t="s">
        <v>5984</v>
      </c>
      <c r="O687" s="3" t="s">
        <v>6511</v>
      </c>
      <c r="P687" s="3" t="s">
        <v>5985</v>
      </c>
      <c r="Q687" s="3" t="s">
        <v>6542</v>
      </c>
      <c r="R687" s="3" t="s">
        <v>5986</v>
      </c>
      <c r="S687" s="3" t="s">
        <v>7280</v>
      </c>
      <c r="T687" s="3" t="s">
        <v>5988</v>
      </c>
      <c r="U687" s="3" t="s">
        <v>6907</v>
      </c>
      <c r="V687" s="3" t="s">
        <v>5989</v>
      </c>
      <c r="W687" s="3" t="s">
        <v>6828</v>
      </c>
      <c r="X687" s="3" t="s">
        <v>5990</v>
      </c>
      <c r="Y687" s="3" t="s">
        <v>7346</v>
      </c>
      <c r="Z687" s="3" t="s">
        <v>5991</v>
      </c>
      <c r="AA687" s="3" t="s">
        <v>7373</v>
      </c>
    </row>
    <row r="688" customFormat="false" ht="15" hidden="false" customHeight="true" outlineLevel="0" collapsed="false">
      <c r="A688" s="3" t="s">
        <v>5992</v>
      </c>
      <c r="B688" s="3" t="n">
        <v>8</v>
      </c>
      <c r="C688" s="3" t="n">
        <v>24</v>
      </c>
      <c r="D688" s="3" t="str">
        <f aca="false">Combined!G688</f>
        <v>Student age (≤29)</v>
      </c>
      <c r="E688" s="3" t="s">
        <v>45</v>
      </c>
      <c r="F688" s="3" t="s">
        <v>47</v>
      </c>
      <c r="G688" s="3" t="s">
        <v>47</v>
      </c>
      <c r="H688" s="3" t="s">
        <v>104</v>
      </c>
      <c r="I688" s="3" t="s">
        <v>6539</v>
      </c>
      <c r="J688" s="3" t="s">
        <v>5993</v>
      </c>
      <c r="K688" s="3" t="s">
        <v>7633</v>
      </c>
      <c r="L688" s="3" t="s">
        <v>5994</v>
      </c>
      <c r="M688" s="3" t="s">
        <v>6910</v>
      </c>
      <c r="N688" s="3" t="s">
        <v>5995</v>
      </c>
      <c r="O688" s="3" t="s">
        <v>6517</v>
      </c>
      <c r="P688" s="3" t="s">
        <v>5996</v>
      </c>
      <c r="Q688" s="3" t="s">
        <v>6640</v>
      </c>
      <c r="R688" s="3" t="s">
        <v>5997</v>
      </c>
      <c r="S688" s="3" t="s">
        <v>6777</v>
      </c>
      <c r="T688" s="3" t="s">
        <v>5999</v>
      </c>
      <c r="U688" s="3" t="s">
        <v>7634</v>
      </c>
      <c r="V688" s="3" t="s">
        <v>6000</v>
      </c>
      <c r="W688" s="3" t="s">
        <v>6611</v>
      </c>
      <c r="X688" s="3" t="s">
        <v>6001</v>
      </c>
      <c r="Y688" s="3" t="s">
        <v>6551</v>
      </c>
      <c r="Z688" s="3" t="s">
        <v>6002</v>
      </c>
      <c r="AA688" s="3" t="s">
        <v>6545</v>
      </c>
    </row>
    <row r="689" customFormat="false" ht="15" hidden="false" customHeight="true" outlineLevel="0" collapsed="false">
      <c r="A689" s="3" t="s">
        <v>6003</v>
      </c>
      <c r="B689" s="3" t="n">
        <v>8</v>
      </c>
      <c r="C689" s="3" t="n">
        <v>24</v>
      </c>
      <c r="D689" s="3" t="str">
        <f aca="false">Combined!G689</f>
        <v>Student age (≤29)</v>
      </c>
      <c r="E689" s="3" t="s">
        <v>45</v>
      </c>
      <c r="F689" s="3" t="s">
        <v>47</v>
      </c>
      <c r="G689" s="3" t="s">
        <v>47</v>
      </c>
      <c r="H689" s="3" t="s">
        <v>6004</v>
      </c>
      <c r="I689" s="3" t="s">
        <v>7457</v>
      </c>
      <c r="J689" s="3" t="s">
        <v>893</v>
      </c>
      <c r="K689" s="3" t="s">
        <v>6516</v>
      </c>
      <c r="L689" s="3" t="s">
        <v>6005</v>
      </c>
      <c r="M689" s="3" t="s">
        <v>7126</v>
      </c>
      <c r="N689" s="3" t="s">
        <v>885</v>
      </c>
      <c r="O689" s="3" t="s">
        <v>6517</v>
      </c>
      <c r="P689" s="3" t="s">
        <v>6006</v>
      </c>
      <c r="Q689" s="3" t="s">
        <v>6594</v>
      </c>
      <c r="R689" s="3" t="s">
        <v>6007</v>
      </c>
      <c r="S689" s="3" t="s">
        <v>6632</v>
      </c>
      <c r="T689" s="3" t="s">
        <v>6009</v>
      </c>
      <c r="U689" s="3" t="s">
        <v>6526</v>
      </c>
      <c r="V689" s="3" t="s">
        <v>6010</v>
      </c>
      <c r="W689" s="3" t="s">
        <v>6551</v>
      </c>
      <c r="X689" s="3" t="s">
        <v>6011</v>
      </c>
      <c r="Y689" s="3" t="s">
        <v>7109</v>
      </c>
      <c r="Z689" s="3"/>
      <c r="AA689" s="3"/>
    </row>
    <row r="690" customFormat="false" ht="15" hidden="false" customHeight="true" outlineLevel="0" collapsed="false">
      <c r="A690" s="3" t="s">
        <v>6012</v>
      </c>
      <c r="B690" s="3" t="n">
        <v>8</v>
      </c>
      <c r="C690" s="3" t="n">
        <v>24</v>
      </c>
      <c r="D690" s="3" t="str">
        <f aca="false">Combined!G690</f>
        <v>Student age (≤29)</v>
      </c>
      <c r="E690" s="3" t="s">
        <v>45</v>
      </c>
      <c r="F690" s="3" t="s">
        <v>47</v>
      </c>
      <c r="G690" s="3" t="s">
        <v>47</v>
      </c>
      <c r="H690" s="3" t="s">
        <v>6013</v>
      </c>
      <c r="I690" s="3" t="s">
        <v>6733</v>
      </c>
      <c r="J690" s="3" t="s">
        <v>6014</v>
      </c>
      <c r="K690" s="3" t="s">
        <v>6516</v>
      </c>
      <c r="L690" s="3" t="s">
        <v>6015</v>
      </c>
      <c r="M690" s="3" t="s">
        <v>7635</v>
      </c>
      <c r="N690" s="3" t="s">
        <v>6016</v>
      </c>
      <c r="O690" s="3" t="s">
        <v>6511</v>
      </c>
      <c r="P690" s="3" t="s">
        <v>6017</v>
      </c>
      <c r="Q690" s="3" t="s">
        <v>6577</v>
      </c>
      <c r="R690" s="3" t="s">
        <v>6018</v>
      </c>
      <c r="S690" s="3" t="s">
        <v>6621</v>
      </c>
      <c r="T690" s="3" t="s">
        <v>6020</v>
      </c>
      <c r="U690" s="3" t="s">
        <v>7636</v>
      </c>
      <c r="V690" s="3" t="s">
        <v>6021</v>
      </c>
      <c r="W690" s="3" t="s">
        <v>6620</v>
      </c>
      <c r="X690" s="3" t="s">
        <v>6022</v>
      </c>
      <c r="Y690" s="3" t="s">
        <v>7637</v>
      </c>
      <c r="Z690" s="3" t="s">
        <v>6023</v>
      </c>
      <c r="AA690" s="3" t="s">
        <v>6820</v>
      </c>
    </row>
    <row r="691" customFormat="false" ht="15" hidden="false" customHeight="true" outlineLevel="0" collapsed="false">
      <c r="A691" s="3" t="s">
        <v>6024</v>
      </c>
      <c r="B691" s="3" t="n">
        <v>8</v>
      </c>
      <c r="C691" s="3" t="n">
        <v>23</v>
      </c>
      <c r="D691" s="3" t="str">
        <f aca="false">Combined!G691</f>
        <v>Student age (≤29)</v>
      </c>
      <c r="E691" s="3" t="s">
        <v>45</v>
      </c>
      <c r="F691" s="3" t="s">
        <v>47</v>
      </c>
      <c r="G691" s="3" t="s">
        <v>47</v>
      </c>
      <c r="H691" s="3" t="s">
        <v>6025</v>
      </c>
      <c r="I691" s="3" t="s">
        <v>6539</v>
      </c>
      <c r="J691" s="3" t="s">
        <v>6026</v>
      </c>
      <c r="K691" s="3" t="s">
        <v>6509</v>
      </c>
      <c r="L691" s="3" t="s">
        <v>2124</v>
      </c>
      <c r="M691" s="3" t="s">
        <v>6568</v>
      </c>
      <c r="N691" s="3" t="s">
        <v>6027</v>
      </c>
      <c r="O691" s="3" t="s">
        <v>59</v>
      </c>
      <c r="P691" s="3" t="s">
        <v>6028</v>
      </c>
      <c r="Q691" s="3" t="s">
        <v>6542</v>
      </c>
      <c r="R691" s="3" t="s">
        <v>6029</v>
      </c>
      <c r="S691" s="3" t="s">
        <v>6721</v>
      </c>
      <c r="T691" s="3" t="s">
        <v>6031</v>
      </c>
      <c r="U691" s="3" t="s">
        <v>6545</v>
      </c>
      <c r="V691" s="3" t="s">
        <v>6032</v>
      </c>
      <c r="W691" s="3" t="s">
        <v>6900</v>
      </c>
      <c r="X691" s="3" t="s">
        <v>6033</v>
      </c>
      <c r="Y691" s="3" t="s">
        <v>6551</v>
      </c>
      <c r="Z691" s="3" t="s">
        <v>6034</v>
      </c>
      <c r="AA691" s="3" t="s">
        <v>6545</v>
      </c>
    </row>
    <row r="692" customFormat="false" ht="15" hidden="false" customHeight="true" outlineLevel="0" collapsed="false">
      <c r="A692" s="3" t="s">
        <v>6035</v>
      </c>
      <c r="B692" s="3" t="n">
        <v>8</v>
      </c>
      <c r="C692" s="3" t="n">
        <v>23</v>
      </c>
      <c r="D692" s="3" t="str">
        <f aca="false">Combined!G692</f>
        <v>Student age (≤29)</v>
      </c>
      <c r="E692" s="3" t="s">
        <v>45</v>
      </c>
      <c r="F692" s="3" t="s">
        <v>1025</v>
      </c>
      <c r="G692" s="3" t="s">
        <v>47</v>
      </c>
      <c r="H692" s="3" t="s">
        <v>6036</v>
      </c>
      <c r="I692" s="3" t="s">
        <v>6546</v>
      </c>
      <c r="J692" s="3" t="s">
        <v>2886</v>
      </c>
      <c r="K692" s="3" t="s">
        <v>6540</v>
      </c>
      <c r="L692" s="3" t="s">
        <v>6037</v>
      </c>
      <c r="M692" s="3" t="s">
        <v>7638</v>
      </c>
      <c r="N692" s="3" t="s">
        <v>6038</v>
      </c>
      <c r="O692" s="3" t="s">
        <v>59</v>
      </c>
      <c r="P692" s="3" t="s">
        <v>6039</v>
      </c>
      <c r="Q692" s="3" t="s">
        <v>6914</v>
      </c>
      <c r="R692" s="3" t="s">
        <v>6040</v>
      </c>
      <c r="S692" s="3" t="s">
        <v>6777</v>
      </c>
      <c r="T692" s="3" t="s">
        <v>6042</v>
      </c>
      <c r="U692" s="3" t="s">
        <v>6688</v>
      </c>
      <c r="V692" s="3" t="s">
        <v>6043</v>
      </c>
      <c r="W692" s="3" t="s">
        <v>6540</v>
      </c>
      <c r="X692" s="3" t="s">
        <v>6044</v>
      </c>
      <c r="Y692" s="3" t="s">
        <v>6651</v>
      </c>
      <c r="Z692" s="3"/>
      <c r="AA692" s="3"/>
    </row>
    <row r="693" customFormat="false" ht="15" hidden="false" customHeight="true" outlineLevel="0" collapsed="false">
      <c r="A693" s="3" t="s">
        <v>6045</v>
      </c>
      <c r="B693" s="3" t="n">
        <v>8</v>
      </c>
      <c r="C693" s="3" t="n">
        <v>24</v>
      </c>
      <c r="D693" s="3" t="str">
        <f aca="false">Combined!G693</f>
        <v>Student age (≤29)</v>
      </c>
      <c r="E693" s="3" t="s">
        <v>45</v>
      </c>
      <c r="F693" s="3" t="s">
        <v>47</v>
      </c>
      <c r="G693" s="3" t="s">
        <v>47</v>
      </c>
      <c r="H693" s="3" t="s">
        <v>6046</v>
      </c>
      <c r="I693" s="3" t="s">
        <v>6546</v>
      </c>
      <c r="J693" s="3" t="s">
        <v>6047</v>
      </c>
      <c r="K693" s="3" t="s">
        <v>6509</v>
      </c>
      <c r="L693" s="3" t="s">
        <v>6048</v>
      </c>
      <c r="M693" s="3" t="s">
        <v>6547</v>
      </c>
      <c r="N693" s="3" t="s">
        <v>6049</v>
      </c>
      <c r="O693" s="3" t="s">
        <v>6511</v>
      </c>
      <c r="P693" s="3" t="s">
        <v>6050</v>
      </c>
      <c r="Q693" s="3" t="s">
        <v>6542</v>
      </c>
      <c r="R693" s="3" t="s">
        <v>6051</v>
      </c>
      <c r="S693" s="3" t="s">
        <v>6543</v>
      </c>
      <c r="T693" s="3" t="s">
        <v>6053</v>
      </c>
      <c r="U693" s="3" t="s">
        <v>7639</v>
      </c>
      <c r="V693" s="3" t="s">
        <v>6054</v>
      </c>
      <c r="W693" s="3" t="s">
        <v>6551</v>
      </c>
      <c r="X693" s="3" t="s">
        <v>6055</v>
      </c>
      <c r="Y693" s="3" t="s">
        <v>6651</v>
      </c>
      <c r="Z693" s="3"/>
      <c r="AA693" s="3"/>
    </row>
    <row r="694" customFormat="false" ht="15" hidden="false" customHeight="true" outlineLevel="0" collapsed="false">
      <c r="A694" s="3" t="s">
        <v>6056</v>
      </c>
      <c r="B694" s="3" t="n">
        <v>8</v>
      </c>
      <c r="C694" s="3" t="n">
        <v>21</v>
      </c>
      <c r="D694" s="3" t="str">
        <f aca="false">Combined!G694</f>
        <v>Student age (≤29)</v>
      </c>
      <c r="E694" s="3" t="s">
        <v>45</v>
      </c>
      <c r="F694" s="3" t="s">
        <v>47</v>
      </c>
      <c r="G694" s="3" t="s">
        <v>47</v>
      </c>
      <c r="H694" s="3" t="s">
        <v>6057</v>
      </c>
      <c r="I694" s="3" t="s">
        <v>6675</v>
      </c>
      <c r="J694" s="3" t="s">
        <v>6058</v>
      </c>
      <c r="K694" s="3" t="s">
        <v>7640</v>
      </c>
      <c r="L694" s="3" t="s">
        <v>6059</v>
      </c>
      <c r="M694" s="3" t="s">
        <v>7641</v>
      </c>
      <c r="N694" s="3" t="s">
        <v>6060</v>
      </c>
      <c r="O694" s="3" t="s">
        <v>6517</v>
      </c>
      <c r="P694" s="3" t="s">
        <v>6061</v>
      </c>
      <c r="Q694" s="3" t="s">
        <v>7006</v>
      </c>
      <c r="R694" s="3" t="s">
        <v>6062</v>
      </c>
      <c r="S694" s="3" t="s">
        <v>6857</v>
      </c>
      <c r="T694" s="3" t="s">
        <v>6064</v>
      </c>
      <c r="U694" s="3" t="s">
        <v>6550</v>
      </c>
      <c r="V694" s="3" t="s">
        <v>6065</v>
      </c>
      <c r="W694" s="3" t="s">
        <v>6611</v>
      </c>
      <c r="X694" s="3" t="s">
        <v>6066</v>
      </c>
      <c r="Y694" s="3" t="s">
        <v>7642</v>
      </c>
      <c r="Z694" s="3" t="s">
        <v>6067</v>
      </c>
      <c r="AA694" s="3" t="s">
        <v>6847</v>
      </c>
    </row>
    <row r="695" customFormat="false" ht="15" hidden="false" customHeight="true" outlineLevel="0" collapsed="false">
      <c r="A695" s="3" t="s">
        <v>6068</v>
      </c>
      <c r="B695" s="3" t="n">
        <v>8</v>
      </c>
      <c r="C695" s="3" t="n">
        <v>24</v>
      </c>
      <c r="D695" s="3" t="str">
        <f aca="false">Combined!G695</f>
        <v>Student age (≤29)</v>
      </c>
      <c r="E695" s="3" t="s">
        <v>45</v>
      </c>
      <c r="F695" s="3" t="s">
        <v>47</v>
      </c>
      <c r="G695" s="3" t="s">
        <v>47</v>
      </c>
      <c r="H695" s="3" t="s">
        <v>6069</v>
      </c>
      <c r="I695" s="3" t="s">
        <v>7553</v>
      </c>
      <c r="J695" s="3" t="s">
        <v>6070</v>
      </c>
      <c r="K695" s="3" t="s">
        <v>6516</v>
      </c>
      <c r="L695" s="3" t="s">
        <v>6071</v>
      </c>
      <c r="M695" s="3" t="s">
        <v>7643</v>
      </c>
      <c r="N695" s="3" t="s">
        <v>6072</v>
      </c>
      <c r="O695" s="3" t="s">
        <v>6530</v>
      </c>
      <c r="P695" s="3" t="s">
        <v>6073</v>
      </c>
      <c r="Q695" s="3" t="s">
        <v>6542</v>
      </c>
      <c r="R695" s="3" t="s">
        <v>6074</v>
      </c>
      <c r="S695" s="3" t="s">
        <v>6581</v>
      </c>
      <c r="T695" s="3" t="s">
        <v>6076</v>
      </c>
      <c r="U695" s="3" t="s">
        <v>6545</v>
      </c>
      <c r="V695" s="3" t="s">
        <v>6077</v>
      </c>
      <c r="W695" s="3" t="s">
        <v>7644</v>
      </c>
      <c r="X695" s="3" t="s">
        <v>6078</v>
      </c>
      <c r="Y695" s="3" t="s">
        <v>6778</v>
      </c>
      <c r="Z695" s="3" t="s">
        <v>6079</v>
      </c>
      <c r="AA695" s="3" t="s">
        <v>6545</v>
      </c>
    </row>
    <row r="696" customFormat="false" ht="15" hidden="false" customHeight="true" outlineLevel="0" collapsed="false">
      <c r="A696" s="3" t="s">
        <v>6080</v>
      </c>
      <c r="B696" s="3" t="n">
        <v>8</v>
      </c>
      <c r="C696" s="3" t="n">
        <v>24</v>
      </c>
      <c r="D696" s="3" t="str">
        <f aca="false">Combined!G696</f>
        <v>Student age (≤29)</v>
      </c>
      <c r="E696" s="3" t="s">
        <v>45</v>
      </c>
      <c r="F696" s="3" t="s">
        <v>47</v>
      </c>
      <c r="G696" s="3" t="s">
        <v>47</v>
      </c>
      <c r="H696" s="3" t="s">
        <v>6081</v>
      </c>
      <c r="I696" s="3" t="s">
        <v>6608</v>
      </c>
      <c r="J696" s="3" t="s">
        <v>6082</v>
      </c>
      <c r="K696" s="3" t="s">
        <v>6540</v>
      </c>
      <c r="L696" s="3" t="s">
        <v>6083</v>
      </c>
      <c r="M696" s="3" t="s">
        <v>6799</v>
      </c>
      <c r="N696" s="3" t="s">
        <v>6084</v>
      </c>
      <c r="O696" s="3" t="s">
        <v>6530</v>
      </c>
      <c r="P696" s="3" t="s">
        <v>6085</v>
      </c>
      <c r="Q696" s="3" t="s">
        <v>6594</v>
      </c>
      <c r="R696" s="3" t="s">
        <v>6086</v>
      </c>
      <c r="S696" s="3" t="s">
        <v>6777</v>
      </c>
      <c r="T696" s="3" t="s">
        <v>6088</v>
      </c>
      <c r="U696" s="3" t="s">
        <v>7645</v>
      </c>
      <c r="V696" s="3" t="s">
        <v>6089</v>
      </c>
      <c r="W696" s="3" t="s">
        <v>7260</v>
      </c>
      <c r="X696" s="3" t="s">
        <v>6090</v>
      </c>
      <c r="Y696" s="3" t="s">
        <v>6551</v>
      </c>
      <c r="Z696" s="3" t="s">
        <v>6091</v>
      </c>
      <c r="AA696" s="3" t="s">
        <v>6820</v>
      </c>
    </row>
    <row r="697" customFormat="false" ht="15" hidden="false" customHeight="true" outlineLevel="0" collapsed="false">
      <c r="A697" s="3" t="s">
        <v>6092</v>
      </c>
      <c r="B697" s="3" t="n">
        <v>8</v>
      </c>
      <c r="C697" s="3" t="n">
        <v>24</v>
      </c>
      <c r="D697" s="3" t="str">
        <f aca="false">Combined!G697</f>
        <v>Student age (≤29)</v>
      </c>
      <c r="E697" s="3" t="s">
        <v>45</v>
      </c>
      <c r="F697" s="3" t="s">
        <v>47</v>
      </c>
      <c r="G697" s="3" t="s">
        <v>47</v>
      </c>
      <c r="H697" s="3" t="s">
        <v>6093</v>
      </c>
      <c r="I697" s="3" t="s">
        <v>6759</v>
      </c>
      <c r="J697" s="3" t="s">
        <v>6094</v>
      </c>
      <c r="K697" s="3" t="s">
        <v>6676</v>
      </c>
      <c r="L697" s="3" t="s">
        <v>6095</v>
      </c>
      <c r="M697" s="3" t="s">
        <v>6942</v>
      </c>
      <c r="N697" s="3" t="s">
        <v>6096</v>
      </c>
      <c r="O697" s="3" t="s">
        <v>6511</v>
      </c>
      <c r="P697" s="3" t="s">
        <v>6097</v>
      </c>
      <c r="Q697" s="3" t="s">
        <v>7646</v>
      </c>
      <c r="R697" s="3" t="s">
        <v>6098</v>
      </c>
      <c r="S697" s="3" t="s">
        <v>6595</v>
      </c>
      <c r="T697" s="3" t="s">
        <v>6100</v>
      </c>
      <c r="U697" s="3" t="s">
        <v>7647</v>
      </c>
      <c r="V697" s="3" t="s">
        <v>6101</v>
      </c>
      <c r="W697" s="3" t="s">
        <v>7648</v>
      </c>
      <c r="X697" s="3" t="s">
        <v>6102</v>
      </c>
      <c r="Y697" s="3" t="s">
        <v>7649</v>
      </c>
      <c r="Z697" s="3" t="s">
        <v>6103</v>
      </c>
      <c r="AA697" s="3" t="s">
        <v>7650</v>
      </c>
    </row>
    <row r="698" customFormat="false" ht="15" hidden="false" customHeight="true" outlineLevel="0" collapsed="false">
      <c r="A698" s="3" t="s">
        <v>6104</v>
      </c>
      <c r="B698" s="3" t="n">
        <v>8</v>
      </c>
      <c r="C698" s="3" t="n">
        <v>22</v>
      </c>
      <c r="D698" s="3" t="str">
        <f aca="false">Combined!G698</f>
        <v>Student age (≤29)</v>
      </c>
      <c r="E698" s="3" t="s">
        <v>83</v>
      </c>
      <c r="F698" s="3" t="s">
        <v>47</v>
      </c>
      <c r="G698" s="3" t="s">
        <v>47</v>
      </c>
      <c r="H698" s="3" t="s">
        <v>6105</v>
      </c>
      <c r="I698" s="3" t="s">
        <v>6675</v>
      </c>
      <c r="J698" s="3" t="s">
        <v>6106</v>
      </c>
      <c r="K698" s="3" t="s">
        <v>7208</v>
      </c>
      <c r="L698" s="3" t="s">
        <v>6107</v>
      </c>
      <c r="M698" s="3" t="s">
        <v>6569</v>
      </c>
      <c r="N698" s="3" t="s">
        <v>6108</v>
      </c>
      <c r="O698" s="3" t="s">
        <v>6511</v>
      </c>
      <c r="P698" s="3" t="s">
        <v>6109</v>
      </c>
      <c r="Q698" s="3" t="s">
        <v>6609</v>
      </c>
      <c r="R698" s="3" t="s">
        <v>6110</v>
      </c>
      <c r="S698" s="3" t="s">
        <v>6578</v>
      </c>
      <c r="T698" s="3" t="s">
        <v>6112</v>
      </c>
      <c r="U698" s="3" t="s">
        <v>6551</v>
      </c>
      <c r="V698" s="3" t="s">
        <v>6113</v>
      </c>
      <c r="W698" s="3" t="s">
        <v>6509</v>
      </c>
      <c r="X698" s="3" t="s">
        <v>6114</v>
      </c>
      <c r="Y698" s="3" t="s">
        <v>6820</v>
      </c>
      <c r="Z698" s="3" t="s">
        <v>6115</v>
      </c>
      <c r="AA698" s="3" t="s">
        <v>6568</v>
      </c>
    </row>
    <row r="699" customFormat="false" ht="15" hidden="false" customHeight="true" outlineLevel="0" collapsed="false">
      <c r="A699" s="3" t="s">
        <v>6116</v>
      </c>
      <c r="B699" s="3" t="n">
        <v>8</v>
      </c>
      <c r="C699" s="3" t="n">
        <v>22</v>
      </c>
      <c r="D699" s="3" t="str">
        <f aca="false">Combined!G699</f>
        <v>Student age (≤29)</v>
      </c>
      <c r="E699" s="3" t="s">
        <v>83</v>
      </c>
      <c r="F699" s="3" t="s">
        <v>47</v>
      </c>
      <c r="G699" s="3" t="s">
        <v>47</v>
      </c>
      <c r="H699" s="3"/>
      <c r="I699" s="3"/>
      <c r="J699" s="3"/>
      <c r="K699" s="3"/>
      <c r="L699" s="3"/>
      <c r="M699" s="3"/>
      <c r="N699" s="3"/>
      <c r="O699" s="3"/>
      <c r="P699" s="3"/>
      <c r="Q699" s="3"/>
      <c r="R699" s="3"/>
      <c r="S699" s="3"/>
      <c r="T699" s="3" t="s">
        <v>6120</v>
      </c>
      <c r="U699" s="3" t="s">
        <v>7651</v>
      </c>
      <c r="V699" s="3" t="s">
        <v>6121</v>
      </c>
      <c r="W699" s="3" t="s">
        <v>6540</v>
      </c>
      <c r="X699" s="3" t="s">
        <v>6122</v>
      </c>
      <c r="Y699" s="3" t="s">
        <v>7652</v>
      </c>
      <c r="Z699" s="3" t="s">
        <v>6123</v>
      </c>
      <c r="AA699" s="3" t="s">
        <v>6538</v>
      </c>
    </row>
    <row r="700" customFormat="false" ht="15" hidden="false" customHeight="true" outlineLevel="0" collapsed="false">
      <c r="A700" s="3" t="s">
        <v>6124</v>
      </c>
      <c r="B700" s="3" t="n">
        <v>8</v>
      </c>
      <c r="C700" s="3" t="n">
        <v>21</v>
      </c>
      <c r="D700" s="3" t="str">
        <f aca="false">Combined!G700</f>
        <v>Student age (≤29)</v>
      </c>
      <c r="E700" s="3" t="s">
        <v>83</v>
      </c>
      <c r="F700" s="3" t="s">
        <v>47</v>
      </c>
      <c r="G700" s="3" t="s">
        <v>47</v>
      </c>
      <c r="H700" s="3"/>
      <c r="I700" s="3"/>
      <c r="J700" s="3"/>
      <c r="K700" s="3"/>
      <c r="L700" s="3"/>
      <c r="M700" s="3"/>
      <c r="N700" s="3"/>
      <c r="O700" s="3"/>
      <c r="P700" s="3"/>
      <c r="Q700" s="3"/>
      <c r="R700" s="3"/>
      <c r="S700" s="3"/>
      <c r="T700" s="3" t="s">
        <v>6126</v>
      </c>
      <c r="U700" s="3" t="s">
        <v>7030</v>
      </c>
      <c r="V700" s="3" t="s">
        <v>6127</v>
      </c>
      <c r="W700" s="3" t="s">
        <v>6776</v>
      </c>
      <c r="X700" s="3" t="s">
        <v>6128</v>
      </c>
      <c r="Y700" s="3" t="s">
        <v>6906</v>
      </c>
      <c r="Z700" s="3" t="s">
        <v>6129</v>
      </c>
      <c r="AA700" s="3" t="s">
        <v>7550</v>
      </c>
    </row>
    <row r="701" customFormat="false" ht="15" hidden="false" customHeight="true" outlineLevel="0" collapsed="false">
      <c r="A701" s="3" t="s">
        <v>6130</v>
      </c>
      <c r="B701" s="3" t="n">
        <v>8</v>
      </c>
      <c r="C701" s="3" t="n">
        <v>46</v>
      </c>
      <c r="D701" s="3" t="str">
        <f aca="false">Combined!G701</f>
        <v>Middle-aged (30–64)</v>
      </c>
      <c r="E701" s="3" t="s">
        <v>45</v>
      </c>
      <c r="F701" s="3" t="s">
        <v>5980</v>
      </c>
      <c r="G701" s="3" t="s">
        <v>5980</v>
      </c>
      <c r="H701" s="3" t="s">
        <v>6131</v>
      </c>
      <c r="I701" s="3" t="s">
        <v>6813</v>
      </c>
      <c r="J701" s="3" t="s">
        <v>6132</v>
      </c>
      <c r="K701" s="3" t="s">
        <v>6978</v>
      </c>
      <c r="L701" s="3" t="s">
        <v>6133</v>
      </c>
      <c r="M701" s="3" t="s">
        <v>7653</v>
      </c>
      <c r="N701" s="3" t="s">
        <v>6134</v>
      </c>
      <c r="O701" s="3" t="s">
        <v>6511</v>
      </c>
      <c r="P701" s="3" t="s">
        <v>6135</v>
      </c>
      <c r="Q701" s="3" t="s">
        <v>6717</v>
      </c>
      <c r="R701" s="3" t="s">
        <v>59</v>
      </c>
      <c r="S701" s="3" t="s">
        <v>6647</v>
      </c>
      <c r="T701" s="3" t="s">
        <v>6137</v>
      </c>
      <c r="U701" s="3" t="s">
        <v>6545</v>
      </c>
      <c r="V701" s="3" t="s">
        <v>6137</v>
      </c>
      <c r="W701" s="3" t="s">
        <v>6545</v>
      </c>
      <c r="X701" s="3" t="s">
        <v>6138</v>
      </c>
      <c r="Y701" s="3" t="s">
        <v>7233</v>
      </c>
      <c r="Z701" s="3" t="s">
        <v>6139</v>
      </c>
      <c r="AA701" s="3" t="s">
        <v>7654</v>
      </c>
    </row>
    <row r="702" customFormat="false" ht="15" hidden="false" customHeight="true" outlineLevel="0" collapsed="false">
      <c r="A702" s="3" t="s">
        <v>6140</v>
      </c>
      <c r="B702" s="3" t="n">
        <v>8</v>
      </c>
      <c r="C702" s="3" t="n">
        <v>22</v>
      </c>
      <c r="D702" s="3" t="str">
        <f aca="false">Combined!G702</f>
        <v>Student age (≤29)</v>
      </c>
      <c r="E702" s="3" t="s">
        <v>45</v>
      </c>
      <c r="F702" s="3" t="s">
        <v>47</v>
      </c>
      <c r="G702" s="3" t="s">
        <v>47</v>
      </c>
      <c r="H702" s="3"/>
      <c r="I702" s="3"/>
      <c r="J702" s="3"/>
      <c r="K702" s="3"/>
      <c r="L702" s="3"/>
      <c r="M702" s="3"/>
      <c r="N702" s="3"/>
      <c r="O702" s="3"/>
      <c r="P702" s="3"/>
      <c r="Q702" s="3"/>
      <c r="R702" s="3"/>
      <c r="S702" s="3"/>
      <c r="T702" s="3" t="s">
        <v>6142</v>
      </c>
      <c r="U702" s="3" t="s">
        <v>7034</v>
      </c>
      <c r="V702" s="3" t="s">
        <v>6143</v>
      </c>
      <c r="W702" s="3" t="s">
        <v>6514</v>
      </c>
      <c r="X702" s="3" t="s">
        <v>6144</v>
      </c>
      <c r="Y702" s="3" t="s">
        <v>7208</v>
      </c>
      <c r="Z702" s="3"/>
      <c r="AA702" s="3"/>
    </row>
    <row r="703" customFormat="false" ht="15" hidden="false" customHeight="true" outlineLevel="0" collapsed="false">
      <c r="A703" s="3" t="s">
        <v>6145</v>
      </c>
      <c r="B703" s="3" t="n">
        <v>8</v>
      </c>
      <c r="C703" s="3" t="n">
        <v>43</v>
      </c>
      <c r="D703" s="3" t="str">
        <f aca="false">Combined!G703</f>
        <v>Middle-aged (30–64)</v>
      </c>
      <c r="E703" s="3" t="s">
        <v>45</v>
      </c>
      <c r="F703" s="3" t="s">
        <v>47</v>
      </c>
      <c r="G703" s="3" t="s">
        <v>47</v>
      </c>
      <c r="H703" s="3"/>
      <c r="I703" s="3"/>
      <c r="J703" s="3"/>
      <c r="K703" s="3"/>
      <c r="L703" s="3"/>
      <c r="M703" s="3"/>
      <c r="N703" s="3"/>
      <c r="O703" s="3"/>
      <c r="P703" s="3"/>
      <c r="Q703" s="3"/>
      <c r="R703" s="3"/>
      <c r="S703" s="3"/>
      <c r="T703" s="3" t="s">
        <v>6147</v>
      </c>
      <c r="U703" s="3" t="s">
        <v>7655</v>
      </c>
      <c r="V703" s="3" t="s">
        <v>6148</v>
      </c>
      <c r="W703" s="3" t="s">
        <v>6509</v>
      </c>
      <c r="X703" s="3" t="s">
        <v>6149</v>
      </c>
      <c r="Y703" s="3" t="s">
        <v>6597</v>
      </c>
      <c r="Z703" s="3" t="s">
        <v>6150</v>
      </c>
      <c r="AA703" s="3" t="s">
        <v>6847</v>
      </c>
    </row>
    <row r="704" customFormat="false" ht="15" hidden="false" customHeight="true" outlineLevel="0" collapsed="false">
      <c r="A704" s="3" t="s">
        <v>6151</v>
      </c>
      <c r="B704" s="3" t="n">
        <v>8</v>
      </c>
      <c r="C704" s="3" t="n">
        <v>56</v>
      </c>
      <c r="D704" s="3" t="str">
        <f aca="false">Combined!G704</f>
        <v>Middle-aged (30–64)</v>
      </c>
      <c r="E704" s="3" t="s">
        <v>45</v>
      </c>
      <c r="F704" s="3" t="s">
        <v>437</v>
      </c>
      <c r="G704" s="3" t="s">
        <v>47</v>
      </c>
      <c r="H704" s="3" t="s">
        <v>6152</v>
      </c>
      <c r="I704" s="3" t="s">
        <v>6608</v>
      </c>
      <c r="J704" s="3" t="s">
        <v>6153</v>
      </c>
      <c r="K704" s="3" t="s">
        <v>6956</v>
      </c>
      <c r="L704" s="3" t="s">
        <v>6154</v>
      </c>
      <c r="M704" s="3" t="s">
        <v>6569</v>
      </c>
      <c r="N704" s="3" t="s">
        <v>6155</v>
      </c>
      <c r="O704" s="3" t="s">
        <v>6511</v>
      </c>
      <c r="P704" s="3" t="s">
        <v>6156</v>
      </c>
      <c r="Q704" s="3" t="s">
        <v>6542</v>
      </c>
      <c r="R704" s="3" t="s">
        <v>6157</v>
      </c>
      <c r="S704" s="3" t="s">
        <v>6721</v>
      </c>
      <c r="T704" s="3" t="s">
        <v>6159</v>
      </c>
      <c r="U704" s="3" t="s">
        <v>7656</v>
      </c>
      <c r="V704" s="3" t="s">
        <v>6160</v>
      </c>
      <c r="W704" s="3" t="s">
        <v>6568</v>
      </c>
      <c r="X704" s="3" t="s">
        <v>6161</v>
      </c>
      <c r="Y704" s="3" t="s">
        <v>6918</v>
      </c>
      <c r="Z704" s="3"/>
      <c r="AA704" s="3"/>
    </row>
    <row r="705" customFormat="false" ht="15" hidden="false" customHeight="true" outlineLevel="0" collapsed="false">
      <c r="A705" s="3" t="s">
        <v>6162</v>
      </c>
      <c r="B705" s="3" t="n">
        <v>8</v>
      </c>
      <c r="C705" s="3" t="n">
        <v>20</v>
      </c>
      <c r="D705" s="3" t="str">
        <f aca="false">Combined!G705</f>
        <v>Student age (≤29)</v>
      </c>
      <c r="E705" s="3" t="s">
        <v>83</v>
      </c>
      <c r="F705" s="3" t="s">
        <v>437</v>
      </c>
      <c r="G705" s="3" t="s">
        <v>2651</v>
      </c>
      <c r="H705" s="3" t="s">
        <v>6163</v>
      </c>
      <c r="I705" s="3" t="s">
        <v>6759</v>
      </c>
      <c r="J705" s="3" t="s">
        <v>6164</v>
      </c>
      <c r="K705" s="3" t="s">
        <v>6510</v>
      </c>
      <c r="L705" s="3" t="s">
        <v>6165</v>
      </c>
      <c r="M705" s="3" t="s">
        <v>6516</v>
      </c>
      <c r="N705" s="3" t="s">
        <v>6166</v>
      </c>
      <c r="O705" s="3" t="s">
        <v>6530</v>
      </c>
      <c r="P705" s="3" t="s">
        <v>6167</v>
      </c>
      <c r="Q705" s="3" t="s">
        <v>6524</v>
      </c>
      <c r="R705" s="3" t="s">
        <v>6168</v>
      </c>
      <c r="S705" s="3" t="s">
        <v>6709</v>
      </c>
      <c r="T705" s="3" t="s">
        <v>6170</v>
      </c>
      <c r="U705" s="3" t="s">
        <v>6545</v>
      </c>
      <c r="V705" s="3" t="s">
        <v>6171</v>
      </c>
      <c r="W705" s="3" t="s">
        <v>6545</v>
      </c>
      <c r="X705" s="3" t="s">
        <v>6172</v>
      </c>
      <c r="Y705" s="3" t="s">
        <v>6903</v>
      </c>
      <c r="Z705" s="3"/>
      <c r="AA705" s="3"/>
    </row>
    <row r="706" customFormat="false" ht="15" hidden="false" customHeight="true" outlineLevel="0" collapsed="false">
      <c r="A706" s="3" t="s">
        <v>6173</v>
      </c>
      <c r="B706" s="3" t="n">
        <v>8</v>
      </c>
      <c r="C706" s="3" t="n">
        <v>21</v>
      </c>
      <c r="D706" s="3" t="str">
        <f aca="false">Combined!G706</f>
        <v>Student age (≤29)</v>
      </c>
      <c r="E706" s="3" t="s">
        <v>83</v>
      </c>
      <c r="F706" s="3" t="s">
        <v>47</v>
      </c>
      <c r="G706" s="3" t="s">
        <v>47</v>
      </c>
      <c r="H706" s="3" t="s">
        <v>6174</v>
      </c>
      <c r="I706" s="3" t="s">
        <v>6539</v>
      </c>
      <c r="J706" s="3" t="s">
        <v>6175</v>
      </c>
      <c r="K706" s="3" t="s">
        <v>6551</v>
      </c>
      <c r="L706" s="3" t="s">
        <v>6176</v>
      </c>
      <c r="M706" s="3" t="s">
        <v>7657</v>
      </c>
      <c r="N706" s="3" t="s">
        <v>6177</v>
      </c>
      <c r="O706" s="3" t="s">
        <v>6511</v>
      </c>
      <c r="P706" s="3" t="s">
        <v>6178</v>
      </c>
      <c r="Q706" s="3" t="s">
        <v>6711</v>
      </c>
      <c r="R706" s="3" t="s">
        <v>6179</v>
      </c>
      <c r="S706" s="3" t="s">
        <v>6551</v>
      </c>
      <c r="T706" s="3" t="s">
        <v>6181</v>
      </c>
      <c r="U706" s="3" t="s">
        <v>6551</v>
      </c>
      <c r="V706" s="3" t="s">
        <v>6182</v>
      </c>
      <c r="W706" s="3" t="s">
        <v>7030</v>
      </c>
      <c r="X706" s="3" t="s">
        <v>6183</v>
      </c>
      <c r="Y706" s="3" t="s">
        <v>6551</v>
      </c>
      <c r="Z706" s="3" t="s">
        <v>6184</v>
      </c>
      <c r="AA706" s="3" t="s">
        <v>6647</v>
      </c>
    </row>
    <row r="707" customFormat="false" ht="15" hidden="false" customHeight="true" outlineLevel="0" collapsed="false">
      <c r="A707" s="3" t="s">
        <v>6185</v>
      </c>
      <c r="B707" s="3" t="n">
        <v>8</v>
      </c>
      <c r="C707" s="3" t="n">
        <v>24</v>
      </c>
      <c r="D707" s="3" t="str">
        <f aca="false">Combined!G707</f>
        <v>Student age (≤29)</v>
      </c>
      <c r="E707" s="3" t="s">
        <v>83</v>
      </c>
      <c r="F707" s="3" t="s">
        <v>47</v>
      </c>
      <c r="G707" s="3" t="s">
        <v>47</v>
      </c>
      <c r="H707" s="3" t="s">
        <v>6188</v>
      </c>
      <c r="I707" s="3" t="s">
        <v>6539</v>
      </c>
      <c r="J707" s="3" t="s">
        <v>6189</v>
      </c>
      <c r="K707" s="3" t="s">
        <v>6509</v>
      </c>
      <c r="L707" s="3" t="s">
        <v>6190</v>
      </c>
      <c r="M707" s="3" t="s">
        <v>6569</v>
      </c>
      <c r="N707" s="3" t="s">
        <v>6191</v>
      </c>
      <c r="O707" s="3" t="s">
        <v>6511</v>
      </c>
      <c r="P707" s="3" t="s">
        <v>6192</v>
      </c>
      <c r="Q707" s="3" t="s">
        <v>6512</v>
      </c>
      <c r="R707" s="3" t="s">
        <v>6193</v>
      </c>
      <c r="S707" s="3" t="s">
        <v>6581</v>
      </c>
      <c r="T707" s="3" t="s">
        <v>6195</v>
      </c>
      <c r="U707" s="3" t="s">
        <v>6545</v>
      </c>
      <c r="V707" s="3" t="s">
        <v>6196</v>
      </c>
      <c r="W707" s="3" t="s">
        <v>6540</v>
      </c>
      <c r="X707" s="3" t="s">
        <v>6197</v>
      </c>
      <c r="Y707" s="3" t="s">
        <v>6545</v>
      </c>
      <c r="Z707" s="3"/>
      <c r="AA707" s="3"/>
    </row>
    <row r="708" customFormat="false" ht="15" hidden="false" customHeight="true" outlineLevel="0" collapsed="false">
      <c r="A708" s="3" t="s">
        <v>6198</v>
      </c>
      <c r="B708" s="3" t="n">
        <v>8</v>
      </c>
      <c r="C708" s="3" t="n">
        <v>65</v>
      </c>
      <c r="D708" s="3" t="str">
        <f aca="false">Combined!G708</f>
        <v>Elderly (65+)</v>
      </c>
      <c r="E708" s="3" t="s">
        <v>45</v>
      </c>
      <c r="F708" s="3" t="s">
        <v>5980</v>
      </c>
      <c r="G708" s="3" t="s">
        <v>47</v>
      </c>
      <c r="H708" s="3" t="s">
        <v>6199</v>
      </c>
      <c r="I708" s="3" t="s">
        <v>6759</v>
      </c>
      <c r="J708" s="3" t="s">
        <v>6200</v>
      </c>
      <c r="K708" s="3" t="s">
        <v>6540</v>
      </c>
      <c r="L708" s="3" t="s">
        <v>6201</v>
      </c>
      <c r="M708" s="3" t="s">
        <v>7658</v>
      </c>
      <c r="N708" s="3" t="s">
        <v>6202</v>
      </c>
      <c r="O708" s="3" t="s">
        <v>6517</v>
      </c>
      <c r="P708" s="3" t="s">
        <v>6203</v>
      </c>
      <c r="Q708" s="3" t="s">
        <v>6717</v>
      </c>
      <c r="R708" s="3" t="s">
        <v>6204</v>
      </c>
      <c r="S708" s="3" t="s">
        <v>6581</v>
      </c>
      <c r="T708" s="3" t="s">
        <v>6206</v>
      </c>
      <c r="U708" s="3" t="s">
        <v>6662</v>
      </c>
      <c r="V708" s="3" t="s">
        <v>6207</v>
      </c>
      <c r="W708" s="3" t="s">
        <v>6699</v>
      </c>
      <c r="X708" s="3" t="s">
        <v>6208</v>
      </c>
      <c r="Y708" s="3" t="s">
        <v>6540</v>
      </c>
      <c r="Z708" s="3" t="s">
        <v>6209</v>
      </c>
      <c r="AA708" s="3" t="s">
        <v>7492</v>
      </c>
    </row>
    <row r="709" customFormat="false" ht="15" hidden="false" customHeight="true" outlineLevel="0" collapsed="false">
      <c r="A709" s="3" t="s">
        <v>6210</v>
      </c>
      <c r="B709" s="3" t="n">
        <v>8</v>
      </c>
      <c r="C709" s="3" t="n">
        <v>58</v>
      </c>
      <c r="D709" s="3" t="str">
        <f aca="false">Combined!G709</f>
        <v>Middle-aged (30–64)</v>
      </c>
      <c r="E709" s="3" t="s">
        <v>45</v>
      </c>
      <c r="F709" s="3" t="s">
        <v>437</v>
      </c>
      <c r="G709" s="3" t="s">
        <v>47</v>
      </c>
      <c r="H709" s="3" t="s">
        <v>6211</v>
      </c>
      <c r="I709" s="3" t="s">
        <v>7104</v>
      </c>
      <c r="J709" s="3" t="s">
        <v>6212</v>
      </c>
      <c r="K709" s="3" t="s">
        <v>6864</v>
      </c>
      <c r="L709" s="3" t="s">
        <v>6213</v>
      </c>
      <c r="M709" s="3" t="s">
        <v>6516</v>
      </c>
      <c r="N709" s="3" t="s">
        <v>98</v>
      </c>
      <c r="O709" s="3" t="s">
        <v>6517</v>
      </c>
      <c r="P709" s="3" t="s">
        <v>6214</v>
      </c>
      <c r="Q709" s="3" t="s">
        <v>6968</v>
      </c>
      <c r="R709" s="3" t="s">
        <v>6215</v>
      </c>
      <c r="S709" s="3" t="s">
        <v>6753</v>
      </c>
      <c r="T709" s="3" t="s">
        <v>6217</v>
      </c>
      <c r="U709" s="3" t="s">
        <v>6551</v>
      </c>
      <c r="V709" s="3" t="s">
        <v>6218</v>
      </c>
      <c r="W709" s="3" t="s">
        <v>6765</v>
      </c>
      <c r="X709" s="3" t="s">
        <v>6219</v>
      </c>
      <c r="Y709" s="3" t="s">
        <v>6564</v>
      </c>
      <c r="Z709" s="3" t="s">
        <v>6220</v>
      </c>
      <c r="AA709" s="3" t="s">
        <v>6545</v>
      </c>
    </row>
    <row r="710" customFormat="false" ht="15" hidden="false" customHeight="true" outlineLevel="0" collapsed="false">
      <c r="A710" s="3" t="s">
        <v>6221</v>
      </c>
      <c r="B710" s="3" t="n">
        <v>8</v>
      </c>
      <c r="C710" s="3" t="n">
        <v>73</v>
      </c>
      <c r="D710" s="3" t="str">
        <f aca="false">Combined!G710</f>
        <v>Elderly (65+)</v>
      </c>
      <c r="E710" s="3" t="s">
        <v>83</v>
      </c>
      <c r="F710" s="3" t="s">
        <v>5980</v>
      </c>
      <c r="G710" s="3" t="s">
        <v>47</v>
      </c>
      <c r="H710" s="3" t="s">
        <v>6222</v>
      </c>
      <c r="I710" s="3" t="s">
        <v>6637</v>
      </c>
      <c r="J710" s="3" t="s">
        <v>6223</v>
      </c>
      <c r="K710" s="3" t="s">
        <v>6699</v>
      </c>
      <c r="L710" s="3" t="s">
        <v>6224</v>
      </c>
      <c r="M710" s="3" t="s">
        <v>6541</v>
      </c>
      <c r="N710" s="3" t="s">
        <v>6225</v>
      </c>
      <c r="O710" s="3" t="s">
        <v>6517</v>
      </c>
      <c r="P710" s="3" t="s">
        <v>6226</v>
      </c>
      <c r="Q710" s="3" t="s">
        <v>6717</v>
      </c>
      <c r="R710" s="3" t="s">
        <v>6227</v>
      </c>
      <c r="S710" s="3" t="s">
        <v>6632</v>
      </c>
      <c r="T710" s="3" t="s">
        <v>6229</v>
      </c>
      <c r="U710" s="3" t="s">
        <v>7659</v>
      </c>
      <c r="V710" s="3" t="s">
        <v>6230</v>
      </c>
      <c r="W710" s="3" t="s">
        <v>6699</v>
      </c>
      <c r="X710" s="3" t="s">
        <v>6231</v>
      </c>
      <c r="Y710" s="3" t="s">
        <v>6540</v>
      </c>
      <c r="Z710" s="3" t="s">
        <v>6232</v>
      </c>
      <c r="AA710" s="3" t="s">
        <v>7660</v>
      </c>
    </row>
    <row r="711" customFormat="false" ht="15" hidden="false" customHeight="true" outlineLevel="0" collapsed="false">
      <c r="A711" s="3" t="s">
        <v>6233</v>
      </c>
      <c r="B711" s="3" t="n">
        <v>8</v>
      </c>
      <c r="C711" s="3" t="n">
        <v>60</v>
      </c>
      <c r="D711" s="3" t="str">
        <f aca="false">Combined!G711</f>
        <v>Middle-aged (30–64)</v>
      </c>
      <c r="E711" s="3" t="s">
        <v>83</v>
      </c>
      <c r="F711" s="3" t="s">
        <v>47</v>
      </c>
      <c r="G711" s="3" t="s">
        <v>47</v>
      </c>
      <c r="H711" s="3" t="s">
        <v>6234</v>
      </c>
      <c r="I711" s="3" t="s">
        <v>6551</v>
      </c>
      <c r="J711" s="3" t="s">
        <v>6235</v>
      </c>
      <c r="K711" s="3" t="s">
        <v>6540</v>
      </c>
      <c r="L711" s="3" t="s">
        <v>6236</v>
      </c>
      <c r="M711" s="3" t="s">
        <v>2035</v>
      </c>
      <c r="N711" s="3" t="s">
        <v>6237</v>
      </c>
      <c r="O711" s="3" t="s">
        <v>6511</v>
      </c>
      <c r="P711" s="3" t="s">
        <v>6238</v>
      </c>
      <c r="Q711" s="3" t="s">
        <v>6542</v>
      </c>
      <c r="R711" s="3" t="s">
        <v>6239</v>
      </c>
      <c r="S711" s="3" t="s">
        <v>7661</v>
      </c>
      <c r="T711" s="3" t="s">
        <v>6241</v>
      </c>
      <c r="U711" s="3" t="s">
        <v>6551</v>
      </c>
      <c r="V711" s="3" t="s">
        <v>6242</v>
      </c>
      <c r="W711" s="3" t="s">
        <v>6551</v>
      </c>
      <c r="X711" s="3" t="s">
        <v>6243</v>
      </c>
      <c r="Y711" s="3" t="s">
        <v>6516</v>
      </c>
      <c r="Z711" s="3" t="s">
        <v>6244</v>
      </c>
      <c r="AA711" s="3" t="s">
        <v>6647</v>
      </c>
    </row>
    <row r="712" customFormat="false" ht="15" hidden="false" customHeight="true" outlineLevel="0" collapsed="false">
      <c r="A712" s="3" t="s">
        <v>6245</v>
      </c>
      <c r="B712" s="3" t="n">
        <v>8</v>
      </c>
      <c r="C712" s="3" t="n">
        <v>22</v>
      </c>
      <c r="D712" s="3" t="str">
        <f aca="false">Combined!G712</f>
        <v>Student age (≤29)</v>
      </c>
      <c r="E712" s="3" t="s">
        <v>83</v>
      </c>
      <c r="F712" s="3" t="s">
        <v>47</v>
      </c>
      <c r="G712" s="3" t="s">
        <v>47</v>
      </c>
      <c r="H712" s="3" t="s">
        <v>6246</v>
      </c>
      <c r="I712" s="3" t="s">
        <v>6527</v>
      </c>
      <c r="J712" s="3" t="s">
        <v>1897</v>
      </c>
      <c r="K712" s="3" t="s">
        <v>6516</v>
      </c>
      <c r="L712" s="3" t="s">
        <v>6247</v>
      </c>
      <c r="M712" s="3" t="s">
        <v>6516</v>
      </c>
      <c r="N712" s="3" t="s">
        <v>6248</v>
      </c>
      <c r="O712" s="3" t="s">
        <v>6511</v>
      </c>
      <c r="P712" s="3" t="s">
        <v>6249</v>
      </c>
      <c r="Q712" s="3" t="s">
        <v>6997</v>
      </c>
      <c r="R712" s="3" t="s">
        <v>6250</v>
      </c>
      <c r="S712" s="3" t="s">
        <v>6581</v>
      </c>
      <c r="T712" s="3" t="s">
        <v>6252</v>
      </c>
      <c r="U712" s="3" t="s">
        <v>6900</v>
      </c>
      <c r="V712" s="3" t="s">
        <v>6253</v>
      </c>
      <c r="W712" s="3" t="s">
        <v>6551</v>
      </c>
      <c r="X712" s="3" t="s">
        <v>6254</v>
      </c>
      <c r="Y712" s="3" t="s">
        <v>6906</v>
      </c>
      <c r="Z712" s="3" t="s">
        <v>6255</v>
      </c>
      <c r="AA712" s="3" t="s">
        <v>6551</v>
      </c>
    </row>
    <row r="713" customFormat="false" ht="15" hidden="false" customHeight="true" outlineLevel="0" collapsed="false">
      <c r="A713" s="3" t="s">
        <v>6256</v>
      </c>
      <c r="B713" s="3" t="n">
        <v>8</v>
      </c>
      <c r="C713" s="3" t="n">
        <v>22</v>
      </c>
      <c r="D713" s="3" t="str">
        <f aca="false">Combined!G713</f>
        <v>Student age (≤29)</v>
      </c>
      <c r="E713" s="3" t="s">
        <v>45</v>
      </c>
      <c r="F713" s="3" t="s">
        <v>47</v>
      </c>
      <c r="G713" s="3" t="s">
        <v>47</v>
      </c>
      <c r="H713" s="3" t="s">
        <v>6257</v>
      </c>
      <c r="I713" s="3" t="s">
        <v>6539</v>
      </c>
      <c r="J713" s="3" t="s">
        <v>6258</v>
      </c>
      <c r="K713" s="3" t="s">
        <v>6569</v>
      </c>
      <c r="L713" s="3" t="s">
        <v>6259</v>
      </c>
      <c r="M713" s="3" t="s">
        <v>6956</v>
      </c>
      <c r="N713" s="3" t="s">
        <v>1390</v>
      </c>
      <c r="O713" s="3" t="s">
        <v>6517</v>
      </c>
      <c r="P713" s="3" t="s">
        <v>6260</v>
      </c>
      <c r="Q713" s="3" t="s">
        <v>7258</v>
      </c>
      <c r="R713" s="3" t="s">
        <v>6261</v>
      </c>
      <c r="S713" s="3" t="s">
        <v>6551</v>
      </c>
      <c r="T713" s="3" t="s">
        <v>6263</v>
      </c>
      <c r="U713" s="3" t="s">
        <v>7546</v>
      </c>
      <c r="V713" s="3" t="s">
        <v>6264</v>
      </c>
      <c r="W713" s="3" t="s">
        <v>6568</v>
      </c>
      <c r="X713" s="3" t="s">
        <v>6265</v>
      </c>
      <c r="Y713" s="3" t="s">
        <v>6545</v>
      </c>
      <c r="Z713" s="3" t="s">
        <v>6266</v>
      </c>
      <c r="AA713" s="3" t="s">
        <v>6568</v>
      </c>
    </row>
    <row r="714" customFormat="false" ht="15" hidden="false" customHeight="true" outlineLevel="0" collapsed="false">
      <c r="A714" s="3" t="s">
        <v>6267</v>
      </c>
      <c r="B714" s="3" t="n">
        <v>8</v>
      </c>
      <c r="C714" s="3" t="n">
        <v>24</v>
      </c>
      <c r="D714" s="3" t="str">
        <f aca="false">Combined!G714</f>
        <v>Student age (≤29)</v>
      </c>
      <c r="E714" s="3" t="s">
        <v>45</v>
      </c>
      <c r="F714" s="3" t="s">
        <v>47</v>
      </c>
      <c r="G714" s="3" t="s">
        <v>47</v>
      </c>
      <c r="H714" s="3" t="s">
        <v>6268</v>
      </c>
      <c r="I714" s="3" t="s">
        <v>6603</v>
      </c>
      <c r="J714" s="3" t="s">
        <v>6269</v>
      </c>
      <c r="K714" s="3" t="s">
        <v>6516</v>
      </c>
      <c r="L714" s="3" t="s">
        <v>6270</v>
      </c>
      <c r="M714" s="3" t="s">
        <v>7662</v>
      </c>
      <c r="N714" s="3" t="s">
        <v>6271</v>
      </c>
      <c r="O714" s="3" t="s">
        <v>6517</v>
      </c>
      <c r="P714" s="3" t="s">
        <v>6272</v>
      </c>
      <c r="Q714" s="3" t="s">
        <v>7663</v>
      </c>
      <c r="R714" s="3" t="s">
        <v>6273</v>
      </c>
      <c r="S714" s="3" t="s">
        <v>6549</v>
      </c>
      <c r="T714" s="3" t="s">
        <v>6275</v>
      </c>
      <c r="U714" s="3" t="s">
        <v>7664</v>
      </c>
      <c r="V714" s="3" t="s">
        <v>6276</v>
      </c>
      <c r="W714" s="3" t="s">
        <v>7665</v>
      </c>
      <c r="X714" s="3" t="s">
        <v>6277</v>
      </c>
      <c r="Y714" s="3" t="s">
        <v>7030</v>
      </c>
      <c r="Z714" s="3"/>
      <c r="AA714" s="3"/>
    </row>
    <row r="715" customFormat="false" ht="15" hidden="false" customHeight="true" outlineLevel="0" collapsed="false">
      <c r="A715" s="3" t="s">
        <v>6278</v>
      </c>
      <c r="B715" s="3" t="n">
        <v>8</v>
      </c>
      <c r="C715" s="3" t="n">
        <v>22</v>
      </c>
      <c r="D715" s="3" t="str">
        <f aca="false">Combined!G715</f>
        <v>Student age (≤29)</v>
      </c>
      <c r="E715" s="3" t="s">
        <v>45</v>
      </c>
      <c r="F715" s="3" t="s">
        <v>47</v>
      </c>
      <c r="G715" s="3" t="s">
        <v>47</v>
      </c>
      <c r="H715" s="3" t="s">
        <v>6279</v>
      </c>
      <c r="I715" s="3" t="s">
        <v>6763</v>
      </c>
      <c r="J715" s="3" t="s">
        <v>6280</v>
      </c>
      <c r="K715" s="3" t="s">
        <v>6564</v>
      </c>
      <c r="L715" s="3" t="s">
        <v>6281</v>
      </c>
      <c r="M715" s="3" t="s">
        <v>6978</v>
      </c>
      <c r="N715" s="3" t="s">
        <v>6282</v>
      </c>
      <c r="O715" s="3" t="s">
        <v>6511</v>
      </c>
      <c r="P715" s="3" t="s">
        <v>6283</v>
      </c>
      <c r="Q715" s="3" t="s">
        <v>7409</v>
      </c>
      <c r="R715" s="3" t="s">
        <v>6284</v>
      </c>
      <c r="S715" s="3" t="s">
        <v>7365</v>
      </c>
      <c r="T715" s="3" t="s">
        <v>6286</v>
      </c>
      <c r="U715" s="3" t="s">
        <v>7666</v>
      </c>
      <c r="V715" s="3" t="s">
        <v>6287</v>
      </c>
      <c r="W715" s="3" t="s">
        <v>6611</v>
      </c>
      <c r="X715" s="3" t="s">
        <v>6288</v>
      </c>
      <c r="Y715" s="3" t="s">
        <v>6551</v>
      </c>
      <c r="Z715" s="3" t="s">
        <v>6289</v>
      </c>
      <c r="AA715" s="3" t="s">
        <v>6965</v>
      </c>
    </row>
    <row r="716" customFormat="false" ht="15" hidden="false" customHeight="true" outlineLevel="0" collapsed="false">
      <c r="A716" s="3" t="s">
        <v>6290</v>
      </c>
      <c r="B716" s="3" t="n">
        <v>8</v>
      </c>
      <c r="C716" s="3" t="n">
        <v>21</v>
      </c>
      <c r="D716" s="3" t="str">
        <f aca="false">Combined!G716</f>
        <v>Student age (≤29)</v>
      </c>
      <c r="E716" s="3" t="s">
        <v>45</v>
      </c>
      <c r="F716" s="3" t="s">
        <v>47</v>
      </c>
      <c r="G716" s="3" t="s">
        <v>47</v>
      </c>
      <c r="H716" s="3" t="s">
        <v>2037</v>
      </c>
      <c r="I716" s="3" t="s">
        <v>6539</v>
      </c>
      <c r="J716" s="3" t="s">
        <v>6291</v>
      </c>
      <c r="K716" s="3" t="s">
        <v>6545</v>
      </c>
      <c r="L716" s="3" t="s">
        <v>6292</v>
      </c>
      <c r="M716" s="3" t="s">
        <v>6545</v>
      </c>
      <c r="N716" s="3" t="s">
        <v>98</v>
      </c>
      <c r="O716" s="3" t="s">
        <v>6517</v>
      </c>
      <c r="P716" s="3" t="s">
        <v>6293</v>
      </c>
      <c r="Q716" s="3" t="s">
        <v>7623</v>
      </c>
      <c r="R716" s="3" t="s">
        <v>6294</v>
      </c>
      <c r="S716" s="3" t="s">
        <v>6551</v>
      </c>
      <c r="T716" s="3" t="s">
        <v>6296</v>
      </c>
      <c r="U716" s="3" t="s">
        <v>6545</v>
      </c>
      <c r="V716" s="3" t="s">
        <v>6297</v>
      </c>
      <c r="W716" s="3" t="s">
        <v>6828</v>
      </c>
      <c r="X716" s="3" t="s">
        <v>6298</v>
      </c>
      <c r="Y716" s="3" t="s">
        <v>6610</v>
      </c>
      <c r="Z716" s="3" t="s">
        <v>6299</v>
      </c>
      <c r="AA716" s="3" t="s">
        <v>6564</v>
      </c>
    </row>
    <row r="717" customFormat="false" ht="15" hidden="false" customHeight="true" outlineLevel="0" collapsed="false">
      <c r="A717" s="3" t="s">
        <v>6300</v>
      </c>
      <c r="B717" s="3" t="n">
        <v>8</v>
      </c>
      <c r="C717" s="3" t="n">
        <v>21</v>
      </c>
      <c r="D717" s="3" t="str">
        <f aca="false">Combined!G717</f>
        <v>Student age (≤29)</v>
      </c>
      <c r="E717" s="3" t="s">
        <v>83</v>
      </c>
      <c r="F717" s="3" t="s">
        <v>47</v>
      </c>
      <c r="G717" s="3" t="s">
        <v>47</v>
      </c>
      <c r="H717" s="3" t="s">
        <v>6301</v>
      </c>
      <c r="I717" s="3" t="s">
        <v>6803</v>
      </c>
      <c r="J717" s="3" t="s">
        <v>6302</v>
      </c>
      <c r="K717" s="3" t="s">
        <v>7125</v>
      </c>
      <c r="L717" s="3" t="s">
        <v>6303</v>
      </c>
      <c r="M717" s="3" t="s">
        <v>7667</v>
      </c>
      <c r="N717" s="3" t="s">
        <v>6304</v>
      </c>
      <c r="O717" s="3" t="s">
        <v>6530</v>
      </c>
      <c r="P717" s="3" t="s">
        <v>6305</v>
      </c>
      <c r="Q717" s="3" t="s">
        <v>7218</v>
      </c>
      <c r="R717" s="3" t="s">
        <v>6306</v>
      </c>
      <c r="S717" s="3" t="s">
        <v>6581</v>
      </c>
      <c r="T717" s="3" t="s">
        <v>6308</v>
      </c>
      <c r="U717" s="3" t="s">
        <v>7668</v>
      </c>
      <c r="V717" s="3" t="s">
        <v>6309</v>
      </c>
      <c r="W717" s="3" t="s">
        <v>6528</v>
      </c>
      <c r="X717" s="3" t="s">
        <v>6310</v>
      </c>
      <c r="Y717" s="3" t="s">
        <v>7005</v>
      </c>
      <c r="Z717" s="3" t="s">
        <v>6311</v>
      </c>
      <c r="AA717" s="3" t="s">
        <v>6545</v>
      </c>
    </row>
    <row r="718" customFormat="false" ht="15" hidden="false" customHeight="true" outlineLevel="0" collapsed="false">
      <c r="A718" s="3" t="s">
        <v>6312</v>
      </c>
      <c r="B718" s="3" t="n">
        <v>8</v>
      </c>
      <c r="C718" s="3" t="n">
        <v>20</v>
      </c>
      <c r="D718" s="3" t="str">
        <f aca="false">Combined!G718</f>
        <v>Student age (≤29)</v>
      </c>
      <c r="E718" s="3" t="s">
        <v>45</v>
      </c>
      <c r="F718" s="3" t="s">
        <v>47</v>
      </c>
      <c r="G718" s="3" t="s">
        <v>47</v>
      </c>
      <c r="H718" s="3" t="s">
        <v>6313</v>
      </c>
      <c r="I718" s="3" t="s">
        <v>6598</v>
      </c>
      <c r="J718" s="3" t="s">
        <v>6314</v>
      </c>
      <c r="K718" s="3" t="s">
        <v>6510</v>
      </c>
      <c r="L718" s="3" t="s">
        <v>6315</v>
      </c>
      <c r="M718" s="3" t="s">
        <v>6896</v>
      </c>
      <c r="N718" s="3" t="s">
        <v>6316</v>
      </c>
      <c r="O718" s="3" t="s">
        <v>6511</v>
      </c>
      <c r="P718" s="3" t="s">
        <v>6317</v>
      </c>
      <c r="Q718" s="3" t="s">
        <v>6975</v>
      </c>
      <c r="R718" s="3" t="s">
        <v>6318</v>
      </c>
      <c r="S718" s="3" t="s">
        <v>6551</v>
      </c>
      <c r="T718" s="3" t="s">
        <v>6320</v>
      </c>
      <c r="U718" s="3" t="s">
        <v>6693</v>
      </c>
      <c r="V718" s="3" t="s">
        <v>6321</v>
      </c>
      <c r="W718" s="3" t="s">
        <v>6551</v>
      </c>
      <c r="X718" s="3" t="s">
        <v>6322</v>
      </c>
      <c r="Y718" s="3" t="s">
        <v>6551</v>
      </c>
      <c r="Z718" s="3" t="s">
        <v>6323</v>
      </c>
      <c r="AA718" s="3" t="s">
        <v>6820</v>
      </c>
    </row>
    <row r="719" customFormat="false" ht="15" hidden="false" customHeight="true" outlineLevel="0" collapsed="false">
      <c r="A719" s="3" t="s">
        <v>6324</v>
      </c>
      <c r="B719" s="3" t="n">
        <v>8</v>
      </c>
      <c r="C719" s="3" t="n">
        <v>28</v>
      </c>
      <c r="D719" s="3" t="str">
        <f aca="false">Combined!G719</f>
        <v>Student age (≤29)</v>
      </c>
      <c r="E719" s="3" t="s">
        <v>45</v>
      </c>
      <c r="F719" s="3" t="s">
        <v>47</v>
      </c>
      <c r="G719" s="3" t="s">
        <v>47</v>
      </c>
      <c r="H719" s="3" t="s">
        <v>6325</v>
      </c>
      <c r="I719" s="3" t="s">
        <v>6993</v>
      </c>
      <c r="J719" s="3" t="s">
        <v>6326</v>
      </c>
      <c r="K719" s="3" t="s">
        <v>6509</v>
      </c>
      <c r="L719" s="3" t="s">
        <v>6327</v>
      </c>
      <c r="M719" s="3" t="s">
        <v>6509</v>
      </c>
      <c r="N719" s="3" t="s">
        <v>59</v>
      </c>
      <c r="O719" s="3" t="s">
        <v>59</v>
      </c>
      <c r="P719" s="3" t="s">
        <v>6328</v>
      </c>
      <c r="Q719" s="3" t="s">
        <v>7218</v>
      </c>
      <c r="R719" s="3" t="s">
        <v>6329</v>
      </c>
      <c r="S719" s="3" t="s">
        <v>7333</v>
      </c>
      <c r="T719" s="3" t="s">
        <v>6331</v>
      </c>
      <c r="U719" s="3" t="s">
        <v>7516</v>
      </c>
      <c r="V719" s="3" t="s">
        <v>6332</v>
      </c>
      <c r="W719" s="3" t="s">
        <v>6541</v>
      </c>
      <c r="X719" s="3" t="s">
        <v>6333</v>
      </c>
      <c r="Y719" s="3" t="s">
        <v>6568</v>
      </c>
      <c r="Z719" s="3"/>
      <c r="AA719" s="3"/>
    </row>
    <row r="720" customFormat="false" ht="15" hidden="false" customHeight="true" outlineLevel="0" collapsed="false">
      <c r="A720" s="3" t="s">
        <v>6334</v>
      </c>
      <c r="B720" s="3" t="n">
        <v>8</v>
      </c>
      <c r="C720" s="3" t="n">
        <v>47</v>
      </c>
      <c r="D720" s="3" t="str">
        <f aca="false">Combined!G720</f>
        <v>Middle-aged (30–64)</v>
      </c>
      <c r="E720" s="3" t="s">
        <v>83</v>
      </c>
      <c r="F720" s="3" t="s">
        <v>47</v>
      </c>
      <c r="G720" s="3" t="s">
        <v>47</v>
      </c>
      <c r="H720" s="3" t="s">
        <v>6335</v>
      </c>
      <c r="I720" s="3" t="s">
        <v>6653</v>
      </c>
      <c r="J720" s="3" t="s">
        <v>6336</v>
      </c>
      <c r="K720" s="3" t="s">
        <v>6764</v>
      </c>
      <c r="L720" s="3" t="s">
        <v>6337</v>
      </c>
      <c r="M720" s="3" t="s">
        <v>6509</v>
      </c>
      <c r="N720" s="3" t="s">
        <v>6038</v>
      </c>
      <c r="O720" s="3" t="s">
        <v>59</v>
      </c>
      <c r="P720" s="3" t="s">
        <v>6338</v>
      </c>
      <c r="Q720" s="3" t="s">
        <v>6730</v>
      </c>
      <c r="R720" s="3" t="s">
        <v>6339</v>
      </c>
      <c r="S720" s="3" t="s">
        <v>6685</v>
      </c>
      <c r="T720" s="3" t="s">
        <v>6341</v>
      </c>
      <c r="U720" s="3" t="s">
        <v>6941</v>
      </c>
      <c r="V720" s="3" t="s">
        <v>6342</v>
      </c>
      <c r="W720" s="3" t="s">
        <v>6541</v>
      </c>
      <c r="X720" s="3" t="s">
        <v>5931</v>
      </c>
      <c r="Y720" s="3" t="s">
        <v>6918</v>
      </c>
      <c r="Z720" s="3" t="s">
        <v>6343</v>
      </c>
      <c r="AA720" s="3" t="s">
        <v>7669</v>
      </c>
    </row>
    <row r="721" customFormat="false" ht="15" hidden="false" customHeight="true" outlineLevel="0" collapsed="false">
      <c r="A721" s="3" t="s">
        <v>6344</v>
      </c>
      <c r="B721" s="3" t="n">
        <v>8</v>
      </c>
      <c r="C721" s="3" t="n">
        <v>68</v>
      </c>
      <c r="D721" s="3" t="str">
        <f aca="false">Combined!G721</f>
        <v>Elderly (65+)</v>
      </c>
      <c r="E721" s="3" t="s">
        <v>45</v>
      </c>
      <c r="F721" s="3" t="s">
        <v>47</v>
      </c>
      <c r="G721" s="3" t="s">
        <v>47</v>
      </c>
      <c r="H721" s="3" t="s">
        <v>6345</v>
      </c>
      <c r="I721" s="3" t="s">
        <v>7613</v>
      </c>
      <c r="J721" s="3" t="s">
        <v>6346</v>
      </c>
      <c r="K721" s="3" t="s">
        <v>7256</v>
      </c>
      <c r="L721" s="3" t="s">
        <v>6347</v>
      </c>
      <c r="M721" s="3" t="s">
        <v>7670</v>
      </c>
      <c r="N721" s="3" t="s">
        <v>6348</v>
      </c>
      <c r="O721" s="3" t="s">
        <v>59</v>
      </c>
      <c r="P721" s="3" t="s">
        <v>6349</v>
      </c>
      <c r="Q721" s="3" t="s">
        <v>6849</v>
      </c>
      <c r="R721" s="3" t="s">
        <v>6350</v>
      </c>
      <c r="S721" s="3" t="s">
        <v>7671</v>
      </c>
      <c r="T721" s="3" t="s">
        <v>6352</v>
      </c>
      <c r="U721" s="3" t="s">
        <v>7516</v>
      </c>
      <c r="V721" s="3" t="s">
        <v>6353</v>
      </c>
      <c r="W721" s="3" t="s">
        <v>6764</v>
      </c>
      <c r="X721" s="3" t="s">
        <v>6354</v>
      </c>
      <c r="Y721" s="3" t="s">
        <v>6778</v>
      </c>
      <c r="Z721" s="3" t="s">
        <v>6355</v>
      </c>
      <c r="AA721" s="3" t="s">
        <v>6820</v>
      </c>
    </row>
    <row r="722" customFormat="false" ht="15" hidden="false" customHeight="true" outlineLevel="0" collapsed="false">
      <c r="A722" s="3" t="s">
        <v>6356</v>
      </c>
      <c r="B722" s="3" t="n">
        <v>8</v>
      </c>
      <c r="C722" s="3" t="n">
        <v>22</v>
      </c>
      <c r="D722" s="3" t="str">
        <f aca="false">Combined!G722</f>
        <v>Student age (≤29)</v>
      </c>
      <c r="E722" s="3" t="s">
        <v>45</v>
      </c>
      <c r="F722" s="3" t="s">
        <v>47</v>
      </c>
      <c r="G722" s="3" t="s">
        <v>47</v>
      </c>
      <c r="H722" s="3" t="s">
        <v>6357</v>
      </c>
      <c r="I722" s="3" t="s">
        <v>6803</v>
      </c>
      <c r="J722" s="3" t="s">
        <v>6358</v>
      </c>
      <c r="K722" s="3" t="s">
        <v>6564</v>
      </c>
      <c r="L722" s="3" t="s">
        <v>6359</v>
      </c>
      <c r="M722" s="3" t="s">
        <v>6568</v>
      </c>
      <c r="N722" s="3" t="s">
        <v>6360</v>
      </c>
      <c r="O722" s="3" t="s">
        <v>59</v>
      </c>
      <c r="P722" s="3" t="s">
        <v>6361</v>
      </c>
      <c r="Q722" s="3" t="s">
        <v>7076</v>
      </c>
      <c r="R722" s="3" t="s">
        <v>6362</v>
      </c>
      <c r="S722" s="3" t="s">
        <v>6595</v>
      </c>
      <c r="T722" s="3" t="s">
        <v>6364</v>
      </c>
      <c r="U722" s="3" t="s">
        <v>6551</v>
      </c>
      <c r="V722" s="3" t="s">
        <v>6365</v>
      </c>
      <c r="W722" s="3" t="s">
        <v>6568</v>
      </c>
      <c r="X722" s="3" t="s">
        <v>6366</v>
      </c>
      <c r="Y722" s="3" t="s">
        <v>7124</v>
      </c>
      <c r="Z722" s="3" t="s">
        <v>6367</v>
      </c>
      <c r="AA722" s="3" t="s">
        <v>6611</v>
      </c>
    </row>
    <row r="723" customFormat="false" ht="15" hidden="false" customHeight="true" outlineLevel="0" collapsed="false">
      <c r="A723" s="3" t="s">
        <v>6368</v>
      </c>
      <c r="B723" s="3" t="n">
        <v>8</v>
      </c>
      <c r="C723" s="3" t="n">
        <v>20</v>
      </c>
      <c r="D723" s="3" t="str">
        <f aca="false">Combined!G723</f>
        <v>Student age (≤29)</v>
      </c>
      <c r="E723" s="3" t="s">
        <v>45</v>
      </c>
      <c r="F723" s="3" t="s">
        <v>47</v>
      </c>
      <c r="G723" s="3" t="s">
        <v>47</v>
      </c>
      <c r="H723" s="3" t="s">
        <v>6369</v>
      </c>
      <c r="I723" s="3" t="s">
        <v>6805</v>
      </c>
      <c r="J723" s="3" t="s">
        <v>6370</v>
      </c>
      <c r="K723" s="3" t="s">
        <v>7672</v>
      </c>
      <c r="L723" s="3" t="s">
        <v>6371</v>
      </c>
      <c r="M723" s="3" t="s">
        <v>6833</v>
      </c>
      <c r="N723" s="3" t="s">
        <v>6372</v>
      </c>
      <c r="O723" s="3" t="s">
        <v>6511</v>
      </c>
      <c r="P723" s="3" t="s">
        <v>6373</v>
      </c>
      <c r="Q723" s="3" t="s">
        <v>6575</v>
      </c>
      <c r="R723" s="3" t="s">
        <v>5120</v>
      </c>
      <c r="S723" s="3" t="s">
        <v>6538</v>
      </c>
      <c r="T723" s="3" t="s">
        <v>6375</v>
      </c>
      <c r="U723" s="3" t="s">
        <v>6551</v>
      </c>
      <c r="V723" s="3" t="s">
        <v>6376</v>
      </c>
      <c r="W723" s="3" t="s">
        <v>6828</v>
      </c>
      <c r="X723" s="3" t="s">
        <v>6377</v>
      </c>
      <c r="Y723" s="3" t="s">
        <v>6551</v>
      </c>
      <c r="Z723" s="3" t="s">
        <v>6378</v>
      </c>
      <c r="AA723" s="3" t="s">
        <v>6646</v>
      </c>
    </row>
    <row r="724" customFormat="false" ht="15" hidden="false" customHeight="true" outlineLevel="0" collapsed="false">
      <c r="A724" s="3" t="s">
        <v>6379</v>
      </c>
      <c r="B724" s="3" t="n">
        <v>8</v>
      </c>
      <c r="C724" s="3" t="n">
        <v>21</v>
      </c>
      <c r="D724" s="3" t="str">
        <f aca="false">Combined!G724</f>
        <v>Student age (≤29)</v>
      </c>
      <c r="E724" s="3" t="s">
        <v>45</v>
      </c>
      <c r="F724" s="3" t="s">
        <v>47</v>
      </c>
      <c r="G724" s="3" t="s">
        <v>47</v>
      </c>
      <c r="H724" s="3" t="s">
        <v>6380</v>
      </c>
      <c r="I724" s="3" t="s">
        <v>6954</v>
      </c>
      <c r="J724" s="3" t="s">
        <v>6381</v>
      </c>
      <c r="K724" s="3" t="s">
        <v>6556</v>
      </c>
      <c r="L724" s="3" t="s">
        <v>6382</v>
      </c>
      <c r="M724" s="3" t="s">
        <v>7353</v>
      </c>
      <c r="N724" s="3" t="s">
        <v>6383</v>
      </c>
      <c r="O724" s="3" t="s">
        <v>6511</v>
      </c>
      <c r="P724" s="3" t="s">
        <v>6384</v>
      </c>
      <c r="Q724" s="3" t="s">
        <v>6992</v>
      </c>
      <c r="R724" s="3" t="s">
        <v>6385</v>
      </c>
      <c r="S724" s="3" t="s">
        <v>7440</v>
      </c>
      <c r="T724" s="3" t="s">
        <v>6387</v>
      </c>
      <c r="U724" s="3" t="s">
        <v>6820</v>
      </c>
      <c r="V724" s="3" t="s">
        <v>6388</v>
      </c>
      <c r="W724" s="3" t="s">
        <v>6568</v>
      </c>
      <c r="X724" s="3" t="s">
        <v>6389</v>
      </c>
      <c r="Y724" s="3" t="s">
        <v>7325</v>
      </c>
      <c r="Z724" s="3"/>
      <c r="AA724" s="3"/>
    </row>
    <row r="725" customFormat="false" ht="15" hidden="false" customHeight="true" outlineLevel="0" collapsed="false">
      <c r="A725" s="3" t="s">
        <v>6390</v>
      </c>
      <c r="B725" s="3" t="n">
        <v>8</v>
      </c>
      <c r="C725" s="3" t="n">
        <v>22</v>
      </c>
      <c r="D725" s="3" t="str">
        <f aca="false">Combined!G725</f>
        <v>Student age (≤29)</v>
      </c>
      <c r="E725" s="3" t="s">
        <v>83</v>
      </c>
      <c r="F725" s="3" t="s">
        <v>47</v>
      </c>
      <c r="G725" s="3" t="s">
        <v>47</v>
      </c>
      <c r="H725" s="3" t="s">
        <v>2037</v>
      </c>
      <c r="I725" s="3" t="s">
        <v>6539</v>
      </c>
      <c r="J725" s="3" t="s">
        <v>6391</v>
      </c>
      <c r="K725" s="3" t="s">
        <v>6551</v>
      </c>
      <c r="L725" s="3" t="s">
        <v>6392</v>
      </c>
      <c r="M725" s="3" t="s">
        <v>6564</v>
      </c>
      <c r="N725" s="3" t="s">
        <v>98</v>
      </c>
      <c r="O725" s="3" t="s">
        <v>6517</v>
      </c>
      <c r="P725" s="3" t="s">
        <v>6393</v>
      </c>
      <c r="Q725" s="3" t="s">
        <v>2062</v>
      </c>
      <c r="R725" s="3" t="s">
        <v>6394</v>
      </c>
      <c r="S725" s="3" t="s">
        <v>6551</v>
      </c>
      <c r="T725" s="3" t="s">
        <v>6396</v>
      </c>
      <c r="U725" s="3" t="s">
        <v>6796</v>
      </c>
      <c r="V725" s="3" t="s">
        <v>6397</v>
      </c>
      <c r="W725" s="3" t="s">
        <v>6551</v>
      </c>
      <c r="X725" s="3" t="s">
        <v>6398</v>
      </c>
      <c r="Y725" s="3" t="s">
        <v>6545</v>
      </c>
      <c r="Z725" s="3" t="s">
        <v>6398</v>
      </c>
      <c r="AA725" s="3" t="s">
        <v>6545</v>
      </c>
    </row>
    <row r="726" customFormat="false" ht="15" hidden="false" customHeight="true" outlineLevel="0" collapsed="false">
      <c r="A726" s="3" t="s">
        <v>6399</v>
      </c>
      <c r="B726" s="3" t="n">
        <v>8</v>
      </c>
      <c r="C726" s="3" t="n">
        <v>21</v>
      </c>
      <c r="D726" s="3" t="str">
        <f aca="false">Combined!G726</f>
        <v>Student age (≤29)</v>
      </c>
      <c r="E726" s="3" t="s">
        <v>45</v>
      </c>
      <c r="F726" s="3" t="s">
        <v>47</v>
      </c>
      <c r="G726" s="3" t="s">
        <v>47</v>
      </c>
      <c r="H726" s="3" t="s">
        <v>6400</v>
      </c>
      <c r="I726" s="3" t="s">
        <v>6733</v>
      </c>
      <c r="J726" s="3" t="s">
        <v>6401</v>
      </c>
      <c r="K726" s="3" t="s">
        <v>6551</v>
      </c>
      <c r="L726" s="3" t="s">
        <v>6402</v>
      </c>
      <c r="M726" s="3" t="s">
        <v>6723</v>
      </c>
      <c r="N726" s="3" t="s">
        <v>6403</v>
      </c>
      <c r="O726" s="3" t="s">
        <v>6511</v>
      </c>
      <c r="P726" s="3" t="s">
        <v>6404</v>
      </c>
      <c r="Q726" s="3" t="s">
        <v>6914</v>
      </c>
      <c r="R726" s="3" t="s">
        <v>6405</v>
      </c>
      <c r="S726" s="3" t="s">
        <v>6537</v>
      </c>
      <c r="T726" s="3" t="s">
        <v>6407</v>
      </c>
      <c r="U726" s="3" t="s">
        <v>6976</v>
      </c>
      <c r="V726" s="3" t="s">
        <v>6408</v>
      </c>
      <c r="W726" s="3" t="s">
        <v>6551</v>
      </c>
      <c r="X726" s="3" t="s">
        <v>6409</v>
      </c>
      <c r="Y726" s="3" t="s">
        <v>6765</v>
      </c>
      <c r="Z726" s="3" t="s">
        <v>6410</v>
      </c>
      <c r="AA726" s="3" t="s">
        <v>7093</v>
      </c>
    </row>
    <row r="727" customFormat="false" ht="15" hidden="false" customHeight="true" outlineLevel="0" collapsed="false">
      <c r="A727" s="3" t="s">
        <v>6411</v>
      </c>
      <c r="B727" s="3" t="n">
        <v>8</v>
      </c>
      <c r="C727" s="3" t="n">
        <v>21</v>
      </c>
      <c r="D727" s="3" t="str">
        <f aca="false">Combined!G727</f>
        <v>Student age (≤29)</v>
      </c>
      <c r="E727" s="3" t="s">
        <v>45</v>
      </c>
      <c r="F727" s="3" t="s">
        <v>47</v>
      </c>
      <c r="G727" s="3" t="s">
        <v>47</v>
      </c>
      <c r="H727" s="3" t="s">
        <v>6412</v>
      </c>
      <c r="I727" s="3" t="s">
        <v>6759</v>
      </c>
      <c r="J727" s="3" t="s">
        <v>6413</v>
      </c>
      <c r="K727" s="3" t="s">
        <v>7673</v>
      </c>
      <c r="L727" s="3" t="s">
        <v>6414</v>
      </c>
      <c r="M727" s="3" t="s">
        <v>6551</v>
      </c>
      <c r="N727" s="3" t="s">
        <v>6415</v>
      </c>
      <c r="O727" s="3" t="s">
        <v>1625</v>
      </c>
      <c r="P727" s="3" t="s">
        <v>6416</v>
      </c>
      <c r="Q727" s="3" t="s">
        <v>7344</v>
      </c>
      <c r="R727" s="3" t="s">
        <v>59</v>
      </c>
      <c r="S727" s="3" t="s">
        <v>6647</v>
      </c>
      <c r="T727" s="3" t="s">
        <v>6418</v>
      </c>
      <c r="U727" s="3" t="s">
        <v>7674</v>
      </c>
      <c r="V727" s="3" t="s">
        <v>6419</v>
      </c>
      <c r="W727" s="3" t="s">
        <v>7675</v>
      </c>
      <c r="X727" s="3" t="s">
        <v>6420</v>
      </c>
      <c r="Y727" s="3" t="s">
        <v>6592</v>
      </c>
      <c r="Z727" s="3"/>
      <c r="AA727" s="3"/>
    </row>
    <row r="728" customFormat="false" ht="15" hidden="false" customHeight="true" outlineLevel="0" collapsed="false">
      <c r="A728" s="3" t="s">
        <v>6421</v>
      </c>
      <c r="B728" s="3" t="n">
        <v>8</v>
      </c>
      <c r="C728" s="3" t="n">
        <v>25</v>
      </c>
      <c r="D728" s="3" t="str">
        <f aca="false">Combined!G728</f>
        <v>Student age (≤29)</v>
      </c>
      <c r="E728" s="3" t="s">
        <v>45</v>
      </c>
      <c r="F728" s="3" t="s">
        <v>47</v>
      </c>
      <c r="G728" s="3" t="s">
        <v>47</v>
      </c>
      <c r="H728" s="3" t="s">
        <v>6422</v>
      </c>
      <c r="I728" s="3" t="s">
        <v>6603</v>
      </c>
      <c r="J728" s="3" t="s">
        <v>6423</v>
      </c>
      <c r="K728" s="3" t="s">
        <v>6556</v>
      </c>
      <c r="L728" s="3" t="s">
        <v>6424</v>
      </c>
      <c r="M728" s="3" t="s">
        <v>7549</v>
      </c>
      <c r="N728" s="3" t="s">
        <v>6425</v>
      </c>
      <c r="O728" s="3" t="s">
        <v>6511</v>
      </c>
      <c r="P728" s="3" t="s">
        <v>6426</v>
      </c>
      <c r="Q728" s="3" t="s">
        <v>6577</v>
      </c>
      <c r="R728" s="3" t="s">
        <v>6427</v>
      </c>
      <c r="S728" s="3" t="s">
        <v>6709</v>
      </c>
      <c r="T728" s="3" t="s">
        <v>6429</v>
      </c>
      <c r="U728" s="3" t="s">
        <v>6650</v>
      </c>
      <c r="V728" s="3" t="s">
        <v>6430</v>
      </c>
      <c r="W728" s="3" t="s">
        <v>6540</v>
      </c>
      <c r="X728" s="3" t="s">
        <v>6431</v>
      </c>
      <c r="Y728" s="3" t="s">
        <v>6727</v>
      </c>
      <c r="Z728" s="3" t="s">
        <v>6432</v>
      </c>
      <c r="AA728" s="3" t="s">
        <v>6568</v>
      </c>
    </row>
    <row r="729" customFormat="false" ht="15" hidden="false" customHeight="true" outlineLevel="0" collapsed="false">
      <c r="A729" s="3" t="s">
        <v>6433</v>
      </c>
      <c r="B729" s="3" t="n">
        <v>8</v>
      </c>
      <c r="C729" s="3" t="n">
        <v>22</v>
      </c>
      <c r="D729" s="3" t="str">
        <f aca="false">Combined!G729</f>
        <v>Student age (≤29)</v>
      </c>
      <c r="E729" s="3" t="s">
        <v>83</v>
      </c>
      <c r="F729" s="3" t="s">
        <v>47</v>
      </c>
      <c r="G729" s="3" t="s">
        <v>47</v>
      </c>
      <c r="H729" s="3" t="s">
        <v>6434</v>
      </c>
      <c r="I729" s="3" t="s">
        <v>6527</v>
      </c>
      <c r="J729" s="3" t="s">
        <v>6435</v>
      </c>
      <c r="K729" s="3" t="s">
        <v>6540</v>
      </c>
      <c r="L729" s="3" t="s">
        <v>6436</v>
      </c>
      <c r="M729" s="3" t="s">
        <v>7550</v>
      </c>
      <c r="N729" s="3" t="s">
        <v>59</v>
      </c>
      <c r="O729" s="3" t="s">
        <v>59</v>
      </c>
      <c r="P729" s="3" t="s">
        <v>6437</v>
      </c>
      <c r="Q729" s="3" t="s">
        <v>6580</v>
      </c>
      <c r="R729" s="3" t="s">
        <v>6438</v>
      </c>
      <c r="S729" s="3" t="s">
        <v>6701</v>
      </c>
      <c r="T729" s="3" t="s">
        <v>6440</v>
      </c>
      <c r="U729" s="3" t="s">
        <v>6551</v>
      </c>
      <c r="V729" s="3" t="s">
        <v>6441</v>
      </c>
      <c r="W729" s="3" t="s">
        <v>6551</v>
      </c>
      <c r="X729" s="3" t="s">
        <v>6442</v>
      </c>
      <c r="Y729" s="3" t="s">
        <v>6551</v>
      </c>
      <c r="Z729" s="3" t="s">
        <v>1322</v>
      </c>
      <c r="AA729" s="3" t="s">
        <v>6538</v>
      </c>
    </row>
    <row r="730" customFormat="false" ht="15" hidden="false" customHeight="true" outlineLevel="0" collapsed="false">
      <c r="A730" s="3" t="s">
        <v>6443</v>
      </c>
      <c r="B730" s="3" t="n">
        <v>8</v>
      </c>
      <c r="C730" s="3" t="n">
        <v>21</v>
      </c>
      <c r="D730" s="3" t="str">
        <f aca="false">Combined!G730</f>
        <v>Student age (≤29)</v>
      </c>
      <c r="E730" s="3" t="s">
        <v>45</v>
      </c>
      <c r="F730" s="3" t="s">
        <v>47</v>
      </c>
      <c r="G730" s="3" t="s">
        <v>47</v>
      </c>
      <c r="H730" s="3" t="s">
        <v>6444</v>
      </c>
      <c r="I730" s="3" t="s">
        <v>6598</v>
      </c>
      <c r="J730" s="3" t="s">
        <v>6445</v>
      </c>
      <c r="K730" s="3" t="s">
        <v>6610</v>
      </c>
      <c r="L730" s="3" t="s">
        <v>6446</v>
      </c>
      <c r="M730" s="3" t="s">
        <v>6545</v>
      </c>
      <c r="N730" s="3" t="s">
        <v>6447</v>
      </c>
      <c r="O730" s="3" t="s">
        <v>6511</v>
      </c>
      <c r="P730" s="3" t="s">
        <v>6448</v>
      </c>
      <c r="Q730" s="3" t="s">
        <v>7258</v>
      </c>
      <c r="R730" s="3" t="s">
        <v>6449</v>
      </c>
      <c r="S730" s="3" t="s">
        <v>6532</v>
      </c>
      <c r="T730" s="3" t="s">
        <v>6451</v>
      </c>
      <c r="U730" s="3" t="s">
        <v>6611</v>
      </c>
      <c r="V730" s="3" t="s">
        <v>6452</v>
      </c>
      <c r="W730" s="3" t="s">
        <v>6551</v>
      </c>
      <c r="X730" s="3" t="s">
        <v>6453</v>
      </c>
      <c r="Y730" s="3" t="s">
        <v>6651</v>
      </c>
      <c r="Z730" s="3" t="s">
        <v>6454</v>
      </c>
      <c r="AA730" s="3" t="s">
        <v>6941</v>
      </c>
    </row>
    <row r="731" customFormat="false" ht="15" hidden="false" customHeight="true" outlineLevel="0" collapsed="false">
      <c r="A731" s="3" t="s">
        <v>6455</v>
      </c>
      <c r="B731" s="3" t="n">
        <v>8</v>
      </c>
      <c r="C731" s="3" t="n">
        <v>22</v>
      </c>
      <c r="D731" s="3" t="str">
        <f aca="false">Combined!G731</f>
        <v>Student age (≤29)</v>
      </c>
      <c r="E731" s="3" t="s">
        <v>45</v>
      </c>
      <c r="F731" s="3" t="s">
        <v>47</v>
      </c>
      <c r="G731" s="3" t="s">
        <v>47</v>
      </c>
      <c r="H731" s="3" t="s">
        <v>6456</v>
      </c>
      <c r="I731" s="3" t="s">
        <v>6733</v>
      </c>
      <c r="J731" s="3" t="s">
        <v>547</v>
      </c>
      <c r="K731" s="3" t="s">
        <v>6510</v>
      </c>
      <c r="L731" s="3" t="s">
        <v>6457</v>
      </c>
      <c r="M731" s="3" t="s">
        <v>6535</v>
      </c>
      <c r="N731" s="3" t="s">
        <v>6458</v>
      </c>
      <c r="O731" s="3" t="s">
        <v>6511</v>
      </c>
      <c r="P731" s="3" t="s">
        <v>6459</v>
      </c>
      <c r="Q731" s="3" t="s">
        <v>7090</v>
      </c>
      <c r="R731" s="3" t="s">
        <v>6460</v>
      </c>
      <c r="S731" s="3" t="s">
        <v>6595</v>
      </c>
      <c r="T731" s="3" t="s">
        <v>6462</v>
      </c>
      <c r="U731" s="3" t="s">
        <v>7241</v>
      </c>
      <c r="V731" s="3" t="s">
        <v>6463</v>
      </c>
      <c r="W731" s="3" t="s">
        <v>6540</v>
      </c>
      <c r="X731" s="3" t="s">
        <v>6464</v>
      </c>
      <c r="Y731" s="3" t="s">
        <v>6646</v>
      </c>
      <c r="Z731" s="3"/>
      <c r="AA731" s="3"/>
    </row>
    <row r="732" customFormat="false" ht="15" hidden="false" customHeight="true" outlineLevel="0" collapsed="false">
      <c r="A732" s="3" t="s">
        <v>6465</v>
      </c>
      <c r="B732" s="3" t="n">
        <v>8</v>
      </c>
      <c r="C732" s="3" t="n">
        <v>19</v>
      </c>
      <c r="D732" s="3" t="str">
        <f aca="false">Combined!G732</f>
        <v>Student age (≤29)</v>
      </c>
      <c r="E732" s="3" t="s">
        <v>45</v>
      </c>
      <c r="F732" s="3" t="s">
        <v>47</v>
      </c>
      <c r="G732" s="3" t="s">
        <v>47</v>
      </c>
      <c r="H732" s="3" t="s">
        <v>6466</v>
      </c>
      <c r="I732" s="3" t="s">
        <v>6539</v>
      </c>
      <c r="J732" s="3" t="s">
        <v>6467</v>
      </c>
      <c r="K732" s="3" t="s">
        <v>6828</v>
      </c>
      <c r="L732" s="3" t="s">
        <v>6468</v>
      </c>
      <c r="M732" s="3" t="s">
        <v>6828</v>
      </c>
      <c r="N732" s="3" t="s">
        <v>442</v>
      </c>
      <c r="O732" s="3" t="s">
        <v>59</v>
      </c>
      <c r="P732" s="3" t="s">
        <v>6469</v>
      </c>
      <c r="Q732" s="3" t="s">
        <v>6542</v>
      </c>
      <c r="R732" s="3" t="s">
        <v>6470</v>
      </c>
      <c r="S732" s="3" t="s">
        <v>6537</v>
      </c>
      <c r="T732" s="3" t="s">
        <v>6472</v>
      </c>
      <c r="U732" s="3" t="s">
        <v>6551</v>
      </c>
      <c r="V732" s="3" t="s">
        <v>6473</v>
      </c>
      <c r="W732" s="3" t="s">
        <v>6551</v>
      </c>
      <c r="X732" s="3" t="s">
        <v>6474</v>
      </c>
      <c r="Y732" s="3" t="s">
        <v>6545</v>
      </c>
      <c r="Z732" s="3" t="s">
        <v>6475</v>
      </c>
      <c r="AA732" s="3" t="s">
        <v>6647</v>
      </c>
    </row>
    <row r="733" customFormat="false" ht="15" hidden="false" customHeight="true" outlineLevel="0" collapsed="false">
      <c r="A733" s="3" t="s">
        <v>6476</v>
      </c>
      <c r="B733" s="3" t="n">
        <v>8</v>
      </c>
      <c r="C733" s="3" t="n">
        <v>21</v>
      </c>
      <c r="D733" s="3" t="str">
        <f aca="false">Combined!G733</f>
        <v>Student age (≤29)</v>
      </c>
      <c r="E733" s="3" t="s">
        <v>45</v>
      </c>
      <c r="F733" s="3" t="s">
        <v>5980</v>
      </c>
      <c r="G733" s="3" t="s">
        <v>47</v>
      </c>
      <c r="H733" s="3" t="s">
        <v>6477</v>
      </c>
      <c r="I733" s="3" t="s">
        <v>6763</v>
      </c>
      <c r="J733" s="3" t="s">
        <v>6478</v>
      </c>
      <c r="K733" s="3" t="s">
        <v>7676</v>
      </c>
      <c r="L733" s="3" t="s">
        <v>6479</v>
      </c>
      <c r="M733" s="3" t="s">
        <v>7677</v>
      </c>
      <c r="N733" s="3" t="s">
        <v>6480</v>
      </c>
      <c r="O733" s="3" t="s">
        <v>6511</v>
      </c>
      <c r="P733" s="3" t="s">
        <v>6481</v>
      </c>
      <c r="Q733" s="3" t="s">
        <v>6577</v>
      </c>
      <c r="R733" s="3" t="s">
        <v>6482</v>
      </c>
      <c r="S733" s="3" t="s">
        <v>6513</v>
      </c>
      <c r="T733" s="3" t="s">
        <v>6484</v>
      </c>
      <c r="U733" s="3" t="s">
        <v>6976</v>
      </c>
      <c r="V733" s="3" t="s">
        <v>6485</v>
      </c>
      <c r="W733" s="3" t="s">
        <v>7093</v>
      </c>
      <c r="X733" s="3" t="s">
        <v>6486</v>
      </c>
      <c r="Y733" s="3" t="s">
        <v>7678</v>
      </c>
      <c r="Z733" s="3" t="s">
        <v>6487</v>
      </c>
      <c r="AA733" s="3" t="s">
        <v>7679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2109375" defaultRowHeight="15" zeroHeight="false" outlineLevelRow="0" outlineLevelCol="0"/>
  <cols>
    <col collapsed="false" customWidth="true" hidden="false" outlineLevel="0" max="1" min="1" style="1" width="40"/>
    <col collapsed="false" customWidth="true" hidden="false" outlineLevel="0" max="2" min="2" style="1" width="11"/>
    <col collapsed="false" customWidth="true" hidden="false" outlineLevel="0" max="10" min="3" style="1" width="12"/>
  </cols>
  <sheetData>
    <row r="1" customFormat="false" ht="15.75" hidden="false" customHeight="true" outlineLevel="0" collapsed="false">
      <c r="A1" s="6" t="s">
        <v>7680</v>
      </c>
    </row>
    <row r="2" customFormat="false" ht="43.5" hidden="false" customHeight="true" outlineLevel="0" collapsed="false">
      <c r="A2" s="7" t="s">
        <v>7681</v>
      </c>
      <c r="B2" s="7"/>
      <c r="C2" s="7"/>
      <c r="D2" s="7"/>
      <c r="E2" s="7"/>
      <c r="F2" s="7"/>
      <c r="G2" s="7"/>
      <c r="H2" s="7"/>
      <c r="I2" s="7"/>
      <c r="J2" s="7"/>
    </row>
    <row r="4" customFormat="false" ht="15" hidden="false" customHeight="true" outlineLevel="0" collapsed="false">
      <c r="A4" s="8" t="s">
        <v>7682</v>
      </c>
    </row>
    <row r="5" customFormat="false" ht="30" hidden="false" customHeight="true" outlineLevel="0" collapsed="false">
      <c r="A5" s="2" t="s">
        <v>7683</v>
      </c>
      <c r="B5" s="2" t="s">
        <v>7684</v>
      </c>
      <c r="C5" s="2" t="s">
        <v>7685</v>
      </c>
      <c r="D5" s="2" t="str">
        <f aca="false">Notes!$B$9</f>
        <v>Student age (≤29)</v>
      </c>
      <c r="E5" s="2" t="str">
        <f aca="false">Notes!$C$9</f>
        <v>Middle-aged (30–64)</v>
      </c>
      <c r="F5" s="2" t="str">
        <f aca="false">Notes!$D$9</f>
        <v>Elderly (65+)</v>
      </c>
      <c r="G5" s="2" t="s">
        <v>45</v>
      </c>
      <c r="H5" s="2" t="s">
        <v>83</v>
      </c>
      <c r="I5" s="2" t="s">
        <v>7686</v>
      </c>
      <c r="J5" s="2" t="s">
        <v>7687</v>
      </c>
    </row>
    <row r="6" customFormat="false" ht="15" hidden="false" customHeight="true" outlineLevel="0" collapsed="false">
      <c r="A6" s="9" t="s">
        <v>7688</v>
      </c>
      <c r="B6" s="9" t="n">
        <f aca="false">COUNTIF('Tagged Responses'!$H$2:$H$733,"?*")</f>
        <v>728</v>
      </c>
      <c r="C6" s="9" t="n">
        <f aca="false">COUNTIF('Tagged Responses'!$H$2:$H$733,"?*")</f>
        <v>728</v>
      </c>
      <c r="D6" s="9" t="n">
        <f aca="false">COUNTIFS('Tagged Responses'!$H$2:$H$733,"?*",'Tagged Responses'!$D$2:$D$733,Notes!$B$9)</f>
        <v>542</v>
      </c>
      <c r="E6" s="9" t="n">
        <f aca="false">COUNTIFS('Tagged Responses'!$H$2:$H$733,"?*",'Tagged Responses'!$D$2:$D$733,Notes!$C$9)</f>
        <v>166</v>
      </c>
      <c r="F6" s="9" t="n">
        <f aca="false">COUNTIFS('Tagged Responses'!$H$2:$H$733,"?*",'Tagged Responses'!$D$2:$D$733,Notes!$D$9)</f>
        <v>20</v>
      </c>
      <c r="G6" s="9" t="n">
        <f aca="false">COUNTIFS('Tagged Responses'!$H$2:$H$733,"?*",'Tagged Responses'!$E$2:$E$733,"Female")</f>
        <v>410</v>
      </c>
      <c r="H6" s="9" t="n">
        <f aca="false">COUNTIFS('Tagged Responses'!$H$2:$H$733,"?*",'Tagged Responses'!$E$2:$E$733,"Male")</f>
        <v>305</v>
      </c>
      <c r="I6" s="9" t="n">
        <f aca="false">COUNTIFS('Tagged Responses'!$H$2:$H$733,"?*",'Tagged Responses'!$G$2:$G$733,"United States")</f>
        <v>525</v>
      </c>
      <c r="J6" s="9" t="n">
        <f aca="false">COUNTIFS('Tagged Responses'!$H$2:$H$733,"?*",'Tagged Responses'!$G$2:$G$733,"China")</f>
        <v>157</v>
      </c>
    </row>
    <row r="7" customFormat="false" ht="15" hidden="false" customHeight="true" outlineLevel="0" collapsed="false">
      <c r="A7" s="10" t="s">
        <v>6539</v>
      </c>
      <c r="B7" s="10" t="n">
        <f aca="false">COUNTIF('Tagged Responses'!$I$2:$I$733,"*"&amp;$A7&amp;"*")</f>
        <v>446</v>
      </c>
      <c r="C7" s="11" t="n">
        <f aca="false">IFERROR(COUNTIF('Tagged Responses'!$I$2:$I$733,"*"&amp;$A7&amp;"*")/C$6,"")</f>
        <v>0.612637362637363</v>
      </c>
      <c r="D7" s="11" t="n">
        <f aca="false">IFERROR(COUNTIFS('Tagged Responses'!$I$2:$I$733,"*"&amp;$A7&amp;"*",'Tagged Responses'!$D$2:$D$733,Notes!$B$9)/D$6,"")</f>
        <v>0.651291512915129</v>
      </c>
      <c r="E7" s="11" t="n">
        <f aca="false">IFERROR(COUNTIFS('Tagged Responses'!$I$2:$I$733,"*"&amp;$A7&amp;"*",'Tagged Responses'!$D$2:$D$733,Notes!$C$9)/E$6,"")</f>
        <v>0.475903614457831</v>
      </c>
      <c r="F7" s="11" t="n">
        <f aca="false">IFERROR(COUNTIFS('Tagged Responses'!$I$2:$I$733,"*"&amp;$A7&amp;"*",'Tagged Responses'!$D$2:$D$733,Notes!$D$9)/F$6,"")</f>
        <v>0.7</v>
      </c>
      <c r="G7" s="11" t="n">
        <f aca="false">IFERROR(COUNTIFS('Tagged Responses'!$I$2:$I$733,"*"&amp;$A7&amp;"*",'Tagged Responses'!$E$2:$E$733,"Female")/G$6,"")</f>
        <v>0.621951219512195</v>
      </c>
      <c r="H7" s="11" t="n">
        <f aca="false">IFERROR(COUNTIFS('Tagged Responses'!$I$2:$I$733,"*"&amp;$A7&amp;"*",'Tagged Responses'!$E$2:$E$733,"Male")/H$6,"")</f>
        <v>0.59344262295082</v>
      </c>
      <c r="I7" s="11" t="n">
        <f aca="false">IFERROR(COUNTIFS('Tagged Responses'!$I$2:$I$733,"*"&amp;$A7&amp;"*",'Tagged Responses'!$G$2:$G$733,"United States")/I$6,"")</f>
        <v>0.653333333333333</v>
      </c>
      <c r="J7" s="11" t="n">
        <f aca="false">IFERROR(COUNTIFS('Tagged Responses'!$I$2:$I$733,"*"&amp;$A7&amp;"*",'Tagged Responses'!$G$2:$G$733,"China")/J$6,"")</f>
        <v>0.477707006369427</v>
      </c>
    </row>
    <row r="8" customFormat="false" ht="15" hidden="false" customHeight="true" outlineLevel="0" collapsed="false">
      <c r="A8" s="10" t="s">
        <v>6691</v>
      </c>
      <c r="B8" s="10" t="n">
        <f aca="false">COUNTIF('Tagged Responses'!$I$2:$I$733,"*"&amp;$A8&amp;"*")</f>
        <v>380</v>
      </c>
      <c r="C8" s="11" t="n">
        <f aca="false">IFERROR(COUNTIF('Tagged Responses'!$I$2:$I$733,"*"&amp;$A8&amp;"*")/C$6,"")</f>
        <v>0.521978021978022</v>
      </c>
      <c r="D8" s="11" t="n">
        <f aca="false">IFERROR(COUNTIFS('Tagged Responses'!$I$2:$I$733,"*"&amp;$A8&amp;"*",'Tagged Responses'!$D$2:$D$733,Notes!$B$9)/D$6,"")</f>
        <v>0.505535055350554</v>
      </c>
      <c r="E8" s="11" t="n">
        <f aca="false">IFERROR(COUNTIFS('Tagged Responses'!$I$2:$I$733,"*"&amp;$A8&amp;"*",'Tagged Responses'!$D$2:$D$733,Notes!$C$9)/E$6,"")</f>
        <v>0.55421686746988</v>
      </c>
      <c r="F8" s="11" t="n">
        <f aca="false">IFERROR(COUNTIFS('Tagged Responses'!$I$2:$I$733,"*"&amp;$A8&amp;"*",'Tagged Responses'!$D$2:$D$733,Notes!$D$9)/F$6,"")</f>
        <v>0.7</v>
      </c>
      <c r="G8" s="11" t="n">
        <f aca="false">IFERROR(COUNTIFS('Tagged Responses'!$I$2:$I$733,"*"&amp;$A8&amp;"*",'Tagged Responses'!$E$2:$E$733,"Female")/G$6,"")</f>
        <v>0.54390243902439</v>
      </c>
      <c r="H8" s="11" t="n">
        <f aca="false">IFERROR(COUNTIFS('Tagged Responses'!$I$2:$I$733,"*"&amp;$A8&amp;"*",'Tagged Responses'!$E$2:$E$733,"Male")/H$6,"")</f>
        <v>0.491803278688525</v>
      </c>
      <c r="I8" s="11" t="n">
        <f aca="false">IFERROR(COUNTIFS('Tagged Responses'!$I$2:$I$733,"*"&amp;$A8&amp;"*",'Tagged Responses'!$G$2:$G$733,"United States")/I$6,"")</f>
        <v>0.441904761904762</v>
      </c>
      <c r="J8" s="11" t="n">
        <f aca="false">IFERROR(COUNTIFS('Tagged Responses'!$I$2:$I$733,"*"&amp;$A8&amp;"*",'Tagged Responses'!$G$2:$G$733,"China")/J$6,"")</f>
        <v>0.757961783439491</v>
      </c>
    </row>
    <row r="9" customFormat="false" ht="15" hidden="false" customHeight="true" outlineLevel="0" collapsed="false">
      <c r="A9" s="10" t="s">
        <v>6803</v>
      </c>
      <c r="B9" s="10" t="n">
        <f aca="false">COUNTIF('Tagged Responses'!$I$2:$I$733,"*"&amp;$A9&amp;"*")</f>
        <v>279</v>
      </c>
      <c r="C9" s="11" t="n">
        <f aca="false">IFERROR(COUNTIF('Tagged Responses'!$I$2:$I$733,"*"&amp;$A9&amp;"*")/C$6,"")</f>
        <v>0.383241758241758</v>
      </c>
      <c r="D9" s="11" t="n">
        <f aca="false">IFERROR(COUNTIFS('Tagged Responses'!$I$2:$I$733,"*"&amp;$A9&amp;"*",'Tagged Responses'!$D$2:$D$733,Notes!$B$9)/D$6,"")</f>
        <v>0.367158671586716</v>
      </c>
      <c r="E9" s="11" t="n">
        <f aca="false">IFERROR(COUNTIFS('Tagged Responses'!$I$2:$I$733,"*"&amp;$A9&amp;"*",'Tagged Responses'!$D$2:$D$733,Notes!$C$9)/E$6,"")</f>
        <v>0.433734939759036</v>
      </c>
      <c r="F9" s="11" t="n">
        <f aca="false">IFERROR(COUNTIFS('Tagged Responses'!$I$2:$I$733,"*"&amp;$A9&amp;"*",'Tagged Responses'!$D$2:$D$733,Notes!$D$9)/F$6,"")</f>
        <v>0.4</v>
      </c>
      <c r="G9" s="11" t="n">
        <f aca="false">IFERROR(COUNTIFS('Tagged Responses'!$I$2:$I$733,"*"&amp;$A9&amp;"*",'Tagged Responses'!$E$2:$E$733,"Female")/G$6,"")</f>
        <v>0.373170731707317</v>
      </c>
      <c r="H9" s="11" t="n">
        <f aca="false">IFERROR(COUNTIFS('Tagged Responses'!$I$2:$I$733,"*"&amp;$A9&amp;"*",'Tagged Responses'!$E$2:$E$733,"Male")/H$6,"")</f>
        <v>0.4</v>
      </c>
      <c r="I9" s="11" t="n">
        <f aca="false">IFERROR(COUNTIFS('Tagged Responses'!$I$2:$I$733,"*"&amp;$A9&amp;"*",'Tagged Responses'!$G$2:$G$733,"United States")/I$6,"")</f>
        <v>0.325714285714286</v>
      </c>
      <c r="J9" s="11" t="n">
        <f aca="false">IFERROR(COUNTIFS('Tagged Responses'!$I$2:$I$733,"*"&amp;$A9&amp;"*",'Tagged Responses'!$G$2:$G$733,"China")/J$6,"")</f>
        <v>0.554140127388535</v>
      </c>
    </row>
    <row r="10" customFormat="false" ht="15" hidden="false" customHeight="true" outlineLevel="0" collapsed="false">
      <c r="A10" s="10" t="s">
        <v>6527</v>
      </c>
      <c r="B10" s="10" t="n">
        <f aca="false">COUNTIF('Tagged Responses'!$I$2:$I$733,"*"&amp;$A10&amp;"*")</f>
        <v>196</v>
      </c>
      <c r="C10" s="11" t="n">
        <f aca="false">IFERROR(COUNTIF('Tagged Responses'!$I$2:$I$733,"*"&amp;$A10&amp;"*")/C$6,"")</f>
        <v>0.269230769230769</v>
      </c>
      <c r="D10" s="11" t="n">
        <f aca="false">IFERROR(COUNTIFS('Tagged Responses'!$I$2:$I$733,"*"&amp;$A10&amp;"*",'Tagged Responses'!$D$2:$D$733,Notes!$B$9)/D$6,"")</f>
        <v>0.298892988929889</v>
      </c>
      <c r="E10" s="11" t="n">
        <f aca="false">IFERROR(COUNTIFS('Tagged Responses'!$I$2:$I$733,"*"&amp;$A10&amp;"*",'Tagged Responses'!$D$2:$D$733,Notes!$C$9)/E$6,"")</f>
        <v>0.186746987951807</v>
      </c>
      <c r="F10" s="11" t="n">
        <f aca="false">IFERROR(COUNTIFS('Tagged Responses'!$I$2:$I$733,"*"&amp;$A10&amp;"*",'Tagged Responses'!$D$2:$D$733,Notes!$D$9)/F$6,"")</f>
        <v>0.15</v>
      </c>
      <c r="G10" s="11" t="n">
        <f aca="false">IFERROR(COUNTIFS('Tagged Responses'!$I$2:$I$733,"*"&amp;$A10&amp;"*",'Tagged Responses'!$E$2:$E$733,"Female")/G$6,"")</f>
        <v>0.263414634146342</v>
      </c>
      <c r="H10" s="11" t="n">
        <f aca="false">IFERROR(COUNTIFS('Tagged Responses'!$I$2:$I$733,"*"&amp;$A10&amp;"*",'Tagged Responses'!$E$2:$E$733,"Male")/H$6,"")</f>
        <v>0.268852459016393</v>
      </c>
      <c r="I10" s="11" t="n">
        <f aca="false">IFERROR(COUNTIFS('Tagged Responses'!$I$2:$I$733,"*"&amp;$A10&amp;"*",'Tagged Responses'!$G$2:$G$733,"United States")/I$6,"")</f>
        <v>0.260952380952381</v>
      </c>
      <c r="J10" s="11" t="n">
        <f aca="false">IFERROR(COUNTIFS('Tagged Responses'!$I$2:$I$733,"*"&amp;$A10&amp;"*",'Tagged Responses'!$G$2:$G$733,"China")/J$6,"")</f>
        <v>0.280254777070064</v>
      </c>
    </row>
    <row r="11" customFormat="false" ht="15" hidden="false" customHeight="true" outlineLevel="0" collapsed="false">
      <c r="A11" s="10" t="s">
        <v>6733</v>
      </c>
      <c r="B11" s="10" t="n">
        <f aca="false">COUNTIF('Tagged Responses'!$I$2:$I$733,"*"&amp;$A11&amp;"*")</f>
        <v>166</v>
      </c>
      <c r="C11" s="11" t="n">
        <f aca="false">IFERROR(COUNTIF('Tagged Responses'!$I$2:$I$733,"*"&amp;$A11&amp;"*")/C$6,"")</f>
        <v>0.228021978021978</v>
      </c>
      <c r="D11" s="11" t="n">
        <f aca="false">IFERROR(COUNTIFS('Tagged Responses'!$I$2:$I$733,"*"&amp;$A11&amp;"*",'Tagged Responses'!$D$2:$D$733,Notes!$B$9)/D$6,"")</f>
        <v>0.249077490774908</v>
      </c>
      <c r="E11" s="11" t="n">
        <f aca="false">IFERROR(COUNTIFS('Tagged Responses'!$I$2:$I$733,"*"&amp;$A11&amp;"*",'Tagged Responses'!$D$2:$D$733,Notes!$C$9)/E$6,"")</f>
        <v>0.180722891566265</v>
      </c>
      <c r="F11" s="11" t="n">
        <f aca="false">IFERROR(COUNTIFS('Tagged Responses'!$I$2:$I$733,"*"&amp;$A11&amp;"*",'Tagged Responses'!$D$2:$D$733,Notes!$D$9)/F$6,"")</f>
        <v>0.05</v>
      </c>
      <c r="G11" s="11" t="n">
        <f aca="false">IFERROR(COUNTIFS('Tagged Responses'!$I$2:$I$733,"*"&amp;$A11&amp;"*",'Tagged Responses'!$E$2:$E$733,"Female")/G$6,"")</f>
        <v>0.24390243902439</v>
      </c>
      <c r="H11" s="11" t="n">
        <f aca="false">IFERROR(COUNTIFS('Tagged Responses'!$I$2:$I$733,"*"&amp;$A11&amp;"*",'Tagged Responses'!$E$2:$E$733,"Male")/H$6,"")</f>
        <v>0.2</v>
      </c>
      <c r="I11" s="11" t="n">
        <f aca="false">IFERROR(COUNTIFS('Tagged Responses'!$I$2:$I$733,"*"&amp;$A11&amp;"*",'Tagged Responses'!$G$2:$G$733,"United States")/I$6,"")</f>
        <v>0.152380952380952</v>
      </c>
      <c r="J11" s="11" t="n">
        <f aca="false">IFERROR(COUNTIFS('Tagged Responses'!$I$2:$I$733,"*"&amp;$A11&amp;"*",'Tagged Responses'!$G$2:$G$733,"China")/J$6,"")</f>
        <v>0.439490445859873</v>
      </c>
    </row>
    <row r="12" customFormat="false" ht="15" hidden="false" customHeight="true" outlineLevel="0" collapsed="false">
      <c r="A12" s="10" t="s">
        <v>6827</v>
      </c>
      <c r="B12" s="10" t="n">
        <f aca="false">COUNTIF('Tagged Responses'!$I$2:$I$733,"*"&amp;$A12&amp;"*")</f>
        <v>164</v>
      </c>
      <c r="C12" s="11" t="n">
        <f aca="false">IFERROR(COUNTIF('Tagged Responses'!$I$2:$I$733,"*"&amp;$A12&amp;"*")/C$6,"")</f>
        <v>0.225274725274725</v>
      </c>
      <c r="D12" s="11" t="n">
        <f aca="false">IFERROR(COUNTIFS('Tagged Responses'!$I$2:$I$733,"*"&amp;$A12&amp;"*",'Tagged Responses'!$D$2:$D$733,Notes!$B$9)/D$6,"")</f>
        <v>0.197416974169742</v>
      </c>
      <c r="E12" s="11" t="n">
        <f aca="false">IFERROR(COUNTIFS('Tagged Responses'!$I$2:$I$733,"*"&amp;$A12&amp;"*",'Tagged Responses'!$D$2:$D$733,Notes!$C$9)/E$6,"")</f>
        <v>0.295180722891566</v>
      </c>
      <c r="F12" s="11" t="n">
        <f aca="false">IFERROR(COUNTIFS('Tagged Responses'!$I$2:$I$733,"*"&amp;$A12&amp;"*",'Tagged Responses'!$D$2:$D$733,Notes!$D$9)/F$6,"")</f>
        <v>0.4</v>
      </c>
      <c r="G12" s="11" t="n">
        <f aca="false">IFERROR(COUNTIFS('Tagged Responses'!$I$2:$I$733,"*"&amp;$A12&amp;"*",'Tagged Responses'!$E$2:$E$733,"Female")/G$6,"")</f>
        <v>0.253658536585366</v>
      </c>
      <c r="H12" s="11" t="n">
        <f aca="false">IFERROR(COUNTIFS('Tagged Responses'!$I$2:$I$733,"*"&amp;$A12&amp;"*",'Tagged Responses'!$E$2:$E$733,"Male")/H$6,"")</f>
        <v>0.19016393442623</v>
      </c>
      <c r="I12" s="11" t="n">
        <f aca="false">IFERROR(COUNTIFS('Tagged Responses'!$I$2:$I$733,"*"&amp;$A12&amp;"*",'Tagged Responses'!$G$2:$G$733,"United States")/I$6,"")</f>
        <v>0.192380952380952</v>
      </c>
      <c r="J12" s="11" t="n">
        <f aca="false">IFERROR(COUNTIFS('Tagged Responses'!$I$2:$I$733,"*"&amp;$A12&amp;"*",'Tagged Responses'!$G$2:$G$733,"China")/J$6,"")</f>
        <v>0.343949044585987</v>
      </c>
    </row>
    <row r="13" customFormat="false" ht="15" hidden="false" customHeight="true" outlineLevel="0" collapsed="false">
      <c r="A13" s="10" t="s">
        <v>6555</v>
      </c>
      <c r="B13" s="10" t="n">
        <f aca="false">COUNTIF('Tagged Responses'!$I$2:$I$733,"*"&amp;$A13&amp;"*")</f>
        <v>93</v>
      </c>
      <c r="C13" s="11" t="n">
        <f aca="false">IFERROR(COUNTIF('Tagged Responses'!$I$2:$I$733,"*"&amp;$A13&amp;"*")/C$6,"")</f>
        <v>0.127747252747253</v>
      </c>
      <c r="D13" s="11" t="n">
        <f aca="false">IFERROR(COUNTIFS('Tagged Responses'!$I$2:$I$733,"*"&amp;$A13&amp;"*",'Tagged Responses'!$D$2:$D$733,Notes!$B$9)/D$6,"")</f>
        <v>0.129151291512915</v>
      </c>
      <c r="E13" s="11" t="n">
        <f aca="false">IFERROR(COUNTIFS('Tagged Responses'!$I$2:$I$733,"*"&amp;$A13&amp;"*",'Tagged Responses'!$D$2:$D$733,Notes!$C$9)/E$6,"")</f>
        <v>0.120481927710843</v>
      </c>
      <c r="F13" s="11" t="n">
        <f aca="false">IFERROR(COUNTIFS('Tagged Responses'!$I$2:$I$733,"*"&amp;$A13&amp;"*",'Tagged Responses'!$D$2:$D$733,Notes!$D$9)/F$6,"")</f>
        <v>0.15</v>
      </c>
      <c r="G13" s="11" t="n">
        <f aca="false">IFERROR(COUNTIFS('Tagged Responses'!$I$2:$I$733,"*"&amp;$A13&amp;"*",'Tagged Responses'!$E$2:$E$733,"Female")/G$6,"")</f>
        <v>0.141463414634146</v>
      </c>
      <c r="H13" s="11" t="n">
        <f aca="false">IFERROR(COUNTIFS('Tagged Responses'!$I$2:$I$733,"*"&amp;$A13&amp;"*",'Tagged Responses'!$E$2:$E$733,"Male")/H$6,"")</f>
        <v>0.104918032786885</v>
      </c>
      <c r="I13" s="11" t="n">
        <f aca="false">IFERROR(COUNTIFS('Tagged Responses'!$I$2:$I$733,"*"&amp;$A13&amp;"*",'Tagged Responses'!$G$2:$G$733,"United States")/I$6,"")</f>
        <v>0.142857142857143</v>
      </c>
      <c r="J13" s="11" t="n">
        <f aca="false">IFERROR(COUNTIFS('Tagged Responses'!$I$2:$I$733,"*"&amp;$A13&amp;"*",'Tagged Responses'!$G$2:$G$733,"China")/J$6,"")</f>
        <v>0.0573248407643312</v>
      </c>
    </row>
    <row r="14" customFormat="false" ht="15" hidden="false" customHeight="true" outlineLevel="0" collapsed="false">
      <c r="A14" s="10" t="s">
        <v>7554</v>
      </c>
      <c r="B14" s="10" t="n">
        <f aca="false">COUNTIF('Tagged Responses'!$I$2:$I$733,"*"&amp;$A14&amp;"*")</f>
        <v>48</v>
      </c>
      <c r="C14" s="11" t="n">
        <f aca="false">IFERROR(COUNTIF('Tagged Responses'!$I$2:$I$733,"*"&amp;$A14&amp;"*")/C$6,"")</f>
        <v>0.0659340659340659</v>
      </c>
      <c r="D14" s="11" t="n">
        <f aca="false">IFERROR(COUNTIFS('Tagged Responses'!$I$2:$I$733,"*"&amp;$A14&amp;"*",'Tagged Responses'!$D$2:$D$733,Notes!$B$9)/D$6,"")</f>
        <v>0.0738007380073801</v>
      </c>
      <c r="E14" s="11" t="n">
        <f aca="false">IFERROR(COUNTIFS('Tagged Responses'!$I$2:$I$733,"*"&amp;$A14&amp;"*",'Tagged Responses'!$D$2:$D$733,Notes!$C$9)/E$6,"")</f>
        <v>0.0421686746987952</v>
      </c>
      <c r="F14" s="11" t="n">
        <f aca="false">IFERROR(COUNTIFS('Tagged Responses'!$I$2:$I$733,"*"&amp;$A14&amp;"*",'Tagged Responses'!$D$2:$D$733,Notes!$D$9)/F$6,"")</f>
        <v>0.05</v>
      </c>
      <c r="G14" s="11" t="n">
        <f aca="false">IFERROR(COUNTIFS('Tagged Responses'!$I$2:$I$733,"*"&amp;$A14&amp;"*",'Tagged Responses'!$E$2:$E$733,"Female")/G$6,"")</f>
        <v>0.0731707317073171</v>
      </c>
      <c r="H14" s="11" t="n">
        <f aca="false">IFERROR(COUNTIFS('Tagged Responses'!$I$2:$I$733,"*"&amp;$A14&amp;"*",'Tagged Responses'!$E$2:$E$733,"Male")/H$6,"")</f>
        <v>0.0524590163934426</v>
      </c>
      <c r="I14" s="11" t="n">
        <f aca="false">IFERROR(COUNTIFS('Tagged Responses'!$I$2:$I$733,"*"&amp;$A14&amp;"*",'Tagged Responses'!$G$2:$G$733,"United States")/I$6,"")</f>
        <v>0.0380952380952381</v>
      </c>
      <c r="J14" s="11" t="n">
        <f aca="false">IFERROR(COUNTIFS('Tagged Responses'!$I$2:$I$733,"*"&amp;$A14&amp;"*",'Tagged Responses'!$G$2:$G$733,"China")/J$6,"")</f>
        <v>0.171974522292994</v>
      </c>
    </row>
    <row r="15" customFormat="false" ht="15" hidden="false" customHeight="true" outlineLevel="0" collapsed="false">
      <c r="A15" s="10" t="s">
        <v>6521</v>
      </c>
      <c r="B15" s="10" t="n">
        <f aca="false">COUNTIF('Tagged Responses'!$I$2:$I$733,"*"&amp;$A15&amp;"*")</f>
        <v>11</v>
      </c>
      <c r="C15" s="11" t="n">
        <f aca="false">IFERROR(COUNTIF('Tagged Responses'!$I$2:$I$733,"*"&amp;$A15&amp;"*")/C$6,"")</f>
        <v>0.0151098901098901</v>
      </c>
      <c r="D15" s="11" t="n">
        <f aca="false">IFERROR(COUNTIFS('Tagged Responses'!$I$2:$I$733,"*"&amp;$A15&amp;"*",'Tagged Responses'!$D$2:$D$733,Notes!$B$9)/D$6,"")</f>
        <v>0.00922509225092251</v>
      </c>
      <c r="E15" s="11" t="n">
        <f aca="false">IFERROR(COUNTIFS('Tagged Responses'!$I$2:$I$733,"*"&amp;$A15&amp;"*",'Tagged Responses'!$D$2:$D$733,Notes!$C$9)/E$6,"")</f>
        <v>0.036144578313253</v>
      </c>
      <c r="F15" s="11" t="n">
        <f aca="false">IFERROR(COUNTIFS('Tagged Responses'!$I$2:$I$733,"*"&amp;$A15&amp;"*",'Tagged Responses'!$D$2:$D$733,Notes!$D$9)/F$6,"")</f>
        <v>0</v>
      </c>
      <c r="G15" s="11" t="n">
        <f aca="false">IFERROR(COUNTIFS('Tagged Responses'!$I$2:$I$733,"*"&amp;$A15&amp;"*",'Tagged Responses'!$E$2:$E$733,"Female")/G$6,"")</f>
        <v>0.0219512195121951</v>
      </c>
      <c r="H15" s="11" t="n">
        <f aca="false">IFERROR(COUNTIFS('Tagged Responses'!$I$2:$I$733,"*"&amp;$A15&amp;"*",'Tagged Responses'!$E$2:$E$733,"Male")/H$6,"")</f>
        <v>0.00655737704918033</v>
      </c>
      <c r="I15" s="11" t="n">
        <f aca="false">IFERROR(COUNTIFS('Tagged Responses'!$I$2:$I$733,"*"&amp;$A15&amp;"*",'Tagged Responses'!$G$2:$G$733,"United States")/I$6,"")</f>
        <v>0.0133333333333333</v>
      </c>
      <c r="J15" s="11" t="n">
        <f aca="false">IFERROR(COUNTIFS('Tagged Responses'!$I$2:$I$733,"*"&amp;$A15&amp;"*",'Tagged Responses'!$G$2:$G$733,"China")/J$6,"")</f>
        <v>0.0191082802547771</v>
      </c>
    </row>
    <row r="16" customFormat="false" ht="15" hidden="false" customHeight="true" outlineLevel="0" collapsed="false">
      <c r="A16" s="10" t="s">
        <v>6551</v>
      </c>
      <c r="B16" s="10" t="n">
        <f aca="false">COUNTIF('Tagged Responses'!$I$2:$I$733,"*"&amp;$A16&amp;"*")</f>
        <v>10</v>
      </c>
      <c r="C16" s="11" t="n">
        <f aca="false">IFERROR(COUNTIF('Tagged Responses'!$I$2:$I$733,"*"&amp;$A16&amp;"*")/C$6,"")</f>
        <v>0.0137362637362637</v>
      </c>
      <c r="D16" s="11" t="n">
        <f aca="false">IFERROR(COUNTIFS('Tagged Responses'!$I$2:$I$733,"*"&amp;$A16&amp;"*",'Tagged Responses'!$D$2:$D$733,Notes!$B$9)/D$6,"")</f>
        <v>0.011070110701107</v>
      </c>
      <c r="E16" s="11" t="n">
        <f aca="false">IFERROR(COUNTIFS('Tagged Responses'!$I$2:$I$733,"*"&amp;$A16&amp;"*",'Tagged Responses'!$D$2:$D$733,Notes!$C$9)/E$6,"")</f>
        <v>0.0240963855421687</v>
      </c>
      <c r="F16" s="11" t="n">
        <f aca="false">IFERROR(COUNTIFS('Tagged Responses'!$I$2:$I$733,"*"&amp;$A16&amp;"*",'Tagged Responses'!$D$2:$D$733,Notes!$D$9)/F$6,"")</f>
        <v>0</v>
      </c>
      <c r="G16" s="11" t="n">
        <f aca="false">IFERROR(COUNTIFS('Tagged Responses'!$I$2:$I$733,"*"&amp;$A16&amp;"*",'Tagged Responses'!$E$2:$E$733,"Female")/G$6,"")</f>
        <v>0.0146341463414634</v>
      </c>
      <c r="H16" s="11" t="n">
        <f aca="false">IFERROR(COUNTIFS('Tagged Responses'!$I$2:$I$733,"*"&amp;$A16&amp;"*",'Tagged Responses'!$E$2:$E$733,"Male")/H$6,"")</f>
        <v>0.0131147540983607</v>
      </c>
      <c r="I16" s="11" t="n">
        <f aca="false">IFERROR(COUNTIFS('Tagged Responses'!$I$2:$I$733,"*"&amp;$A16&amp;"*",'Tagged Responses'!$G$2:$G$733,"United States")/I$6,"")</f>
        <v>0.0190476190476191</v>
      </c>
      <c r="J16" s="11" t="n">
        <f aca="false">IFERROR(COUNTIFS('Tagged Responses'!$I$2:$I$733,"*"&amp;$A16&amp;"*",'Tagged Responses'!$G$2:$G$733,"China")/J$6,"")</f>
        <v>0</v>
      </c>
    </row>
    <row r="17" customFormat="false" ht="15" hidden="false" customHeight="true" outlineLevel="0" collapsed="false">
      <c r="A17" s="10" t="s">
        <v>6538</v>
      </c>
      <c r="B17" s="10" t="n">
        <f aca="false">COUNTIF('Tagged Responses'!$I$2:$I$733,"*"&amp;$A17&amp;"*")</f>
        <v>5</v>
      </c>
      <c r="C17" s="11" t="n">
        <f aca="false">IFERROR(COUNTIF('Tagged Responses'!$I$2:$I$733,"*"&amp;$A17&amp;"*")/C$6,"")</f>
        <v>0.00686813186813187</v>
      </c>
      <c r="D17" s="11" t="n">
        <f aca="false">IFERROR(COUNTIFS('Tagged Responses'!$I$2:$I$733,"*"&amp;$A17&amp;"*",'Tagged Responses'!$D$2:$D$733,Notes!$B$9)/D$6,"")</f>
        <v>0.003690036900369</v>
      </c>
      <c r="E17" s="11" t="n">
        <f aca="false">IFERROR(COUNTIFS('Tagged Responses'!$I$2:$I$733,"*"&amp;$A17&amp;"*",'Tagged Responses'!$D$2:$D$733,Notes!$C$9)/E$6,"")</f>
        <v>0.0180722891566265</v>
      </c>
      <c r="F17" s="11" t="n">
        <f aca="false">IFERROR(COUNTIFS('Tagged Responses'!$I$2:$I$733,"*"&amp;$A17&amp;"*",'Tagged Responses'!$D$2:$D$733,Notes!$D$9)/F$6,"")</f>
        <v>0</v>
      </c>
      <c r="G17" s="11" t="n">
        <f aca="false">IFERROR(COUNTIFS('Tagged Responses'!$I$2:$I$733,"*"&amp;$A17&amp;"*",'Tagged Responses'!$E$2:$E$733,"Female")/G$6,"")</f>
        <v>0.00487804878048781</v>
      </c>
      <c r="H17" s="11" t="n">
        <f aca="false">IFERROR(COUNTIFS('Tagged Responses'!$I$2:$I$733,"*"&amp;$A17&amp;"*",'Tagged Responses'!$E$2:$E$733,"Male")/H$6,"")</f>
        <v>0.00983606557377049</v>
      </c>
      <c r="I17" s="11" t="n">
        <f aca="false">IFERROR(COUNTIFS('Tagged Responses'!$I$2:$I$733,"*"&amp;$A17&amp;"*",'Tagged Responses'!$G$2:$G$733,"United States")/I$6,"")</f>
        <v>0.00380952380952381</v>
      </c>
      <c r="J17" s="11" t="n">
        <f aca="false">IFERROR(COUNTIFS('Tagged Responses'!$I$2:$I$733,"*"&amp;$A17&amp;"*",'Tagged Responses'!$G$2:$G$733,"China")/J$6,"")</f>
        <v>0.0127388535031847</v>
      </c>
    </row>
    <row r="19" customFormat="false" ht="15" hidden="false" customHeight="true" outlineLevel="0" collapsed="false">
      <c r="A19" s="8" t="s">
        <v>7689</v>
      </c>
    </row>
    <row r="20" customFormat="false" ht="30" hidden="false" customHeight="true" outlineLevel="0" collapsed="false">
      <c r="A20" s="2" t="s">
        <v>7683</v>
      </c>
      <c r="B20" s="2" t="s">
        <v>7684</v>
      </c>
      <c r="C20" s="2" t="s">
        <v>7685</v>
      </c>
      <c r="D20" s="2" t="str">
        <f aca="false">Notes!$B$9</f>
        <v>Student age (≤29)</v>
      </c>
      <c r="E20" s="2" t="str">
        <f aca="false">Notes!$C$9</f>
        <v>Middle-aged (30–64)</v>
      </c>
      <c r="F20" s="2" t="str">
        <f aca="false">Notes!$D$9</f>
        <v>Elderly (65+)</v>
      </c>
      <c r="G20" s="2" t="s">
        <v>45</v>
      </c>
      <c r="H20" s="2" t="s">
        <v>83</v>
      </c>
      <c r="I20" s="2" t="s">
        <v>7686</v>
      </c>
      <c r="J20" s="2" t="s">
        <v>7687</v>
      </c>
    </row>
    <row r="21" customFormat="false" ht="15" hidden="false" customHeight="true" outlineLevel="0" collapsed="false">
      <c r="A21" s="9" t="s">
        <v>7688</v>
      </c>
      <c r="B21" s="9" t="n">
        <f aca="false">COUNTIF('Tagged Responses'!$J$2:$J$733,"?*")</f>
        <v>728</v>
      </c>
      <c r="C21" s="9" t="n">
        <f aca="false">COUNTIF('Tagged Responses'!$J$2:$J$733,"?*")</f>
        <v>728</v>
      </c>
      <c r="D21" s="9" t="n">
        <f aca="false">COUNTIFS('Tagged Responses'!$J$2:$J$733,"?*",'Tagged Responses'!$D$2:$D$733,Notes!$B$9)</f>
        <v>542</v>
      </c>
      <c r="E21" s="9" t="n">
        <f aca="false">COUNTIFS('Tagged Responses'!$J$2:$J$733,"?*",'Tagged Responses'!$D$2:$D$733,Notes!$C$9)</f>
        <v>166</v>
      </c>
      <c r="F21" s="9" t="n">
        <f aca="false">COUNTIFS('Tagged Responses'!$J$2:$J$733,"?*",'Tagged Responses'!$D$2:$D$733,Notes!$D$9)</f>
        <v>20</v>
      </c>
      <c r="G21" s="9" t="n">
        <f aca="false">COUNTIFS('Tagged Responses'!$J$2:$J$733,"?*",'Tagged Responses'!$E$2:$E$733,"Female")</f>
        <v>410</v>
      </c>
      <c r="H21" s="9" t="n">
        <f aca="false">COUNTIFS('Tagged Responses'!$J$2:$J$733,"?*",'Tagged Responses'!$E$2:$E$733,"Male")</f>
        <v>305</v>
      </c>
      <c r="I21" s="9" t="n">
        <f aca="false">COUNTIFS('Tagged Responses'!$J$2:$J$733,"?*",'Tagged Responses'!$G$2:$G$733,"United States")</f>
        <v>525</v>
      </c>
      <c r="J21" s="9" t="n">
        <f aca="false">COUNTIFS('Tagged Responses'!$J$2:$J$733,"?*",'Tagged Responses'!$G$2:$G$733,"China")</f>
        <v>157</v>
      </c>
    </row>
    <row r="22" customFormat="false" ht="15" hidden="false" customHeight="true" outlineLevel="0" collapsed="false">
      <c r="A22" s="10" t="s">
        <v>6540</v>
      </c>
      <c r="B22" s="10" t="n">
        <f aca="false">COUNTIF('Tagged Responses'!$K$2:$K$733,"*"&amp;$A22&amp;"*")</f>
        <v>268</v>
      </c>
      <c r="C22" s="11" t="n">
        <f aca="false">IFERROR(COUNTIF('Tagged Responses'!$K$2:$K$733,"*"&amp;$A22&amp;"*")/C$21,"")</f>
        <v>0.368131868131868</v>
      </c>
      <c r="D22" s="11" t="n">
        <f aca="false">IFERROR(COUNTIFS('Tagged Responses'!$K$2:$K$733,"*"&amp;$A22&amp;"*",'Tagged Responses'!$D$2:$D$733,Notes!$B$9)/D$21,"")</f>
        <v>0.354243542435424</v>
      </c>
      <c r="E22" s="11" t="n">
        <f aca="false">IFERROR(COUNTIFS('Tagged Responses'!$K$2:$K$733,"*"&amp;$A22&amp;"*",'Tagged Responses'!$D$2:$D$733,Notes!$C$9)/E$21,"")</f>
        <v>0.397590361445783</v>
      </c>
      <c r="F22" s="11" t="n">
        <f aca="false">IFERROR(COUNTIFS('Tagged Responses'!$K$2:$K$733,"*"&amp;$A22&amp;"*",'Tagged Responses'!$D$2:$D$733,Notes!$D$9)/F$21,"")</f>
        <v>0.5</v>
      </c>
      <c r="G22" s="11" t="n">
        <f aca="false">IFERROR(COUNTIFS('Tagged Responses'!$K$2:$K$733,"*"&amp;$A22&amp;"*",'Tagged Responses'!$E$2:$E$733,"Female")/G$21,"")</f>
        <v>0.348780487804878</v>
      </c>
      <c r="H22" s="11" t="n">
        <f aca="false">IFERROR(COUNTIFS('Tagged Responses'!$K$2:$K$733,"*"&amp;$A22&amp;"*",'Tagged Responses'!$E$2:$E$733,"Male")/H$21,"")</f>
        <v>0.4</v>
      </c>
      <c r="I22" s="11" t="n">
        <f aca="false">IFERROR(COUNTIFS('Tagged Responses'!$K$2:$K$733,"*"&amp;$A22&amp;"*",'Tagged Responses'!$G$2:$G$733,"United States")/I$21,"")</f>
        <v>0.36952380952381</v>
      </c>
      <c r="J22" s="11" t="n">
        <f aca="false">IFERROR(COUNTIFS('Tagged Responses'!$K$2:$K$733,"*"&amp;$A22&amp;"*",'Tagged Responses'!$G$2:$G$733,"China")/J$21,"")</f>
        <v>0.343949044585987</v>
      </c>
    </row>
    <row r="23" customFormat="false" ht="15" hidden="false" customHeight="true" outlineLevel="0" collapsed="false">
      <c r="A23" s="10" t="s">
        <v>6510</v>
      </c>
      <c r="B23" s="10" t="n">
        <f aca="false">COUNTIF('Tagged Responses'!$K$2:$K$733,"*"&amp;$A23&amp;"*")</f>
        <v>213</v>
      </c>
      <c r="C23" s="11" t="n">
        <f aca="false">IFERROR(COUNTIF('Tagged Responses'!$K$2:$K$733,"*"&amp;$A23&amp;"*")/C$21,"")</f>
        <v>0.292582417582418</v>
      </c>
      <c r="D23" s="11" t="n">
        <f aca="false">IFERROR(COUNTIFS('Tagged Responses'!$K$2:$K$733,"*"&amp;$A23&amp;"*",'Tagged Responses'!$D$2:$D$733,Notes!$B$9)/D$21,"")</f>
        <v>0.274907749077491</v>
      </c>
      <c r="E23" s="11" t="n">
        <f aca="false">IFERROR(COUNTIFS('Tagged Responses'!$K$2:$K$733,"*"&amp;$A23&amp;"*",'Tagged Responses'!$D$2:$D$733,Notes!$C$9)/E$21,"")</f>
        <v>0.349397590361446</v>
      </c>
      <c r="F23" s="11" t="n">
        <f aca="false">IFERROR(COUNTIFS('Tagged Responses'!$K$2:$K$733,"*"&amp;$A23&amp;"*",'Tagged Responses'!$D$2:$D$733,Notes!$D$9)/F$21,"")</f>
        <v>0.3</v>
      </c>
      <c r="G23" s="11" t="n">
        <f aca="false">IFERROR(COUNTIFS('Tagged Responses'!$K$2:$K$733,"*"&amp;$A23&amp;"*",'Tagged Responses'!$E$2:$E$733,"Female")/G$21,"")</f>
        <v>0.339024390243902</v>
      </c>
      <c r="H23" s="11" t="n">
        <f aca="false">IFERROR(COUNTIFS('Tagged Responses'!$K$2:$K$733,"*"&amp;$A23&amp;"*",'Tagged Responses'!$E$2:$E$733,"Male")/H$21,"")</f>
        <v>0.229508196721311</v>
      </c>
      <c r="I23" s="11" t="n">
        <f aca="false">IFERROR(COUNTIFS('Tagged Responses'!$K$2:$K$733,"*"&amp;$A23&amp;"*",'Tagged Responses'!$G$2:$G$733,"United States")/I$21,"")</f>
        <v>0.278095238095238</v>
      </c>
      <c r="J23" s="11" t="n">
        <f aca="false">IFERROR(COUNTIFS('Tagged Responses'!$K$2:$K$733,"*"&amp;$A23&amp;"*",'Tagged Responses'!$G$2:$G$733,"China")/J$21,"")</f>
        <v>0.331210191082803</v>
      </c>
    </row>
    <row r="24" customFormat="false" ht="15" hidden="false" customHeight="true" outlineLevel="0" collapsed="false">
      <c r="A24" s="10" t="s">
        <v>6568</v>
      </c>
      <c r="B24" s="10" t="n">
        <f aca="false">COUNTIF('Tagged Responses'!$K$2:$K$733,"*"&amp;$A24&amp;"*")</f>
        <v>164</v>
      </c>
      <c r="C24" s="11" t="n">
        <f aca="false">IFERROR(COUNTIF('Tagged Responses'!$K$2:$K$733,"*"&amp;$A24&amp;"*")/C$21,"")</f>
        <v>0.225274725274725</v>
      </c>
      <c r="D24" s="11" t="n">
        <f aca="false">IFERROR(COUNTIFS('Tagged Responses'!$K$2:$K$733,"*"&amp;$A24&amp;"*",'Tagged Responses'!$D$2:$D$733,Notes!$B$9)/D$21,"")</f>
        <v>0.225092250922509</v>
      </c>
      <c r="E24" s="11" t="n">
        <f aca="false">IFERROR(COUNTIFS('Tagged Responses'!$K$2:$K$733,"*"&amp;$A24&amp;"*",'Tagged Responses'!$D$2:$D$733,Notes!$C$9)/E$21,"")</f>
        <v>0.22289156626506</v>
      </c>
      <c r="F24" s="11" t="n">
        <f aca="false">IFERROR(COUNTIFS('Tagged Responses'!$K$2:$K$733,"*"&amp;$A24&amp;"*",'Tagged Responses'!$D$2:$D$733,Notes!$D$9)/F$21,"")</f>
        <v>0.25</v>
      </c>
      <c r="G24" s="11" t="n">
        <f aca="false">IFERROR(COUNTIFS('Tagged Responses'!$K$2:$K$733,"*"&amp;$A24&amp;"*",'Tagged Responses'!$E$2:$E$733,"Female")/G$21,"")</f>
        <v>0.24390243902439</v>
      </c>
      <c r="H24" s="11" t="n">
        <f aca="false">IFERROR(COUNTIFS('Tagged Responses'!$K$2:$K$733,"*"&amp;$A24&amp;"*",'Tagged Responses'!$E$2:$E$733,"Male")/H$21,"")</f>
        <v>0.186885245901639</v>
      </c>
      <c r="I24" s="11" t="n">
        <f aca="false">IFERROR(COUNTIFS('Tagged Responses'!$K$2:$K$733,"*"&amp;$A24&amp;"*",'Tagged Responses'!$G$2:$G$733,"United States")/I$21,"")</f>
        <v>0.207619047619048</v>
      </c>
      <c r="J24" s="11" t="n">
        <f aca="false">IFERROR(COUNTIFS('Tagged Responses'!$K$2:$K$733,"*"&amp;$A24&amp;"*",'Tagged Responses'!$G$2:$G$733,"China")/J$21,"")</f>
        <v>0.286624203821656</v>
      </c>
    </row>
    <row r="25" customFormat="false" ht="15" hidden="false" customHeight="true" outlineLevel="0" collapsed="false">
      <c r="A25" s="10" t="s">
        <v>6569</v>
      </c>
      <c r="B25" s="10" t="n">
        <f aca="false">COUNTIF('Tagged Responses'!$K$2:$K$733,"*"&amp;$A25&amp;"*")</f>
        <v>117</v>
      </c>
      <c r="C25" s="11" t="n">
        <f aca="false">IFERROR(COUNTIF('Tagged Responses'!$K$2:$K$733,"*"&amp;$A25&amp;"*")/C$21,"")</f>
        <v>0.160714285714286</v>
      </c>
      <c r="D25" s="11" t="n">
        <f aca="false">IFERROR(COUNTIFS('Tagged Responses'!$K$2:$K$733,"*"&amp;$A25&amp;"*",'Tagged Responses'!$D$2:$D$733,Notes!$B$9)/D$21,"")</f>
        <v>0.160516605166052</v>
      </c>
      <c r="E25" s="11" t="n">
        <f aca="false">IFERROR(COUNTIFS('Tagged Responses'!$K$2:$K$733,"*"&amp;$A25&amp;"*",'Tagged Responses'!$D$2:$D$733,Notes!$C$9)/E$21,"")</f>
        <v>0.168674698795181</v>
      </c>
      <c r="F25" s="11" t="n">
        <f aca="false">IFERROR(COUNTIFS('Tagged Responses'!$K$2:$K$733,"*"&amp;$A25&amp;"*",'Tagged Responses'!$D$2:$D$733,Notes!$D$9)/F$21,"")</f>
        <v>0.1</v>
      </c>
      <c r="G25" s="11" t="n">
        <f aca="false">IFERROR(COUNTIFS('Tagged Responses'!$K$2:$K$733,"*"&amp;$A25&amp;"*",'Tagged Responses'!$E$2:$E$733,"Female")/G$21,"")</f>
        <v>0.180487804878049</v>
      </c>
      <c r="H25" s="11" t="n">
        <f aca="false">IFERROR(COUNTIFS('Tagged Responses'!$K$2:$K$733,"*"&amp;$A25&amp;"*",'Tagged Responses'!$E$2:$E$733,"Male")/H$21,"")</f>
        <v>0.137704918032787</v>
      </c>
      <c r="I25" s="11" t="n">
        <f aca="false">IFERROR(COUNTIFS('Tagged Responses'!$K$2:$K$733,"*"&amp;$A25&amp;"*",'Tagged Responses'!$G$2:$G$733,"United States")/I$21,"")</f>
        <v>0.15047619047619</v>
      </c>
      <c r="J25" s="11" t="n">
        <f aca="false">IFERROR(COUNTIFS('Tagged Responses'!$K$2:$K$733,"*"&amp;$A25&amp;"*",'Tagged Responses'!$G$2:$G$733,"China")/J$21,"")</f>
        <v>0.191082802547771</v>
      </c>
    </row>
    <row r="26" customFormat="false" ht="15" hidden="false" customHeight="true" outlineLevel="0" collapsed="false">
      <c r="A26" s="10" t="s">
        <v>6516</v>
      </c>
      <c r="B26" s="10" t="n">
        <f aca="false">COUNTIF('Tagged Responses'!$K$2:$K$733,"*"&amp;$A26&amp;"*")</f>
        <v>101</v>
      </c>
      <c r="C26" s="11" t="n">
        <f aca="false">IFERROR(COUNTIF('Tagged Responses'!$K$2:$K$733,"*"&amp;$A26&amp;"*")/C$21,"")</f>
        <v>0.138736263736264</v>
      </c>
      <c r="D26" s="11" t="n">
        <f aca="false">IFERROR(COUNTIFS('Tagged Responses'!$K$2:$K$733,"*"&amp;$A26&amp;"*",'Tagged Responses'!$D$2:$D$733,Notes!$B$9)/D$21,"")</f>
        <v>0.1309963099631</v>
      </c>
      <c r="E26" s="11" t="n">
        <f aca="false">IFERROR(COUNTIFS('Tagged Responses'!$K$2:$K$733,"*"&amp;$A26&amp;"*",'Tagged Responses'!$D$2:$D$733,Notes!$C$9)/E$21,"")</f>
        <v>0.156626506024096</v>
      </c>
      <c r="F26" s="11" t="n">
        <f aca="false">IFERROR(COUNTIFS('Tagged Responses'!$K$2:$K$733,"*"&amp;$A26&amp;"*",'Tagged Responses'!$D$2:$D$733,Notes!$D$9)/F$21,"")</f>
        <v>0.2</v>
      </c>
      <c r="G26" s="11" t="n">
        <f aca="false">IFERROR(COUNTIFS('Tagged Responses'!$K$2:$K$733,"*"&amp;$A26&amp;"*",'Tagged Responses'!$E$2:$E$733,"Female")/G$21,"")</f>
        <v>0.141463414634146</v>
      </c>
      <c r="H26" s="11" t="n">
        <f aca="false">IFERROR(COUNTIFS('Tagged Responses'!$K$2:$K$733,"*"&amp;$A26&amp;"*",'Tagged Responses'!$E$2:$E$733,"Male")/H$21,"")</f>
        <v>0.137704918032787</v>
      </c>
      <c r="I26" s="11" t="n">
        <f aca="false">IFERROR(COUNTIFS('Tagged Responses'!$K$2:$K$733,"*"&amp;$A26&amp;"*",'Tagged Responses'!$G$2:$G$733,"United States")/I$21,"")</f>
        <v>0.158095238095238</v>
      </c>
      <c r="J26" s="11" t="n">
        <f aca="false">IFERROR(COUNTIFS('Tagged Responses'!$K$2:$K$733,"*"&amp;$A26&amp;"*",'Tagged Responses'!$G$2:$G$733,"China")/J$21,"")</f>
        <v>0.101910828025478</v>
      </c>
    </row>
    <row r="27" customFormat="false" ht="15" hidden="false" customHeight="true" outlineLevel="0" collapsed="false">
      <c r="A27" s="10" t="s">
        <v>6564</v>
      </c>
      <c r="B27" s="10" t="n">
        <f aca="false">COUNTIF('Tagged Responses'!$K$2:$K$733,"*"&amp;$A27&amp;"*")</f>
        <v>98</v>
      </c>
      <c r="C27" s="11" t="n">
        <f aca="false">IFERROR(COUNTIF('Tagged Responses'!$K$2:$K$733,"*"&amp;$A27&amp;"*")/C$21,"")</f>
        <v>0.134615384615385</v>
      </c>
      <c r="D27" s="11" t="n">
        <f aca="false">IFERROR(COUNTIFS('Tagged Responses'!$K$2:$K$733,"*"&amp;$A27&amp;"*",'Tagged Responses'!$D$2:$D$733,Notes!$B$9)/D$21,"")</f>
        <v>0.142066420664207</v>
      </c>
      <c r="E27" s="11" t="n">
        <f aca="false">IFERROR(COUNTIFS('Tagged Responses'!$K$2:$K$733,"*"&amp;$A27&amp;"*",'Tagged Responses'!$D$2:$D$733,Notes!$C$9)/E$21,"")</f>
        <v>0.120481927710843</v>
      </c>
      <c r="F27" s="11" t="n">
        <f aca="false">IFERROR(COUNTIFS('Tagged Responses'!$K$2:$K$733,"*"&amp;$A27&amp;"*",'Tagged Responses'!$D$2:$D$733,Notes!$D$9)/F$21,"")</f>
        <v>0.05</v>
      </c>
      <c r="G27" s="11" t="n">
        <f aca="false">IFERROR(COUNTIFS('Tagged Responses'!$K$2:$K$733,"*"&amp;$A27&amp;"*",'Tagged Responses'!$E$2:$E$733,"Female")/G$21,"")</f>
        <v>0.151219512195122</v>
      </c>
      <c r="H27" s="11" t="n">
        <f aca="false">IFERROR(COUNTIFS('Tagged Responses'!$K$2:$K$733,"*"&amp;$A27&amp;"*",'Tagged Responses'!$E$2:$E$733,"Male")/H$21,"")</f>
        <v>0.114754098360656</v>
      </c>
      <c r="I27" s="11" t="n">
        <f aca="false">IFERROR(COUNTIFS('Tagged Responses'!$K$2:$K$733,"*"&amp;$A27&amp;"*",'Tagged Responses'!$G$2:$G$733,"United States")/I$21,"")</f>
        <v>0.108571428571429</v>
      </c>
      <c r="J27" s="11" t="n">
        <f aca="false">IFERROR(COUNTIFS('Tagged Responses'!$K$2:$K$733,"*"&amp;$A27&amp;"*",'Tagged Responses'!$G$2:$G$733,"China")/J$21,"")</f>
        <v>0.203821656050955</v>
      </c>
    </row>
    <row r="28" customFormat="false" ht="15" hidden="false" customHeight="true" outlineLevel="0" collapsed="false">
      <c r="A28" s="10" t="s">
        <v>6520</v>
      </c>
      <c r="B28" s="10" t="n">
        <f aca="false">COUNTIF('Tagged Responses'!$K$2:$K$733,"*"&amp;$A28&amp;"*")</f>
        <v>64</v>
      </c>
      <c r="C28" s="11" t="n">
        <f aca="false">IFERROR(COUNTIF('Tagged Responses'!$K$2:$K$733,"*"&amp;$A28&amp;"*")/C$21,"")</f>
        <v>0.0879120879120879</v>
      </c>
      <c r="D28" s="11" t="n">
        <f aca="false">IFERROR(COUNTIFS('Tagged Responses'!$K$2:$K$733,"*"&amp;$A28&amp;"*",'Tagged Responses'!$D$2:$D$733,Notes!$B$9)/D$21,"")</f>
        <v>0.0922509225092251</v>
      </c>
      <c r="E28" s="11" t="n">
        <f aca="false">IFERROR(COUNTIFS('Tagged Responses'!$K$2:$K$733,"*"&amp;$A28&amp;"*",'Tagged Responses'!$D$2:$D$733,Notes!$C$9)/E$21,"")</f>
        <v>0.0783132530120482</v>
      </c>
      <c r="F28" s="11" t="n">
        <f aca="false">IFERROR(COUNTIFS('Tagged Responses'!$K$2:$K$733,"*"&amp;$A28&amp;"*",'Tagged Responses'!$D$2:$D$733,Notes!$D$9)/F$21,"")</f>
        <v>0.05</v>
      </c>
      <c r="G28" s="11" t="n">
        <f aca="false">IFERROR(COUNTIFS('Tagged Responses'!$K$2:$K$733,"*"&amp;$A28&amp;"*",'Tagged Responses'!$E$2:$E$733,"Female")/G$21,"")</f>
        <v>0.0853658536585366</v>
      </c>
      <c r="H28" s="11" t="n">
        <f aca="false">IFERROR(COUNTIFS('Tagged Responses'!$K$2:$K$733,"*"&amp;$A28&amp;"*",'Tagged Responses'!$E$2:$E$733,"Male")/H$21,"")</f>
        <v>0.0918032786885246</v>
      </c>
      <c r="I28" s="11" t="n">
        <f aca="false">IFERROR(COUNTIFS('Tagged Responses'!$K$2:$K$733,"*"&amp;$A28&amp;"*",'Tagged Responses'!$G$2:$G$733,"United States")/I$21,"")</f>
        <v>0.0876190476190476</v>
      </c>
      <c r="J28" s="11" t="n">
        <f aca="false">IFERROR(COUNTIFS('Tagged Responses'!$K$2:$K$733,"*"&amp;$A28&amp;"*",'Tagged Responses'!$G$2:$G$733,"China")/J$21,"")</f>
        <v>0.0955414012738854</v>
      </c>
    </row>
    <row r="29" customFormat="false" ht="15" hidden="false" customHeight="true" outlineLevel="0" collapsed="false">
      <c r="A29" s="10" t="s">
        <v>6770</v>
      </c>
      <c r="B29" s="10" t="n">
        <f aca="false">COUNTIF('Tagged Responses'!$K$2:$K$733,"*"&amp;$A29&amp;"*")</f>
        <v>46</v>
      </c>
      <c r="C29" s="11" t="n">
        <f aca="false">IFERROR(COUNTIF('Tagged Responses'!$K$2:$K$733,"*"&amp;$A29&amp;"*")/C$21,"")</f>
        <v>0.0631868131868132</v>
      </c>
      <c r="D29" s="11" t="n">
        <f aca="false">IFERROR(COUNTIFS('Tagged Responses'!$K$2:$K$733,"*"&amp;$A29&amp;"*",'Tagged Responses'!$D$2:$D$733,Notes!$B$9)/D$21,"")</f>
        <v>0.0590405904059041</v>
      </c>
      <c r="E29" s="11" t="n">
        <f aca="false">IFERROR(COUNTIFS('Tagged Responses'!$K$2:$K$733,"*"&amp;$A29&amp;"*",'Tagged Responses'!$D$2:$D$733,Notes!$C$9)/E$21,"")</f>
        <v>0.0602409638554217</v>
      </c>
      <c r="F29" s="11" t="n">
        <f aca="false">IFERROR(COUNTIFS('Tagged Responses'!$K$2:$K$733,"*"&amp;$A29&amp;"*",'Tagged Responses'!$D$2:$D$733,Notes!$D$9)/F$21,"")</f>
        <v>0.2</v>
      </c>
      <c r="G29" s="11" t="n">
        <f aca="false">IFERROR(COUNTIFS('Tagged Responses'!$K$2:$K$733,"*"&amp;$A29&amp;"*",'Tagged Responses'!$E$2:$E$733,"Female")/G$21,"")</f>
        <v>0.0731707317073171</v>
      </c>
      <c r="H29" s="11" t="n">
        <f aca="false">IFERROR(COUNTIFS('Tagged Responses'!$K$2:$K$733,"*"&amp;$A29&amp;"*",'Tagged Responses'!$E$2:$E$733,"Male")/H$21,"")</f>
        <v>0.0459016393442623</v>
      </c>
      <c r="I29" s="11" t="n">
        <f aca="false">IFERROR(COUNTIFS('Tagged Responses'!$K$2:$K$733,"*"&amp;$A29&amp;"*",'Tagged Responses'!$G$2:$G$733,"United States")/I$21,"")</f>
        <v>0.0552380952380952</v>
      </c>
      <c r="J29" s="11" t="n">
        <f aca="false">IFERROR(COUNTIFS('Tagged Responses'!$K$2:$K$733,"*"&amp;$A29&amp;"*",'Tagged Responses'!$G$2:$G$733,"China")/J$21,"")</f>
        <v>0.0955414012738854</v>
      </c>
    </row>
    <row r="30" customFormat="false" ht="15" hidden="false" customHeight="true" outlineLevel="0" collapsed="false">
      <c r="A30" s="10" t="s">
        <v>6545</v>
      </c>
      <c r="B30" s="10" t="n">
        <f aca="false">COUNTIF('Tagged Responses'!$K$2:$K$733,"*"&amp;$A30&amp;"*")</f>
        <v>36</v>
      </c>
      <c r="C30" s="11" t="n">
        <f aca="false">IFERROR(COUNTIF('Tagged Responses'!$K$2:$K$733,"*"&amp;$A30&amp;"*")/C$21,"")</f>
        <v>0.0494505494505495</v>
      </c>
      <c r="D30" s="11" t="n">
        <f aca="false">IFERROR(COUNTIFS('Tagged Responses'!$K$2:$K$733,"*"&amp;$A30&amp;"*",'Tagged Responses'!$D$2:$D$733,Notes!$B$9)/D$21,"")</f>
        <v>0.0590405904059041</v>
      </c>
      <c r="E30" s="11" t="n">
        <f aca="false">IFERROR(COUNTIFS('Tagged Responses'!$K$2:$K$733,"*"&amp;$A30&amp;"*",'Tagged Responses'!$D$2:$D$733,Notes!$C$9)/E$21,"")</f>
        <v>0.0240963855421687</v>
      </c>
      <c r="F30" s="11" t="n">
        <f aca="false">IFERROR(COUNTIFS('Tagged Responses'!$K$2:$K$733,"*"&amp;$A30&amp;"*",'Tagged Responses'!$D$2:$D$733,Notes!$D$9)/F$21,"")</f>
        <v>0</v>
      </c>
      <c r="G30" s="11" t="n">
        <f aca="false">IFERROR(COUNTIFS('Tagged Responses'!$K$2:$K$733,"*"&amp;$A30&amp;"*",'Tagged Responses'!$E$2:$E$733,"Female")/G$21,"")</f>
        <v>0.0414634146341463</v>
      </c>
      <c r="H30" s="11" t="n">
        <f aca="false">IFERROR(COUNTIFS('Tagged Responses'!$K$2:$K$733,"*"&amp;$A30&amp;"*",'Tagged Responses'!$E$2:$E$733,"Male")/H$21,"")</f>
        <v>0.0557377049180328</v>
      </c>
      <c r="I30" s="11" t="n">
        <f aca="false">IFERROR(COUNTIFS('Tagged Responses'!$K$2:$K$733,"*"&amp;$A30&amp;"*",'Tagged Responses'!$G$2:$G$733,"United States")/I$21,"")</f>
        <v>0.0590476190476191</v>
      </c>
      <c r="J30" s="11" t="n">
        <f aca="false">IFERROR(COUNTIFS('Tagged Responses'!$K$2:$K$733,"*"&amp;$A30&amp;"*",'Tagged Responses'!$G$2:$G$733,"China")/J$21,"")</f>
        <v>0.0254777070063694</v>
      </c>
    </row>
    <row r="31" customFormat="false" ht="15" hidden="false" customHeight="true" outlineLevel="0" collapsed="false">
      <c r="A31" s="10" t="s">
        <v>6864</v>
      </c>
      <c r="B31" s="10" t="n">
        <f aca="false">COUNTIF('Tagged Responses'!$K$2:$K$733,"*"&amp;$A31&amp;"*")</f>
        <v>26</v>
      </c>
      <c r="C31" s="11" t="n">
        <f aca="false">IFERROR(COUNTIF('Tagged Responses'!$K$2:$K$733,"*"&amp;$A31&amp;"*")/C$21,"")</f>
        <v>0.0357142857142857</v>
      </c>
      <c r="D31" s="11" t="n">
        <f aca="false">IFERROR(COUNTIFS('Tagged Responses'!$K$2:$K$733,"*"&amp;$A31&amp;"*",'Tagged Responses'!$D$2:$D$733,Notes!$B$9)/D$21,"")</f>
        <v>0.0350553505535055</v>
      </c>
      <c r="E31" s="11" t="n">
        <f aca="false">IFERROR(COUNTIFS('Tagged Responses'!$K$2:$K$733,"*"&amp;$A31&amp;"*",'Tagged Responses'!$D$2:$D$733,Notes!$C$9)/E$21,"")</f>
        <v>0.0421686746987952</v>
      </c>
      <c r="F31" s="11" t="n">
        <f aca="false">IFERROR(COUNTIFS('Tagged Responses'!$K$2:$K$733,"*"&amp;$A31&amp;"*",'Tagged Responses'!$D$2:$D$733,Notes!$D$9)/F$21,"")</f>
        <v>0</v>
      </c>
      <c r="G31" s="11" t="n">
        <f aca="false">IFERROR(COUNTIFS('Tagged Responses'!$K$2:$K$733,"*"&amp;$A31&amp;"*",'Tagged Responses'!$E$2:$E$733,"Female")/G$21,"")</f>
        <v>0.0390243902439024</v>
      </c>
      <c r="H31" s="11" t="n">
        <f aca="false">IFERROR(COUNTIFS('Tagged Responses'!$K$2:$K$733,"*"&amp;$A31&amp;"*",'Tagged Responses'!$E$2:$E$733,"Male")/H$21,"")</f>
        <v>0.0295081967213115</v>
      </c>
      <c r="I31" s="11" t="n">
        <f aca="false">IFERROR(COUNTIFS('Tagged Responses'!$K$2:$K$733,"*"&amp;$A31&amp;"*",'Tagged Responses'!$G$2:$G$733,"United States")/I$21,"")</f>
        <v>0.0361904761904762</v>
      </c>
      <c r="J31" s="11" t="n">
        <f aca="false">IFERROR(COUNTIFS('Tagged Responses'!$K$2:$K$733,"*"&amp;$A31&amp;"*",'Tagged Responses'!$G$2:$G$733,"China")/J$21,"")</f>
        <v>0.0318471337579618</v>
      </c>
    </row>
    <row r="32" customFormat="false" ht="15" hidden="false" customHeight="true" outlineLevel="0" collapsed="false">
      <c r="A32" s="10" t="s">
        <v>2035</v>
      </c>
      <c r="B32" s="10" t="n">
        <f aca="false">COUNTIF('Tagged Responses'!$K$2:$K$733,"*"&amp;$A32&amp;"*")</f>
        <v>23</v>
      </c>
      <c r="C32" s="11" t="n">
        <f aca="false">IFERROR(COUNTIF('Tagged Responses'!$K$2:$K$733,"*"&amp;$A32&amp;"*")/C$21,"")</f>
        <v>0.0315934065934066</v>
      </c>
      <c r="D32" s="11" t="n">
        <f aca="false">IFERROR(COUNTIFS('Tagged Responses'!$K$2:$K$733,"*"&amp;$A32&amp;"*",'Tagged Responses'!$D$2:$D$733,Notes!$B$9)/D$21,"")</f>
        <v>0.03690036900369</v>
      </c>
      <c r="E32" s="11" t="n">
        <f aca="false">IFERROR(COUNTIFS('Tagged Responses'!$K$2:$K$733,"*"&amp;$A32&amp;"*",'Tagged Responses'!$D$2:$D$733,Notes!$C$9)/E$21,"")</f>
        <v>0.0120481927710843</v>
      </c>
      <c r="F32" s="11" t="n">
        <f aca="false">IFERROR(COUNTIFS('Tagged Responses'!$K$2:$K$733,"*"&amp;$A32&amp;"*",'Tagged Responses'!$D$2:$D$733,Notes!$D$9)/F$21,"")</f>
        <v>0.05</v>
      </c>
      <c r="G32" s="11" t="n">
        <f aca="false">IFERROR(COUNTIFS('Tagged Responses'!$K$2:$K$733,"*"&amp;$A32&amp;"*",'Tagged Responses'!$E$2:$E$733,"Female")/G$21,"")</f>
        <v>0.0317073170731707</v>
      </c>
      <c r="H32" s="11" t="n">
        <f aca="false">IFERROR(COUNTIFS('Tagged Responses'!$K$2:$K$733,"*"&amp;$A32&amp;"*",'Tagged Responses'!$E$2:$E$733,"Male")/H$21,"")</f>
        <v>0.019672131147541</v>
      </c>
      <c r="I32" s="11" t="n">
        <f aca="false">IFERROR(COUNTIFS('Tagged Responses'!$K$2:$K$733,"*"&amp;$A32&amp;"*",'Tagged Responses'!$G$2:$G$733,"United States")/I$21,"")</f>
        <v>0.04</v>
      </c>
      <c r="J32" s="11" t="n">
        <f aca="false">IFERROR(COUNTIFS('Tagged Responses'!$K$2:$K$733,"*"&amp;$A32&amp;"*",'Tagged Responses'!$G$2:$G$733,"China")/J$21,"")</f>
        <v>0</v>
      </c>
    </row>
    <row r="33" customFormat="false" ht="15" hidden="false" customHeight="true" outlineLevel="0" collapsed="false">
      <c r="A33" s="10" t="s">
        <v>6765</v>
      </c>
      <c r="B33" s="10" t="n">
        <f aca="false">COUNTIF('Tagged Responses'!$K$2:$K$733,"*"&amp;$A33&amp;"*")</f>
        <v>21</v>
      </c>
      <c r="C33" s="11" t="n">
        <f aca="false">IFERROR(COUNTIF('Tagged Responses'!$K$2:$K$733,"*"&amp;$A33&amp;"*")/C$21,"")</f>
        <v>0.0288461538461538</v>
      </c>
      <c r="D33" s="11" t="n">
        <f aca="false">IFERROR(COUNTIFS('Tagged Responses'!$K$2:$K$733,"*"&amp;$A33&amp;"*",'Tagged Responses'!$D$2:$D$733,Notes!$B$9)/D$21,"")</f>
        <v>0.03690036900369</v>
      </c>
      <c r="E33" s="11" t="n">
        <f aca="false">IFERROR(COUNTIFS('Tagged Responses'!$K$2:$K$733,"*"&amp;$A33&amp;"*",'Tagged Responses'!$D$2:$D$733,Notes!$C$9)/E$21,"")</f>
        <v>0.00602409638554217</v>
      </c>
      <c r="F33" s="11" t="n">
        <f aca="false">IFERROR(COUNTIFS('Tagged Responses'!$K$2:$K$733,"*"&amp;$A33&amp;"*",'Tagged Responses'!$D$2:$D$733,Notes!$D$9)/F$21,"")</f>
        <v>0</v>
      </c>
      <c r="G33" s="11" t="n">
        <f aca="false">IFERROR(COUNTIFS('Tagged Responses'!$K$2:$K$733,"*"&amp;$A33&amp;"*",'Tagged Responses'!$E$2:$E$733,"Female")/G$21,"")</f>
        <v>0.0219512195121951</v>
      </c>
      <c r="H33" s="11" t="n">
        <f aca="false">IFERROR(COUNTIFS('Tagged Responses'!$K$2:$K$733,"*"&amp;$A33&amp;"*",'Tagged Responses'!$E$2:$E$733,"Male")/H$21,"")</f>
        <v>0.039344262295082</v>
      </c>
      <c r="I33" s="11" t="n">
        <f aca="false">IFERROR(COUNTIFS('Tagged Responses'!$K$2:$K$733,"*"&amp;$A33&amp;"*",'Tagged Responses'!$G$2:$G$733,"United States")/I$21,"")</f>
        <v>0.0342857142857143</v>
      </c>
      <c r="J33" s="11" t="n">
        <f aca="false">IFERROR(COUNTIFS('Tagged Responses'!$K$2:$K$733,"*"&amp;$A33&amp;"*",'Tagged Responses'!$G$2:$G$733,"China")/J$21,"")</f>
        <v>0.0127388535031847</v>
      </c>
    </row>
    <row r="34" customFormat="false" ht="15" hidden="false" customHeight="true" outlineLevel="0" collapsed="false">
      <c r="A34" s="10" t="s">
        <v>6611</v>
      </c>
      <c r="B34" s="10" t="n">
        <f aca="false">COUNTIF('Tagged Responses'!$K$2:$K$733,"*"&amp;$A34&amp;"*")</f>
        <v>18</v>
      </c>
      <c r="C34" s="11" t="n">
        <f aca="false">IFERROR(COUNTIF('Tagged Responses'!$K$2:$K$733,"*"&amp;$A34&amp;"*")/C$21,"")</f>
        <v>0.0247252747252747</v>
      </c>
      <c r="D34" s="11" t="n">
        <f aca="false">IFERROR(COUNTIFS('Tagged Responses'!$K$2:$K$733,"*"&amp;$A34&amp;"*",'Tagged Responses'!$D$2:$D$733,Notes!$B$9)/D$21,"")</f>
        <v>0.0239852398523985</v>
      </c>
      <c r="E34" s="11" t="n">
        <f aca="false">IFERROR(COUNTIFS('Tagged Responses'!$K$2:$K$733,"*"&amp;$A34&amp;"*",'Tagged Responses'!$D$2:$D$733,Notes!$C$9)/E$21,"")</f>
        <v>0.0301204819277108</v>
      </c>
      <c r="F34" s="11" t="n">
        <f aca="false">IFERROR(COUNTIFS('Tagged Responses'!$K$2:$K$733,"*"&amp;$A34&amp;"*",'Tagged Responses'!$D$2:$D$733,Notes!$D$9)/F$21,"")</f>
        <v>0</v>
      </c>
      <c r="G34" s="11" t="n">
        <f aca="false">IFERROR(COUNTIFS('Tagged Responses'!$K$2:$K$733,"*"&amp;$A34&amp;"*",'Tagged Responses'!$E$2:$E$733,"Female")/G$21,"")</f>
        <v>0.0268292682926829</v>
      </c>
      <c r="H34" s="11" t="n">
        <f aca="false">IFERROR(COUNTIFS('Tagged Responses'!$K$2:$K$733,"*"&amp;$A34&amp;"*",'Tagged Responses'!$E$2:$E$733,"Male")/H$21,"")</f>
        <v>0.019672131147541</v>
      </c>
      <c r="I34" s="11" t="n">
        <f aca="false">IFERROR(COUNTIFS('Tagged Responses'!$K$2:$K$733,"*"&amp;$A34&amp;"*",'Tagged Responses'!$G$2:$G$733,"United States")/I$21,"")</f>
        <v>0.0228571428571429</v>
      </c>
      <c r="J34" s="11" t="n">
        <f aca="false">IFERROR(COUNTIFS('Tagged Responses'!$K$2:$K$733,"*"&amp;$A34&amp;"*",'Tagged Responses'!$G$2:$G$733,"China")/J$21,"")</f>
        <v>0.0318471337579618</v>
      </c>
    </row>
    <row r="35" customFormat="false" ht="15" hidden="false" customHeight="true" outlineLevel="0" collapsed="false">
      <c r="A35" s="10" t="s">
        <v>6828</v>
      </c>
      <c r="B35" s="10" t="n">
        <f aca="false">COUNTIF('Tagged Responses'!$K$2:$K$733,"*"&amp;$A35&amp;"*")</f>
        <v>16</v>
      </c>
      <c r="C35" s="11" t="n">
        <f aca="false">IFERROR(COUNTIF('Tagged Responses'!$K$2:$K$733,"*"&amp;$A35&amp;"*")/C$21,"")</f>
        <v>0.021978021978022</v>
      </c>
      <c r="D35" s="11" t="n">
        <f aca="false">IFERROR(COUNTIFS('Tagged Responses'!$K$2:$K$733,"*"&amp;$A35&amp;"*",'Tagged Responses'!$D$2:$D$733,Notes!$B$9)/D$21,"")</f>
        <v>0.022140221402214</v>
      </c>
      <c r="E35" s="11" t="n">
        <f aca="false">IFERROR(COUNTIFS('Tagged Responses'!$K$2:$K$733,"*"&amp;$A35&amp;"*",'Tagged Responses'!$D$2:$D$733,Notes!$C$9)/E$21,"")</f>
        <v>0.0180722891566265</v>
      </c>
      <c r="F35" s="11" t="n">
        <f aca="false">IFERROR(COUNTIFS('Tagged Responses'!$K$2:$K$733,"*"&amp;$A35&amp;"*",'Tagged Responses'!$D$2:$D$733,Notes!$D$9)/F$21,"")</f>
        <v>0.05</v>
      </c>
      <c r="G35" s="11" t="n">
        <f aca="false">IFERROR(COUNTIFS('Tagged Responses'!$K$2:$K$733,"*"&amp;$A35&amp;"*",'Tagged Responses'!$E$2:$E$733,"Female")/G$21,"")</f>
        <v>0.0195121951219512</v>
      </c>
      <c r="H35" s="11" t="n">
        <f aca="false">IFERROR(COUNTIFS('Tagged Responses'!$K$2:$K$733,"*"&amp;$A35&amp;"*",'Tagged Responses'!$E$2:$E$733,"Male")/H$21,"")</f>
        <v>0.0229508196721311</v>
      </c>
      <c r="I35" s="11" t="n">
        <f aca="false">IFERROR(COUNTIFS('Tagged Responses'!$K$2:$K$733,"*"&amp;$A35&amp;"*",'Tagged Responses'!$G$2:$G$733,"United States")/I$21,"")</f>
        <v>0.0285714285714286</v>
      </c>
      <c r="J35" s="11" t="n">
        <f aca="false">IFERROR(COUNTIFS('Tagged Responses'!$K$2:$K$733,"*"&amp;$A35&amp;"*",'Tagged Responses'!$G$2:$G$733,"China")/J$21,"")</f>
        <v>0</v>
      </c>
    </row>
    <row r="36" customFormat="false" ht="15" hidden="false" customHeight="true" outlineLevel="0" collapsed="false">
      <c r="A36" s="10" t="s">
        <v>6820</v>
      </c>
      <c r="B36" s="10" t="n">
        <f aca="false">COUNTIF('Tagged Responses'!$K$2:$K$733,"*"&amp;$A36&amp;"*")</f>
        <v>11</v>
      </c>
      <c r="C36" s="11" t="n">
        <f aca="false">IFERROR(COUNTIF('Tagged Responses'!$K$2:$K$733,"*"&amp;$A36&amp;"*")/C$21,"")</f>
        <v>0.0151098901098901</v>
      </c>
      <c r="D36" s="11" t="n">
        <f aca="false">IFERROR(COUNTIFS('Tagged Responses'!$K$2:$K$733,"*"&amp;$A36&amp;"*",'Tagged Responses'!$D$2:$D$733,Notes!$B$9)/D$21,"")</f>
        <v>0.018450184501845</v>
      </c>
      <c r="E36" s="11" t="n">
        <f aca="false">IFERROR(COUNTIFS('Tagged Responses'!$K$2:$K$733,"*"&amp;$A36&amp;"*",'Tagged Responses'!$D$2:$D$733,Notes!$C$9)/E$21,"")</f>
        <v>0.00602409638554217</v>
      </c>
      <c r="F36" s="11" t="n">
        <f aca="false">IFERROR(COUNTIFS('Tagged Responses'!$K$2:$K$733,"*"&amp;$A36&amp;"*",'Tagged Responses'!$D$2:$D$733,Notes!$D$9)/F$21,"")</f>
        <v>0</v>
      </c>
      <c r="G36" s="11" t="n">
        <f aca="false">IFERROR(COUNTIFS('Tagged Responses'!$K$2:$K$733,"*"&amp;$A36&amp;"*",'Tagged Responses'!$E$2:$E$733,"Female")/G$21,"")</f>
        <v>0.0170731707317073</v>
      </c>
      <c r="H36" s="11" t="n">
        <f aca="false">IFERROR(COUNTIFS('Tagged Responses'!$K$2:$K$733,"*"&amp;$A36&amp;"*",'Tagged Responses'!$E$2:$E$733,"Male")/H$21,"")</f>
        <v>0.0131147540983607</v>
      </c>
      <c r="I36" s="11" t="n">
        <f aca="false">IFERROR(COUNTIFS('Tagged Responses'!$K$2:$K$733,"*"&amp;$A36&amp;"*",'Tagged Responses'!$G$2:$G$733,"United States")/I$21,"")</f>
        <v>0.0152380952380952</v>
      </c>
      <c r="J36" s="11" t="n">
        <f aca="false">IFERROR(COUNTIFS('Tagged Responses'!$K$2:$K$733,"*"&amp;$A36&amp;"*",'Tagged Responses'!$G$2:$G$733,"China")/J$21,"")</f>
        <v>0</v>
      </c>
    </row>
    <row r="37" customFormat="false" ht="15" hidden="false" customHeight="true" outlineLevel="0" collapsed="false">
      <c r="A37" s="10" t="s">
        <v>6534</v>
      </c>
      <c r="B37" s="10" t="n">
        <f aca="false">COUNTIF('Tagged Responses'!$K$2:$K$733,"*"&amp;$A37&amp;"*")</f>
        <v>10</v>
      </c>
      <c r="C37" s="11" t="n">
        <f aca="false">IFERROR(COUNTIF('Tagged Responses'!$K$2:$K$733,"*"&amp;$A37&amp;"*")/C$21,"")</f>
        <v>0.0137362637362637</v>
      </c>
      <c r="D37" s="11" t="n">
        <f aca="false">IFERROR(COUNTIFS('Tagged Responses'!$K$2:$K$733,"*"&amp;$A37&amp;"*",'Tagged Responses'!$D$2:$D$733,Notes!$B$9)/D$21,"")</f>
        <v>0.014760147601476</v>
      </c>
      <c r="E37" s="11" t="n">
        <f aca="false">IFERROR(COUNTIFS('Tagged Responses'!$K$2:$K$733,"*"&amp;$A37&amp;"*",'Tagged Responses'!$D$2:$D$733,Notes!$C$9)/E$21,"")</f>
        <v>0.00602409638554217</v>
      </c>
      <c r="F37" s="11" t="n">
        <f aca="false">IFERROR(COUNTIFS('Tagged Responses'!$K$2:$K$733,"*"&amp;$A37&amp;"*",'Tagged Responses'!$D$2:$D$733,Notes!$D$9)/F$21,"")</f>
        <v>0.05</v>
      </c>
      <c r="G37" s="11" t="n">
        <f aca="false">IFERROR(COUNTIFS('Tagged Responses'!$K$2:$K$733,"*"&amp;$A37&amp;"*",'Tagged Responses'!$E$2:$E$733,"Female")/G$21,"")</f>
        <v>0.00731707317073171</v>
      </c>
      <c r="H37" s="11" t="n">
        <f aca="false">IFERROR(COUNTIFS('Tagged Responses'!$K$2:$K$733,"*"&amp;$A37&amp;"*",'Tagged Responses'!$E$2:$E$733,"Male")/H$21,"")</f>
        <v>0.0163934426229508</v>
      </c>
      <c r="I37" s="11" t="n">
        <f aca="false">IFERROR(COUNTIFS('Tagged Responses'!$K$2:$K$733,"*"&amp;$A37&amp;"*",'Tagged Responses'!$G$2:$G$733,"United States")/I$21,"")</f>
        <v>0.00952380952380953</v>
      </c>
      <c r="J37" s="11" t="n">
        <f aca="false">IFERROR(COUNTIFS('Tagged Responses'!$K$2:$K$733,"*"&amp;$A37&amp;"*",'Tagged Responses'!$G$2:$G$733,"China")/J$21,"")</f>
        <v>0.0191082802547771</v>
      </c>
    </row>
    <row r="38" customFormat="false" ht="15" hidden="false" customHeight="true" outlineLevel="0" collapsed="false">
      <c r="A38" s="10" t="s">
        <v>6646</v>
      </c>
      <c r="B38" s="10" t="n">
        <f aca="false">COUNTIF('Tagged Responses'!$K$2:$K$733,"*"&amp;$A38&amp;"*")</f>
        <v>10</v>
      </c>
      <c r="C38" s="11" t="n">
        <f aca="false">IFERROR(COUNTIF('Tagged Responses'!$K$2:$K$733,"*"&amp;$A38&amp;"*")/C$21,"")</f>
        <v>0.0137362637362637</v>
      </c>
      <c r="D38" s="11" t="n">
        <f aca="false">IFERROR(COUNTIFS('Tagged Responses'!$K$2:$K$733,"*"&amp;$A38&amp;"*",'Tagged Responses'!$D$2:$D$733,Notes!$B$9)/D$21,"")</f>
        <v>0.0129151291512915</v>
      </c>
      <c r="E38" s="11" t="n">
        <f aca="false">IFERROR(COUNTIFS('Tagged Responses'!$K$2:$K$733,"*"&amp;$A38&amp;"*",'Tagged Responses'!$D$2:$D$733,Notes!$C$9)/E$21,"")</f>
        <v>0.0180722891566265</v>
      </c>
      <c r="F38" s="11" t="n">
        <f aca="false">IFERROR(COUNTIFS('Tagged Responses'!$K$2:$K$733,"*"&amp;$A38&amp;"*",'Tagged Responses'!$D$2:$D$733,Notes!$D$9)/F$21,"")</f>
        <v>0</v>
      </c>
      <c r="G38" s="11" t="n">
        <f aca="false">IFERROR(COUNTIFS('Tagged Responses'!$K$2:$K$733,"*"&amp;$A38&amp;"*",'Tagged Responses'!$E$2:$E$733,"Female")/G$21,"")</f>
        <v>0.00975609756097561</v>
      </c>
      <c r="H38" s="11" t="n">
        <f aca="false">IFERROR(COUNTIFS('Tagged Responses'!$K$2:$K$733,"*"&amp;$A38&amp;"*",'Tagged Responses'!$E$2:$E$733,"Male")/H$21,"")</f>
        <v>0.019672131147541</v>
      </c>
      <c r="I38" s="11" t="n">
        <f aca="false">IFERROR(COUNTIFS('Tagged Responses'!$K$2:$K$733,"*"&amp;$A38&amp;"*",'Tagged Responses'!$G$2:$G$733,"United States")/I$21,"")</f>
        <v>0.0152380952380952</v>
      </c>
      <c r="J38" s="11" t="n">
        <f aca="false">IFERROR(COUNTIFS('Tagged Responses'!$K$2:$K$733,"*"&amp;$A38&amp;"*",'Tagged Responses'!$G$2:$G$733,"China")/J$21,"")</f>
        <v>0.00636942675159236</v>
      </c>
    </row>
    <row r="39" customFormat="false" ht="15" hidden="false" customHeight="true" outlineLevel="0" collapsed="false">
      <c r="A39" s="10" t="s">
        <v>6900</v>
      </c>
      <c r="B39" s="10" t="n">
        <f aca="false">COUNTIF('Tagged Responses'!$K$2:$K$733,"*"&amp;$A39&amp;"*")</f>
        <v>6</v>
      </c>
      <c r="C39" s="11" t="n">
        <f aca="false">IFERROR(COUNTIF('Tagged Responses'!$K$2:$K$733,"*"&amp;$A39&amp;"*")/C$21,"")</f>
        <v>0.00824175824175824</v>
      </c>
      <c r="D39" s="11" t="n">
        <f aca="false">IFERROR(COUNTIFS('Tagged Responses'!$K$2:$K$733,"*"&amp;$A39&amp;"*",'Tagged Responses'!$D$2:$D$733,Notes!$B$9)/D$21,"")</f>
        <v>0.00553505535055351</v>
      </c>
      <c r="E39" s="11" t="n">
        <f aca="false">IFERROR(COUNTIFS('Tagged Responses'!$K$2:$K$733,"*"&amp;$A39&amp;"*",'Tagged Responses'!$D$2:$D$733,Notes!$C$9)/E$21,"")</f>
        <v>0.0180722891566265</v>
      </c>
      <c r="F39" s="11" t="n">
        <f aca="false">IFERROR(COUNTIFS('Tagged Responses'!$K$2:$K$733,"*"&amp;$A39&amp;"*",'Tagged Responses'!$D$2:$D$733,Notes!$D$9)/F$21,"")</f>
        <v>0</v>
      </c>
      <c r="G39" s="11" t="n">
        <f aca="false">IFERROR(COUNTIFS('Tagged Responses'!$K$2:$K$733,"*"&amp;$A39&amp;"*",'Tagged Responses'!$E$2:$E$733,"Female")/G$21,"")</f>
        <v>0.00731707317073171</v>
      </c>
      <c r="H39" s="11" t="n">
        <f aca="false">IFERROR(COUNTIFS('Tagged Responses'!$K$2:$K$733,"*"&amp;$A39&amp;"*",'Tagged Responses'!$E$2:$E$733,"Male")/H$21,"")</f>
        <v>0.00983606557377049</v>
      </c>
      <c r="I39" s="11" t="n">
        <f aca="false">IFERROR(COUNTIFS('Tagged Responses'!$K$2:$K$733,"*"&amp;$A39&amp;"*",'Tagged Responses'!$G$2:$G$733,"United States")/I$21,"")</f>
        <v>0.00571428571428571</v>
      </c>
      <c r="J39" s="11" t="n">
        <f aca="false">IFERROR(COUNTIFS('Tagged Responses'!$K$2:$K$733,"*"&amp;$A39&amp;"*",'Tagged Responses'!$G$2:$G$733,"China")/J$21,"")</f>
        <v>0.0127388535031847</v>
      </c>
    </row>
    <row r="40" customFormat="false" ht="15" hidden="false" customHeight="true" outlineLevel="0" collapsed="false">
      <c r="A40" s="10" t="s">
        <v>6551</v>
      </c>
      <c r="B40" s="10" t="n">
        <f aca="false">COUNTIF('Tagged Responses'!$K$2:$K$733,"*"&amp;$A40&amp;"*")</f>
        <v>23</v>
      </c>
      <c r="C40" s="11" t="n">
        <f aca="false">IFERROR(COUNTIF('Tagged Responses'!$K$2:$K$733,"*"&amp;$A40&amp;"*")/C$21,"")</f>
        <v>0.0315934065934066</v>
      </c>
      <c r="D40" s="11" t="n">
        <f aca="false">IFERROR(COUNTIFS('Tagged Responses'!$K$2:$K$733,"*"&amp;$A40&amp;"*",'Tagged Responses'!$D$2:$D$733,Notes!$B$9)/D$21,"")</f>
        <v>0.0313653136531365</v>
      </c>
      <c r="E40" s="11" t="n">
        <f aca="false">IFERROR(COUNTIFS('Tagged Responses'!$K$2:$K$733,"*"&amp;$A40&amp;"*",'Tagged Responses'!$D$2:$D$733,Notes!$C$9)/E$21,"")</f>
        <v>0.0301204819277108</v>
      </c>
      <c r="F40" s="11" t="n">
        <f aca="false">IFERROR(COUNTIFS('Tagged Responses'!$K$2:$K$733,"*"&amp;$A40&amp;"*",'Tagged Responses'!$D$2:$D$733,Notes!$D$9)/F$21,"")</f>
        <v>0.05</v>
      </c>
      <c r="G40" s="11" t="n">
        <f aca="false">IFERROR(COUNTIFS('Tagged Responses'!$K$2:$K$733,"*"&amp;$A40&amp;"*",'Tagged Responses'!$E$2:$E$733,"Female")/G$21,"")</f>
        <v>0.0317073170731707</v>
      </c>
      <c r="H40" s="11" t="n">
        <f aca="false">IFERROR(COUNTIFS('Tagged Responses'!$K$2:$K$733,"*"&amp;$A40&amp;"*",'Tagged Responses'!$E$2:$E$733,"Male")/H$21,"")</f>
        <v>0.0327868852459016</v>
      </c>
      <c r="I40" s="11" t="n">
        <f aca="false">IFERROR(COUNTIFS('Tagged Responses'!$K$2:$K$733,"*"&amp;$A40&amp;"*",'Tagged Responses'!$G$2:$G$733,"United States")/I$21,"")</f>
        <v>0.0323809523809524</v>
      </c>
      <c r="J40" s="11" t="n">
        <f aca="false">IFERROR(COUNTIFS('Tagged Responses'!$K$2:$K$733,"*"&amp;$A40&amp;"*",'Tagged Responses'!$G$2:$G$733,"China")/J$21,"")</f>
        <v>0.0382165605095541</v>
      </c>
    </row>
    <row r="41" customFormat="false" ht="15" hidden="false" customHeight="true" outlineLevel="0" collapsed="false">
      <c r="A41" s="10" t="s">
        <v>6538</v>
      </c>
      <c r="B41" s="10" t="n">
        <f aca="false">COUNTIF('Tagged Responses'!$K$2:$K$733,"*"&amp;$A41&amp;"*")</f>
        <v>2</v>
      </c>
      <c r="C41" s="11" t="n">
        <f aca="false">IFERROR(COUNTIF('Tagged Responses'!$K$2:$K$733,"*"&amp;$A41&amp;"*")/C$21,"")</f>
        <v>0.00274725274725275</v>
      </c>
      <c r="D41" s="11" t="n">
        <f aca="false">IFERROR(COUNTIFS('Tagged Responses'!$K$2:$K$733,"*"&amp;$A41&amp;"*",'Tagged Responses'!$D$2:$D$733,Notes!$B$9)/D$21,"")</f>
        <v>0.0018450184501845</v>
      </c>
      <c r="E41" s="11" t="n">
        <f aca="false">IFERROR(COUNTIFS('Tagged Responses'!$K$2:$K$733,"*"&amp;$A41&amp;"*",'Tagged Responses'!$D$2:$D$733,Notes!$C$9)/E$21,"")</f>
        <v>0.00602409638554217</v>
      </c>
      <c r="F41" s="11" t="n">
        <f aca="false">IFERROR(COUNTIFS('Tagged Responses'!$K$2:$K$733,"*"&amp;$A41&amp;"*",'Tagged Responses'!$D$2:$D$733,Notes!$D$9)/F$21,"")</f>
        <v>0</v>
      </c>
      <c r="G41" s="11" t="n">
        <f aca="false">IFERROR(COUNTIFS('Tagged Responses'!$K$2:$K$733,"*"&amp;$A41&amp;"*",'Tagged Responses'!$E$2:$E$733,"Female")/G$21,"")</f>
        <v>0.00487804878048781</v>
      </c>
      <c r="H41" s="11" t="n">
        <f aca="false">IFERROR(COUNTIFS('Tagged Responses'!$K$2:$K$733,"*"&amp;$A41&amp;"*",'Tagged Responses'!$E$2:$E$733,"Male")/H$21,"")</f>
        <v>0</v>
      </c>
      <c r="I41" s="11" t="n">
        <f aca="false">IFERROR(COUNTIFS('Tagged Responses'!$K$2:$K$733,"*"&amp;$A41&amp;"*",'Tagged Responses'!$G$2:$G$733,"United States")/I$21,"")</f>
        <v>0.0019047619047619</v>
      </c>
      <c r="J41" s="11" t="n">
        <f aca="false">IFERROR(COUNTIFS('Tagged Responses'!$K$2:$K$733,"*"&amp;$A41&amp;"*",'Tagged Responses'!$G$2:$G$733,"China")/J$21,"")</f>
        <v>0.00636942675159236</v>
      </c>
    </row>
    <row r="43" customFormat="false" ht="15" hidden="false" customHeight="true" outlineLevel="0" collapsed="false">
      <c r="A43" s="8" t="s">
        <v>7690</v>
      </c>
    </row>
    <row r="44" customFormat="false" ht="30" hidden="false" customHeight="true" outlineLevel="0" collapsed="false">
      <c r="A44" s="2" t="s">
        <v>7683</v>
      </c>
      <c r="B44" s="2" t="s">
        <v>7684</v>
      </c>
      <c r="C44" s="2" t="s">
        <v>7685</v>
      </c>
      <c r="D44" s="2" t="str">
        <f aca="false">Notes!$B$9</f>
        <v>Student age (≤29)</v>
      </c>
      <c r="E44" s="2" t="str">
        <f aca="false">Notes!$C$9</f>
        <v>Middle-aged (30–64)</v>
      </c>
      <c r="F44" s="2" t="str">
        <f aca="false">Notes!$D$9</f>
        <v>Elderly (65+)</v>
      </c>
      <c r="G44" s="2" t="s">
        <v>45</v>
      </c>
      <c r="H44" s="2" t="s">
        <v>83</v>
      </c>
      <c r="I44" s="2" t="s">
        <v>7686</v>
      </c>
      <c r="J44" s="2" t="s">
        <v>7687</v>
      </c>
    </row>
    <row r="45" customFormat="false" ht="15" hidden="false" customHeight="true" outlineLevel="0" collapsed="false">
      <c r="A45" s="9" t="s">
        <v>7688</v>
      </c>
      <c r="B45" s="9" t="n">
        <f aca="false">COUNTIF('Tagged Responses'!$L$2:$L$733,"?*")</f>
        <v>728</v>
      </c>
      <c r="C45" s="9" t="n">
        <f aca="false">COUNTIF('Tagged Responses'!$L$2:$L$733,"?*")</f>
        <v>728</v>
      </c>
      <c r="D45" s="9" t="n">
        <f aca="false">COUNTIFS('Tagged Responses'!$L$2:$L$733,"?*",'Tagged Responses'!$D$2:$D$733,Notes!$B$9)</f>
        <v>542</v>
      </c>
      <c r="E45" s="9" t="n">
        <f aca="false">COUNTIFS('Tagged Responses'!$L$2:$L$733,"?*",'Tagged Responses'!$D$2:$D$733,Notes!$C$9)</f>
        <v>166</v>
      </c>
      <c r="F45" s="9" t="n">
        <f aca="false">COUNTIFS('Tagged Responses'!$L$2:$L$733,"?*",'Tagged Responses'!$D$2:$D$733,Notes!$D$9)</f>
        <v>20</v>
      </c>
      <c r="G45" s="9" t="n">
        <f aca="false">COUNTIFS('Tagged Responses'!$L$2:$L$733,"?*",'Tagged Responses'!$E$2:$E$733,"Female")</f>
        <v>410</v>
      </c>
      <c r="H45" s="9" t="n">
        <f aca="false">COUNTIFS('Tagged Responses'!$L$2:$L$733,"?*",'Tagged Responses'!$E$2:$E$733,"Male")</f>
        <v>305</v>
      </c>
      <c r="I45" s="9" t="n">
        <f aca="false">COUNTIFS('Tagged Responses'!$L$2:$L$733,"?*",'Tagged Responses'!$G$2:$G$733,"United States")</f>
        <v>525</v>
      </c>
      <c r="J45" s="9" t="n">
        <f aca="false">COUNTIFS('Tagged Responses'!$L$2:$L$733,"?*",'Tagged Responses'!$G$2:$G$733,"China")</f>
        <v>157</v>
      </c>
    </row>
    <row r="46" customFormat="false" ht="15" hidden="false" customHeight="true" outlineLevel="0" collapsed="false">
      <c r="A46" s="10" t="s">
        <v>6540</v>
      </c>
      <c r="B46" s="10" t="n">
        <f aca="false">COUNTIF('Tagged Responses'!$M$2:$M$733,"*"&amp;$A46&amp;"*")</f>
        <v>244</v>
      </c>
      <c r="C46" s="11" t="n">
        <f aca="false">IFERROR(COUNTIF('Tagged Responses'!$M$2:$M$733,"*"&amp;$A46&amp;"*")/C$45,"")</f>
        <v>0.335164835164835</v>
      </c>
      <c r="D46" s="11" t="n">
        <f aca="false">IFERROR(COUNTIFS('Tagged Responses'!$M$2:$M$733,"*"&amp;$A46&amp;"*",'Tagged Responses'!$D$2:$D$733,Notes!$B$9)/D$45,"")</f>
        <v>0.330258302583026</v>
      </c>
      <c r="E46" s="11" t="n">
        <f aca="false">IFERROR(COUNTIFS('Tagged Responses'!$M$2:$M$733,"*"&amp;$A46&amp;"*",'Tagged Responses'!$D$2:$D$733,Notes!$C$9)/E$45,"")</f>
        <v>0.337349397590361</v>
      </c>
      <c r="F46" s="11" t="n">
        <f aca="false">IFERROR(COUNTIFS('Tagged Responses'!$M$2:$M$733,"*"&amp;$A46&amp;"*",'Tagged Responses'!$D$2:$D$733,Notes!$D$9)/F$45,"")</f>
        <v>0.45</v>
      </c>
      <c r="G46" s="11" t="n">
        <f aca="false">IFERROR(COUNTIFS('Tagged Responses'!$M$2:$M$733,"*"&amp;$A46&amp;"*",'Tagged Responses'!$E$2:$E$733,"Female")/G$45,"")</f>
        <v>0.317073170731707</v>
      </c>
      <c r="H46" s="11" t="n">
        <f aca="false">IFERROR(COUNTIFS('Tagged Responses'!$M$2:$M$733,"*"&amp;$A46&amp;"*",'Tagged Responses'!$E$2:$E$733,"Male")/H$45,"")</f>
        <v>0.357377049180328</v>
      </c>
      <c r="I46" s="11" t="n">
        <f aca="false">IFERROR(COUNTIFS('Tagged Responses'!$M$2:$M$733,"*"&amp;$A46&amp;"*",'Tagged Responses'!$G$2:$G$733,"United States")/I$45,"")</f>
        <v>0.361904761904762</v>
      </c>
      <c r="J46" s="11" t="n">
        <f aca="false">IFERROR(COUNTIFS('Tagged Responses'!$M$2:$M$733,"*"&amp;$A46&amp;"*",'Tagged Responses'!$G$2:$G$733,"China")/J$45,"")</f>
        <v>0.254777070063694</v>
      </c>
    </row>
    <row r="47" customFormat="false" ht="15" hidden="false" customHeight="true" outlineLevel="0" collapsed="false">
      <c r="A47" s="10" t="s">
        <v>6510</v>
      </c>
      <c r="B47" s="10" t="n">
        <f aca="false">COUNTIF('Tagged Responses'!$M$2:$M$733,"*"&amp;$A47&amp;"*")</f>
        <v>222</v>
      </c>
      <c r="C47" s="11" t="n">
        <f aca="false">IFERROR(COUNTIF('Tagged Responses'!$M$2:$M$733,"*"&amp;$A47&amp;"*")/C$45,"")</f>
        <v>0.304945054945055</v>
      </c>
      <c r="D47" s="11" t="n">
        <f aca="false">IFERROR(COUNTIFS('Tagged Responses'!$M$2:$M$733,"*"&amp;$A47&amp;"*",'Tagged Responses'!$D$2:$D$733,Notes!$B$9)/D$45,"")</f>
        <v>0.298892988929889</v>
      </c>
      <c r="E47" s="11" t="n">
        <f aca="false">IFERROR(COUNTIFS('Tagged Responses'!$M$2:$M$733,"*"&amp;$A47&amp;"*",'Tagged Responses'!$D$2:$D$733,Notes!$C$9)/E$45,"")</f>
        <v>0.325301204819277</v>
      </c>
      <c r="F47" s="11" t="n">
        <f aca="false">IFERROR(COUNTIFS('Tagged Responses'!$M$2:$M$733,"*"&amp;$A47&amp;"*",'Tagged Responses'!$D$2:$D$733,Notes!$D$9)/F$45,"")</f>
        <v>0.3</v>
      </c>
      <c r="G47" s="11" t="n">
        <f aca="false">IFERROR(COUNTIFS('Tagged Responses'!$M$2:$M$733,"*"&amp;$A47&amp;"*",'Tagged Responses'!$E$2:$E$733,"Female")/G$45,"")</f>
        <v>0.346341463414634</v>
      </c>
      <c r="H47" s="11" t="n">
        <f aca="false">IFERROR(COUNTIFS('Tagged Responses'!$M$2:$M$733,"*"&amp;$A47&amp;"*",'Tagged Responses'!$E$2:$E$733,"Male")/H$45,"")</f>
        <v>0.242622950819672</v>
      </c>
      <c r="I47" s="11" t="n">
        <f aca="false">IFERROR(COUNTIFS('Tagged Responses'!$M$2:$M$733,"*"&amp;$A47&amp;"*",'Tagged Responses'!$G$2:$G$733,"United States")/I$45,"")</f>
        <v>0.302857142857143</v>
      </c>
      <c r="J47" s="11" t="n">
        <f aca="false">IFERROR(COUNTIFS('Tagged Responses'!$M$2:$M$733,"*"&amp;$A47&amp;"*",'Tagged Responses'!$G$2:$G$733,"China")/J$45,"")</f>
        <v>0.32484076433121</v>
      </c>
    </row>
    <row r="48" customFormat="false" ht="15" hidden="false" customHeight="true" outlineLevel="0" collapsed="false">
      <c r="A48" s="10" t="s">
        <v>6568</v>
      </c>
      <c r="B48" s="10" t="n">
        <f aca="false">COUNTIF('Tagged Responses'!$M$2:$M$733,"*"&amp;$A48&amp;"*")</f>
        <v>198</v>
      </c>
      <c r="C48" s="11" t="n">
        <f aca="false">IFERROR(COUNTIF('Tagged Responses'!$M$2:$M$733,"*"&amp;$A48&amp;"*")/C$45,"")</f>
        <v>0.271978021978022</v>
      </c>
      <c r="D48" s="11" t="n">
        <f aca="false">IFERROR(COUNTIFS('Tagged Responses'!$M$2:$M$733,"*"&amp;$A48&amp;"*",'Tagged Responses'!$D$2:$D$733,Notes!$B$9)/D$45,"")</f>
        <v>0.274907749077491</v>
      </c>
      <c r="E48" s="11" t="n">
        <f aca="false">IFERROR(COUNTIFS('Tagged Responses'!$M$2:$M$733,"*"&amp;$A48&amp;"*",'Tagged Responses'!$D$2:$D$733,Notes!$C$9)/E$45,"")</f>
        <v>0.265060240963855</v>
      </c>
      <c r="F48" s="11" t="n">
        <f aca="false">IFERROR(COUNTIFS('Tagged Responses'!$M$2:$M$733,"*"&amp;$A48&amp;"*",'Tagged Responses'!$D$2:$D$733,Notes!$D$9)/F$45,"")</f>
        <v>0.25</v>
      </c>
      <c r="G48" s="11" t="n">
        <f aca="false">IFERROR(COUNTIFS('Tagged Responses'!$M$2:$M$733,"*"&amp;$A48&amp;"*",'Tagged Responses'!$E$2:$E$733,"Female")/G$45,"")</f>
        <v>0.295121951219512</v>
      </c>
      <c r="H48" s="11" t="n">
        <f aca="false">IFERROR(COUNTIFS('Tagged Responses'!$M$2:$M$733,"*"&amp;$A48&amp;"*",'Tagged Responses'!$E$2:$E$733,"Male")/H$45,"")</f>
        <v>0.232786885245902</v>
      </c>
      <c r="I48" s="11" t="n">
        <f aca="false">IFERROR(COUNTIFS('Tagged Responses'!$M$2:$M$733,"*"&amp;$A48&amp;"*",'Tagged Responses'!$G$2:$G$733,"United States")/I$45,"")</f>
        <v>0.300952380952381</v>
      </c>
      <c r="J48" s="11" t="n">
        <f aca="false">IFERROR(COUNTIFS('Tagged Responses'!$M$2:$M$733,"*"&amp;$A48&amp;"*",'Tagged Responses'!$G$2:$G$733,"China")/J$45,"")</f>
        <v>0.171974522292994</v>
      </c>
    </row>
    <row r="49" customFormat="false" ht="15" hidden="false" customHeight="true" outlineLevel="0" collapsed="false">
      <c r="A49" s="10" t="s">
        <v>6564</v>
      </c>
      <c r="B49" s="10" t="n">
        <f aca="false">COUNTIF('Tagged Responses'!$M$2:$M$733,"*"&amp;$A49&amp;"*")</f>
        <v>131</v>
      </c>
      <c r="C49" s="11" t="n">
        <f aca="false">IFERROR(COUNTIF('Tagged Responses'!$M$2:$M$733,"*"&amp;$A49&amp;"*")/C$45,"")</f>
        <v>0.179945054945055</v>
      </c>
      <c r="D49" s="11" t="n">
        <f aca="false">IFERROR(COUNTIFS('Tagged Responses'!$M$2:$M$733,"*"&amp;$A49&amp;"*",'Tagged Responses'!$D$2:$D$733,Notes!$B$9)/D$45,"")</f>
        <v>0.180811808118081</v>
      </c>
      <c r="E49" s="11" t="n">
        <f aca="false">IFERROR(COUNTIFS('Tagged Responses'!$M$2:$M$733,"*"&amp;$A49&amp;"*",'Tagged Responses'!$D$2:$D$733,Notes!$C$9)/E$45,"")</f>
        <v>0.192771084337349</v>
      </c>
      <c r="F49" s="11" t="n">
        <f aca="false">IFERROR(COUNTIFS('Tagged Responses'!$M$2:$M$733,"*"&amp;$A49&amp;"*",'Tagged Responses'!$D$2:$D$733,Notes!$D$9)/F$45,"")</f>
        <v>0.05</v>
      </c>
      <c r="G49" s="11" t="n">
        <f aca="false">IFERROR(COUNTIFS('Tagged Responses'!$M$2:$M$733,"*"&amp;$A49&amp;"*",'Tagged Responses'!$E$2:$E$733,"Female")/G$45,"")</f>
        <v>0.21219512195122</v>
      </c>
      <c r="H49" s="11" t="n">
        <f aca="false">IFERROR(COUNTIFS('Tagged Responses'!$M$2:$M$733,"*"&amp;$A49&amp;"*",'Tagged Responses'!$E$2:$E$733,"Male")/H$45,"")</f>
        <v>0.140983606557377</v>
      </c>
      <c r="I49" s="11" t="n">
        <f aca="false">IFERROR(COUNTIFS('Tagged Responses'!$M$2:$M$733,"*"&amp;$A49&amp;"*",'Tagged Responses'!$G$2:$G$733,"United States")/I$45,"")</f>
        <v>0.173333333333333</v>
      </c>
      <c r="J49" s="11" t="n">
        <f aca="false">IFERROR(COUNTIFS('Tagged Responses'!$M$2:$M$733,"*"&amp;$A49&amp;"*",'Tagged Responses'!$G$2:$G$733,"China")/J$45,"")</f>
        <v>0.210191082802548</v>
      </c>
    </row>
    <row r="50" customFormat="false" ht="15" hidden="false" customHeight="true" outlineLevel="0" collapsed="false">
      <c r="A50" s="10" t="s">
        <v>6569</v>
      </c>
      <c r="B50" s="10" t="n">
        <f aca="false">COUNTIF('Tagged Responses'!$M$2:$M$733,"*"&amp;$A50&amp;"*")</f>
        <v>125</v>
      </c>
      <c r="C50" s="11" t="n">
        <f aca="false">IFERROR(COUNTIF('Tagged Responses'!$M$2:$M$733,"*"&amp;$A50&amp;"*")/C$45,"")</f>
        <v>0.171703296703297</v>
      </c>
      <c r="D50" s="11" t="n">
        <f aca="false">IFERROR(COUNTIFS('Tagged Responses'!$M$2:$M$733,"*"&amp;$A50&amp;"*",'Tagged Responses'!$D$2:$D$733,Notes!$B$9)/D$45,"")</f>
        <v>0.180811808118081</v>
      </c>
      <c r="E50" s="11" t="n">
        <f aca="false">IFERROR(COUNTIFS('Tagged Responses'!$M$2:$M$733,"*"&amp;$A50&amp;"*",'Tagged Responses'!$D$2:$D$733,Notes!$C$9)/E$45,"")</f>
        <v>0.144578313253012</v>
      </c>
      <c r="F50" s="11" t="n">
        <f aca="false">IFERROR(COUNTIFS('Tagged Responses'!$M$2:$M$733,"*"&amp;$A50&amp;"*",'Tagged Responses'!$D$2:$D$733,Notes!$D$9)/F$45,"")</f>
        <v>0.15</v>
      </c>
      <c r="G50" s="11" t="n">
        <f aca="false">IFERROR(COUNTIFS('Tagged Responses'!$M$2:$M$733,"*"&amp;$A50&amp;"*",'Tagged Responses'!$E$2:$E$733,"Female")/G$45,"")</f>
        <v>0.195121951219512</v>
      </c>
      <c r="H50" s="11" t="n">
        <f aca="false">IFERROR(COUNTIFS('Tagged Responses'!$M$2:$M$733,"*"&amp;$A50&amp;"*",'Tagged Responses'!$E$2:$E$733,"Male")/H$45,"")</f>
        <v>0.144262295081967</v>
      </c>
      <c r="I50" s="11" t="n">
        <f aca="false">IFERROR(COUNTIFS('Tagged Responses'!$M$2:$M$733,"*"&amp;$A50&amp;"*",'Tagged Responses'!$G$2:$G$733,"United States")/I$45,"")</f>
        <v>0.167619047619048</v>
      </c>
      <c r="J50" s="11" t="n">
        <f aca="false">IFERROR(COUNTIFS('Tagged Responses'!$M$2:$M$733,"*"&amp;$A50&amp;"*",'Tagged Responses'!$G$2:$G$733,"China")/J$45,"")</f>
        <v>0.191082802547771</v>
      </c>
    </row>
    <row r="51" customFormat="false" ht="15" hidden="false" customHeight="true" outlineLevel="0" collapsed="false">
      <c r="A51" s="10" t="s">
        <v>6516</v>
      </c>
      <c r="B51" s="10" t="n">
        <f aca="false">COUNTIF('Tagged Responses'!$M$2:$M$733,"*"&amp;$A51&amp;"*")</f>
        <v>117</v>
      </c>
      <c r="C51" s="11" t="n">
        <f aca="false">IFERROR(COUNTIF('Tagged Responses'!$M$2:$M$733,"*"&amp;$A51&amp;"*")/C$45,"")</f>
        <v>0.160714285714286</v>
      </c>
      <c r="D51" s="11" t="n">
        <f aca="false">IFERROR(COUNTIFS('Tagged Responses'!$M$2:$M$733,"*"&amp;$A51&amp;"*",'Tagged Responses'!$D$2:$D$733,Notes!$B$9)/D$45,"")</f>
        <v>0.153136531365314</v>
      </c>
      <c r="E51" s="11" t="n">
        <f aca="false">IFERROR(COUNTIFS('Tagged Responses'!$M$2:$M$733,"*"&amp;$A51&amp;"*",'Tagged Responses'!$D$2:$D$733,Notes!$C$9)/E$45,"")</f>
        <v>0.162650602409639</v>
      </c>
      <c r="F51" s="11" t="n">
        <f aca="false">IFERROR(COUNTIFS('Tagged Responses'!$M$2:$M$733,"*"&amp;$A51&amp;"*",'Tagged Responses'!$D$2:$D$733,Notes!$D$9)/F$45,"")</f>
        <v>0.35</v>
      </c>
      <c r="G51" s="11" t="n">
        <f aca="false">IFERROR(COUNTIFS('Tagged Responses'!$M$2:$M$733,"*"&amp;$A51&amp;"*",'Tagged Responses'!$E$2:$E$733,"Female")/G$45,"")</f>
        <v>0.151219512195122</v>
      </c>
      <c r="H51" s="11" t="n">
        <f aca="false">IFERROR(COUNTIFS('Tagged Responses'!$M$2:$M$733,"*"&amp;$A51&amp;"*",'Tagged Responses'!$E$2:$E$733,"Male")/H$45,"")</f>
        <v>0.173770491803279</v>
      </c>
      <c r="I51" s="11" t="n">
        <f aca="false">IFERROR(COUNTIFS('Tagged Responses'!$M$2:$M$733,"*"&amp;$A51&amp;"*",'Tagged Responses'!$G$2:$G$733,"United States")/I$45,"")</f>
        <v>0.165714285714286</v>
      </c>
      <c r="J51" s="11" t="n">
        <f aca="false">IFERROR(COUNTIFS('Tagged Responses'!$M$2:$M$733,"*"&amp;$A51&amp;"*",'Tagged Responses'!$G$2:$G$733,"China")/J$45,"")</f>
        <v>0.146496815286624</v>
      </c>
    </row>
    <row r="52" customFormat="false" ht="15" hidden="false" customHeight="true" outlineLevel="0" collapsed="false">
      <c r="A52" s="10" t="s">
        <v>6765</v>
      </c>
      <c r="B52" s="10" t="n">
        <f aca="false">COUNTIF('Tagged Responses'!$M$2:$M$733,"*"&amp;$A52&amp;"*")</f>
        <v>77</v>
      </c>
      <c r="C52" s="11" t="n">
        <f aca="false">IFERROR(COUNTIF('Tagged Responses'!$M$2:$M$733,"*"&amp;$A52&amp;"*")/C$45,"")</f>
        <v>0.105769230769231</v>
      </c>
      <c r="D52" s="11" t="n">
        <f aca="false">IFERROR(COUNTIFS('Tagged Responses'!$M$2:$M$733,"*"&amp;$A52&amp;"*",'Tagged Responses'!$D$2:$D$733,Notes!$B$9)/D$45,"")</f>
        <v>0.101476014760148</v>
      </c>
      <c r="E52" s="11" t="n">
        <f aca="false">IFERROR(COUNTIFS('Tagged Responses'!$M$2:$M$733,"*"&amp;$A52&amp;"*",'Tagged Responses'!$D$2:$D$733,Notes!$C$9)/E$45,"")</f>
        <v>0.114457831325301</v>
      </c>
      <c r="F52" s="11" t="n">
        <f aca="false">IFERROR(COUNTIFS('Tagged Responses'!$M$2:$M$733,"*"&amp;$A52&amp;"*",'Tagged Responses'!$D$2:$D$733,Notes!$D$9)/F$45,"")</f>
        <v>0.15</v>
      </c>
      <c r="G52" s="11" t="n">
        <f aca="false">IFERROR(COUNTIFS('Tagged Responses'!$M$2:$M$733,"*"&amp;$A52&amp;"*",'Tagged Responses'!$E$2:$E$733,"Female")/G$45,"")</f>
        <v>0.0902439024390244</v>
      </c>
      <c r="H52" s="11" t="n">
        <f aca="false">IFERROR(COUNTIFS('Tagged Responses'!$M$2:$M$733,"*"&amp;$A52&amp;"*",'Tagged Responses'!$E$2:$E$733,"Male")/H$45,"")</f>
        <v>0.127868852459016</v>
      </c>
      <c r="I52" s="11" t="n">
        <f aca="false">IFERROR(COUNTIFS('Tagged Responses'!$M$2:$M$733,"*"&amp;$A52&amp;"*",'Tagged Responses'!$G$2:$G$733,"United States")/I$45,"")</f>
        <v>0.131428571428571</v>
      </c>
      <c r="J52" s="11" t="n">
        <f aca="false">IFERROR(COUNTIFS('Tagged Responses'!$M$2:$M$733,"*"&amp;$A52&amp;"*",'Tagged Responses'!$G$2:$G$733,"China")/J$45,"")</f>
        <v>0.0445859872611465</v>
      </c>
    </row>
    <row r="53" customFormat="false" ht="15" hidden="false" customHeight="true" outlineLevel="0" collapsed="false">
      <c r="A53" s="10" t="s">
        <v>6770</v>
      </c>
      <c r="B53" s="10" t="n">
        <f aca="false">COUNTIF('Tagged Responses'!$M$2:$M$733,"*"&amp;$A53&amp;"*")</f>
        <v>52</v>
      </c>
      <c r="C53" s="11" t="n">
        <f aca="false">IFERROR(COUNTIF('Tagged Responses'!$M$2:$M$733,"*"&amp;$A53&amp;"*")/C$45,"")</f>
        <v>0.0714285714285714</v>
      </c>
      <c r="D53" s="11" t="n">
        <f aca="false">IFERROR(COUNTIFS('Tagged Responses'!$M$2:$M$733,"*"&amp;$A53&amp;"*",'Tagged Responses'!$D$2:$D$733,Notes!$B$9)/D$45,"")</f>
        <v>0.0664206642066421</v>
      </c>
      <c r="E53" s="11" t="n">
        <f aca="false">IFERROR(COUNTIFS('Tagged Responses'!$M$2:$M$733,"*"&amp;$A53&amp;"*",'Tagged Responses'!$D$2:$D$733,Notes!$C$9)/E$45,"")</f>
        <v>0.0903614457831325</v>
      </c>
      <c r="F53" s="11" t="n">
        <f aca="false">IFERROR(COUNTIFS('Tagged Responses'!$M$2:$M$733,"*"&amp;$A53&amp;"*",'Tagged Responses'!$D$2:$D$733,Notes!$D$9)/F$45,"")</f>
        <v>0.05</v>
      </c>
      <c r="G53" s="11" t="n">
        <f aca="false">IFERROR(COUNTIFS('Tagged Responses'!$M$2:$M$733,"*"&amp;$A53&amp;"*",'Tagged Responses'!$E$2:$E$733,"Female")/G$45,"")</f>
        <v>0.0707317073170732</v>
      </c>
      <c r="H53" s="11" t="n">
        <f aca="false">IFERROR(COUNTIFS('Tagged Responses'!$M$2:$M$733,"*"&amp;$A53&amp;"*",'Tagged Responses'!$E$2:$E$733,"Male")/H$45,"")</f>
        <v>0.0688524590163935</v>
      </c>
      <c r="I53" s="11" t="n">
        <f aca="false">IFERROR(COUNTIFS('Tagged Responses'!$M$2:$M$733,"*"&amp;$A53&amp;"*",'Tagged Responses'!$G$2:$G$733,"United States")/I$45,"")</f>
        <v>0.0571428571428571</v>
      </c>
      <c r="J53" s="11" t="n">
        <f aca="false">IFERROR(COUNTIFS('Tagged Responses'!$M$2:$M$733,"*"&amp;$A53&amp;"*",'Tagged Responses'!$G$2:$G$733,"China")/J$45,"")</f>
        <v>0.121019108280255</v>
      </c>
    </row>
    <row r="54" customFormat="false" ht="15" hidden="false" customHeight="true" outlineLevel="0" collapsed="false">
      <c r="A54" s="10" t="s">
        <v>6520</v>
      </c>
      <c r="B54" s="10" t="n">
        <f aca="false">COUNTIF('Tagged Responses'!$M$2:$M$733,"*"&amp;$A54&amp;"*")</f>
        <v>46</v>
      </c>
      <c r="C54" s="11" t="n">
        <f aca="false">IFERROR(COUNTIF('Tagged Responses'!$M$2:$M$733,"*"&amp;$A54&amp;"*")/C$45,"")</f>
        <v>0.0631868131868132</v>
      </c>
      <c r="D54" s="11" t="n">
        <f aca="false">IFERROR(COUNTIFS('Tagged Responses'!$M$2:$M$733,"*"&amp;$A54&amp;"*",'Tagged Responses'!$D$2:$D$733,Notes!$B$9)/D$45,"")</f>
        <v>0.0608856088560886</v>
      </c>
      <c r="E54" s="11" t="n">
        <f aca="false">IFERROR(COUNTIFS('Tagged Responses'!$M$2:$M$733,"*"&amp;$A54&amp;"*",'Tagged Responses'!$D$2:$D$733,Notes!$C$9)/E$45,"")</f>
        <v>0.0783132530120482</v>
      </c>
      <c r="F54" s="11" t="n">
        <f aca="false">IFERROR(COUNTIFS('Tagged Responses'!$M$2:$M$733,"*"&amp;$A54&amp;"*",'Tagged Responses'!$D$2:$D$733,Notes!$D$9)/F$45,"")</f>
        <v>0</v>
      </c>
      <c r="G54" s="11" t="n">
        <f aca="false">IFERROR(COUNTIFS('Tagged Responses'!$M$2:$M$733,"*"&amp;$A54&amp;"*",'Tagged Responses'!$E$2:$E$733,"Female")/G$45,"")</f>
        <v>0.0634146341463415</v>
      </c>
      <c r="H54" s="11" t="n">
        <f aca="false">IFERROR(COUNTIFS('Tagged Responses'!$M$2:$M$733,"*"&amp;$A54&amp;"*",'Tagged Responses'!$E$2:$E$733,"Male")/H$45,"")</f>
        <v>0.059016393442623</v>
      </c>
      <c r="I54" s="11" t="n">
        <f aca="false">IFERROR(COUNTIFS('Tagged Responses'!$M$2:$M$733,"*"&amp;$A54&amp;"*",'Tagged Responses'!$G$2:$G$733,"United States")/I$45,"")</f>
        <v>0.0628571428571429</v>
      </c>
      <c r="J54" s="11" t="n">
        <f aca="false">IFERROR(COUNTIFS('Tagged Responses'!$M$2:$M$733,"*"&amp;$A54&amp;"*",'Tagged Responses'!$G$2:$G$733,"China")/J$45,"")</f>
        <v>0.0636942675159236</v>
      </c>
    </row>
    <row r="55" customFormat="false" ht="15" hidden="false" customHeight="true" outlineLevel="0" collapsed="false">
      <c r="A55" s="10" t="s">
        <v>6864</v>
      </c>
      <c r="B55" s="10" t="n">
        <f aca="false">COUNTIF('Tagged Responses'!$M$2:$M$733,"*"&amp;$A55&amp;"*")</f>
        <v>45</v>
      </c>
      <c r="C55" s="11" t="n">
        <f aca="false">IFERROR(COUNTIF('Tagged Responses'!$M$2:$M$733,"*"&amp;$A55&amp;"*")/C$45,"")</f>
        <v>0.0618131868131868</v>
      </c>
      <c r="D55" s="11" t="n">
        <f aca="false">IFERROR(COUNTIFS('Tagged Responses'!$M$2:$M$733,"*"&amp;$A55&amp;"*",'Tagged Responses'!$D$2:$D$733,Notes!$B$9)/D$45,"")</f>
        <v>0.0608856088560886</v>
      </c>
      <c r="E55" s="11" t="n">
        <f aca="false">IFERROR(COUNTIFS('Tagged Responses'!$M$2:$M$733,"*"&amp;$A55&amp;"*",'Tagged Responses'!$D$2:$D$733,Notes!$C$9)/E$45,"")</f>
        <v>0.0542168674698795</v>
      </c>
      <c r="F55" s="11" t="n">
        <f aca="false">IFERROR(COUNTIFS('Tagged Responses'!$M$2:$M$733,"*"&amp;$A55&amp;"*",'Tagged Responses'!$D$2:$D$733,Notes!$D$9)/F$45,"")</f>
        <v>0.15</v>
      </c>
      <c r="G55" s="11" t="n">
        <f aca="false">IFERROR(COUNTIFS('Tagged Responses'!$M$2:$M$733,"*"&amp;$A55&amp;"*",'Tagged Responses'!$E$2:$E$733,"Female")/G$45,"")</f>
        <v>0.075609756097561</v>
      </c>
      <c r="H55" s="11" t="n">
        <f aca="false">IFERROR(COUNTIFS('Tagged Responses'!$M$2:$M$733,"*"&amp;$A55&amp;"*",'Tagged Responses'!$E$2:$E$733,"Male")/H$45,"")</f>
        <v>0.0426229508196721</v>
      </c>
      <c r="I55" s="11" t="n">
        <f aca="false">IFERROR(COUNTIFS('Tagged Responses'!$M$2:$M$733,"*"&amp;$A55&amp;"*",'Tagged Responses'!$G$2:$G$733,"United States")/I$45,"")</f>
        <v>0.0628571428571429</v>
      </c>
      <c r="J55" s="11" t="n">
        <f aca="false">IFERROR(COUNTIFS('Tagged Responses'!$M$2:$M$733,"*"&amp;$A55&amp;"*",'Tagged Responses'!$G$2:$G$733,"China")/J$45,"")</f>
        <v>0.0700636942675159</v>
      </c>
    </row>
    <row r="56" customFormat="false" ht="15" hidden="false" customHeight="true" outlineLevel="0" collapsed="false">
      <c r="A56" s="10" t="s">
        <v>2035</v>
      </c>
      <c r="B56" s="10" t="n">
        <f aca="false">COUNTIF('Tagged Responses'!$M$2:$M$733,"*"&amp;$A56&amp;"*")</f>
        <v>45</v>
      </c>
      <c r="C56" s="11" t="n">
        <f aca="false">IFERROR(COUNTIF('Tagged Responses'!$M$2:$M$733,"*"&amp;$A56&amp;"*")/C$45,"")</f>
        <v>0.0618131868131868</v>
      </c>
      <c r="D56" s="11" t="n">
        <f aca="false">IFERROR(COUNTIFS('Tagged Responses'!$M$2:$M$733,"*"&amp;$A56&amp;"*",'Tagged Responses'!$D$2:$D$733,Notes!$B$9)/D$45,"")</f>
        <v>0.0571955719557196</v>
      </c>
      <c r="E56" s="11" t="n">
        <f aca="false">IFERROR(COUNTIFS('Tagged Responses'!$M$2:$M$733,"*"&amp;$A56&amp;"*",'Tagged Responses'!$D$2:$D$733,Notes!$C$9)/E$45,"")</f>
        <v>0.0783132530120482</v>
      </c>
      <c r="F56" s="11" t="n">
        <f aca="false">IFERROR(COUNTIFS('Tagged Responses'!$M$2:$M$733,"*"&amp;$A56&amp;"*",'Tagged Responses'!$D$2:$D$733,Notes!$D$9)/F$45,"")</f>
        <v>0.05</v>
      </c>
      <c r="G56" s="11" t="n">
        <f aca="false">IFERROR(COUNTIFS('Tagged Responses'!$M$2:$M$733,"*"&amp;$A56&amp;"*",'Tagged Responses'!$E$2:$E$733,"Female")/G$45,"")</f>
        <v>0.0634146341463415</v>
      </c>
      <c r="H56" s="11" t="n">
        <f aca="false">IFERROR(COUNTIFS('Tagged Responses'!$M$2:$M$733,"*"&amp;$A56&amp;"*",'Tagged Responses'!$E$2:$E$733,"Male")/H$45,"")</f>
        <v>0.059016393442623</v>
      </c>
      <c r="I56" s="11" t="n">
        <f aca="false">IFERROR(COUNTIFS('Tagged Responses'!$M$2:$M$733,"*"&amp;$A56&amp;"*",'Tagged Responses'!$G$2:$G$733,"United States")/I$45,"")</f>
        <v>0.0704761904761905</v>
      </c>
      <c r="J56" s="11" t="n">
        <f aca="false">IFERROR(COUNTIFS('Tagged Responses'!$M$2:$M$733,"*"&amp;$A56&amp;"*",'Tagged Responses'!$G$2:$G$733,"China")/J$45,"")</f>
        <v>0.0318471337579618</v>
      </c>
    </row>
    <row r="57" customFormat="false" ht="15" hidden="false" customHeight="true" outlineLevel="0" collapsed="false">
      <c r="A57" s="10" t="s">
        <v>6545</v>
      </c>
      <c r="B57" s="10" t="n">
        <f aca="false">COUNTIF('Tagged Responses'!$M$2:$M$733,"*"&amp;$A57&amp;"*")</f>
        <v>44</v>
      </c>
      <c r="C57" s="11" t="n">
        <f aca="false">IFERROR(COUNTIF('Tagged Responses'!$M$2:$M$733,"*"&amp;$A57&amp;"*")/C$45,"")</f>
        <v>0.0604395604395604</v>
      </c>
      <c r="D57" s="11" t="n">
        <f aca="false">IFERROR(COUNTIFS('Tagged Responses'!$M$2:$M$733,"*"&amp;$A57&amp;"*",'Tagged Responses'!$D$2:$D$733,Notes!$B$9)/D$45,"")</f>
        <v>0.0701107011070111</v>
      </c>
      <c r="E57" s="11" t="n">
        <f aca="false">IFERROR(COUNTIFS('Tagged Responses'!$M$2:$M$733,"*"&amp;$A57&amp;"*",'Tagged Responses'!$D$2:$D$733,Notes!$C$9)/E$45,"")</f>
        <v>0.036144578313253</v>
      </c>
      <c r="F57" s="11" t="n">
        <f aca="false">IFERROR(COUNTIFS('Tagged Responses'!$M$2:$M$733,"*"&amp;$A57&amp;"*",'Tagged Responses'!$D$2:$D$733,Notes!$D$9)/F$45,"")</f>
        <v>0</v>
      </c>
      <c r="G57" s="11" t="n">
        <f aca="false">IFERROR(COUNTIFS('Tagged Responses'!$M$2:$M$733,"*"&amp;$A57&amp;"*",'Tagged Responses'!$E$2:$E$733,"Female")/G$45,"")</f>
        <v>0.0463414634146341</v>
      </c>
      <c r="H57" s="11" t="n">
        <f aca="false">IFERROR(COUNTIFS('Tagged Responses'!$M$2:$M$733,"*"&amp;$A57&amp;"*",'Tagged Responses'!$E$2:$E$733,"Male")/H$45,"")</f>
        <v>0.0786885245901639</v>
      </c>
      <c r="I57" s="11" t="n">
        <f aca="false">IFERROR(COUNTIFS('Tagged Responses'!$M$2:$M$733,"*"&amp;$A57&amp;"*",'Tagged Responses'!$G$2:$G$733,"United States")/I$45,"")</f>
        <v>0.0628571428571429</v>
      </c>
      <c r="J57" s="11" t="n">
        <f aca="false">IFERROR(COUNTIFS('Tagged Responses'!$M$2:$M$733,"*"&amp;$A57&amp;"*",'Tagged Responses'!$G$2:$G$733,"China")/J$45,"")</f>
        <v>0.0254777070063694</v>
      </c>
    </row>
    <row r="58" customFormat="false" ht="15" hidden="false" customHeight="true" outlineLevel="0" collapsed="false">
      <c r="A58" s="10" t="s">
        <v>6611</v>
      </c>
      <c r="B58" s="10" t="n">
        <f aca="false">COUNTIF('Tagged Responses'!$M$2:$M$733,"*"&amp;$A58&amp;"*")</f>
        <v>31</v>
      </c>
      <c r="C58" s="11" t="n">
        <f aca="false">IFERROR(COUNTIF('Tagged Responses'!$M$2:$M$733,"*"&amp;$A58&amp;"*")/C$45,"")</f>
        <v>0.0425824175824176</v>
      </c>
      <c r="D58" s="11" t="n">
        <f aca="false">IFERROR(COUNTIFS('Tagged Responses'!$M$2:$M$733,"*"&amp;$A58&amp;"*",'Tagged Responses'!$D$2:$D$733,Notes!$B$9)/D$45,"")</f>
        <v>0.0461254612546125</v>
      </c>
      <c r="E58" s="11" t="n">
        <f aca="false">IFERROR(COUNTIFS('Tagged Responses'!$M$2:$M$733,"*"&amp;$A58&amp;"*",'Tagged Responses'!$D$2:$D$733,Notes!$C$9)/E$45,"")</f>
        <v>0.0301204819277108</v>
      </c>
      <c r="F58" s="11" t="n">
        <f aca="false">IFERROR(COUNTIFS('Tagged Responses'!$M$2:$M$733,"*"&amp;$A58&amp;"*",'Tagged Responses'!$D$2:$D$733,Notes!$D$9)/F$45,"")</f>
        <v>0.05</v>
      </c>
      <c r="G58" s="11" t="n">
        <f aca="false">IFERROR(COUNTIFS('Tagged Responses'!$M$2:$M$733,"*"&amp;$A58&amp;"*",'Tagged Responses'!$E$2:$E$733,"Female")/G$45,"")</f>
        <v>0.0439024390243902</v>
      </c>
      <c r="H58" s="11" t="n">
        <f aca="false">IFERROR(COUNTIFS('Tagged Responses'!$M$2:$M$733,"*"&amp;$A58&amp;"*",'Tagged Responses'!$E$2:$E$733,"Male")/H$45,"")</f>
        <v>0.0426229508196721</v>
      </c>
      <c r="I58" s="11" t="n">
        <f aca="false">IFERROR(COUNTIFS('Tagged Responses'!$M$2:$M$733,"*"&amp;$A58&amp;"*",'Tagged Responses'!$G$2:$G$733,"United States")/I$45,"")</f>
        <v>0.0514285714285714</v>
      </c>
      <c r="J58" s="11" t="n">
        <f aca="false">IFERROR(COUNTIFS('Tagged Responses'!$M$2:$M$733,"*"&amp;$A58&amp;"*",'Tagged Responses'!$G$2:$G$733,"China")/J$45,"")</f>
        <v>0.0254777070063694</v>
      </c>
    </row>
    <row r="59" customFormat="false" ht="15" hidden="false" customHeight="true" outlineLevel="0" collapsed="false">
      <c r="A59" s="10" t="s">
        <v>6828</v>
      </c>
      <c r="B59" s="10" t="n">
        <f aca="false">COUNTIF('Tagged Responses'!$M$2:$M$733,"*"&amp;$A59&amp;"*")</f>
        <v>28</v>
      </c>
      <c r="C59" s="11" t="n">
        <f aca="false">IFERROR(COUNTIF('Tagged Responses'!$M$2:$M$733,"*"&amp;$A59&amp;"*")/C$45,"")</f>
        <v>0.0384615384615385</v>
      </c>
      <c r="D59" s="11" t="n">
        <f aca="false">IFERROR(COUNTIFS('Tagged Responses'!$M$2:$M$733,"*"&amp;$A59&amp;"*",'Tagged Responses'!$D$2:$D$733,Notes!$B$9)/D$45,"")</f>
        <v>0.0424354243542435</v>
      </c>
      <c r="E59" s="11" t="n">
        <f aca="false">IFERROR(COUNTIFS('Tagged Responses'!$M$2:$M$733,"*"&amp;$A59&amp;"*",'Tagged Responses'!$D$2:$D$733,Notes!$C$9)/E$45,"")</f>
        <v>0.0301204819277108</v>
      </c>
      <c r="F59" s="11" t="n">
        <f aca="false">IFERROR(COUNTIFS('Tagged Responses'!$M$2:$M$733,"*"&amp;$A59&amp;"*",'Tagged Responses'!$D$2:$D$733,Notes!$D$9)/F$45,"")</f>
        <v>0</v>
      </c>
      <c r="G59" s="11" t="n">
        <f aca="false">IFERROR(COUNTIFS('Tagged Responses'!$M$2:$M$733,"*"&amp;$A59&amp;"*",'Tagged Responses'!$E$2:$E$733,"Female")/G$45,"")</f>
        <v>0.0390243902439024</v>
      </c>
      <c r="H59" s="11" t="n">
        <f aca="false">IFERROR(COUNTIFS('Tagged Responses'!$M$2:$M$733,"*"&amp;$A59&amp;"*",'Tagged Responses'!$E$2:$E$733,"Male")/H$45,"")</f>
        <v>0.039344262295082</v>
      </c>
      <c r="I59" s="11" t="n">
        <f aca="false">IFERROR(COUNTIFS('Tagged Responses'!$M$2:$M$733,"*"&amp;$A59&amp;"*",'Tagged Responses'!$G$2:$G$733,"United States")/I$45,"")</f>
        <v>0.0438095238095238</v>
      </c>
      <c r="J59" s="11" t="n">
        <f aca="false">IFERROR(COUNTIFS('Tagged Responses'!$M$2:$M$733,"*"&amp;$A59&amp;"*",'Tagged Responses'!$G$2:$G$733,"China")/J$45,"")</f>
        <v>0</v>
      </c>
    </row>
    <row r="60" customFormat="false" ht="15" hidden="false" customHeight="true" outlineLevel="0" collapsed="false">
      <c r="A60" s="10" t="s">
        <v>6646</v>
      </c>
      <c r="B60" s="10" t="n">
        <f aca="false">COUNTIF('Tagged Responses'!$M$2:$M$733,"*"&amp;$A60&amp;"*")</f>
        <v>25</v>
      </c>
      <c r="C60" s="11" t="n">
        <f aca="false">IFERROR(COUNTIF('Tagged Responses'!$M$2:$M$733,"*"&amp;$A60&amp;"*")/C$45,"")</f>
        <v>0.0343406593406593</v>
      </c>
      <c r="D60" s="11" t="n">
        <f aca="false">IFERROR(COUNTIFS('Tagged Responses'!$M$2:$M$733,"*"&amp;$A60&amp;"*",'Tagged Responses'!$D$2:$D$733,Notes!$B$9)/D$45,"")</f>
        <v>0.03690036900369</v>
      </c>
      <c r="E60" s="11" t="n">
        <f aca="false">IFERROR(COUNTIFS('Tagged Responses'!$M$2:$M$733,"*"&amp;$A60&amp;"*",'Tagged Responses'!$D$2:$D$733,Notes!$C$9)/E$45,"")</f>
        <v>0.0240963855421687</v>
      </c>
      <c r="F60" s="11" t="n">
        <f aca="false">IFERROR(COUNTIFS('Tagged Responses'!$M$2:$M$733,"*"&amp;$A60&amp;"*",'Tagged Responses'!$D$2:$D$733,Notes!$D$9)/F$45,"")</f>
        <v>0.05</v>
      </c>
      <c r="G60" s="11" t="n">
        <f aca="false">IFERROR(COUNTIFS('Tagged Responses'!$M$2:$M$733,"*"&amp;$A60&amp;"*",'Tagged Responses'!$E$2:$E$733,"Female")/G$45,"")</f>
        <v>0.024390243902439</v>
      </c>
      <c r="H60" s="11" t="n">
        <f aca="false">IFERROR(COUNTIFS('Tagged Responses'!$M$2:$M$733,"*"&amp;$A60&amp;"*",'Tagged Responses'!$E$2:$E$733,"Male")/H$45,"")</f>
        <v>0.0426229508196721</v>
      </c>
      <c r="I60" s="11" t="n">
        <f aca="false">IFERROR(COUNTIFS('Tagged Responses'!$M$2:$M$733,"*"&amp;$A60&amp;"*",'Tagged Responses'!$G$2:$G$733,"United States")/I$45,"")</f>
        <v>0.0419047619047619</v>
      </c>
      <c r="J60" s="11" t="n">
        <f aca="false">IFERROR(COUNTIFS('Tagged Responses'!$M$2:$M$733,"*"&amp;$A60&amp;"*",'Tagged Responses'!$G$2:$G$733,"China")/J$45,"")</f>
        <v>0.0191082802547771</v>
      </c>
    </row>
    <row r="61" customFormat="false" ht="15" hidden="false" customHeight="true" outlineLevel="0" collapsed="false">
      <c r="A61" s="10" t="s">
        <v>6820</v>
      </c>
      <c r="B61" s="10" t="n">
        <f aca="false">COUNTIF('Tagged Responses'!$M$2:$M$733,"*"&amp;$A61&amp;"*")</f>
        <v>24</v>
      </c>
      <c r="C61" s="11" t="n">
        <f aca="false">IFERROR(COUNTIF('Tagged Responses'!$M$2:$M$733,"*"&amp;$A61&amp;"*")/C$45,"")</f>
        <v>0.032967032967033</v>
      </c>
      <c r="D61" s="11" t="n">
        <f aca="false">IFERROR(COUNTIFS('Tagged Responses'!$M$2:$M$733,"*"&amp;$A61&amp;"*",'Tagged Responses'!$D$2:$D$733,Notes!$B$9)/D$45,"")</f>
        <v>0.033210332103321</v>
      </c>
      <c r="E61" s="11" t="n">
        <f aca="false">IFERROR(COUNTIFS('Tagged Responses'!$M$2:$M$733,"*"&amp;$A61&amp;"*",'Tagged Responses'!$D$2:$D$733,Notes!$C$9)/E$45,"")</f>
        <v>0.036144578313253</v>
      </c>
      <c r="F61" s="11" t="n">
        <f aca="false">IFERROR(COUNTIFS('Tagged Responses'!$M$2:$M$733,"*"&amp;$A61&amp;"*",'Tagged Responses'!$D$2:$D$733,Notes!$D$9)/F$45,"")</f>
        <v>0</v>
      </c>
      <c r="G61" s="11" t="n">
        <f aca="false">IFERROR(COUNTIFS('Tagged Responses'!$M$2:$M$733,"*"&amp;$A61&amp;"*",'Tagged Responses'!$E$2:$E$733,"Female")/G$45,"")</f>
        <v>0.0317073170731707</v>
      </c>
      <c r="H61" s="11" t="n">
        <f aca="false">IFERROR(COUNTIFS('Tagged Responses'!$M$2:$M$733,"*"&amp;$A61&amp;"*",'Tagged Responses'!$E$2:$E$733,"Male")/H$45,"")</f>
        <v>0.0327868852459016</v>
      </c>
      <c r="I61" s="11" t="n">
        <f aca="false">IFERROR(COUNTIFS('Tagged Responses'!$M$2:$M$733,"*"&amp;$A61&amp;"*",'Tagged Responses'!$G$2:$G$733,"United States")/I$45,"")</f>
        <v>0.0342857142857143</v>
      </c>
      <c r="J61" s="11" t="n">
        <f aca="false">IFERROR(COUNTIFS('Tagged Responses'!$M$2:$M$733,"*"&amp;$A61&amp;"*",'Tagged Responses'!$G$2:$G$733,"China")/J$45,"")</f>
        <v>0.0191082802547771</v>
      </c>
    </row>
    <row r="62" customFormat="false" ht="15" hidden="false" customHeight="true" outlineLevel="0" collapsed="false">
      <c r="A62" s="10" t="s">
        <v>6534</v>
      </c>
      <c r="B62" s="10" t="n">
        <f aca="false">COUNTIF('Tagged Responses'!$M$2:$M$733,"*"&amp;$A62&amp;"*")</f>
        <v>12</v>
      </c>
      <c r="C62" s="11" t="n">
        <f aca="false">IFERROR(COUNTIF('Tagged Responses'!$M$2:$M$733,"*"&amp;$A62&amp;"*")/C$45,"")</f>
        <v>0.0164835164835165</v>
      </c>
      <c r="D62" s="11" t="n">
        <f aca="false">IFERROR(COUNTIFS('Tagged Responses'!$M$2:$M$733,"*"&amp;$A62&amp;"*",'Tagged Responses'!$D$2:$D$733,Notes!$B$9)/D$45,"")</f>
        <v>0.018450184501845</v>
      </c>
      <c r="E62" s="11" t="n">
        <f aca="false">IFERROR(COUNTIFS('Tagged Responses'!$M$2:$M$733,"*"&amp;$A62&amp;"*",'Tagged Responses'!$D$2:$D$733,Notes!$C$9)/E$45,"")</f>
        <v>0.0120481927710843</v>
      </c>
      <c r="F62" s="11" t="n">
        <f aca="false">IFERROR(COUNTIFS('Tagged Responses'!$M$2:$M$733,"*"&amp;$A62&amp;"*",'Tagged Responses'!$D$2:$D$733,Notes!$D$9)/F$45,"")</f>
        <v>0</v>
      </c>
      <c r="G62" s="11" t="n">
        <f aca="false">IFERROR(COUNTIFS('Tagged Responses'!$M$2:$M$733,"*"&amp;$A62&amp;"*",'Tagged Responses'!$E$2:$E$733,"Female")/G$45,"")</f>
        <v>0.024390243902439</v>
      </c>
      <c r="H62" s="11" t="n">
        <f aca="false">IFERROR(COUNTIFS('Tagged Responses'!$M$2:$M$733,"*"&amp;$A62&amp;"*",'Tagged Responses'!$E$2:$E$733,"Male")/H$45,"")</f>
        <v>0.00327868852459016</v>
      </c>
      <c r="I62" s="11" t="n">
        <f aca="false">IFERROR(COUNTIFS('Tagged Responses'!$M$2:$M$733,"*"&amp;$A62&amp;"*",'Tagged Responses'!$G$2:$G$733,"United States")/I$45,"")</f>
        <v>0.0171428571428571</v>
      </c>
      <c r="J62" s="11" t="n">
        <f aca="false">IFERROR(COUNTIFS('Tagged Responses'!$M$2:$M$733,"*"&amp;$A62&amp;"*",'Tagged Responses'!$G$2:$G$733,"China")/J$45,"")</f>
        <v>0.0127388535031847</v>
      </c>
    </row>
    <row r="63" customFormat="false" ht="15" hidden="false" customHeight="true" outlineLevel="0" collapsed="false">
      <c r="A63" s="10" t="s">
        <v>6900</v>
      </c>
      <c r="B63" s="10" t="n">
        <f aca="false">COUNTIF('Tagged Responses'!$M$2:$M$733,"*"&amp;$A63&amp;"*")</f>
        <v>10</v>
      </c>
      <c r="C63" s="11" t="n">
        <f aca="false">IFERROR(COUNTIF('Tagged Responses'!$M$2:$M$733,"*"&amp;$A63&amp;"*")/C$45,"")</f>
        <v>0.0137362637362637</v>
      </c>
      <c r="D63" s="11" t="n">
        <f aca="false">IFERROR(COUNTIFS('Tagged Responses'!$M$2:$M$733,"*"&amp;$A63&amp;"*",'Tagged Responses'!$D$2:$D$733,Notes!$B$9)/D$45,"")</f>
        <v>0.00922509225092251</v>
      </c>
      <c r="E63" s="11" t="n">
        <f aca="false">IFERROR(COUNTIFS('Tagged Responses'!$M$2:$M$733,"*"&amp;$A63&amp;"*",'Tagged Responses'!$D$2:$D$733,Notes!$C$9)/E$45,"")</f>
        <v>0.0301204819277108</v>
      </c>
      <c r="F63" s="11" t="n">
        <f aca="false">IFERROR(COUNTIFS('Tagged Responses'!$M$2:$M$733,"*"&amp;$A63&amp;"*",'Tagged Responses'!$D$2:$D$733,Notes!$D$9)/F$45,"")</f>
        <v>0</v>
      </c>
      <c r="G63" s="11" t="n">
        <f aca="false">IFERROR(COUNTIFS('Tagged Responses'!$M$2:$M$733,"*"&amp;$A63&amp;"*",'Tagged Responses'!$E$2:$E$733,"Female")/G$45,"")</f>
        <v>0.00975609756097561</v>
      </c>
      <c r="H63" s="11" t="n">
        <f aca="false">IFERROR(COUNTIFS('Tagged Responses'!$M$2:$M$733,"*"&amp;$A63&amp;"*",'Tagged Responses'!$E$2:$E$733,"Male")/H$45,"")</f>
        <v>0.019672131147541</v>
      </c>
      <c r="I63" s="11" t="n">
        <f aca="false">IFERROR(COUNTIFS('Tagged Responses'!$M$2:$M$733,"*"&amp;$A63&amp;"*",'Tagged Responses'!$G$2:$G$733,"United States")/I$45,"")</f>
        <v>0.00952380952380953</v>
      </c>
      <c r="J63" s="11" t="n">
        <f aca="false">IFERROR(COUNTIFS('Tagged Responses'!$M$2:$M$733,"*"&amp;$A63&amp;"*",'Tagged Responses'!$G$2:$G$733,"China")/J$45,"")</f>
        <v>0.0318471337579618</v>
      </c>
    </row>
    <row r="64" customFormat="false" ht="15" hidden="false" customHeight="true" outlineLevel="0" collapsed="false">
      <c r="A64" s="10" t="s">
        <v>6918</v>
      </c>
      <c r="B64" s="10" t="n">
        <f aca="false">COUNTIF('Tagged Responses'!$M$2:$M$733,"*"&amp;$A64&amp;"*")</f>
        <v>2</v>
      </c>
      <c r="C64" s="11" t="n">
        <f aca="false">IFERROR(COUNTIF('Tagged Responses'!$M$2:$M$733,"*"&amp;$A64&amp;"*")/C$45,"")</f>
        <v>0.00274725274725275</v>
      </c>
      <c r="D64" s="11" t="n">
        <f aca="false">IFERROR(COUNTIFS('Tagged Responses'!$M$2:$M$733,"*"&amp;$A64&amp;"*",'Tagged Responses'!$D$2:$D$733,Notes!$B$9)/D$45,"")</f>
        <v>0.003690036900369</v>
      </c>
      <c r="E64" s="11" t="n">
        <f aca="false">IFERROR(COUNTIFS('Tagged Responses'!$M$2:$M$733,"*"&amp;$A64&amp;"*",'Tagged Responses'!$D$2:$D$733,Notes!$C$9)/E$45,"")</f>
        <v>0</v>
      </c>
      <c r="F64" s="11" t="n">
        <f aca="false">IFERROR(COUNTIFS('Tagged Responses'!$M$2:$M$733,"*"&amp;$A64&amp;"*",'Tagged Responses'!$D$2:$D$733,Notes!$D$9)/F$45,"")</f>
        <v>0</v>
      </c>
      <c r="G64" s="11" t="n">
        <f aca="false">IFERROR(COUNTIFS('Tagged Responses'!$M$2:$M$733,"*"&amp;$A64&amp;"*",'Tagged Responses'!$E$2:$E$733,"Female")/G$45,"")</f>
        <v>0.0024390243902439</v>
      </c>
      <c r="H64" s="11" t="n">
        <f aca="false">IFERROR(COUNTIFS('Tagged Responses'!$M$2:$M$733,"*"&amp;$A64&amp;"*",'Tagged Responses'!$E$2:$E$733,"Male")/H$45,"")</f>
        <v>0.00327868852459016</v>
      </c>
      <c r="I64" s="11" t="n">
        <f aca="false">IFERROR(COUNTIFS('Tagged Responses'!$M$2:$M$733,"*"&amp;$A64&amp;"*",'Tagged Responses'!$G$2:$G$733,"United States")/I$45,"")</f>
        <v>0.00380952380952381</v>
      </c>
      <c r="J64" s="11" t="n">
        <f aca="false">IFERROR(COUNTIFS('Tagged Responses'!$M$2:$M$733,"*"&amp;$A64&amp;"*",'Tagged Responses'!$G$2:$G$733,"China")/J$45,"")</f>
        <v>0</v>
      </c>
    </row>
    <row r="65" customFormat="false" ht="15" hidden="false" customHeight="true" outlineLevel="0" collapsed="false">
      <c r="A65" s="10" t="s">
        <v>6551</v>
      </c>
      <c r="B65" s="10" t="n">
        <f aca="false">COUNTIF('Tagged Responses'!$M$2:$M$733,"*"&amp;$A65&amp;"*")</f>
        <v>15</v>
      </c>
      <c r="C65" s="11" t="n">
        <f aca="false">IFERROR(COUNTIF('Tagged Responses'!$M$2:$M$733,"*"&amp;$A65&amp;"*")/C$45,"")</f>
        <v>0.0206043956043956</v>
      </c>
      <c r="D65" s="11" t="n">
        <f aca="false">IFERROR(COUNTIFS('Tagged Responses'!$M$2:$M$733,"*"&amp;$A65&amp;"*",'Tagged Responses'!$D$2:$D$733,Notes!$B$9)/D$45,"")</f>
        <v>0.025830258302583</v>
      </c>
      <c r="E65" s="11" t="n">
        <f aca="false">IFERROR(COUNTIFS('Tagged Responses'!$M$2:$M$733,"*"&amp;$A65&amp;"*",'Tagged Responses'!$D$2:$D$733,Notes!$C$9)/E$45,"")</f>
        <v>0.00602409638554217</v>
      </c>
      <c r="F65" s="11" t="n">
        <f aca="false">IFERROR(COUNTIFS('Tagged Responses'!$M$2:$M$733,"*"&amp;$A65&amp;"*",'Tagged Responses'!$D$2:$D$733,Notes!$D$9)/F$45,"")</f>
        <v>0</v>
      </c>
      <c r="G65" s="11" t="n">
        <f aca="false">IFERROR(COUNTIFS('Tagged Responses'!$M$2:$M$733,"*"&amp;$A65&amp;"*",'Tagged Responses'!$E$2:$E$733,"Female")/G$45,"")</f>
        <v>0.0195121951219512</v>
      </c>
      <c r="H65" s="11" t="n">
        <f aca="false">IFERROR(COUNTIFS('Tagged Responses'!$M$2:$M$733,"*"&amp;$A65&amp;"*",'Tagged Responses'!$E$2:$E$733,"Male")/H$45,"")</f>
        <v>0.0229508196721311</v>
      </c>
      <c r="I65" s="11" t="n">
        <f aca="false">IFERROR(COUNTIFS('Tagged Responses'!$M$2:$M$733,"*"&amp;$A65&amp;"*",'Tagged Responses'!$G$2:$G$733,"United States")/I$45,"")</f>
        <v>0.0266666666666667</v>
      </c>
      <c r="J65" s="11" t="n">
        <f aca="false">IFERROR(COUNTIFS('Tagged Responses'!$M$2:$M$733,"*"&amp;$A65&amp;"*",'Tagged Responses'!$G$2:$G$733,"China")/J$45,"")</f>
        <v>0.00636942675159236</v>
      </c>
    </row>
    <row r="66" customFormat="false" ht="15" hidden="false" customHeight="true" outlineLevel="0" collapsed="false">
      <c r="A66" s="10" t="s">
        <v>6538</v>
      </c>
      <c r="B66" s="10" t="n">
        <f aca="false">COUNTIF('Tagged Responses'!$M$2:$M$733,"*"&amp;$A66&amp;"*")</f>
        <v>5</v>
      </c>
      <c r="C66" s="11" t="n">
        <f aca="false">IFERROR(COUNTIF('Tagged Responses'!$M$2:$M$733,"*"&amp;$A66&amp;"*")/C$45,"")</f>
        <v>0.00686813186813187</v>
      </c>
      <c r="D66" s="11" t="n">
        <f aca="false">IFERROR(COUNTIFS('Tagged Responses'!$M$2:$M$733,"*"&amp;$A66&amp;"*",'Tagged Responses'!$D$2:$D$733,Notes!$B$9)/D$45,"")</f>
        <v>0.0018450184501845</v>
      </c>
      <c r="E66" s="11" t="n">
        <f aca="false">IFERROR(COUNTIFS('Tagged Responses'!$M$2:$M$733,"*"&amp;$A66&amp;"*",'Tagged Responses'!$D$2:$D$733,Notes!$C$9)/E$45,"")</f>
        <v>0.0240963855421687</v>
      </c>
      <c r="F66" s="11" t="n">
        <f aca="false">IFERROR(COUNTIFS('Tagged Responses'!$M$2:$M$733,"*"&amp;$A66&amp;"*",'Tagged Responses'!$D$2:$D$733,Notes!$D$9)/F$45,"")</f>
        <v>0</v>
      </c>
      <c r="G66" s="11" t="n">
        <f aca="false">IFERROR(COUNTIFS('Tagged Responses'!$M$2:$M$733,"*"&amp;$A66&amp;"*",'Tagged Responses'!$E$2:$E$733,"Female")/G$45,"")</f>
        <v>0.00731707317073171</v>
      </c>
      <c r="H66" s="11" t="n">
        <f aca="false">IFERROR(COUNTIFS('Tagged Responses'!$M$2:$M$733,"*"&amp;$A66&amp;"*",'Tagged Responses'!$E$2:$E$733,"Male")/H$45,"")</f>
        <v>0.00327868852459016</v>
      </c>
      <c r="I66" s="11" t="n">
        <f aca="false">IFERROR(COUNTIFS('Tagged Responses'!$M$2:$M$733,"*"&amp;$A66&amp;"*",'Tagged Responses'!$G$2:$G$733,"United States")/I$45,"")</f>
        <v>0.00571428571428571</v>
      </c>
      <c r="J66" s="11" t="n">
        <f aca="false">IFERROR(COUNTIFS('Tagged Responses'!$M$2:$M$733,"*"&amp;$A66&amp;"*",'Tagged Responses'!$G$2:$G$733,"China")/J$45,"")</f>
        <v>0.0127388535031847</v>
      </c>
    </row>
    <row r="68" customFormat="false" ht="15" hidden="false" customHeight="true" outlineLevel="0" collapsed="false">
      <c r="A68" s="8" t="s">
        <v>7691</v>
      </c>
    </row>
    <row r="69" customFormat="false" ht="30" hidden="false" customHeight="true" outlineLevel="0" collapsed="false">
      <c r="A69" s="2" t="s">
        <v>7683</v>
      </c>
      <c r="B69" s="2" t="s">
        <v>7684</v>
      </c>
      <c r="C69" s="2" t="s">
        <v>7685</v>
      </c>
      <c r="D69" s="2" t="str">
        <f aca="false">Notes!$B$9</f>
        <v>Student age (≤29)</v>
      </c>
      <c r="E69" s="2" t="str">
        <f aca="false">Notes!$C$9</f>
        <v>Middle-aged (30–64)</v>
      </c>
      <c r="F69" s="2" t="str">
        <f aca="false">Notes!$D$9</f>
        <v>Elderly (65+)</v>
      </c>
      <c r="G69" s="2" t="s">
        <v>45</v>
      </c>
      <c r="H69" s="2" t="s">
        <v>83</v>
      </c>
      <c r="I69" s="2" t="s">
        <v>7686</v>
      </c>
      <c r="J69" s="2" t="s">
        <v>7687</v>
      </c>
    </row>
    <row r="70" customFormat="false" ht="15" hidden="false" customHeight="true" outlineLevel="0" collapsed="false">
      <c r="A70" s="9" t="s">
        <v>7688</v>
      </c>
      <c r="B70" s="9" t="n">
        <f aca="false">COUNTIF('Tagged Responses'!$N$2:$N$733,"?*")</f>
        <v>727</v>
      </c>
      <c r="C70" s="9" t="n">
        <f aca="false">COUNTIF('Tagged Responses'!$N$2:$N$733,"?*")</f>
        <v>727</v>
      </c>
      <c r="D70" s="9" t="n">
        <f aca="false">COUNTIFS('Tagged Responses'!$N$2:$N$733,"?*",'Tagged Responses'!$D$2:$D$733,Notes!$B$9)</f>
        <v>541</v>
      </c>
      <c r="E70" s="9" t="n">
        <f aca="false">COUNTIFS('Tagged Responses'!$N$2:$N$733,"?*",'Tagged Responses'!$D$2:$D$733,Notes!$C$9)</f>
        <v>166</v>
      </c>
      <c r="F70" s="9" t="n">
        <f aca="false">COUNTIFS('Tagged Responses'!$N$2:$N$733,"?*",'Tagged Responses'!$D$2:$D$733,Notes!$D$9)</f>
        <v>20</v>
      </c>
      <c r="G70" s="9" t="n">
        <f aca="false">COUNTIFS('Tagged Responses'!$N$2:$N$733,"?*",'Tagged Responses'!$E$2:$E$733,"Female")</f>
        <v>409</v>
      </c>
      <c r="H70" s="9" t="n">
        <f aca="false">COUNTIFS('Tagged Responses'!$N$2:$N$733,"?*",'Tagged Responses'!$E$2:$E$733,"Male")</f>
        <v>305</v>
      </c>
      <c r="I70" s="9" t="n">
        <f aca="false">COUNTIFS('Tagged Responses'!$N$2:$N$733,"?*",'Tagged Responses'!$G$2:$G$733,"United States")</f>
        <v>524</v>
      </c>
      <c r="J70" s="9" t="n">
        <f aca="false">COUNTIFS('Tagged Responses'!$N$2:$N$733,"?*",'Tagged Responses'!$G$2:$G$733,"China")</f>
        <v>157</v>
      </c>
    </row>
    <row r="71" customFormat="false" ht="15" hidden="false" customHeight="true" outlineLevel="0" collapsed="false">
      <c r="A71" s="10" t="s">
        <v>6511</v>
      </c>
      <c r="B71" s="10" t="n">
        <f aca="false">COUNTIF('Tagged Responses'!$O$2:$O$733,"*"&amp;$A71&amp;"*")</f>
        <v>269</v>
      </c>
      <c r="C71" s="11" t="n">
        <f aca="false">IFERROR(COUNTIF('Tagged Responses'!$O$2:$O$733,"*"&amp;$A71&amp;"*")/C$70,"")</f>
        <v>0.370013755158184</v>
      </c>
      <c r="D71" s="11" t="n">
        <f aca="false">IFERROR(COUNTIFS('Tagged Responses'!$O$2:$O$733,"*"&amp;$A71&amp;"*",'Tagged Responses'!$D$2:$D$733,Notes!$B$9)/D$70,"")</f>
        <v>0.353049907578558</v>
      </c>
      <c r="E71" s="11" t="n">
        <f aca="false">IFERROR(COUNTIFS('Tagged Responses'!$O$2:$O$733,"*"&amp;$A71&amp;"*",'Tagged Responses'!$D$2:$D$733,Notes!$C$9)/E$70,"")</f>
        <v>0.439759036144578</v>
      </c>
      <c r="F71" s="11" t="n">
        <f aca="false">IFERROR(COUNTIFS('Tagged Responses'!$O$2:$O$733,"*"&amp;$A71&amp;"*",'Tagged Responses'!$D$2:$D$733,Notes!$D$9)/F$70,"")</f>
        <v>0.25</v>
      </c>
      <c r="G71" s="11" t="n">
        <f aca="false">IFERROR(COUNTIFS('Tagged Responses'!$O$2:$O$733,"*"&amp;$A71&amp;"*",'Tagged Responses'!$E$2:$E$733,"Female")/G$70,"")</f>
        <v>0.356968215158924</v>
      </c>
      <c r="H71" s="11" t="n">
        <f aca="false">IFERROR(COUNTIFS('Tagged Responses'!$O$2:$O$733,"*"&amp;$A71&amp;"*",'Tagged Responses'!$E$2:$E$733,"Male")/H$70,"")</f>
        <v>0.39016393442623</v>
      </c>
      <c r="I71" s="11" t="n">
        <f aca="false">IFERROR(COUNTIFS('Tagged Responses'!$O$2:$O$733,"*"&amp;$A71&amp;"*",'Tagged Responses'!$G$2:$G$733,"United States")/I$70,"")</f>
        <v>0.42557251908397</v>
      </c>
      <c r="J71" s="11" t="n">
        <f aca="false">IFERROR(COUNTIFS('Tagged Responses'!$O$2:$O$733,"*"&amp;$A71&amp;"*",'Tagged Responses'!$G$2:$G$733,"China")/J$70,"")</f>
        <v>0.197452229299363</v>
      </c>
    </row>
    <row r="72" customFormat="false" ht="15" hidden="false" customHeight="true" outlineLevel="0" collapsed="false">
      <c r="A72" s="10" t="s">
        <v>6530</v>
      </c>
      <c r="B72" s="10" t="n">
        <f aca="false">COUNTIF('Tagged Responses'!$O$2:$O$733,"*"&amp;$A72&amp;"*")</f>
        <v>151</v>
      </c>
      <c r="C72" s="11" t="n">
        <f aca="false">IFERROR(COUNTIF('Tagged Responses'!$O$2:$O$733,"*"&amp;$A72&amp;"*")/C$70,"")</f>
        <v>0.207702888583219</v>
      </c>
      <c r="D72" s="11" t="n">
        <f aca="false">IFERROR(COUNTIFS('Tagged Responses'!$O$2:$O$733,"*"&amp;$A72&amp;"*",'Tagged Responses'!$D$2:$D$733,Notes!$B$9)/D$70,"")</f>
        <v>0.229205175600739</v>
      </c>
      <c r="E72" s="11" t="n">
        <f aca="false">IFERROR(COUNTIFS('Tagged Responses'!$O$2:$O$733,"*"&amp;$A72&amp;"*",'Tagged Responses'!$D$2:$D$733,Notes!$C$9)/E$70,"")</f>
        <v>0.150602409638554</v>
      </c>
      <c r="F72" s="11" t="n">
        <f aca="false">IFERROR(COUNTIFS('Tagged Responses'!$O$2:$O$733,"*"&amp;$A72&amp;"*",'Tagged Responses'!$D$2:$D$733,Notes!$D$9)/F$70,"")</f>
        <v>0.1</v>
      </c>
      <c r="G72" s="11" t="n">
        <f aca="false">IFERROR(COUNTIFS('Tagged Responses'!$O$2:$O$733,"*"&amp;$A72&amp;"*",'Tagged Responses'!$E$2:$E$733,"Female")/G$70,"")</f>
        <v>0.207823960880196</v>
      </c>
      <c r="H72" s="11" t="n">
        <f aca="false">IFERROR(COUNTIFS('Tagged Responses'!$O$2:$O$733,"*"&amp;$A72&amp;"*",'Tagged Responses'!$E$2:$E$733,"Male")/H$70,"")</f>
        <v>0.20655737704918</v>
      </c>
      <c r="I72" s="11" t="n">
        <f aca="false">IFERROR(COUNTIFS('Tagged Responses'!$O$2:$O$733,"*"&amp;$A72&amp;"*",'Tagged Responses'!$G$2:$G$733,"United States")/I$70,"")</f>
        <v>0.141221374045802</v>
      </c>
      <c r="J72" s="11" t="n">
        <f aca="false">IFERROR(COUNTIFS('Tagged Responses'!$O$2:$O$733,"*"&amp;$A72&amp;"*",'Tagged Responses'!$G$2:$G$733,"China")/J$70,"")</f>
        <v>0.375796178343949</v>
      </c>
    </row>
    <row r="73" customFormat="false" ht="15" hidden="false" customHeight="true" outlineLevel="0" collapsed="false">
      <c r="A73" s="10" t="s">
        <v>6517</v>
      </c>
      <c r="B73" s="10" t="n">
        <f aca="false">COUNTIF('Tagged Responses'!$O$2:$O$733,"*"&amp;$A73&amp;"*")</f>
        <v>150</v>
      </c>
      <c r="C73" s="11" t="n">
        <f aca="false">IFERROR(COUNTIF('Tagged Responses'!$O$2:$O$733,"*"&amp;$A73&amp;"*")/C$70,"")</f>
        <v>0.206327372764787</v>
      </c>
      <c r="D73" s="11" t="n">
        <f aca="false">IFERROR(COUNTIFS('Tagged Responses'!$O$2:$O$733,"*"&amp;$A73&amp;"*",'Tagged Responses'!$D$2:$D$733,Notes!$B$9)/D$70,"")</f>
        <v>0.199630314232902</v>
      </c>
      <c r="E73" s="11" t="n">
        <f aca="false">IFERROR(COUNTIFS('Tagged Responses'!$O$2:$O$733,"*"&amp;$A73&amp;"*",'Tagged Responses'!$D$2:$D$733,Notes!$C$9)/E$70,"")</f>
        <v>0.216867469879518</v>
      </c>
      <c r="F73" s="11" t="n">
        <f aca="false">IFERROR(COUNTIFS('Tagged Responses'!$O$2:$O$733,"*"&amp;$A73&amp;"*",'Tagged Responses'!$D$2:$D$733,Notes!$D$9)/F$70,"")</f>
        <v>0.3</v>
      </c>
      <c r="G73" s="11" t="n">
        <f aca="false">IFERROR(COUNTIFS('Tagged Responses'!$O$2:$O$733,"*"&amp;$A73&amp;"*",'Tagged Responses'!$E$2:$E$733,"Female")/G$70,"")</f>
        <v>0.224938875305623</v>
      </c>
      <c r="H73" s="11" t="n">
        <f aca="false">IFERROR(COUNTIFS('Tagged Responses'!$O$2:$O$733,"*"&amp;$A73&amp;"*",'Tagged Responses'!$E$2:$E$733,"Male")/H$70,"")</f>
        <v>0.180327868852459</v>
      </c>
      <c r="I73" s="11" t="n">
        <f aca="false">IFERROR(COUNTIFS('Tagged Responses'!$O$2:$O$733,"*"&amp;$A73&amp;"*",'Tagged Responses'!$G$2:$G$733,"United States")/I$70,"")</f>
        <v>0.213740458015267</v>
      </c>
      <c r="J73" s="11" t="n">
        <f aca="false">IFERROR(COUNTIFS('Tagged Responses'!$O$2:$O$733,"*"&amp;$A73&amp;"*",'Tagged Responses'!$G$2:$G$733,"China")/J$70,"")</f>
        <v>0.197452229299363</v>
      </c>
    </row>
    <row r="74" customFormat="false" ht="15" hidden="false" customHeight="true" outlineLevel="0" collapsed="false">
      <c r="A74" s="10" t="s">
        <v>59</v>
      </c>
      <c r="B74" s="10" t="n">
        <f aca="false">COUNTIF('Tagged Responses'!$O$2:$O$733,"*"&amp;$A74&amp;"*")</f>
        <v>114</v>
      </c>
      <c r="C74" s="11" t="n">
        <f aca="false">IFERROR(COUNTIF('Tagged Responses'!$O$2:$O$733,"*"&amp;$A74&amp;"*")/C$70,"")</f>
        <v>0.156808803301238</v>
      </c>
      <c r="D74" s="11" t="n">
        <f aca="false">IFERROR(COUNTIFS('Tagged Responses'!$O$2:$O$733,"*"&amp;$A74&amp;"*",'Tagged Responses'!$D$2:$D$733,Notes!$B$9)/D$70,"")</f>
        <v>0.151571164510166</v>
      </c>
      <c r="E74" s="11" t="n">
        <f aca="false">IFERROR(COUNTIFS('Tagged Responses'!$O$2:$O$733,"*"&amp;$A74&amp;"*",'Tagged Responses'!$D$2:$D$733,Notes!$C$9)/E$70,"")</f>
        <v>0.156626506024096</v>
      </c>
      <c r="F74" s="11" t="n">
        <f aca="false">IFERROR(COUNTIFS('Tagged Responses'!$O$2:$O$733,"*"&amp;$A74&amp;"*",'Tagged Responses'!$D$2:$D$733,Notes!$D$9)/F$70,"")</f>
        <v>0.3</v>
      </c>
      <c r="G74" s="11" t="n">
        <f aca="false">IFERROR(COUNTIFS('Tagged Responses'!$O$2:$O$733,"*"&amp;$A74&amp;"*",'Tagged Responses'!$E$2:$E$733,"Female")/G$70,"")</f>
        <v>0.146699266503668</v>
      </c>
      <c r="H74" s="11" t="n">
        <f aca="false">IFERROR(COUNTIFS('Tagged Responses'!$O$2:$O$733,"*"&amp;$A74&amp;"*",'Tagged Responses'!$E$2:$E$733,"Male")/H$70,"")</f>
        <v>0.173770491803279</v>
      </c>
      <c r="I74" s="11" t="n">
        <f aca="false">IFERROR(COUNTIFS('Tagged Responses'!$O$2:$O$733,"*"&amp;$A74&amp;"*",'Tagged Responses'!$G$2:$G$733,"United States")/I$70,"")</f>
        <v>0.175572519083969</v>
      </c>
      <c r="J74" s="11" t="n">
        <f aca="false">IFERROR(COUNTIFS('Tagged Responses'!$O$2:$O$733,"*"&amp;$A74&amp;"*",'Tagged Responses'!$G$2:$G$733,"China")/J$70,"")</f>
        <v>0.121019108280255</v>
      </c>
    </row>
    <row r="75" customFormat="false" ht="15" hidden="false" customHeight="true" outlineLevel="0" collapsed="false">
      <c r="A75" s="10" t="s">
        <v>1625</v>
      </c>
      <c r="B75" s="10" t="n">
        <f aca="false">COUNTIF('Tagged Responses'!$O$2:$O$733,"*"&amp;$A75&amp;"*")</f>
        <v>43</v>
      </c>
      <c r="C75" s="11" t="n">
        <f aca="false">IFERROR(COUNTIF('Tagged Responses'!$O$2:$O$733,"*"&amp;$A75&amp;"*")/C$70,"")</f>
        <v>0.0591471801925722</v>
      </c>
      <c r="D75" s="11" t="n">
        <f aca="false">IFERROR(COUNTIFS('Tagged Responses'!$O$2:$O$733,"*"&amp;$A75&amp;"*",'Tagged Responses'!$D$2:$D$733,Notes!$B$9)/D$70,"")</f>
        <v>0.066543438077634</v>
      </c>
      <c r="E75" s="11" t="n">
        <f aca="false">IFERROR(COUNTIFS('Tagged Responses'!$O$2:$O$733,"*"&amp;$A75&amp;"*",'Tagged Responses'!$D$2:$D$733,Notes!$C$9)/E$70,"")</f>
        <v>0.036144578313253</v>
      </c>
      <c r="F75" s="11" t="n">
        <f aca="false">IFERROR(COUNTIFS('Tagged Responses'!$O$2:$O$733,"*"&amp;$A75&amp;"*",'Tagged Responses'!$D$2:$D$733,Notes!$D$9)/F$70,"")</f>
        <v>0.05</v>
      </c>
      <c r="G75" s="11" t="n">
        <f aca="false">IFERROR(COUNTIFS('Tagged Responses'!$O$2:$O$733,"*"&amp;$A75&amp;"*",'Tagged Responses'!$E$2:$E$733,"Female")/G$70,"")</f>
        <v>0.0635696821515892</v>
      </c>
      <c r="H75" s="11" t="n">
        <f aca="false">IFERROR(COUNTIFS('Tagged Responses'!$O$2:$O$733,"*"&amp;$A75&amp;"*",'Tagged Responses'!$E$2:$E$733,"Male")/H$70,"")</f>
        <v>0.0491803278688525</v>
      </c>
      <c r="I75" s="11" t="n">
        <f aca="false">IFERROR(COUNTIFS('Tagged Responses'!$O$2:$O$733,"*"&amp;$A75&amp;"*",'Tagged Responses'!$G$2:$G$733,"United States")/I$70,"")</f>
        <v>0.0438931297709924</v>
      </c>
      <c r="J75" s="11" t="n">
        <f aca="false">IFERROR(COUNTIFS('Tagged Responses'!$O$2:$O$733,"*"&amp;$A75&amp;"*",'Tagged Responses'!$G$2:$G$733,"China")/J$70,"")</f>
        <v>0.10828025477707</v>
      </c>
    </row>
    <row r="77" customFormat="false" ht="15" hidden="false" customHeight="true" outlineLevel="0" collapsed="false">
      <c r="A77" s="8" t="s">
        <v>7692</v>
      </c>
    </row>
    <row r="78" customFormat="false" ht="30" hidden="false" customHeight="true" outlineLevel="0" collapsed="false">
      <c r="A78" s="2" t="s">
        <v>7683</v>
      </c>
      <c r="B78" s="2" t="s">
        <v>7684</v>
      </c>
      <c r="C78" s="2" t="s">
        <v>7685</v>
      </c>
      <c r="D78" s="2" t="str">
        <f aca="false">Notes!$B$9</f>
        <v>Student age (≤29)</v>
      </c>
      <c r="E78" s="2" t="str">
        <f aca="false">Notes!$C$9</f>
        <v>Middle-aged (30–64)</v>
      </c>
      <c r="F78" s="2" t="str">
        <f aca="false">Notes!$D$9</f>
        <v>Elderly (65+)</v>
      </c>
      <c r="G78" s="2" t="s">
        <v>45</v>
      </c>
      <c r="H78" s="2" t="s">
        <v>83</v>
      </c>
      <c r="I78" s="2" t="s">
        <v>7686</v>
      </c>
      <c r="J78" s="2" t="s">
        <v>7687</v>
      </c>
    </row>
    <row r="79" customFormat="false" ht="15" hidden="false" customHeight="true" outlineLevel="0" collapsed="false">
      <c r="A79" s="9" t="s">
        <v>7688</v>
      </c>
      <c r="B79" s="9" t="n">
        <f aca="false">COUNTIF('Tagged Responses'!$P$2:$P$733,"?*")</f>
        <v>728</v>
      </c>
      <c r="C79" s="9" t="n">
        <f aca="false">COUNTIF('Tagged Responses'!$P$2:$P$733,"?*")</f>
        <v>728</v>
      </c>
      <c r="D79" s="9" t="n">
        <f aca="false">COUNTIFS('Tagged Responses'!$P$2:$P$733,"?*",'Tagged Responses'!$D$2:$D$733,Notes!$B$9)</f>
        <v>542</v>
      </c>
      <c r="E79" s="9" t="n">
        <f aca="false">COUNTIFS('Tagged Responses'!$P$2:$P$733,"?*",'Tagged Responses'!$D$2:$D$733,Notes!$C$9)</f>
        <v>166</v>
      </c>
      <c r="F79" s="9" t="n">
        <f aca="false">COUNTIFS('Tagged Responses'!$P$2:$P$733,"?*",'Tagged Responses'!$D$2:$D$733,Notes!$D$9)</f>
        <v>20</v>
      </c>
      <c r="G79" s="9" t="n">
        <f aca="false">COUNTIFS('Tagged Responses'!$P$2:$P$733,"?*",'Tagged Responses'!$E$2:$E$733,"Female")</f>
        <v>410</v>
      </c>
      <c r="H79" s="9" t="n">
        <f aca="false">COUNTIFS('Tagged Responses'!$P$2:$P$733,"?*",'Tagged Responses'!$E$2:$E$733,"Male")</f>
        <v>305</v>
      </c>
      <c r="I79" s="9" t="n">
        <f aca="false">COUNTIFS('Tagged Responses'!$P$2:$P$733,"?*",'Tagged Responses'!$G$2:$G$733,"United States")</f>
        <v>525</v>
      </c>
      <c r="J79" s="9" t="n">
        <f aca="false">COUNTIFS('Tagged Responses'!$P$2:$P$733,"?*",'Tagged Responses'!$G$2:$G$733,"China")</f>
        <v>157</v>
      </c>
    </row>
    <row r="80" customFormat="false" ht="15" hidden="false" customHeight="true" outlineLevel="0" collapsed="false">
      <c r="A80" s="10" t="s">
        <v>6580</v>
      </c>
      <c r="B80" s="10" t="n">
        <f aca="false">COUNTIF('Tagged Responses'!$Q$2:$Q$733,"*"&amp;$A80&amp;"*")</f>
        <v>591</v>
      </c>
      <c r="C80" s="11" t="n">
        <f aca="false">IFERROR(COUNTIF('Tagged Responses'!$Q$2:$Q$733,"*"&amp;$A80&amp;"*")/C$79,"")</f>
        <v>0.811813186813187</v>
      </c>
      <c r="D80" s="11" t="n">
        <f aca="false">IFERROR(COUNTIFS('Tagged Responses'!$Q$2:$Q$733,"*"&amp;$A80&amp;"*",'Tagged Responses'!$D$2:$D$733,Notes!$B$9)/D$79,"")</f>
        <v>0.808118081180812</v>
      </c>
      <c r="E80" s="11" t="n">
        <f aca="false">IFERROR(COUNTIFS('Tagged Responses'!$Q$2:$Q$733,"*"&amp;$A80&amp;"*",'Tagged Responses'!$D$2:$D$733,Notes!$C$9)/E$79,"")</f>
        <v>0.831325301204819</v>
      </c>
      <c r="F80" s="11" t="n">
        <f aca="false">IFERROR(COUNTIFS('Tagged Responses'!$Q$2:$Q$733,"*"&amp;$A80&amp;"*",'Tagged Responses'!$D$2:$D$733,Notes!$D$9)/F$79,"")</f>
        <v>0.75</v>
      </c>
      <c r="G80" s="11" t="n">
        <f aca="false">IFERROR(COUNTIFS('Tagged Responses'!$Q$2:$Q$733,"*"&amp;$A80&amp;"*",'Tagged Responses'!$E$2:$E$733,"Female")/G$79,"")</f>
        <v>0.787804878048781</v>
      </c>
      <c r="H80" s="11" t="n">
        <f aca="false">IFERROR(COUNTIFS('Tagged Responses'!$Q$2:$Q$733,"*"&amp;$A80&amp;"*",'Tagged Responses'!$E$2:$E$733,"Male")/H$79,"")</f>
        <v>0.842622950819672</v>
      </c>
      <c r="I80" s="11" t="n">
        <f aca="false">IFERROR(COUNTIFS('Tagged Responses'!$Q$2:$Q$733,"*"&amp;$A80&amp;"*",'Tagged Responses'!$G$2:$G$733,"United States")/I$79,"")</f>
        <v>0.813333333333333</v>
      </c>
      <c r="J80" s="11" t="n">
        <f aca="false">IFERROR(COUNTIFS('Tagged Responses'!$Q$2:$Q$733,"*"&amp;$A80&amp;"*",'Tagged Responses'!$G$2:$G$733,"China")/J$79,"")</f>
        <v>0.789808917197452</v>
      </c>
    </row>
    <row r="81" customFormat="false" ht="15" hidden="false" customHeight="true" outlineLevel="0" collapsed="false">
      <c r="A81" s="10" t="s">
        <v>7623</v>
      </c>
      <c r="B81" s="10" t="n">
        <f aca="false">COUNTIF('Tagged Responses'!$Q$2:$Q$733,"*"&amp;$A81&amp;"*")</f>
        <v>376</v>
      </c>
      <c r="C81" s="11" t="n">
        <f aca="false">IFERROR(COUNTIF('Tagged Responses'!$Q$2:$Q$733,"*"&amp;$A81&amp;"*")/C$79,"")</f>
        <v>0.516483516483517</v>
      </c>
      <c r="D81" s="11" t="n">
        <f aca="false">IFERROR(COUNTIFS('Tagged Responses'!$Q$2:$Q$733,"*"&amp;$A81&amp;"*",'Tagged Responses'!$D$2:$D$733,Notes!$B$9)/D$79,"")</f>
        <v>0.535055350553506</v>
      </c>
      <c r="E81" s="11" t="n">
        <f aca="false">IFERROR(COUNTIFS('Tagged Responses'!$Q$2:$Q$733,"*"&amp;$A81&amp;"*",'Tagged Responses'!$D$2:$D$733,Notes!$C$9)/E$79,"")</f>
        <v>0.457831325301205</v>
      </c>
      <c r="F81" s="11" t="n">
        <f aca="false">IFERROR(COUNTIFS('Tagged Responses'!$Q$2:$Q$733,"*"&amp;$A81&amp;"*",'Tagged Responses'!$D$2:$D$733,Notes!$D$9)/F$79,"")</f>
        <v>0.5</v>
      </c>
      <c r="G81" s="11" t="n">
        <f aca="false">IFERROR(COUNTIFS('Tagged Responses'!$Q$2:$Q$733,"*"&amp;$A81&amp;"*",'Tagged Responses'!$E$2:$E$733,"Female")/G$79,"")</f>
        <v>0.475609756097561</v>
      </c>
      <c r="H81" s="11" t="n">
        <f aca="false">IFERROR(COUNTIFS('Tagged Responses'!$Q$2:$Q$733,"*"&amp;$A81&amp;"*",'Tagged Responses'!$E$2:$E$733,"Male")/H$79,"")</f>
        <v>0.560655737704918</v>
      </c>
      <c r="I81" s="11" t="n">
        <f aca="false">IFERROR(COUNTIFS('Tagged Responses'!$Q$2:$Q$733,"*"&amp;$A81&amp;"*",'Tagged Responses'!$G$2:$G$733,"United States")/I$79,"")</f>
        <v>0.525714285714286</v>
      </c>
      <c r="J81" s="11" t="n">
        <f aca="false">IFERROR(COUNTIFS('Tagged Responses'!$Q$2:$Q$733,"*"&amp;$A81&amp;"*",'Tagged Responses'!$G$2:$G$733,"China")/J$79,"")</f>
        <v>0.484076433121019</v>
      </c>
    </row>
    <row r="82" customFormat="false" ht="15" hidden="false" customHeight="true" outlineLevel="0" collapsed="false">
      <c r="A82" s="10" t="s">
        <v>7011</v>
      </c>
      <c r="B82" s="10" t="n">
        <f aca="false">COUNTIF('Tagged Responses'!$Q$2:$Q$733,"*"&amp;$A82&amp;"*")</f>
        <v>233</v>
      </c>
      <c r="C82" s="11" t="n">
        <f aca="false">IFERROR(COUNTIF('Tagged Responses'!$Q$2:$Q$733,"*"&amp;$A82&amp;"*")/C$79,"")</f>
        <v>0.320054945054945</v>
      </c>
      <c r="D82" s="11" t="n">
        <f aca="false">IFERROR(COUNTIFS('Tagged Responses'!$Q$2:$Q$733,"*"&amp;$A82&amp;"*",'Tagged Responses'!$D$2:$D$733,Notes!$B$9)/D$79,"")</f>
        <v>0.343173431734317</v>
      </c>
      <c r="E82" s="11" t="n">
        <f aca="false">IFERROR(COUNTIFS('Tagged Responses'!$Q$2:$Q$733,"*"&amp;$A82&amp;"*",'Tagged Responses'!$D$2:$D$733,Notes!$C$9)/E$79,"")</f>
        <v>0.228915662650602</v>
      </c>
      <c r="F82" s="11" t="n">
        <f aca="false">IFERROR(COUNTIFS('Tagged Responses'!$Q$2:$Q$733,"*"&amp;$A82&amp;"*",'Tagged Responses'!$D$2:$D$733,Notes!$D$9)/F$79,"")</f>
        <v>0.45</v>
      </c>
      <c r="G82" s="11" t="n">
        <f aca="false">IFERROR(COUNTIFS('Tagged Responses'!$Q$2:$Q$733,"*"&amp;$A82&amp;"*",'Tagged Responses'!$E$2:$E$733,"Female")/G$79,"")</f>
        <v>0.297560975609756</v>
      </c>
      <c r="H82" s="11" t="n">
        <f aca="false">IFERROR(COUNTIFS('Tagged Responses'!$Q$2:$Q$733,"*"&amp;$A82&amp;"*",'Tagged Responses'!$E$2:$E$733,"Male")/H$79,"")</f>
        <v>0.350819672131148</v>
      </c>
      <c r="I82" s="11" t="n">
        <f aca="false">IFERROR(COUNTIFS('Tagged Responses'!$Q$2:$Q$733,"*"&amp;$A82&amp;"*",'Tagged Responses'!$G$2:$G$733,"United States")/I$79,"")</f>
        <v>0.358095238095238</v>
      </c>
      <c r="J82" s="11" t="n">
        <f aca="false">IFERROR(COUNTIFS('Tagged Responses'!$Q$2:$Q$733,"*"&amp;$A82&amp;"*",'Tagged Responses'!$G$2:$G$733,"China")/J$79,"")</f>
        <v>0.21656050955414</v>
      </c>
    </row>
    <row r="83" customFormat="false" ht="15" hidden="false" customHeight="true" outlineLevel="0" collapsed="false">
      <c r="A83" s="10" t="s">
        <v>6692</v>
      </c>
      <c r="B83" s="10" t="n">
        <f aca="false">COUNTIF('Tagged Responses'!$Q$2:$Q$733,"*"&amp;$A83&amp;"*")</f>
        <v>232</v>
      </c>
      <c r="C83" s="11" t="n">
        <f aca="false">IFERROR(COUNTIF('Tagged Responses'!$Q$2:$Q$733,"*"&amp;$A83&amp;"*")/C$79,"")</f>
        <v>0.318681318681319</v>
      </c>
      <c r="D83" s="11" t="n">
        <f aca="false">IFERROR(COUNTIFS('Tagged Responses'!$Q$2:$Q$733,"*"&amp;$A83&amp;"*",'Tagged Responses'!$D$2:$D$733,Notes!$B$9)/D$79,"")</f>
        <v>0.321033210332103</v>
      </c>
      <c r="E83" s="11" t="n">
        <f aca="false">IFERROR(COUNTIFS('Tagged Responses'!$Q$2:$Q$733,"*"&amp;$A83&amp;"*",'Tagged Responses'!$D$2:$D$733,Notes!$C$9)/E$79,"")</f>
        <v>0.313253012048193</v>
      </c>
      <c r="F83" s="11" t="n">
        <f aca="false">IFERROR(COUNTIFS('Tagged Responses'!$Q$2:$Q$733,"*"&amp;$A83&amp;"*",'Tagged Responses'!$D$2:$D$733,Notes!$D$9)/F$79,"")</f>
        <v>0.3</v>
      </c>
      <c r="G83" s="11" t="n">
        <f aca="false">IFERROR(COUNTIFS('Tagged Responses'!$Q$2:$Q$733,"*"&amp;$A83&amp;"*",'Tagged Responses'!$E$2:$E$733,"Female")/G$79,"")</f>
        <v>0.341463414634146</v>
      </c>
      <c r="H83" s="11" t="n">
        <f aca="false">IFERROR(COUNTIFS('Tagged Responses'!$Q$2:$Q$733,"*"&amp;$A83&amp;"*",'Tagged Responses'!$E$2:$E$733,"Male")/H$79,"")</f>
        <v>0.295081967213115</v>
      </c>
      <c r="I83" s="11" t="n">
        <f aca="false">IFERROR(COUNTIFS('Tagged Responses'!$Q$2:$Q$733,"*"&amp;$A83&amp;"*",'Tagged Responses'!$G$2:$G$733,"United States")/I$79,"")</f>
        <v>0.291428571428571</v>
      </c>
      <c r="J83" s="11" t="n">
        <f aca="false">IFERROR(COUNTIFS('Tagged Responses'!$Q$2:$Q$733,"*"&amp;$A83&amp;"*",'Tagged Responses'!$G$2:$G$733,"China")/J$79,"")</f>
        <v>0.394904458598726</v>
      </c>
    </row>
    <row r="84" customFormat="false" ht="15" hidden="false" customHeight="true" outlineLevel="0" collapsed="false">
      <c r="A84" s="10" t="s">
        <v>7204</v>
      </c>
      <c r="B84" s="10" t="n">
        <f aca="false">COUNTIF('Tagged Responses'!$Q$2:$Q$733,"*"&amp;$A84&amp;"*")</f>
        <v>205</v>
      </c>
      <c r="C84" s="11" t="n">
        <f aca="false">IFERROR(COUNTIF('Tagged Responses'!$Q$2:$Q$733,"*"&amp;$A84&amp;"*")/C$79,"")</f>
        <v>0.281593406593407</v>
      </c>
      <c r="D84" s="11" t="n">
        <f aca="false">IFERROR(COUNTIFS('Tagged Responses'!$Q$2:$Q$733,"*"&amp;$A84&amp;"*",'Tagged Responses'!$D$2:$D$733,Notes!$B$9)/D$79,"")</f>
        <v>0.284132841328413</v>
      </c>
      <c r="E84" s="11" t="n">
        <f aca="false">IFERROR(COUNTIFS('Tagged Responses'!$Q$2:$Q$733,"*"&amp;$A84&amp;"*",'Tagged Responses'!$D$2:$D$733,Notes!$C$9)/E$79,"")</f>
        <v>0.253012048192771</v>
      </c>
      <c r="F84" s="11" t="n">
        <f aca="false">IFERROR(COUNTIFS('Tagged Responses'!$Q$2:$Q$733,"*"&amp;$A84&amp;"*",'Tagged Responses'!$D$2:$D$733,Notes!$D$9)/F$79,"")</f>
        <v>0.45</v>
      </c>
      <c r="G84" s="11" t="n">
        <f aca="false">IFERROR(COUNTIFS('Tagged Responses'!$Q$2:$Q$733,"*"&amp;$A84&amp;"*",'Tagged Responses'!$E$2:$E$733,"Female")/G$79,"")</f>
        <v>0.304878048780488</v>
      </c>
      <c r="H84" s="11" t="n">
        <f aca="false">IFERROR(COUNTIFS('Tagged Responses'!$Q$2:$Q$733,"*"&amp;$A84&amp;"*",'Tagged Responses'!$E$2:$E$733,"Male")/H$79,"")</f>
        <v>0.245901639344262</v>
      </c>
      <c r="I84" s="11" t="n">
        <f aca="false">IFERROR(COUNTIFS('Tagged Responses'!$Q$2:$Q$733,"*"&amp;$A84&amp;"*",'Tagged Responses'!$G$2:$G$733,"United States")/I$79,"")</f>
        <v>0.268571428571429</v>
      </c>
      <c r="J84" s="11" t="n">
        <f aca="false">IFERROR(COUNTIFS('Tagged Responses'!$Q$2:$Q$733,"*"&amp;$A84&amp;"*",'Tagged Responses'!$G$2:$G$733,"China")/J$79,"")</f>
        <v>0.331210191082803</v>
      </c>
    </row>
    <row r="85" customFormat="false" ht="15" hidden="false" customHeight="true" outlineLevel="0" collapsed="false">
      <c r="A85" s="10" t="s">
        <v>6612</v>
      </c>
      <c r="B85" s="10" t="n">
        <f aca="false">COUNTIF('Tagged Responses'!$Q$2:$Q$733,"*"&amp;$A85&amp;"*")</f>
        <v>199</v>
      </c>
      <c r="C85" s="11" t="n">
        <f aca="false">IFERROR(COUNTIF('Tagged Responses'!$Q$2:$Q$733,"*"&amp;$A85&amp;"*")/C$79,"")</f>
        <v>0.273351648351648</v>
      </c>
      <c r="D85" s="11" t="n">
        <f aca="false">IFERROR(COUNTIFS('Tagged Responses'!$Q$2:$Q$733,"*"&amp;$A85&amp;"*",'Tagged Responses'!$D$2:$D$733,Notes!$B$9)/D$79,"")</f>
        <v>0.285977859778598</v>
      </c>
      <c r="E85" s="11" t="n">
        <f aca="false">IFERROR(COUNTIFS('Tagged Responses'!$Q$2:$Q$733,"*"&amp;$A85&amp;"*",'Tagged Responses'!$D$2:$D$733,Notes!$C$9)/E$79,"")</f>
        <v>0.234939759036145</v>
      </c>
      <c r="F85" s="11" t="n">
        <f aca="false">IFERROR(COUNTIFS('Tagged Responses'!$Q$2:$Q$733,"*"&amp;$A85&amp;"*",'Tagged Responses'!$D$2:$D$733,Notes!$D$9)/F$79,"")</f>
        <v>0.25</v>
      </c>
      <c r="G85" s="11" t="n">
        <f aca="false">IFERROR(COUNTIFS('Tagged Responses'!$Q$2:$Q$733,"*"&amp;$A85&amp;"*",'Tagged Responses'!$E$2:$E$733,"Female")/G$79,"")</f>
        <v>0.295121951219512</v>
      </c>
      <c r="H85" s="11" t="n">
        <f aca="false">IFERROR(COUNTIFS('Tagged Responses'!$Q$2:$Q$733,"*"&amp;$A85&amp;"*",'Tagged Responses'!$E$2:$E$733,"Male")/H$79,"")</f>
        <v>0.236065573770492</v>
      </c>
      <c r="I85" s="11" t="n">
        <f aca="false">IFERROR(COUNTIFS('Tagged Responses'!$Q$2:$Q$733,"*"&amp;$A85&amp;"*",'Tagged Responses'!$G$2:$G$733,"United States")/I$79,"")</f>
        <v>0.2</v>
      </c>
      <c r="J85" s="11" t="n">
        <f aca="false">IFERROR(COUNTIFS('Tagged Responses'!$Q$2:$Q$733,"*"&amp;$A85&amp;"*",'Tagged Responses'!$G$2:$G$733,"China")/J$79,"")</f>
        <v>0.490445859872611</v>
      </c>
    </row>
    <row r="86" customFormat="false" ht="15" hidden="false" customHeight="true" outlineLevel="0" collapsed="false">
      <c r="A86" s="10" t="s">
        <v>2062</v>
      </c>
      <c r="B86" s="10" t="n">
        <f aca="false">COUNTIF('Tagged Responses'!$Q$2:$Q$733,"*"&amp;$A86&amp;"*")</f>
        <v>145</v>
      </c>
      <c r="C86" s="11" t="n">
        <f aca="false">IFERROR(COUNTIF('Tagged Responses'!$Q$2:$Q$733,"*"&amp;$A86&amp;"*")/C$79,"")</f>
        <v>0.199175824175824</v>
      </c>
      <c r="D86" s="11" t="n">
        <f aca="false">IFERROR(COUNTIFS('Tagged Responses'!$Q$2:$Q$733,"*"&amp;$A86&amp;"*",'Tagged Responses'!$D$2:$D$733,Notes!$B$9)/D$79,"")</f>
        <v>0.201107011070111</v>
      </c>
      <c r="E86" s="11" t="n">
        <f aca="false">IFERROR(COUNTIFS('Tagged Responses'!$Q$2:$Q$733,"*"&amp;$A86&amp;"*",'Tagged Responses'!$D$2:$D$733,Notes!$C$9)/E$79,"")</f>
        <v>0.186746987951807</v>
      </c>
      <c r="F86" s="11" t="n">
        <f aca="false">IFERROR(COUNTIFS('Tagged Responses'!$Q$2:$Q$733,"*"&amp;$A86&amp;"*",'Tagged Responses'!$D$2:$D$733,Notes!$D$9)/F$79,"")</f>
        <v>0.25</v>
      </c>
      <c r="G86" s="11" t="n">
        <f aca="false">IFERROR(COUNTIFS('Tagged Responses'!$Q$2:$Q$733,"*"&amp;$A86&amp;"*",'Tagged Responses'!$E$2:$E$733,"Female")/G$79,"")</f>
        <v>0.217073170731707</v>
      </c>
      <c r="H86" s="11" t="n">
        <f aca="false">IFERROR(COUNTIFS('Tagged Responses'!$Q$2:$Q$733,"*"&amp;$A86&amp;"*",'Tagged Responses'!$E$2:$E$733,"Male")/H$79,"")</f>
        <v>0.177049180327869</v>
      </c>
      <c r="I86" s="11" t="n">
        <f aca="false">IFERROR(COUNTIFS('Tagged Responses'!$Q$2:$Q$733,"*"&amp;$A86&amp;"*",'Tagged Responses'!$G$2:$G$733,"United States")/I$79,"")</f>
        <v>0.182857142857143</v>
      </c>
      <c r="J86" s="11" t="n">
        <f aca="false">IFERROR(COUNTIFS('Tagged Responses'!$Q$2:$Q$733,"*"&amp;$A86&amp;"*",'Tagged Responses'!$G$2:$G$733,"China")/J$79,"")</f>
        <v>0.235668789808917</v>
      </c>
    </row>
    <row r="87" customFormat="false" ht="15" hidden="false" customHeight="true" outlineLevel="0" collapsed="false">
      <c r="A87" s="10" t="s">
        <v>7191</v>
      </c>
      <c r="B87" s="10" t="n">
        <f aca="false">COUNTIF('Tagged Responses'!$Q$2:$Q$733,"*"&amp;$A87&amp;"*")</f>
        <v>45</v>
      </c>
      <c r="C87" s="11" t="n">
        <f aca="false">IFERROR(COUNTIF('Tagged Responses'!$Q$2:$Q$733,"*"&amp;$A87&amp;"*")/C$79,"")</f>
        <v>0.0618131868131868</v>
      </c>
      <c r="D87" s="11" t="n">
        <f aca="false">IFERROR(COUNTIFS('Tagged Responses'!$Q$2:$Q$733,"*"&amp;$A87&amp;"*",'Tagged Responses'!$D$2:$D$733,Notes!$B$9)/D$79,"")</f>
        <v>0.0664206642066421</v>
      </c>
      <c r="E87" s="11" t="n">
        <f aca="false">IFERROR(COUNTIFS('Tagged Responses'!$Q$2:$Q$733,"*"&amp;$A87&amp;"*",'Tagged Responses'!$D$2:$D$733,Notes!$C$9)/E$79,"")</f>
        <v>0.0481927710843374</v>
      </c>
      <c r="F87" s="11" t="n">
        <f aca="false">IFERROR(COUNTIFS('Tagged Responses'!$Q$2:$Q$733,"*"&amp;$A87&amp;"*",'Tagged Responses'!$D$2:$D$733,Notes!$D$9)/F$79,"")</f>
        <v>0.05</v>
      </c>
      <c r="G87" s="11" t="n">
        <f aca="false">IFERROR(COUNTIFS('Tagged Responses'!$Q$2:$Q$733,"*"&amp;$A87&amp;"*",'Tagged Responses'!$E$2:$E$733,"Female")/G$79,"")</f>
        <v>0.0682926829268293</v>
      </c>
      <c r="H87" s="11" t="n">
        <f aca="false">IFERROR(COUNTIFS('Tagged Responses'!$Q$2:$Q$733,"*"&amp;$A87&amp;"*",'Tagged Responses'!$E$2:$E$733,"Male")/H$79,"")</f>
        <v>0.0524590163934426</v>
      </c>
      <c r="I87" s="11" t="n">
        <f aca="false">IFERROR(COUNTIFS('Tagged Responses'!$Q$2:$Q$733,"*"&amp;$A87&amp;"*",'Tagged Responses'!$G$2:$G$733,"United States")/I$79,"")</f>
        <v>0.0647619047619048</v>
      </c>
      <c r="J87" s="11" t="n">
        <f aca="false">IFERROR(COUNTIFS('Tagged Responses'!$Q$2:$Q$733,"*"&amp;$A87&amp;"*",'Tagged Responses'!$G$2:$G$733,"China")/J$79,"")</f>
        <v>0.0636942675159236</v>
      </c>
    </row>
    <row r="88" customFormat="false" ht="15" hidden="false" customHeight="true" outlineLevel="0" collapsed="false">
      <c r="A88" s="10" t="s">
        <v>7287</v>
      </c>
      <c r="B88" s="10" t="n">
        <f aca="false">COUNTIF('Tagged Responses'!$Q$2:$Q$733,"*"&amp;$A88&amp;"*")</f>
        <v>30</v>
      </c>
      <c r="C88" s="11" t="n">
        <f aca="false">IFERROR(COUNTIF('Tagged Responses'!$Q$2:$Q$733,"*"&amp;$A88&amp;"*")/C$79,"")</f>
        <v>0.0412087912087912</v>
      </c>
      <c r="D88" s="11" t="n">
        <f aca="false">IFERROR(COUNTIFS('Tagged Responses'!$Q$2:$Q$733,"*"&amp;$A88&amp;"*",'Tagged Responses'!$D$2:$D$733,Notes!$B$9)/D$79,"")</f>
        <v>0.0461254612546125</v>
      </c>
      <c r="E88" s="11" t="n">
        <f aca="false">IFERROR(COUNTIFS('Tagged Responses'!$Q$2:$Q$733,"*"&amp;$A88&amp;"*",'Tagged Responses'!$D$2:$D$733,Notes!$C$9)/E$79,"")</f>
        <v>0.0301204819277108</v>
      </c>
      <c r="F88" s="11" t="n">
        <f aca="false">IFERROR(COUNTIFS('Tagged Responses'!$Q$2:$Q$733,"*"&amp;$A88&amp;"*",'Tagged Responses'!$D$2:$D$733,Notes!$D$9)/F$79,"")</f>
        <v>0</v>
      </c>
      <c r="G88" s="11" t="n">
        <f aca="false">IFERROR(COUNTIFS('Tagged Responses'!$Q$2:$Q$733,"*"&amp;$A88&amp;"*",'Tagged Responses'!$E$2:$E$733,"Female")/G$79,"")</f>
        <v>0.0487804878048781</v>
      </c>
      <c r="H88" s="11" t="n">
        <f aca="false">IFERROR(COUNTIFS('Tagged Responses'!$Q$2:$Q$733,"*"&amp;$A88&amp;"*",'Tagged Responses'!$E$2:$E$733,"Male")/H$79,"")</f>
        <v>0.0327868852459016</v>
      </c>
      <c r="I88" s="11" t="n">
        <f aca="false">IFERROR(COUNTIFS('Tagged Responses'!$Q$2:$Q$733,"*"&amp;$A88&amp;"*",'Tagged Responses'!$G$2:$G$733,"United States")/I$79,"")</f>
        <v>0.0380952380952381</v>
      </c>
      <c r="J88" s="11" t="n">
        <f aca="false">IFERROR(COUNTIFS('Tagged Responses'!$Q$2:$Q$733,"*"&amp;$A88&amp;"*",'Tagged Responses'!$G$2:$G$733,"China")/J$79,"")</f>
        <v>0.0445859872611465</v>
      </c>
    </row>
    <row r="89" customFormat="false" ht="15" hidden="false" customHeight="true" outlineLevel="0" collapsed="false">
      <c r="A89" s="10" t="s">
        <v>6551</v>
      </c>
      <c r="B89" s="10" t="n">
        <f aca="false">COUNTIF('Tagged Responses'!$Q$2:$Q$733,"*"&amp;$A89&amp;"*")</f>
        <v>1</v>
      </c>
      <c r="C89" s="11" t="n">
        <f aca="false">IFERROR(COUNTIF('Tagged Responses'!$Q$2:$Q$733,"*"&amp;$A89&amp;"*")/C$79,"")</f>
        <v>0.00137362637362637</v>
      </c>
      <c r="D89" s="11" t="n">
        <f aca="false">IFERROR(COUNTIFS('Tagged Responses'!$Q$2:$Q$733,"*"&amp;$A89&amp;"*",'Tagged Responses'!$D$2:$D$733,Notes!$B$9)/D$79,"")</f>
        <v>0.0018450184501845</v>
      </c>
      <c r="E89" s="11" t="n">
        <f aca="false">IFERROR(COUNTIFS('Tagged Responses'!$Q$2:$Q$733,"*"&amp;$A89&amp;"*",'Tagged Responses'!$D$2:$D$733,Notes!$C$9)/E$79,"")</f>
        <v>0</v>
      </c>
      <c r="F89" s="11" t="n">
        <f aca="false">IFERROR(COUNTIFS('Tagged Responses'!$Q$2:$Q$733,"*"&amp;$A89&amp;"*",'Tagged Responses'!$D$2:$D$733,Notes!$D$9)/F$79,"")</f>
        <v>0</v>
      </c>
      <c r="G89" s="11" t="n">
        <f aca="false">IFERROR(COUNTIFS('Tagged Responses'!$Q$2:$Q$733,"*"&amp;$A89&amp;"*",'Tagged Responses'!$E$2:$E$733,"Female")/G$79,"")</f>
        <v>0</v>
      </c>
      <c r="H89" s="11" t="n">
        <f aca="false">IFERROR(COUNTIFS('Tagged Responses'!$Q$2:$Q$733,"*"&amp;$A89&amp;"*",'Tagged Responses'!$E$2:$E$733,"Male")/H$79,"")</f>
        <v>0.00327868852459016</v>
      </c>
      <c r="I89" s="11" t="n">
        <f aca="false">IFERROR(COUNTIFS('Tagged Responses'!$Q$2:$Q$733,"*"&amp;$A89&amp;"*",'Tagged Responses'!$G$2:$G$733,"United States")/I$79,"")</f>
        <v>0.0019047619047619</v>
      </c>
      <c r="J89" s="11" t="n">
        <f aca="false">IFERROR(COUNTIFS('Tagged Responses'!$Q$2:$Q$733,"*"&amp;$A89&amp;"*",'Tagged Responses'!$G$2:$G$733,"China")/J$79,"")</f>
        <v>0</v>
      </c>
    </row>
    <row r="90" customFormat="false" ht="15" hidden="false" customHeight="true" outlineLevel="0" collapsed="false">
      <c r="A90" s="10" t="s">
        <v>6538</v>
      </c>
      <c r="B90" s="10" t="n">
        <f aca="false">COUNTIF('Tagged Responses'!$Q$2:$Q$733,"*"&amp;$A90&amp;"*")</f>
        <v>1</v>
      </c>
      <c r="C90" s="11" t="n">
        <f aca="false">IFERROR(COUNTIF('Tagged Responses'!$Q$2:$Q$733,"*"&amp;$A90&amp;"*")/C$79,"")</f>
        <v>0.00137362637362637</v>
      </c>
      <c r="D90" s="11" t="n">
        <f aca="false">IFERROR(COUNTIFS('Tagged Responses'!$Q$2:$Q$733,"*"&amp;$A90&amp;"*",'Tagged Responses'!$D$2:$D$733,Notes!$B$9)/D$79,"")</f>
        <v>0</v>
      </c>
      <c r="E90" s="11" t="n">
        <f aca="false">IFERROR(COUNTIFS('Tagged Responses'!$Q$2:$Q$733,"*"&amp;$A90&amp;"*",'Tagged Responses'!$D$2:$D$733,Notes!$C$9)/E$79,"")</f>
        <v>0.00602409638554217</v>
      </c>
      <c r="F90" s="11" t="n">
        <f aca="false">IFERROR(COUNTIFS('Tagged Responses'!$Q$2:$Q$733,"*"&amp;$A90&amp;"*",'Tagged Responses'!$D$2:$D$733,Notes!$D$9)/F$79,"")</f>
        <v>0</v>
      </c>
      <c r="G90" s="11" t="n">
        <f aca="false">IFERROR(COUNTIFS('Tagged Responses'!$Q$2:$Q$733,"*"&amp;$A90&amp;"*",'Tagged Responses'!$E$2:$E$733,"Female")/G$79,"")</f>
        <v>0.0024390243902439</v>
      </c>
      <c r="H90" s="11" t="n">
        <f aca="false">IFERROR(COUNTIFS('Tagged Responses'!$Q$2:$Q$733,"*"&amp;$A90&amp;"*",'Tagged Responses'!$E$2:$E$733,"Male")/H$79,"")</f>
        <v>0</v>
      </c>
      <c r="I90" s="11" t="n">
        <f aca="false">IFERROR(COUNTIFS('Tagged Responses'!$Q$2:$Q$733,"*"&amp;$A90&amp;"*",'Tagged Responses'!$G$2:$G$733,"United States")/I$79,"")</f>
        <v>0</v>
      </c>
      <c r="J90" s="11" t="n">
        <f aca="false">IFERROR(COUNTIFS('Tagged Responses'!$Q$2:$Q$733,"*"&amp;$A90&amp;"*",'Tagged Responses'!$G$2:$G$733,"China")/J$79,"")</f>
        <v>0.00636942675159236</v>
      </c>
    </row>
    <row r="92" customFormat="false" ht="15" hidden="false" customHeight="true" outlineLevel="0" collapsed="false">
      <c r="A92" s="8" t="s">
        <v>7693</v>
      </c>
    </row>
    <row r="93" customFormat="false" ht="30" hidden="false" customHeight="true" outlineLevel="0" collapsed="false">
      <c r="A93" s="2" t="s">
        <v>7683</v>
      </c>
      <c r="B93" s="2" t="s">
        <v>7684</v>
      </c>
      <c r="C93" s="2" t="s">
        <v>7685</v>
      </c>
      <c r="D93" s="2" t="str">
        <f aca="false">Notes!$B$9</f>
        <v>Student age (≤29)</v>
      </c>
      <c r="E93" s="2" t="str">
        <f aca="false">Notes!$C$9</f>
        <v>Middle-aged (30–64)</v>
      </c>
      <c r="F93" s="2" t="str">
        <f aca="false">Notes!$D$9</f>
        <v>Elderly (65+)</v>
      </c>
      <c r="G93" s="2" t="s">
        <v>45</v>
      </c>
      <c r="H93" s="2" t="s">
        <v>83</v>
      </c>
      <c r="I93" s="2" t="s">
        <v>7686</v>
      </c>
      <c r="J93" s="2" t="s">
        <v>7687</v>
      </c>
    </row>
    <row r="94" customFormat="false" ht="15" hidden="false" customHeight="true" outlineLevel="0" collapsed="false">
      <c r="A94" s="9" t="s">
        <v>7688</v>
      </c>
      <c r="B94" s="9" t="n">
        <f aca="false">COUNTIF('Tagged Responses'!$R$2:$R$733,"?*")</f>
        <v>727</v>
      </c>
      <c r="C94" s="9" t="n">
        <f aca="false">COUNTIF('Tagged Responses'!$R$2:$R$733,"?*")</f>
        <v>727</v>
      </c>
      <c r="D94" s="9" t="n">
        <f aca="false">COUNTIFS('Tagged Responses'!$R$2:$R$733,"?*",'Tagged Responses'!$D$2:$D$733,Notes!$B$9)</f>
        <v>541</v>
      </c>
      <c r="E94" s="9" t="n">
        <f aca="false">COUNTIFS('Tagged Responses'!$R$2:$R$733,"?*",'Tagged Responses'!$D$2:$D$733,Notes!$C$9)</f>
        <v>166</v>
      </c>
      <c r="F94" s="9" t="n">
        <f aca="false">COUNTIFS('Tagged Responses'!$R$2:$R$733,"?*",'Tagged Responses'!$D$2:$D$733,Notes!$D$9)</f>
        <v>20</v>
      </c>
      <c r="G94" s="9" t="n">
        <f aca="false">COUNTIFS('Tagged Responses'!$R$2:$R$733,"?*",'Tagged Responses'!$E$2:$E$733,"Female")</f>
        <v>410</v>
      </c>
      <c r="H94" s="9" t="n">
        <f aca="false">COUNTIFS('Tagged Responses'!$R$2:$R$733,"?*",'Tagged Responses'!$E$2:$E$733,"Male")</f>
        <v>304</v>
      </c>
      <c r="I94" s="9" t="n">
        <f aca="false">COUNTIFS('Tagged Responses'!$R$2:$R$733,"?*",'Tagged Responses'!$G$2:$G$733,"United States")</f>
        <v>524</v>
      </c>
      <c r="J94" s="9" t="n">
        <f aca="false">COUNTIFS('Tagged Responses'!$R$2:$R$733,"?*",'Tagged Responses'!$G$2:$G$733,"China")</f>
        <v>157</v>
      </c>
    </row>
    <row r="95" customFormat="false" ht="15" hidden="false" customHeight="true" outlineLevel="0" collapsed="false">
      <c r="A95" s="10" t="s">
        <v>6581</v>
      </c>
      <c r="B95" s="10" t="n">
        <f aca="false">COUNTIF('Tagged Responses'!$S$2:$S$733,"*"&amp;$A95&amp;"*")</f>
        <v>375</v>
      </c>
      <c r="C95" s="11" t="n">
        <f aca="false">IFERROR(COUNTIF('Tagged Responses'!$S$2:$S$733,"*"&amp;$A95&amp;"*")/C$94,"")</f>
        <v>0.515818431911967</v>
      </c>
      <c r="D95" s="11" t="n">
        <f aca="false">IFERROR(COUNTIFS('Tagged Responses'!$S$2:$S$733,"*"&amp;$A95&amp;"*",'Tagged Responses'!$D$2:$D$733,Notes!$B$9)/D$94,"")</f>
        <v>0.504621072088725</v>
      </c>
      <c r="E95" s="11" t="n">
        <f aca="false">IFERROR(COUNTIFS('Tagged Responses'!$S$2:$S$733,"*"&amp;$A95&amp;"*",'Tagged Responses'!$D$2:$D$733,Notes!$C$9)/E$94,"")</f>
        <v>0.55421686746988</v>
      </c>
      <c r="F95" s="11" t="n">
        <f aca="false">IFERROR(COUNTIFS('Tagged Responses'!$S$2:$S$733,"*"&amp;$A95&amp;"*",'Tagged Responses'!$D$2:$D$733,Notes!$D$9)/F$94,"")</f>
        <v>0.5</v>
      </c>
      <c r="G95" s="11" t="n">
        <f aca="false">IFERROR(COUNTIFS('Tagged Responses'!$S$2:$S$733,"*"&amp;$A95&amp;"*",'Tagged Responses'!$E$2:$E$733,"Female")/G$94,"")</f>
        <v>0.539024390243903</v>
      </c>
      <c r="H95" s="11" t="n">
        <f aca="false">IFERROR(COUNTIFS('Tagged Responses'!$S$2:$S$733,"*"&amp;$A95&amp;"*",'Tagged Responses'!$E$2:$E$733,"Male")/H$94,"")</f>
        <v>0.486842105263158</v>
      </c>
      <c r="I95" s="11" t="n">
        <f aca="false">IFERROR(COUNTIFS('Tagged Responses'!$S$2:$S$733,"*"&amp;$A95&amp;"*",'Tagged Responses'!$G$2:$G$733,"United States")/I$94,"")</f>
        <v>0.513358778625954</v>
      </c>
      <c r="J95" s="11" t="n">
        <f aca="false">IFERROR(COUNTIFS('Tagged Responses'!$S$2:$S$733,"*"&amp;$A95&amp;"*",'Tagged Responses'!$G$2:$G$733,"China")/J$94,"")</f>
        <v>0.528662420382166</v>
      </c>
    </row>
    <row r="96" customFormat="false" ht="15" hidden="false" customHeight="true" outlineLevel="0" collapsed="false">
      <c r="A96" s="10" t="s">
        <v>6537</v>
      </c>
      <c r="B96" s="10" t="n">
        <f aca="false">COUNTIF('Tagged Responses'!$S$2:$S$733,"*"&amp;$A96&amp;"*")</f>
        <v>188</v>
      </c>
      <c r="C96" s="11" t="n">
        <f aca="false">IFERROR(COUNTIF('Tagged Responses'!$S$2:$S$733,"*"&amp;$A96&amp;"*")/C$94,"")</f>
        <v>0.2585969738652</v>
      </c>
      <c r="D96" s="11" t="n">
        <f aca="false">IFERROR(COUNTIFS('Tagged Responses'!$S$2:$S$733,"*"&amp;$A96&amp;"*",'Tagged Responses'!$D$2:$D$733,Notes!$B$9)/D$94,"")</f>
        <v>0.253234750462107</v>
      </c>
      <c r="E96" s="11" t="n">
        <f aca="false">IFERROR(COUNTIFS('Tagged Responses'!$S$2:$S$733,"*"&amp;$A96&amp;"*",'Tagged Responses'!$D$2:$D$733,Notes!$C$9)/E$94,"")</f>
        <v>0.283132530120482</v>
      </c>
      <c r="F96" s="11" t="n">
        <f aca="false">IFERROR(COUNTIFS('Tagged Responses'!$S$2:$S$733,"*"&amp;$A96&amp;"*",'Tagged Responses'!$D$2:$D$733,Notes!$D$9)/F$94,"")</f>
        <v>0.2</v>
      </c>
      <c r="G96" s="11" t="n">
        <f aca="false">IFERROR(COUNTIFS('Tagged Responses'!$S$2:$S$733,"*"&amp;$A96&amp;"*",'Tagged Responses'!$E$2:$E$733,"Female")/G$94,"")</f>
        <v>0.258536585365854</v>
      </c>
      <c r="H96" s="11" t="n">
        <f aca="false">IFERROR(COUNTIFS('Tagged Responses'!$S$2:$S$733,"*"&amp;$A96&amp;"*",'Tagged Responses'!$E$2:$E$733,"Male")/H$94,"")</f>
        <v>0.259868421052632</v>
      </c>
      <c r="I96" s="11" t="n">
        <f aca="false">IFERROR(COUNTIFS('Tagged Responses'!$S$2:$S$733,"*"&amp;$A96&amp;"*",'Tagged Responses'!$G$2:$G$733,"United States")/I$94,"")</f>
        <v>0.238549618320611</v>
      </c>
      <c r="J96" s="11" t="n">
        <f aca="false">IFERROR(COUNTIFS('Tagged Responses'!$S$2:$S$733,"*"&amp;$A96&amp;"*",'Tagged Responses'!$G$2:$G$733,"China")/J$94,"")</f>
        <v>0.318471337579618</v>
      </c>
    </row>
    <row r="97" customFormat="false" ht="15" hidden="false" customHeight="true" outlineLevel="0" collapsed="false">
      <c r="A97" s="10" t="s">
        <v>6595</v>
      </c>
      <c r="B97" s="10" t="n">
        <f aca="false">COUNTIF('Tagged Responses'!$S$2:$S$733,"*"&amp;$A97&amp;"*")</f>
        <v>172</v>
      </c>
      <c r="C97" s="11" t="n">
        <f aca="false">IFERROR(COUNTIF('Tagged Responses'!$S$2:$S$733,"*"&amp;$A97&amp;"*")/C$94,"")</f>
        <v>0.236588720770289</v>
      </c>
      <c r="D97" s="11" t="n">
        <f aca="false">IFERROR(COUNTIFS('Tagged Responses'!$S$2:$S$733,"*"&amp;$A97&amp;"*",'Tagged Responses'!$D$2:$D$733,Notes!$B$9)/D$94,"")</f>
        <v>0.236598890942699</v>
      </c>
      <c r="E97" s="11" t="n">
        <f aca="false">IFERROR(COUNTIFS('Tagged Responses'!$S$2:$S$733,"*"&amp;$A97&amp;"*",'Tagged Responses'!$D$2:$D$733,Notes!$C$9)/E$94,"")</f>
        <v>0.216867469879518</v>
      </c>
      <c r="F97" s="11" t="n">
        <f aca="false">IFERROR(COUNTIFS('Tagged Responses'!$S$2:$S$733,"*"&amp;$A97&amp;"*",'Tagged Responses'!$D$2:$D$733,Notes!$D$9)/F$94,"")</f>
        <v>0.4</v>
      </c>
      <c r="G97" s="11" t="n">
        <f aca="false">IFERROR(COUNTIFS('Tagged Responses'!$S$2:$S$733,"*"&amp;$A97&amp;"*",'Tagged Responses'!$E$2:$E$733,"Female")/G$94,"")</f>
        <v>0.241463414634146</v>
      </c>
      <c r="H97" s="11" t="n">
        <f aca="false">IFERROR(COUNTIFS('Tagged Responses'!$S$2:$S$733,"*"&amp;$A97&amp;"*",'Tagged Responses'!$E$2:$E$733,"Male")/H$94,"")</f>
        <v>0.223684210526316</v>
      </c>
      <c r="I97" s="11" t="n">
        <f aca="false">IFERROR(COUNTIFS('Tagged Responses'!$S$2:$S$733,"*"&amp;$A97&amp;"*",'Tagged Responses'!$G$2:$G$733,"United States")/I$94,"")</f>
        <v>0.255725190839695</v>
      </c>
      <c r="J97" s="11" t="n">
        <f aca="false">IFERROR(COUNTIFS('Tagged Responses'!$S$2:$S$733,"*"&amp;$A97&amp;"*",'Tagged Responses'!$G$2:$G$733,"China")/J$94,"")</f>
        <v>0.184713375796178</v>
      </c>
    </row>
    <row r="98" customFormat="false" ht="15" hidden="false" customHeight="true" outlineLevel="0" collapsed="false">
      <c r="A98" s="10" t="s">
        <v>6532</v>
      </c>
      <c r="B98" s="10" t="n">
        <f aca="false">COUNTIF('Tagged Responses'!$S$2:$S$733,"*"&amp;$A98&amp;"*")</f>
        <v>167</v>
      </c>
      <c r="C98" s="11" t="n">
        <f aca="false">IFERROR(COUNTIF('Tagged Responses'!$S$2:$S$733,"*"&amp;$A98&amp;"*")/C$94,"")</f>
        <v>0.229711141678129</v>
      </c>
      <c r="D98" s="11" t="n">
        <f aca="false">IFERROR(COUNTIFS('Tagged Responses'!$S$2:$S$733,"*"&amp;$A98&amp;"*",'Tagged Responses'!$D$2:$D$733,Notes!$B$9)/D$94,"")</f>
        <v>0.232902033271719</v>
      </c>
      <c r="E98" s="11" t="n">
        <f aca="false">IFERROR(COUNTIFS('Tagged Responses'!$S$2:$S$733,"*"&amp;$A98&amp;"*",'Tagged Responses'!$D$2:$D$733,Notes!$C$9)/E$94,"")</f>
        <v>0.216867469879518</v>
      </c>
      <c r="F98" s="11" t="n">
        <f aca="false">IFERROR(COUNTIFS('Tagged Responses'!$S$2:$S$733,"*"&amp;$A98&amp;"*",'Tagged Responses'!$D$2:$D$733,Notes!$D$9)/F$94,"")</f>
        <v>0.25</v>
      </c>
      <c r="G98" s="11" t="n">
        <f aca="false">IFERROR(COUNTIFS('Tagged Responses'!$S$2:$S$733,"*"&amp;$A98&amp;"*",'Tagged Responses'!$E$2:$E$733,"Female")/G$94,"")</f>
        <v>0.224390243902439</v>
      </c>
      <c r="H98" s="11" t="n">
        <f aca="false">IFERROR(COUNTIFS('Tagged Responses'!$S$2:$S$733,"*"&amp;$A98&amp;"*",'Tagged Responses'!$E$2:$E$733,"Male")/H$94,"")</f>
        <v>0.223684210526316</v>
      </c>
      <c r="I98" s="11" t="n">
        <f aca="false">IFERROR(COUNTIFS('Tagged Responses'!$S$2:$S$733,"*"&amp;$A98&amp;"*",'Tagged Responses'!$G$2:$G$733,"United States")/I$94,"")</f>
        <v>0.236641221374046</v>
      </c>
      <c r="J98" s="11" t="n">
        <f aca="false">IFERROR(COUNTIFS('Tagged Responses'!$S$2:$S$733,"*"&amp;$A98&amp;"*",'Tagged Responses'!$G$2:$G$733,"China")/J$94,"")</f>
        <v>0.222929936305733</v>
      </c>
    </row>
    <row r="99" customFormat="false" ht="15" hidden="false" customHeight="true" outlineLevel="0" collapsed="false">
      <c r="A99" s="10" t="s">
        <v>6690</v>
      </c>
      <c r="B99" s="10" t="n">
        <f aca="false">COUNTIF('Tagged Responses'!$S$2:$S$733,"*"&amp;$A99&amp;"*")</f>
        <v>165</v>
      </c>
      <c r="C99" s="11" t="n">
        <f aca="false">IFERROR(COUNTIF('Tagged Responses'!$S$2:$S$733,"*"&amp;$A99&amp;"*")/C$94,"")</f>
        <v>0.226960110041265</v>
      </c>
      <c r="D99" s="11" t="n">
        <f aca="false">IFERROR(COUNTIFS('Tagged Responses'!$S$2:$S$733,"*"&amp;$A99&amp;"*",'Tagged Responses'!$D$2:$D$733,Notes!$B$9)/D$94,"")</f>
        <v>0.205175600739372</v>
      </c>
      <c r="E99" s="11" t="n">
        <f aca="false">IFERROR(COUNTIFS('Tagged Responses'!$S$2:$S$733,"*"&amp;$A99&amp;"*",'Tagged Responses'!$D$2:$D$733,Notes!$C$9)/E$94,"")</f>
        <v>0.295180722891566</v>
      </c>
      <c r="F99" s="11" t="n">
        <f aca="false">IFERROR(COUNTIFS('Tagged Responses'!$S$2:$S$733,"*"&amp;$A99&amp;"*",'Tagged Responses'!$D$2:$D$733,Notes!$D$9)/F$94,"")</f>
        <v>0.25</v>
      </c>
      <c r="G99" s="11" t="n">
        <f aca="false">IFERROR(COUNTIFS('Tagged Responses'!$S$2:$S$733,"*"&amp;$A99&amp;"*",'Tagged Responses'!$E$2:$E$733,"Female")/G$94,"")</f>
        <v>0.229268292682927</v>
      </c>
      <c r="H99" s="11" t="n">
        <f aca="false">IFERROR(COUNTIFS('Tagged Responses'!$S$2:$S$733,"*"&amp;$A99&amp;"*",'Tagged Responses'!$E$2:$E$733,"Male")/H$94,"")</f>
        <v>0.223684210526316</v>
      </c>
      <c r="I99" s="11" t="n">
        <f aca="false">IFERROR(COUNTIFS('Tagged Responses'!$S$2:$S$733,"*"&amp;$A99&amp;"*",'Tagged Responses'!$G$2:$G$733,"United States")/I$94,"")</f>
        <v>0.204198473282443</v>
      </c>
      <c r="J99" s="11" t="n">
        <f aca="false">IFERROR(COUNTIFS('Tagged Responses'!$S$2:$S$733,"*"&amp;$A99&amp;"*",'Tagged Responses'!$G$2:$G$733,"China")/J$94,"")</f>
        <v>0.299363057324841</v>
      </c>
    </row>
    <row r="100" customFormat="false" ht="15" hidden="false" customHeight="true" outlineLevel="0" collapsed="false">
      <c r="A100" s="10" t="s">
        <v>6621</v>
      </c>
      <c r="B100" s="10" t="n">
        <f aca="false">COUNTIF('Tagged Responses'!$S$2:$S$733,"*"&amp;$A100&amp;"*")</f>
        <v>107</v>
      </c>
      <c r="C100" s="11" t="n">
        <f aca="false">IFERROR(COUNTIF('Tagged Responses'!$S$2:$S$733,"*"&amp;$A100&amp;"*")/C$94,"")</f>
        <v>0.147180192572215</v>
      </c>
      <c r="D100" s="11" t="n">
        <f aca="false">IFERROR(COUNTIFS('Tagged Responses'!$S$2:$S$733,"*"&amp;$A100&amp;"*",'Tagged Responses'!$D$2:$D$733,Notes!$B$9)/D$94,"")</f>
        <v>0.153419593345656</v>
      </c>
      <c r="E100" s="11" t="n">
        <f aca="false">IFERROR(COUNTIFS('Tagged Responses'!$S$2:$S$733,"*"&amp;$A100&amp;"*",'Tagged Responses'!$D$2:$D$733,Notes!$C$9)/E$94,"")</f>
        <v>0.120481927710843</v>
      </c>
      <c r="F100" s="11" t="n">
        <f aca="false">IFERROR(COUNTIFS('Tagged Responses'!$S$2:$S$733,"*"&amp;$A100&amp;"*",'Tagged Responses'!$D$2:$D$733,Notes!$D$9)/F$94,"")</f>
        <v>0.2</v>
      </c>
      <c r="G100" s="11" t="n">
        <f aca="false">IFERROR(COUNTIFS('Tagged Responses'!$S$2:$S$733,"*"&amp;$A100&amp;"*",'Tagged Responses'!$E$2:$E$733,"Female")/G$94,"")</f>
        <v>0.173170731707317</v>
      </c>
      <c r="H100" s="11" t="n">
        <f aca="false">IFERROR(COUNTIFS('Tagged Responses'!$S$2:$S$733,"*"&amp;$A100&amp;"*",'Tagged Responses'!$E$2:$E$733,"Male")/H$94,"")</f>
        <v>0.101973684210526</v>
      </c>
      <c r="I100" s="11" t="n">
        <f aca="false">IFERROR(COUNTIFS('Tagged Responses'!$S$2:$S$733,"*"&amp;$A100&amp;"*",'Tagged Responses'!$G$2:$G$733,"United States")/I$94,"")</f>
        <v>0.116412213740458</v>
      </c>
      <c r="J100" s="11" t="n">
        <f aca="false">IFERROR(COUNTIFS('Tagged Responses'!$S$2:$S$733,"*"&amp;$A100&amp;"*",'Tagged Responses'!$G$2:$G$733,"China")/J$94,"")</f>
        <v>0.248407643312102</v>
      </c>
    </row>
    <row r="101" customFormat="false" ht="15" hidden="false" customHeight="true" outlineLevel="0" collapsed="false">
      <c r="A101" s="10" t="s">
        <v>6685</v>
      </c>
      <c r="B101" s="10" t="n">
        <f aca="false">COUNTIF('Tagged Responses'!$S$2:$S$733,"*"&amp;$A101&amp;"*")</f>
        <v>70</v>
      </c>
      <c r="C101" s="11" t="n">
        <f aca="false">IFERROR(COUNTIF('Tagged Responses'!$S$2:$S$733,"*"&amp;$A101&amp;"*")/C$94,"")</f>
        <v>0.0962861072902338</v>
      </c>
      <c r="D101" s="11" t="n">
        <f aca="false">IFERROR(COUNTIFS('Tagged Responses'!$S$2:$S$733,"*"&amp;$A101&amp;"*",'Tagged Responses'!$D$2:$D$733,Notes!$B$9)/D$94,"")</f>
        <v>0.0961182994454713</v>
      </c>
      <c r="E101" s="11" t="n">
        <f aca="false">IFERROR(COUNTIFS('Tagged Responses'!$S$2:$S$733,"*"&amp;$A101&amp;"*",'Tagged Responses'!$D$2:$D$733,Notes!$C$9)/E$94,"")</f>
        <v>0.0783132530120482</v>
      </c>
      <c r="F101" s="11" t="n">
        <f aca="false">IFERROR(COUNTIFS('Tagged Responses'!$S$2:$S$733,"*"&amp;$A101&amp;"*",'Tagged Responses'!$D$2:$D$733,Notes!$D$9)/F$94,"")</f>
        <v>0.25</v>
      </c>
      <c r="G101" s="11" t="n">
        <f aca="false">IFERROR(COUNTIFS('Tagged Responses'!$S$2:$S$733,"*"&amp;$A101&amp;"*",'Tagged Responses'!$E$2:$E$733,"Female")/G$94,"")</f>
        <v>0.11219512195122</v>
      </c>
      <c r="H101" s="11" t="n">
        <f aca="false">IFERROR(COUNTIFS('Tagged Responses'!$S$2:$S$733,"*"&amp;$A101&amp;"*",'Tagged Responses'!$E$2:$E$733,"Male")/H$94,"")</f>
        <v>0.0690789473684211</v>
      </c>
      <c r="I101" s="11" t="n">
        <f aca="false">IFERROR(COUNTIFS('Tagged Responses'!$S$2:$S$733,"*"&amp;$A101&amp;"*",'Tagged Responses'!$G$2:$G$733,"United States")/I$94,"")</f>
        <v>0.083969465648855</v>
      </c>
      <c r="J101" s="11" t="n">
        <f aca="false">IFERROR(COUNTIFS('Tagged Responses'!$S$2:$S$733,"*"&amp;$A101&amp;"*",'Tagged Responses'!$G$2:$G$733,"China")/J$94,"")</f>
        <v>0.121019108280255</v>
      </c>
    </row>
    <row r="102" customFormat="false" ht="15" hidden="false" customHeight="true" outlineLevel="0" collapsed="false">
      <c r="A102" s="10" t="s">
        <v>7694</v>
      </c>
      <c r="B102" s="10" t="n">
        <f aca="false">COUNTIF('Tagged Responses'!$S$2:$S$733,"*"&amp;$A102&amp;"*")</f>
        <v>69</v>
      </c>
      <c r="C102" s="11" t="n">
        <f aca="false">IFERROR(COUNTIF('Tagged Responses'!$S$2:$S$733,"*"&amp;$A102&amp;"*")/C$94,"")</f>
        <v>0.0949105914718019</v>
      </c>
      <c r="D102" s="11" t="n">
        <f aca="false">IFERROR(COUNTIFS('Tagged Responses'!$S$2:$S$733,"*"&amp;$A102&amp;"*",'Tagged Responses'!$D$2:$D$733,Notes!$B$9)/D$94,"")</f>
        <v>0.103512014787431</v>
      </c>
      <c r="E102" s="11" t="n">
        <f aca="false">IFERROR(COUNTIFS('Tagged Responses'!$S$2:$S$733,"*"&amp;$A102&amp;"*",'Tagged Responses'!$D$2:$D$733,Notes!$C$9)/E$94,"")</f>
        <v>0.072289156626506</v>
      </c>
      <c r="F102" s="11" t="n">
        <f aca="false">IFERROR(COUNTIFS('Tagged Responses'!$S$2:$S$733,"*"&amp;$A102&amp;"*",'Tagged Responses'!$D$2:$D$733,Notes!$D$9)/F$94,"")</f>
        <v>0.05</v>
      </c>
      <c r="G102" s="11" t="n">
        <f aca="false">IFERROR(COUNTIFS('Tagged Responses'!$S$2:$S$733,"*"&amp;$A102&amp;"*",'Tagged Responses'!$E$2:$E$733,"Female")/G$94,"")</f>
        <v>0.104878048780488</v>
      </c>
      <c r="H102" s="11" t="n">
        <f aca="false">IFERROR(COUNTIFS('Tagged Responses'!$S$2:$S$733,"*"&amp;$A102&amp;"*",'Tagged Responses'!$E$2:$E$733,"Male")/H$94,"")</f>
        <v>0.0789473684210526</v>
      </c>
      <c r="I102" s="11" t="n">
        <f aca="false">IFERROR(COUNTIFS('Tagged Responses'!$S$2:$S$733,"*"&amp;$A102&amp;"*",'Tagged Responses'!$G$2:$G$733,"United States")/I$94,"")</f>
        <v>0.0687022900763359</v>
      </c>
      <c r="J102" s="11" t="n">
        <f aca="false">IFERROR(COUNTIFS('Tagged Responses'!$S$2:$S$733,"*"&amp;$A102&amp;"*",'Tagged Responses'!$G$2:$G$733,"China")/J$94,"")</f>
        <v>0.184713375796178</v>
      </c>
    </row>
    <row r="103" customFormat="false" ht="15" hidden="false" customHeight="true" outlineLevel="0" collapsed="false">
      <c r="A103" s="10" t="s">
        <v>7032</v>
      </c>
      <c r="B103" s="10" t="n">
        <f aca="false">COUNTIF('Tagged Responses'!$S$2:$S$733,"*"&amp;$A103&amp;"*")</f>
        <v>47</v>
      </c>
      <c r="C103" s="11" t="n">
        <f aca="false">IFERROR(COUNTIF('Tagged Responses'!$S$2:$S$733,"*"&amp;$A103&amp;"*")/C$94,"")</f>
        <v>0.0646492434662999</v>
      </c>
      <c r="D103" s="11" t="n">
        <f aca="false">IFERROR(COUNTIFS('Tagged Responses'!$S$2:$S$733,"*"&amp;$A103&amp;"*",'Tagged Responses'!$D$2:$D$733,Notes!$B$9)/D$94,"")</f>
        <v>0.055452865064695</v>
      </c>
      <c r="E103" s="11" t="n">
        <f aca="false">IFERROR(COUNTIFS('Tagged Responses'!$S$2:$S$733,"*"&amp;$A103&amp;"*",'Tagged Responses'!$D$2:$D$733,Notes!$C$9)/E$94,"")</f>
        <v>0.0903614457831325</v>
      </c>
      <c r="F103" s="11" t="n">
        <f aca="false">IFERROR(COUNTIFS('Tagged Responses'!$S$2:$S$733,"*"&amp;$A103&amp;"*",'Tagged Responses'!$D$2:$D$733,Notes!$D$9)/F$94,"")</f>
        <v>0.1</v>
      </c>
      <c r="G103" s="11" t="n">
        <f aca="false">IFERROR(COUNTIFS('Tagged Responses'!$S$2:$S$733,"*"&amp;$A103&amp;"*",'Tagged Responses'!$E$2:$E$733,"Female")/G$94,"")</f>
        <v>0.0780487804878049</v>
      </c>
      <c r="H103" s="11" t="n">
        <f aca="false">IFERROR(COUNTIFS('Tagged Responses'!$S$2:$S$733,"*"&amp;$A103&amp;"*",'Tagged Responses'!$E$2:$E$733,"Male")/H$94,"")</f>
        <v>0.0460526315789474</v>
      </c>
      <c r="I103" s="11" t="n">
        <f aca="false">IFERROR(COUNTIFS('Tagged Responses'!$S$2:$S$733,"*"&amp;$A103&amp;"*",'Tagged Responses'!$G$2:$G$733,"United States")/I$94,"")</f>
        <v>0.0610687022900763</v>
      </c>
      <c r="J103" s="11" t="n">
        <f aca="false">IFERROR(COUNTIFS('Tagged Responses'!$S$2:$S$733,"*"&amp;$A103&amp;"*",'Tagged Responses'!$G$2:$G$733,"China")/J$94,"")</f>
        <v>0.0700636942675159</v>
      </c>
    </row>
    <row r="104" customFormat="false" ht="15" hidden="false" customHeight="true" outlineLevel="0" collapsed="false">
      <c r="A104" s="10" t="s">
        <v>7378</v>
      </c>
      <c r="B104" s="10" t="n">
        <f aca="false">COUNTIF('Tagged Responses'!$S$2:$S$733,"*"&amp;$A104&amp;"*")</f>
        <v>24</v>
      </c>
      <c r="C104" s="11" t="n">
        <f aca="false">IFERROR(COUNTIF('Tagged Responses'!$S$2:$S$733,"*"&amp;$A104&amp;"*")/C$94,"")</f>
        <v>0.0330123796423659</v>
      </c>
      <c r="D104" s="11" t="n">
        <f aca="false">IFERROR(COUNTIFS('Tagged Responses'!$S$2:$S$733,"*"&amp;$A104&amp;"*",'Tagged Responses'!$D$2:$D$733,Notes!$B$9)/D$94,"")</f>
        <v>0.033271719038817</v>
      </c>
      <c r="E104" s="11" t="n">
        <f aca="false">IFERROR(COUNTIFS('Tagged Responses'!$S$2:$S$733,"*"&amp;$A104&amp;"*",'Tagged Responses'!$D$2:$D$733,Notes!$C$9)/E$94,"")</f>
        <v>0.0301204819277108</v>
      </c>
      <c r="F104" s="11" t="n">
        <f aca="false">IFERROR(COUNTIFS('Tagged Responses'!$S$2:$S$733,"*"&amp;$A104&amp;"*",'Tagged Responses'!$D$2:$D$733,Notes!$D$9)/F$94,"")</f>
        <v>0.05</v>
      </c>
      <c r="G104" s="11" t="n">
        <f aca="false">IFERROR(COUNTIFS('Tagged Responses'!$S$2:$S$733,"*"&amp;$A104&amp;"*",'Tagged Responses'!$E$2:$E$733,"Female")/G$94,"")</f>
        <v>0.0390243902439024</v>
      </c>
      <c r="H104" s="11" t="n">
        <f aca="false">IFERROR(COUNTIFS('Tagged Responses'!$S$2:$S$733,"*"&amp;$A104&amp;"*",'Tagged Responses'!$E$2:$E$733,"Male")/H$94,"")</f>
        <v>0.0230263157894737</v>
      </c>
      <c r="I104" s="11" t="n">
        <f aca="false">IFERROR(COUNTIFS('Tagged Responses'!$S$2:$S$733,"*"&amp;$A104&amp;"*",'Tagged Responses'!$G$2:$G$733,"United States")/I$94,"")</f>
        <v>0.0229007633587786</v>
      </c>
      <c r="J104" s="11" t="n">
        <f aca="false">IFERROR(COUNTIFS('Tagged Responses'!$S$2:$S$733,"*"&amp;$A104&amp;"*",'Tagged Responses'!$G$2:$G$733,"China")/J$94,"")</f>
        <v>0.0636942675159236</v>
      </c>
    </row>
    <row r="105" customFormat="false" ht="15" hidden="false" customHeight="true" outlineLevel="0" collapsed="false">
      <c r="A105" s="10" t="s">
        <v>6679</v>
      </c>
      <c r="B105" s="10" t="n">
        <f aca="false">COUNTIF('Tagged Responses'!$S$2:$S$733,"*"&amp;$A105&amp;"*")</f>
        <v>19</v>
      </c>
      <c r="C105" s="11" t="n">
        <f aca="false">IFERROR(COUNTIF('Tagged Responses'!$S$2:$S$733,"*"&amp;$A105&amp;"*")/C$94,"")</f>
        <v>0.0261348005502063</v>
      </c>
      <c r="D105" s="11" t="n">
        <f aca="false">IFERROR(COUNTIFS('Tagged Responses'!$S$2:$S$733,"*"&amp;$A105&amp;"*",'Tagged Responses'!$D$2:$D$733,Notes!$B$9)/D$94,"")</f>
        <v>0.0295748613678373</v>
      </c>
      <c r="E105" s="11" t="n">
        <f aca="false">IFERROR(COUNTIFS('Tagged Responses'!$S$2:$S$733,"*"&amp;$A105&amp;"*",'Tagged Responses'!$D$2:$D$733,Notes!$C$9)/E$94,"")</f>
        <v>0.0180722891566265</v>
      </c>
      <c r="F105" s="11" t="n">
        <f aca="false">IFERROR(COUNTIFS('Tagged Responses'!$S$2:$S$733,"*"&amp;$A105&amp;"*",'Tagged Responses'!$D$2:$D$733,Notes!$D$9)/F$94,"")</f>
        <v>0</v>
      </c>
      <c r="G105" s="11" t="n">
        <f aca="false">IFERROR(COUNTIFS('Tagged Responses'!$S$2:$S$733,"*"&amp;$A105&amp;"*",'Tagged Responses'!$E$2:$E$733,"Female")/G$94,"")</f>
        <v>0.0317073170731707</v>
      </c>
      <c r="H105" s="11" t="n">
        <f aca="false">IFERROR(COUNTIFS('Tagged Responses'!$S$2:$S$733,"*"&amp;$A105&amp;"*",'Tagged Responses'!$E$2:$E$733,"Male")/H$94,"")</f>
        <v>0.0164473684210526</v>
      </c>
      <c r="I105" s="11" t="n">
        <f aca="false">IFERROR(COUNTIFS('Tagged Responses'!$S$2:$S$733,"*"&amp;$A105&amp;"*",'Tagged Responses'!$G$2:$G$733,"United States")/I$94,"")</f>
        <v>0.0305343511450382</v>
      </c>
      <c r="J105" s="11" t="n">
        <f aca="false">IFERROR(COUNTIFS('Tagged Responses'!$S$2:$S$733,"*"&amp;$A105&amp;"*",'Tagged Responses'!$G$2:$G$733,"China")/J$94,"")</f>
        <v>0.0127388535031847</v>
      </c>
    </row>
    <row r="106" customFormat="false" ht="15" hidden="false" customHeight="true" outlineLevel="0" collapsed="false">
      <c r="A106" s="10" t="s">
        <v>6551</v>
      </c>
      <c r="B106" s="10" t="n">
        <f aca="false">COUNTIF('Tagged Responses'!$S$2:$S$733,"*"&amp;$A106&amp;"*")</f>
        <v>81</v>
      </c>
      <c r="C106" s="11" t="n">
        <f aca="false">IFERROR(COUNTIF('Tagged Responses'!$S$2:$S$733,"*"&amp;$A106&amp;"*")/C$94,"")</f>
        <v>0.111416781292985</v>
      </c>
      <c r="D106" s="11" t="n">
        <f aca="false">IFERROR(COUNTIFS('Tagged Responses'!$S$2:$S$733,"*"&amp;$A106&amp;"*",'Tagged Responses'!$D$2:$D$733,Notes!$B$9)/D$94,"")</f>
        <v>0.11645101663586</v>
      </c>
      <c r="E106" s="11" t="n">
        <f aca="false">IFERROR(COUNTIFS('Tagged Responses'!$S$2:$S$733,"*"&amp;$A106&amp;"*",'Tagged Responses'!$D$2:$D$733,Notes!$C$9)/E$94,"")</f>
        <v>0.108433734939759</v>
      </c>
      <c r="F106" s="11" t="n">
        <f aca="false">IFERROR(COUNTIFS('Tagged Responses'!$S$2:$S$733,"*"&amp;$A106&amp;"*",'Tagged Responses'!$D$2:$D$733,Notes!$D$9)/F$94,"")</f>
        <v>0</v>
      </c>
      <c r="G106" s="11" t="n">
        <f aca="false">IFERROR(COUNTIFS('Tagged Responses'!$S$2:$S$733,"*"&amp;$A106&amp;"*",'Tagged Responses'!$E$2:$E$733,"Female")/G$94,"")</f>
        <v>0.0902439024390244</v>
      </c>
      <c r="H106" s="11" t="n">
        <f aca="false">IFERROR(COUNTIFS('Tagged Responses'!$S$2:$S$733,"*"&amp;$A106&amp;"*",'Tagged Responses'!$E$2:$E$733,"Male")/H$94,"")</f>
        <v>0.138157894736842</v>
      </c>
      <c r="I106" s="11" t="n">
        <f aca="false">IFERROR(COUNTIFS('Tagged Responses'!$S$2:$S$733,"*"&amp;$A106&amp;"*",'Tagged Responses'!$G$2:$G$733,"United States")/I$94,"")</f>
        <v>0.112595419847328</v>
      </c>
      <c r="J106" s="11" t="n">
        <f aca="false">IFERROR(COUNTIFS('Tagged Responses'!$S$2:$S$733,"*"&amp;$A106&amp;"*",'Tagged Responses'!$G$2:$G$733,"China")/J$94,"")</f>
        <v>0.0828025477707006</v>
      </c>
    </row>
    <row r="107" customFormat="false" ht="15" hidden="false" customHeight="true" outlineLevel="0" collapsed="false">
      <c r="A107" s="10" t="s">
        <v>6647</v>
      </c>
      <c r="B107" s="10" t="n">
        <f aca="false">COUNTIF('Tagged Responses'!$S$2:$S$733,"*"&amp;$A107&amp;"*")</f>
        <v>61</v>
      </c>
      <c r="C107" s="11" t="n">
        <f aca="false">IFERROR(COUNTIF('Tagged Responses'!$S$2:$S$733,"*"&amp;$A107&amp;"*")/C$94,"")</f>
        <v>0.0839064649243466</v>
      </c>
      <c r="D107" s="11" t="n">
        <f aca="false">IFERROR(COUNTIFS('Tagged Responses'!$S$2:$S$733,"*"&amp;$A107&amp;"*",'Tagged Responses'!$D$2:$D$733,Notes!$B$9)/D$94,"")</f>
        <v>0.0850277264325323</v>
      </c>
      <c r="E107" s="11" t="n">
        <f aca="false">IFERROR(COUNTIFS('Tagged Responses'!$S$2:$S$733,"*"&amp;$A107&amp;"*",'Tagged Responses'!$D$2:$D$733,Notes!$C$9)/E$94,"")</f>
        <v>0.0783132530120482</v>
      </c>
      <c r="F107" s="11" t="n">
        <f aca="false">IFERROR(COUNTIFS('Tagged Responses'!$S$2:$S$733,"*"&amp;$A107&amp;"*",'Tagged Responses'!$D$2:$D$733,Notes!$D$9)/F$94,"")</f>
        <v>0.1</v>
      </c>
      <c r="G107" s="11" t="n">
        <f aca="false">IFERROR(COUNTIFS('Tagged Responses'!$S$2:$S$733,"*"&amp;$A107&amp;"*",'Tagged Responses'!$E$2:$E$733,"Female")/G$94,"")</f>
        <v>0.0707317073170732</v>
      </c>
      <c r="H107" s="11" t="n">
        <f aca="false">IFERROR(COUNTIFS('Tagged Responses'!$S$2:$S$733,"*"&amp;$A107&amp;"*",'Tagged Responses'!$E$2:$E$733,"Male")/H$94,"")</f>
        <v>0.101973684210526</v>
      </c>
      <c r="I107" s="11" t="n">
        <f aca="false">IFERROR(COUNTIFS('Tagged Responses'!$S$2:$S$733,"*"&amp;$A107&amp;"*",'Tagged Responses'!$G$2:$G$733,"United States")/I$94,"")</f>
        <v>0.0687022900763359</v>
      </c>
      <c r="J107" s="11" t="n">
        <f aca="false">IFERROR(COUNTIFS('Tagged Responses'!$S$2:$S$733,"*"&amp;$A107&amp;"*",'Tagged Responses'!$G$2:$G$733,"China")/J$94,"")</f>
        <v>0.140127388535032</v>
      </c>
    </row>
    <row r="108" customFormat="false" ht="15" hidden="false" customHeight="true" outlineLevel="0" collapsed="false">
      <c r="A108" s="10" t="s">
        <v>6538</v>
      </c>
      <c r="B108" s="10" t="n">
        <f aca="false">COUNTIF('Tagged Responses'!$S$2:$S$733,"*"&amp;$A108&amp;"*")</f>
        <v>6</v>
      </c>
      <c r="C108" s="11" t="n">
        <f aca="false">IFERROR(COUNTIF('Tagged Responses'!$S$2:$S$733,"*"&amp;$A108&amp;"*")/C$94,"")</f>
        <v>0.00825309491059147</v>
      </c>
      <c r="D108" s="11" t="n">
        <f aca="false">IFERROR(COUNTIFS('Tagged Responses'!$S$2:$S$733,"*"&amp;$A108&amp;"*",'Tagged Responses'!$D$2:$D$733,Notes!$B$9)/D$94,"")</f>
        <v>0.00924214417744917</v>
      </c>
      <c r="E108" s="11" t="n">
        <f aca="false">IFERROR(COUNTIFS('Tagged Responses'!$S$2:$S$733,"*"&amp;$A108&amp;"*",'Tagged Responses'!$D$2:$D$733,Notes!$C$9)/E$94,"")</f>
        <v>0.00602409638554217</v>
      </c>
      <c r="F108" s="11" t="n">
        <f aca="false">IFERROR(COUNTIFS('Tagged Responses'!$S$2:$S$733,"*"&amp;$A108&amp;"*",'Tagged Responses'!$D$2:$D$733,Notes!$D$9)/F$94,"")</f>
        <v>0</v>
      </c>
      <c r="G108" s="11" t="n">
        <f aca="false">IFERROR(COUNTIFS('Tagged Responses'!$S$2:$S$733,"*"&amp;$A108&amp;"*",'Tagged Responses'!$E$2:$E$733,"Female")/G$94,"")</f>
        <v>0.00975609756097561</v>
      </c>
      <c r="H108" s="11" t="n">
        <f aca="false">IFERROR(COUNTIFS('Tagged Responses'!$S$2:$S$733,"*"&amp;$A108&amp;"*",'Tagged Responses'!$E$2:$E$733,"Male")/H$94,"")</f>
        <v>0.00657894736842105</v>
      </c>
      <c r="I108" s="11" t="n">
        <f aca="false">IFERROR(COUNTIFS('Tagged Responses'!$S$2:$S$733,"*"&amp;$A108&amp;"*",'Tagged Responses'!$G$2:$G$733,"United States")/I$94,"")</f>
        <v>0.00763358778625954</v>
      </c>
      <c r="J108" s="11" t="n">
        <f aca="false">IFERROR(COUNTIFS('Tagged Responses'!$S$2:$S$733,"*"&amp;$A108&amp;"*",'Tagged Responses'!$G$2:$G$733,"China")/J$94,"")</f>
        <v>0.0127388535031847</v>
      </c>
    </row>
    <row r="110" customFormat="false" ht="15" hidden="false" customHeight="true" outlineLevel="0" collapsed="false">
      <c r="A110" s="8" t="s">
        <v>7695</v>
      </c>
    </row>
    <row r="111" customFormat="false" ht="30" hidden="false" customHeight="true" outlineLevel="0" collapsed="false">
      <c r="A111" s="2" t="s">
        <v>7683</v>
      </c>
      <c r="B111" s="2" t="s">
        <v>7684</v>
      </c>
      <c r="C111" s="2" t="s">
        <v>7685</v>
      </c>
      <c r="D111" s="2" t="str">
        <f aca="false">Notes!$B$9</f>
        <v>Student age (≤29)</v>
      </c>
      <c r="E111" s="2" t="str">
        <f aca="false">Notes!$C$9</f>
        <v>Middle-aged (30–64)</v>
      </c>
      <c r="F111" s="2" t="str">
        <f aca="false">Notes!$D$9</f>
        <v>Elderly (65+)</v>
      </c>
      <c r="G111" s="2" t="s">
        <v>45</v>
      </c>
      <c r="H111" s="2" t="s">
        <v>83</v>
      </c>
      <c r="I111" s="2" t="s">
        <v>7686</v>
      </c>
      <c r="J111" s="2" t="s">
        <v>7687</v>
      </c>
    </row>
    <row r="112" customFormat="false" ht="15" hidden="false" customHeight="true" outlineLevel="0" collapsed="false">
      <c r="A112" s="9" t="s">
        <v>7688</v>
      </c>
      <c r="B112" s="9" t="n">
        <f aca="false">COUNTIF('Tagged Responses'!$T$2:$T$733,"?*")</f>
        <v>727</v>
      </c>
      <c r="C112" s="9" t="n">
        <f aca="false">COUNTIF('Tagged Responses'!$T$2:$T$733,"?*")</f>
        <v>727</v>
      </c>
      <c r="D112" s="9" t="n">
        <f aca="false">COUNTIFS('Tagged Responses'!$T$2:$T$733,"?*",'Tagged Responses'!$D$2:$D$733,Notes!$B$9)</f>
        <v>540</v>
      </c>
      <c r="E112" s="9" t="n">
        <f aca="false">COUNTIFS('Tagged Responses'!$T$2:$T$733,"?*",'Tagged Responses'!$D$2:$D$733,Notes!$C$9)</f>
        <v>167</v>
      </c>
      <c r="F112" s="9" t="n">
        <f aca="false">COUNTIFS('Tagged Responses'!$T$2:$T$733,"?*",'Tagged Responses'!$D$2:$D$733,Notes!$D$9)</f>
        <v>20</v>
      </c>
      <c r="G112" s="9" t="n">
        <f aca="false">COUNTIFS('Tagged Responses'!$T$2:$T$733,"?*",'Tagged Responses'!$E$2:$E$733,"Female")</f>
        <v>408</v>
      </c>
      <c r="H112" s="9" t="n">
        <f aca="false">COUNTIFS('Tagged Responses'!$T$2:$T$733,"?*",'Tagged Responses'!$E$2:$E$733,"Male")</f>
        <v>306</v>
      </c>
      <c r="I112" s="9" t="n">
        <f aca="false">COUNTIFS('Tagged Responses'!$T$2:$T$733,"?*",'Tagged Responses'!$G$2:$G$733,"United States")</f>
        <v>524</v>
      </c>
      <c r="J112" s="9" t="n">
        <f aca="false">COUNTIFS('Tagged Responses'!$T$2:$T$733,"?*",'Tagged Responses'!$G$2:$G$733,"China")</f>
        <v>157</v>
      </c>
    </row>
    <row r="113" customFormat="false" ht="15" hidden="false" customHeight="true" outlineLevel="0" collapsed="false">
      <c r="A113" s="10" t="s">
        <v>6693</v>
      </c>
      <c r="B113" s="10" t="n">
        <f aca="false">COUNTIF('Tagged Responses'!$U$2:$U$733,"*"&amp;$A113&amp;"*")</f>
        <v>377</v>
      </c>
      <c r="C113" s="11" t="n">
        <f aca="false">IFERROR(COUNTIF('Tagged Responses'!$U$2:$U$733,"*"&amp;$A113&amp;"*")/C$112,"")</f>
        <v>0.518569463548831</v>
      </c>
      <c r="D113" s="11" t="n">
        <f aca="false">IFERROR(COUNTIFS('Tagged Responses'!$U$2:$U$733,"*"&amp;$A113&amp;"*",'Tagged Responses'!$D$2:$D$733,Notes!$B$9)/D$112,"")</f>
        <v>0.561111111111111</v>
      </c>
      <c r="E113" s="11" t="n">
        <f aca="false">IFERROR(COUNTIFS('Tagged Responses'!$U$2:$U$733,"*"&amp;$A113&amp;"*",'Tagged Responses'!$D$2:$D$733,Notes!$C$9)/E$112,"")</f>
        <v>0.389221556886228</v>
      </c>
      <c r="F113" s="11" t="n">
        <f aca="false">IFERROR(COUNTIFS('Tagged Responses'!$U$2:$U$733,"*"&amp;$A113&amp;"*",'Tagged Responses'!$D$2:$D$733,Notes!$D$9)/F$112,"")</f>
        <v>0.45</v>
      </c>
      <c r="G113" s="11" t="n">
        <f aca="false">IFERROR(COUNTIFS('Tagged Responses'!$U$2:$U$733,"*"&amp;$A113&amp;"*",'Tagged Responses'!$E$2:$E$733,"Female")/G$112,"")</f>
        <v>0.522058823529412</v>
      </c>
      <c r="H113" s="11" t="n">
        <f aca="false">IFERROR(COUNTIFS('Tagged Responses'!$U$2:$U$733,"*"&amp;$A113&amp;"*",'Tagged Responses'!$E$2:$E$733,"Male")/H$112,"")</f>
        <v>0.516339869281046</v>
      </c>
      <c r="I113" s="11" t="n">
        <f aca="false">IFERROR(COUNTIFS('Tagged Responses'!$U$2:$U$733,"*"&amp;$A113&amp;"*",'Tagged Responses'!$G$2:$G$733,"United States")/I$112,"")</f>
        <v>0.543893129770992</v>
      </c>
      <c r="J113" s="11" t="n">
        <f aca="false">IFERROR(COUNTIFS('Tagged Responses'!$U$2:$U$733,"*"&amp;$A113&amp;"*",'Tagged Responses'!$G$2:$G$733,"China")/J$112,"")</f>
        <v>0.407643312101911</v>
      </c>
    </row>
    <row r="114" customFormat="false" ht="15" hidden="false" customHeight="true" outlineLevel="0" collapsed="false">
      <c r="A114" s="10" t="s">
        <v>6568</v>
      </c>
      <c r="B114" s="10" t="n">
        <f aca="false">COUNTIF('Tagged Responses'!$U$2:$U$733,"*"&amp;$A114&amp;"*")</f>
        <v>348</v>
      </c>
      <c r="C114" s="11" t="n">
        <f aca="false">IFERROR(COUNTIF('Tagged Responses'!$U$2:$U$733,"*"&amp;$A114&amp;"*")/C$112,"")</f>
        <v>0.478679504814305</v>
      </c>
      <c r="D114" s="11" t="n">
        <f aca="false">IFERROR(COUNTIFS('Tagged Responses'!$U$2:$U$733,"*"&amp;$A114&amp;"*",'Tagged Responses'!$D$2:$D$733,Notes!$B$9)/D$112,"")</f>
        <v>0.505555555555556</v>
      </c>
      <c r="E114" s="11" t="n">
        <f aca="false">IFERROR(COUNTIFS('Tagged Responses'!$U$2:$U$733,"*"&amp;$A114&amp;"*",'Tagged Responses'!$D$2:$D$733,Notes!$C$9)/E$112,"")</f>
        <v>0.383233532934132</v>
      </c>
      <c r="F114" s="11" t="n">
        <f aca="false">IFERROR(COUNTIFS('Tagged Responses'!$U$2:$U$733,"*"&amp;$A114&amp;"*",'Tagged Responses'!$D$2:$D$733,Notes!$D$9)/F$112,"")</f>
        <v>0.55</v>
      </c>
      <c r="G114" s="11" t="n">
        <f aca="false">IFERROR(COUNTIFS('Tagged Responses'!$U$2:$U$733,"*"&amp;$A114&amp;"*",'Tagged Responses'!$E$2:$E$733,"Female")/G$112,"")</f>
        <v>0.490196078431373</v>
      </c>
      <c r="H114" s="11" t="n">
        <f aca="false">IFERROR(COUNTIFS('Tagged Responses'!$U$2:$U$733,"*"&amp;$A114&amp;"*",'Tagged Responses'!$E$2:$E$733,"Male")/H$112,"")</f>
        <v>0.454248366013072</v>
      </c>
      <c r="I114" s="11" t="n">
        <f aca="false">IFERROR(COUNTIFS('Tagged Responses'!$U$2:$U$733,"*"&amp;$A114&amp;"*",'Tagged Responses'!$G$2:$G$733,"United States")/I$112,"")</f>
        <v>0.49236641221374</v>
      </c>
      <c r="J114" s="11" t="n">
        <f aca="false">IFERROR(COUNTIFS('Tagged Responses'!$U$2:$U$733,"*"&amp;$A114&amp;"*",'Tagged Responses'!$G$2:$G$733,"China")/J$112,"")</f>
        <v>0.452229299363057</v>
      </c>
    </row>
    <row r="115" customFormat="false" ht="15" hidden="false" customHeight="true" outlineLevel="0" collapsed="false">
      <c r="A115" s="10" t="s">
        <v>6688</v>
      </c>
      <c r="B115" s="10" t="n">
        <f aca="false">COUNTIF('Tagged Responses'!$U$2:$U$733,"*"&amp;$A115&amp;"*")</f>
        <v>299</v>
      </c>
      <c r="C115" s="11" t="n">
        <f aca="false">IFERROR(COUNTIF('Tagged Responses'!$U$2:$U$733,"*"&amp;$A115&amp;"*")/C$112,"")</f>
        <v>0.411279229711142</v>
      </c>
      <c r="D115" s="11" t="n">
        <f aca="false">IFERROR(COUNTIFS('Tagged Responses'!$U$2:$U$733,"*"&amp;$A115&amp;"*",'Tagged Responses'!$D$2:$D$733,Notes!$B$9)/D$112,"")</f>
        <v>0.42962962962963</v>
      </c>
      <c r="E115" s="11" t="n">
        <f aca="false">IFERROR(COUNTIFS('Tagged Responses'!$U$2:$U$733,"*"&amp;$A115&amp;"*",'Tagged Responses'!$D$2:$D$733,Notes!$C$9)/E$112,"")</f>
        <v>0.359281437125749</v>
      </c>
      <c r="F115" s="11" t="n">
        <f aca="false">IFERROR(COUNTIFS('Tagged Responses'!$U$2:$U$733,"*"&amp;$A115&amp;"*",'Tagged Responses'!$D$2:$D$733,Notes!$D$9)/F$112,"")</f>
        <v>0.35</v>
      </c>
      <c r="G115" s="11" t="n">
        <f aca="false">IFERROR(COUNTIFS('Tagged Responses'!$U$2:$U$733,"*"&amp;$A115&amp;"*",'Tagged Responses'!$E$2:$E$733,"Female")/G$112,"")</f>
        <v>0.409313725490196</v>
      </c>
      <c r="H115" s="11" t="n">
        <f aca="false">IFERROR(COUNTIFS('Tagged Responses'!$U$2:$U$733,"*"&amp;$A115&amp;"*",'Tagged Responses'!$E$2:$E$733,"Male")/H$112,"")</f>
        <v>0.411764705882353</v>
      </c>
      <c r="I115" s="11" t="n">
        <f aca="false">IFERROR(COUNTIFS('Tagged Responses'!$U$2:$U$733,"*"&amp;$A115&amp;"*",'Tagged Responses'!$G$2:$G$733,"United States")/I$112,"")</f>
        <v>0.368320610687023</v>
      </c>
      <c r="J115" s="11" t="n">
        <f aca="false">IFERROR(COUNTIFS('Tagged Responses'!$U$2:$U$733,"*"&amp;$A115&amp;"*",'Tagged Responses'!$G$2:$G$733,"China")/J$112,"")</f>
        <v>0.522292993630573</v>
      </c>
    </row>
    <row r="116" customFormat="false" ht="15" hidden="false" customHeight="true" outlineLevel="0" collapsed="false">
      <c r="A116" s="10" t="s">
        <v>6545</v>
      </c>
      <c r="B116" s="10" t="n">
        <f aca="false">COUNTIF('Tagged Responses'!$U$2:$U$733,"*"&amp;$A116&amp;"*")</f>
        <v>278</v>
      </c>
      <c r="C116" s="11" t="n">
        <f aca="false">IFERROR(COUNTIF('Tagged Responses'!$U$2:$U$733,"*"&amp;$A116&amp;"*")/C$112,"")</f>
        <v>0.382393397524072</v>
      </c>
      <c r="D116" s="11" t="n">
        <f aca="false">IFERROR(COUNTIFS('Tagged Responses'!$U$2:$U$733,"*"&amp;$A116&amp;"*",'Tagged Responses'!$D$2:$D$733,Notes!$B$9)/D$112,"")</f>
        <v>0.392592592592593</v>
      </c>
      <c r="E116" s="11" t="n">
        <f aca="false">IFERROR(COUNTIFS('Tagged Responses'!$U$2:$U$733,"*"&amp;$A116&amp;"*",'Tagged Responses'!$D$2:$D$733,Notes!$C$9)/E$112,"")</f>
        <v>0.335329341317365</v>
      </c>
      <c r="F116" s="11" t="n">
        <f aca="false">IFERROR(COUNTIFS('Tagged Responses'!$U$2:$U$733,"*"&amp;$A116&amp;"*",'Tagged Responses'!$D$2:$D$733,Notes!$D$9)/F$112,"")</f>
        <v>0.5</v>
      </c>
      <c r="G116" s="11" t="n">
        <f aca="false">IFERROR(COUNTIFS('Tagged Responses'!$U$2:$U$733,"*"&amp;$A116&amp;"*",'Tagged Responses'!$E$2:$E$733,"Female")/G$112,"")</f>
        <v>0.375</v>
      </c>
      <c r="H116" s="11" t="n">
        <f aca="false">IFERROR(COUNTIFS('Tagged Responses'!$U$2:$U$733,"*"&amp;$A116&amp;"*",'Tagged Responses'!$E$2:$E$733,"Male")/H$112,"")</f>
        <v>0.392156862745098</v>
      </c>
      <c r="I116" s="11" t="n">
        <f aca="false">IFERROR(COUNTIFS('Tagged Responses'!$U$2:$U$733,"*"&amp;$A116&amp;"*",'Tagged Responses'!$G$2:$G$733,"United States")/I$112,"")</f>
        <v>0.419847328244275</v>
      </c>
      <c r="J116" s="11" t="n">
        <f aca="false">IFERROR(COUNTIFS('Tagged Responses'!$U$2:$U$733,"*"&amp;$A116&amp;"*",'Tagged Responses'!$G$2:$G$733,"China")/J$112,"")</f>
        <v>0.267515923566879</v>
      </c>
    </row>
    <row r="117" customFormat="false" ht="15" hidden="false" customHeight="true" outlineLevel="0" collapsed="false">
      <c r="A117" s="10" t="s">
        <v>6540</v>
      </c>
      <c r="B117" s="10" t="n">
        <f aca="false">COUNTIF('Tagged Responses'!$U$2:$U$733,"*"&amp;$A117&amp;"*")</f>
        <v>242</v>
      </c>
      <c r="C117" s="11" t="n">
        <f aca="false">IFERROR(COUNTIF('Tagged Responses'!$U$2:$U$733,"*"&amp;$A117&amp;"*")/C$112,"")</f>
        <v>0.332874828060523</v>
      </c>
      <c r="D117" s="11" t="n">
        <f aca="false">IFERROR(COUNTIFS('Tagged Responses'!$U$2:$U$733,"*"&amp;$A117&amp;"*",'Tagged Responses'!$D$2:$D$733,Notes!$B$9)/D$112,"")</f>
        <v>0.357407407407407</v>
      </c>
      <c r="E117" s="11" t="n">
        <f aca="false">IFERROR(COUNTIFS('Tagged Responses'!$U$2:$U$733,"*"&amp;$A117&amp;"*",'Tagged Responses'!$D$2:$D$733,Notes!$C$9)/E$112,"")</f>
        <v>0.263473053892216</v>
      </c>
      <c r="F117" s="11" t="n">
        <f aca="false">IFERROR(COUNTIFS('Tagged Responses'!$U$2:$U$733,"*"&amp;$A117&amp;"*",'Tagged Responses'!$D$2:$D$733,Notes!$D$9)/F$112,"")</f>
        <v>0.25</v>
      </c>
      <c r="G117" s="11" t="n">
        <f aca="false">IFERROR(COUNTIFS('Tagged Responses'!$U$2:$U$733,"*"&amp;$A117&amp;"*",'Tagged Responses'!$E$2:$E$733,"Female")/G$112,"")</f>
        <v>0.352941176470588</v>
      </c>
      <c r="H117" s="11" t="n">
        <f aca="false">IFERROR(COUNTIFS('Tagged Responses'!$U$2:$U$733,"*"&amp;$A117&amp;"*",'Tagged Responses'!$E$2:$E$733,"Male")/H$112,"")</f>
        <v>0.303921568627451</v>
      </c>
      <c r="I117" s="11" t="n">
        <f aca="false">IFERROR(COUNTIFS('Tagged Responses'!$U$2:$U$733,"*"&amp;$A117&amp;"*",'Tagged Responses'!$G$2:$G$733,"United States")/I$112,"")</f>
        <v>0.293893129770992</v>
      </c>
      <c r="J117" s="11" t="n">
        <f aca="false">IFERROR(COUNTIFS('Tagged Responses'!$U$2:$U$733,"*"&amp;$A117&amp;"*",'Tagged Responses'!$G$2:$G$733,"China")/J$112,"")</f>
        <v>0.43312101910828</v>
      </c>
    </row>
    <row r="118" customFormat="false" ht="15" hidden="false" customHeight="true" outlineLevel="0" collapsed="false">
      <c r="A118" s="10" t="s">
        <v>6611</v>
      </c>
      <c r="B118" s="10" t="n">
        <f aca="false">COUNTIF('Tagged Responses'!$U$2:$U$733,"*"&amp;$A118&amp;"*")</f>
        <v>164</v>
      </c>
      <c r="C118" s="11" t="n">
        <f aca="false">IFERROR(COUNTIF('Tagged Responses'!$U$2:$U$733,"*"&amp;$A118&amp;"*")/C$112,"")</f>
        <v>0.225584594222834</v>
      </c>
      <c r="D118" s="11" t="n">
        <f aca="false">IFERROR(COUNTIFS('Tagged Responses'!$U$2:$U$733,"*"&amp;$A118&amp;"*",'Tagged Responses'!$D$2:$D$733,Notes!$B$9)/D$112,"")</f>
        <v>0.235185185185185</v>
      </c>
      <c r="E118" s="11" t="n">
        <f aca="false">IFERROR(COUNTIFS('Tagged Responses'!$U$2:$U$733,"*"&amp;$A118&amp;"*",'Tagged Responses'!$D$2:$D$733,Notes!$C$9)/E$112,"")</f>
        <v>0.197604790419162</v>
      </c>
      <c r="F118" s="11" t="n">
        <f aca="false">IFERROR(COUNTIFS('Tagged Responses'!$U$2:$U$733,"*"&amp;$A118&amp;"*",'Tagged Responses'!$D$2:$D$733,Notes!$D$9)/F$112,"")</f>
        <v>0.2</v>
      </c>
      <c r="G118" s="11" t="n">
        <f aca="false">IFERROR(COUNTIFS('Tagged Responses'!$U$2:$U$733,"*"&amp;$A118&amp;"*",'Tagged Responses'!$E$2:$E$733,"Female")/G$112,"")</f>
        <v>0.20343137254902</v>
      </c>
      <c r="H118" s="11" t="n">
        <f aca="false">IFERROR(COUNTIFS('Tagged Responses'!$U$2:$U$733,"*"&amp;$A118&amp;"*",'Tagged Responses'!$E$2:$E$733,"Male")/H$112,"")</f>
        <v>0.248366013071895</v>
      </c>
      <c r="I118" s="11" t="n">
        <f aca="false">IFERROR(COUNTIFS('Tagged Responses'!$U$2:$U$733,"*"&amp;$A118&amp;"*",'Tagged Responses'!$G$2:$G$733,"United States")/I$112,"")</f>
        <v>0.236641221374046</v>
      </c>
      <c r="J118" s="11" t="n">
        <f aca="false">IFERROR(COUNTIFS('Tagged Responses'!$U$2:$U$733,"*"&amp;$A118&amp;"*",'Tagged Responses'!$G$2:$G$733,"China")/J$112,"")</f>
        <v>0.191082802547771</v>
      </c>
    </row>
    <row r="119" customFormat="false" ht="15" hidden="false" customHeight="true" outlineLevel="0" collapsed="false">
      <c r="A119" s="10" t="s">
        <v>6510</v>
      </c>
      <c r="B119" s="10" t="n">
        <f aca="false">COUNTIF('Tagged Responses'!$U$2:$U$733,"*"&amp;$A119&amp;"*")</f>
        <v>149</v>
      </c>
      <c r="C119" s="11" t="n">
        <f aca="false">IFERROR(COUNTIF('Tagged Responses'!$U$2:$U$733,"*"&amp;$A119&amp;"*")/C$112,"")</f>
        <v>0.204951856946355</v>
      </c>
      <c r="D119" s="11" t="n">
        <f aca="false">IFERROR(COUNTIFS('Tagged Responses'!$U$2:$U$733,"*"&amp;$A119&amp;"*",'Tagged Responses'!$D$2:$D$733,Notes!$B$9)/D$112,"")</f>
        <v>0.225925925925926</v>
      </c>
      <c r="E119" s="11" t="n">
        <f aca="false">IFERROR(COUNTIFS('Tagged Responses'!$U$2:$U$733,"*"&amp;$A119&amp;"*",'Tagged Responses'!$D$2:$D$733,Notes!$C$9)/E$112,"")</f>
        <v>0.137724550898204</v>
      </c>
      <c r="F119" s="11" t="n">
        <f aca="false">IFERROR(COUNTIFS('Tagged Responses'!$U$2:$U$733,"*"&amp;$A119&amp;"*",'Tagged Responses'!$D$2:$D$733,Notes!$D$9)/F$112,"")</f>
        <v>0.2</v>
      </c>
      <c r="G119" s="11" t="n">
        <f aca="false">IFERROR(COUNTIFS('Tagged Responses'!$U$2:$U$733,"*"&amp;$A119&amp;"*",'Tagged Responses'!$E$2:$E$733,"Female")/G$112,"")</f>
        <v>0.20343137254902</v>
      </c>
      <c r="H119" s="11" t="n">
        <f aca="false">IFERROR(COUNTIFS('Tagged Responses'!$U$2:$U$733,"*"&amp;$A119&amp;"*",'Tagged Responses'!$E$2:$E$733,"Male")/H$112,"")</f>
        <v>0.205882352941176</v>
      </c>
      <c r="I119" s="11" t="n">
        <f aca="false">IFERROR(COUNTIFS('Tagged Responses'!$U$2:$U$733,"*"&amp;$A119&amp;"*",'Tagged Responses'!$G$2:$G$733,"United States")/I$112,"")</f>
        <v>0.208015267175573</v>
      </c>
      <c r="J119" s="11" t="n">
        <f aca="false">IFERROR(COUNTIFS('Tagged Responses'!$U$2:$U$733,"*"&amp;$A119&amp;"*",'Tagged Responses'!$G$2:$G$733,"China")/J$112,"")</f>
        <v>0.210191082802548</v>
      </c>
    </row>
    <row r="120" customFormat="false" ht="15" hidden="false" customHeight="true" outlineLevel="0" collapsed="false">
      <c r="A120" s="10" t="s">
        <v>2035</v>
      </c>
      <c r="B120" s="10" t="n">
        <f aca="false">COUNTIF('Tagged Responses'!$U$2:$U$733,"*"&amp;$A120&amp;"*")</f>
        <v>118</v>
      </c>
      <c r="C120" s="11" t="n">
        <f aca="false">IFERROR(COUNTIF('Tagged Responses'!$U$2:$U$733,"*"&amp;$A120&amp;"*")/C$112,"")</f>
        <v>0.162310866574966</v>
      </c>
      <c r="D120" s="11" t="n">
        <f aca="false">IFERROR(COUNTIFS('Tagged Responses'!$U$2:$U$733,"*"&amp;$A120&amp;"*",'Tagged Responses'!$D$2:$D$733,Notes!$B$9)/D$112,"")</f>
        <v>0.175925925925926</v>
      </c>
      <c r="E120" s="11" t="n">
        <f aca="false">IFERROR(COUNTIFS('Tagged Responses'!$U$2:$U$733,"*"&amp;$A120&amp;"*",'Tagged Responses'!$D$2:$D$733,Notes!$C$9)/E$112,"")</f>
        <v>0.131736526946108</v>
      </c>
      <c r="F120" s="11" t="n">
        <f aca="false">IFERROR(COUNTIFS('Tagged Responses'!$U$2:$U$733,"*"&amp;$A120&amp;"*",'Tagged Responses'!$D$2:$D$733,Notes!$D$9)/F$112,"")</f>
        <v>0.05</v>
      </c>
      <c r="G120" s="11" t="n">
        <f aca="false">IFERROR(COUNTIFS('Tagged Responses'!$U$2:$U$733,"*"&amp;$A120&amp;"*",'Tagged Responses'!$E$2:$E$733,"Female")/G$112,"")</f>
        <v>0.144607843137255</v>
      </c>
      <c r="H120" s="11" t="n">
        <f aca="false">IFERROR(COUNTIFS('Tagged Responses'!$U$2:$U$733,"*"&amp;$A120&amp;"*",'Tagged Responses'!$E$2:$E$733,"Male")/H$112,"")</f>
        <v>0.189542483660131</v>
      </c>
      <c r="I120" s="11" t="n">
        <f aca="false">IFERROR(COUNTIFS('Tagged Responses'!$U$2:$U$733,"*"&amp;$A120&amp;"*",'Tagged Responses'!$G$2:$G$733,"United States")/I$112,"")</f>
        <v>0.177480916030534</v>
      </c>
      <c r="J120" s="11" t="n">
        <f aca="false">IFERROR(COUNTIFS('Tagged Responses'!$U$2:$U$733,"*"&amp;$A120&amp;"*",'Tagged Responses'!$G$2:$G$733,"China")/J$112,"")</f>
        <v>0.0955414012738854</v>
      </c>
    </row>
    <row r="121" customFormat="false" ht="15" hidden="false" customHeight="true" outlineLevel="0" collapsed="false">
      <c r="A121" s="10" t="s">
        <v>6828</v>
      </c>
      <c r="B121" s="10" t="n">
        <f aca="false">COUNTIF('Tagged Responses'!$U$2:$U$733,"*"&amp;$A121&amp;"*")</f>
        <v>107</v>
      </c>
      <c r="C121" s="11" t="n">
        <f aca="false">IFERROR(COUNTIF('Tagged Responses'!$U$2:$U$733,"*"&amp;$A121&amp;"*")/C$112,"")</f>
        <v>0.147180192572215</v>
      </c>
      <c r="D121" s="11" t="n">
        <f aca="false">IFERROR(COUNTIFS('Tagged Responses'!$U$2:$U$733,"*"&amp;$A121&amp;"*",'Tagged Responses'!$D$2:$D$733,Notes!$B$9)/D$112,"")</f>
        <v>0.15</v>
      </c>
      <c r="E121" s="11" t="n">
        <f aca="false">IFERROR(COUNTIFS('Tagged Responses'!$U$2:$U$733,"*"&amp;$A121&amp;"*",'Tagged Responses'!$D$2:$D$733,Notes!$C$9)/E$112,"")</f>
        <v>0.119760479041916</v>
      </c>
      <c r="F121" s="11" t="n">
        <f aca="false">IFERROR(COUNTIFS('Tagged Responses'!$U$2:$U$733,"*"&amp;$A121&amp;"*",'Tagged Responses'!$D$2:$D$733,Notes!$D$9)/F$112,"")</f>
        <v>0.3</v>
      </c>
      <c r="G121" s="11" t="n">
        <f aca="false">IFERROR(COUNTIFS('Tagged Responses'!$U$2:$U$733,"*"&amp;$A121&amp;"*",'Tagged Responses'!$E$2:$E$733,"Female")/G$112,"")</f>
        <v>0.151960784313725</v>
      </c>
      <c r="H121" s="11" t="n">
        <f aca="false">IFERROR(COUNTIFS('Tagged Responses'!$U$2:$U$733,"*"&amp;$A121&amp;"*",'Tagged Responses'!$E$2:$E$733,"Male")/H$112,"")</f>
        <v>0.147058823529412</v>
      </c>
      <c r="I121" s="11" t="n">
        <f aca="false">IFERROR(COUNTIFS('Tagged Responses'!$U$2:$U$733,"*"&amp;$A121&amp;"*",'Tagged Responses'!$G$2:$G$733,"United States")/I$112,"")</f>
        <v>0.173664122137405</v>
      </c>
      <c r="J121" s="11" t="n">
        <f aca="false">IFERROR(COUNTIFS('Tagged Responses'!$U$2:$U$733,"*"&amp;$A121&amp;"*",'Tagged Responses'!$G$2:$G$733,"China")/J$112,"")</f>
        <v>0.0764331210191083</v>
      </c>
    </row>
    <row r="122" customFormat="false" ht="15" hidden="false" customHeight="true" outlineLevel="0" collapsed="false">
      <c r="A122" s="10" t="s">
        <v>6900</v>
      </c>
      <c r="B122" s="10" t="n">
        <f aca="false">COUNTIF('Tagged Responses'!$U$2:$U$733,"*"&amp;$A122&amp;"*")</f>
        <v>100</v>
      </c>
      <c r="C122" s="11" t="n">
        <f aca="false">IFERROR(COUNTIF('Tagged Responses'!$U$2:$U$733,"*"&amp;$A122&amp;"*")/C$112,"")</f>
        <v>0.137551581843191</v>
      </c>
      <c r="D122" s="11" t="n">
        <f aca="false">IFERROR(COUNTIFS('Tagged Responses'!$U$2:$U$733,"*"&amp;$A122&amp;"*",'Tagged Responses'!$D$2:$D$733,Notes!$B$9)/D$112,"")</f>
        <v>0.148148148148148</v>
      </c>
      <c r="E122" s="11" t="n">
        <f aca="false">IFERROR(COUNTIFS('Tagged Responses'!$U$2:$U$733,"*"&amp;$A122&amp;"*",'Tagged Responses'!$D$2:$D$733,Notes!$C$9)/E$112,"")</f>
        <v>0.101796407185629</v>
      </c>
      <c r="F122" s="11" t="n">
        <f aca="false">IFERROR(COUNTIFS('Tagged Responses'!$U$2:$U$733,"*"&amp;$A122&amp;"*",'Tagged Responses'!$D$2:$D$733,Notes!$D$9)/F$112,"")</f>
        <v>0.15</v>
      </c>
      <c r="G122" s="11" t="n">
        <f aca="false">IFERROR(COUNTIFS('Tagged Responses'!$U$2:$U$733,"*"&amp;$A122&amp;"*",'Tagged Responses'!$E$2:$E$733,"Female")/G$112,"")</f>
        <v>0.169117647058824</v>
      </c>
      <c r="H122" s="11" t="n">
        <f aca="false">IFERROR(COUNTIFS('Tagged Responses'!$U$2:$U$733,"*"&amp;$A122&amp;"*",'Tagged Responses'!$E$2:$E$733,"Male")/H$112,"")</f>
        <v>0.0980392156862745</v>
      </c>
      <c r="I122" s="11" t="n">
        <f aca="false">IFERROR(COUNTIFS('Tagged Responses'!$U$2:$U$733,"*"&amp;$A122&amp;"*",'Tagged Responses'!$G$2:$G$733,"United States")/I$112,"")</f>
        <v>0.17175572519084</v>
      </c>
      <c r="J122" s="11" t="n">
        <f aca="false">IFERROR(COUNTIFS('Tagged Responses'!$U$2:$U$733,"*"&amp;$A122&amp;"*",'Tagged Responses'!$G$2:$G$733,"China")/J$112,"")</f>
        <v>0.0445859872611465</v>
      </c>
    </row>
    <row r="123" customFormat="false" ht="15" hidden="false" customHeight="true" outlineLevel="0" collapsed="false">
      <c r="A123" s="10" t="s">
        <v>6516</v>
      </c>
      <c r="B123" s="10" t="n">
        <f aca="false">COUNTIF('Tagged Responses'!$U$2:$U$733,"*"&amp;$A123&amp;"*")</f>
        <v>83</v>
      </c>
      <c r="C123" s="11" t="n">
        <f aca="false">IFERROR(COUNTIF('Tagged Responses'!$U$2:$U$733,"*"&amp;$A123&amp;"*")/C$112,"")</f>
        <v>0.114167812929849</v>
      </c>
      <c r="D123" s="11" t="n">
        <f aca="false">IFERROR(COUNTIFS('Tagged Responses'!$U$2:$U$733,"*"&amp;$A123&amp;"*",'Tagged Responses'!$D$2:$D$733,Notes!$B$9)/D$112,"")</f>
        <v>0.122222222222222</v>
      </c>
      <c r="E123" s="11" t="n">
        <f aca="false">IFERROR(COUNTIFS('Tagged Responses'!$U$2:$U$733,"*"&amp;$A123&amp;"*",'Tagged Responses'!$D$2:$D$733,Notes!$C$9)/E$112,"")</f>
        <v>0.0718562874251497</v>
      </c>
      <c r="F123" s="11" t="n">
        <f aca="false">IFERROR(COUNTIFS('Tagged Responses'!$U$2:$U$733,"*"&amp;$A123&amp;"*",'Tagged Responses'!$D$2:$D$733,Notes!$D$9)/F$112,"")</f>
        <v>0.25</v>
      </c>
      <c r="G123" s="11" t="n">
        <f aca="false">IFERROR(COUNTIFS('Tagged Responses'!$U$2:$U$733,"*"&amp;$A123&amp;"*",'Tagged Responses'!$E$2:$E$733,"Female")/G$112,"")</f>
        <v>0.129901960784314</v>
      </c>
      <c r="H123" s="11" t="n">
        <f aca="false">IFERROR(COUNTIFS('Tagged Responses'!$U$2:$U$733,"*"&amp;$A123&amp;"*",'Tagged Responses'!$E$2:$E$733,"Male")/H$112,"")</f>
        <v>0.0849673202614379</v>
      </c>
      <c r="I123" s="11" t="n">
        <f aca="false">IFERROR(COUNTIFS('Tagged Responses'!$U$2:$U$733,"*"&amp;$A123&amp;"*",'Tagged Responses'!$G$2:$G$733,"United States")/I$112,"")</f>
        <v>0.0477099236641221</v>
      </c>
      <c r="J123" s="11" t="n">
        <f aca="false">IFERROR(COUNTIFS('Tagged Responses'!$U$2:$U$733,"*"&amp;$A123&amp;"*",'Tagged Responses'!$G$2:$G$733,"China")/J$112,"")</f>
        <v>0.305732484076433</v>
      </c>
    </row>
    <row r="124" customFormat="false" ht="15" hidden="false" customHeight="true" outlineLevel="0" collapsed="false">
      <c r="A124" s="10" t="s">
        <v>6765</v>
      </c>
      <c r="B124" s="10" t="n">
        <f aca="false">COUNTIF('Tagged Responses'!$U$2:$U$733,"*"&amp;$A124&amp;"*")</f>
        <v>80</v>
      </c>
      <c r="C124" s="11" t="n">
        <f aca="false">IFERROR(COUNTIF('Tagged Responses'!$U$2:$U$733,"*"&amp;$A124&amp;"*")/C$112,"")</f>
        <v>0.110041265474553</v>
      </c>
      <c r="D124" s="11" t="n">
        <f aca="false">IFERROR(COUNTIFS('Tagged Responses'!$U$2:$U$733,"*"&amp;$A124&amp;"*",'Tagged Responses'!$D$2:$D$733,Notes!$B$9)/D$112,"")</f>
        <v>0.114814814814815</v>
      </c>
      <c r="E124" s="11" t="n">
        <f aca="false">IFERROR(COUNTIFS('Tagged Responses'!$U$2:$U$733,"*"&amp;$A124&amp;"*",'Tagged Responses'!$D$2:$D$733,Notes!$C$9)/E$112,"")</f>
        <v>0.101796407185629</v>
      </c>
      <c r="F124" s="11" t="n">
        <f aca="false">IFERROR(COUNTIFS('Tagged Responses'!$U$2:$U$733,"*"&amp;$A124&amp;"*",'Tagged Responses'!$D$2:$D$733,Notes!$D$9)/F$112,"")</f>
        <v>0.05</v>
      </c>
      <c r="G124" s="11" t="n">
        <f aca="false">IFERROR(COUNTIFS('Tagged Responses'!$U$2:$U$733,"*"&amp;$A124&amp;"*",'Tagged Responses'!$E$2:$E$733,"Female")/G$112,"")</f>
        <v>0.0931372549019608</v>
      </c>
      <c r="H124" s="11" t="n">
        <f aca="false">IFERROR(COUNTIFS('Tagged Responses'!$U$2:$U$733,"*"&amp;$A124&amp;"*",'Tagged Responses'!$E$2:$E$733,"Male")/H$112,"")</f>
        <v>0.130718954248366</v>
      </c>
      <c r="I124" s="11" t="n">
        <f aca="false">IFERROR(COUNTIFS('Tagged Responses'!$U$2:$U$733,"*"&amp;$A124&amp;"*",'Tagged Responses'!$G$2:$G$733,"United States")/I$112,"")</f>
        <v>0.118320610687023</v>
      </c>
      <c r="J124" s="11" t="n">
        <f aca="false">IFERROR(COUNTIFS('Tagged Responses'!$U$2:$U$733,"*"&amp;$A124&amp;"*",'Tagged Responses'!$G$2:$G$733,"China")/J$112,"")</f>
        <v>0.0828025477707006</v>
      </c>
    </row>
    <row r="125" customFormat="false" ht="15" hidden="false" customHeight="true" outlineLevel="0" collapsed="false">
      <c r="A125" s="10" t="s">
        <v>6564</v>
      </c>
      <c r="B125" s="10" t="n">
        <f aca="false">COUNTIF('Tagged Responses'!$U$2:$U$733,"*"&amp;$A125&amp;"*")</f>
        <v>61</v>
      </c>
      <c r="C125" s="11" t="n">
        <f aca="false">IFERROR(COUNTIF('Tagged Responses'!$U$2:$U$733,"*"&amp;$A125&amp;"*")/C$112,"")</f>
        <v>0.0839064649243466</v>
      </c>
      <c r="D125" s="11" t="n">
        <f aca="false">IFERROR(COUNTIFS('Tagged Responses'!$U$2:$U$733,"*"&amp;$A125&amp;"*",'Tagged Responses'!$D$2:$D$733,Notes!$B$9)/D$112,"")</f>
        <v>0.0944444444444444</v>
      </c>
      <c r="E125" s="11" t="n">
        <f aca="false">IFERROR(COUNTIFS('Tagged Responses'!$U$2:$U$733,"*"&amp;$A125&amp;"*",'Tagged Responses'!$D$2:$D$733,Notes!$C$9)/E$112,"")</f>
        <v>0.0538922155688623</v>
      </c>
      <c r="F125" s="11" t="n">
        <f aca="false">IFERROR(COUNTIFS('Tagged Responses'!$U$2:$U$733,"*"&amp;$A125&amp;"*",'Tagged Responses'!$D$2:$D$733,Notes!$D$9)/F$112,"")</f>
        <v>0.05</v>
      </c>
      <c r="G125" s="11" t="n">
        <f aca="false">IFERROR(COUNTIFS('Tagged Responses'!$U$2:$U$733,"*"&amp;$A125&amp;"*",'Tagged Responses'!$E$2:$E$733,"Female")/G$112,"")</f>
        <v>0.0833333333333333</v>
      </c>
      <c r="H125" s="11" t="n">
        <f aca="false">IFERROR(COUNTIFS('Tagged Responses'!$U$2:$U$733,"*"&amp;$A125&amp;"*",'Tagged Responses'!$E$2:$E$733,"Male")/H$112,"")</f>
        <v>0.0882352941176471</v>
      </c>
      <c r="I125" s="11" t="n">
        <f aca="false">IFERROR(COUNTIFS('Tagged Responses'!$U$2:$U$733,"*"&amp;$A125&amp;"*",'Tagged Responses'!$G$2:$G$733,"United States")/I$112,"")</f>
        <v>0.101145038167939</v>
      </c>
      <c r="J125" s="11" t="n">
        <f aca="false">IFERROR(COUNTIFS('Tagged Responses'!$U$2:$U$733,"*"&amp;$A125&amp;"*",'Tagged Responses'!$G$2:$G$733,"China")/J$112,"")</f>
        <v>0.0254777070063694</v>
      </c>
    </row>
    <row r="126" customFormat="false" ht="15" hidden="false" customHeight="true" outlineLevel="0" collapsed="false">
      <c r="A126" s="10" t="s">
        <v>6820</v>
      </c>
      <c r="B126" s="10" t="n">
        <f aca="false">COUNTIF('Tagged Responses'!$U$2:$U$733,"*"&amp;$A126&amp;"*")</f>
        <v>31</v>
      </c>
      <c r="C126" s="11" t="n">
        <f aca="false">IFERROR(COUNTIF('Tagged Responses'!$U$2:$U$733,"*"&amp;$A126&amp;"*")/C$112,"")</f>
        <v>0.0426409903713893</v>
      </c>
      <c r="D126" s="11" t="n">
        <f aca="false">IFERROR(COUNTIFS('Tagged Responses'!$U$2:$U$733,"*"&amp;$A126&amp;"*",'Tagged Responses'!$D$2:$D$733,Notes!$B$9)/D$112,"")</f>
        <v>0.0462962962962963</v>
      </c>
      <c r="E126" s="11" t="n">
        <f aca="false">IFERROR(COUNTIFS('Tagged Responses'!$U$2:$U$733,"*"&amp;$A126&amp;"*",'Tagged Responses'!$D$2:$D$733,Notes!$C$9)/E$112,"")</f>
        <v>0.0359281437125749</v>
      </c>
      <c r="F126" s="11" t="n">
        <f aca="false">IFERROR(COUNTIFS('Tagged Responses'!$U$2:$U$733,"*"&amp;$A126&amp;"*",'Tagged Responses'!$D$2:$D$733,Notes!$D$9)/F$112,"")</f>
        <v>0</v>
      </c>
      <c r="G126" s="11" t="n">
        <f aca="false">IFERROR(COUNTIFS('Tagged Responses'!$U$2:$U$733,"*"&amp;$A126&amp;"*",'Tagged Responses'!$E$2:$E$733,"Female")/G$112,"")</f>
        <v>0.0514705882352941</v>
      </c>
      <c r="H126" s="11" t="n">
        <f aca="false">IFERROR(COUNTIFS('Tagged Responses'!$U$2:$U$733,"*"&amp;$A126&amp;"*",'Tagged Responses'!$E$2:$E$733,"Male")/H$112,"")</f>
        <v>0.0294117647058824</v>
      </c>
      <c r="I126" s="11" t="n">
        <f aca="false">IFERROR(COUNTIFS('Tagged Responses'!$U$2:$U$733,"*"&amp;$A126&amp;"*",'Tagged Responses'!$G$2:$G$733,"United States")/I$112,"")</f>
        <v>0.0515267175572519</v>
      </c>
      <c r="J126" s="11" t="n">
        <f aca="false">IFERROR(COUNTIFS('Tagged Responses'!$U$2:$U$733,"*"&amp;$A126&amp;"*",'Tagged Responses'!$G$2:$G$733,"China")/J$112,"")</f>
        <v>0.0191082802547771</v>
      </c>
    </row>
    <row r="127" customFormat="false" ht="15" hidden="false" customHeight="true" outlineLevel="0" collapsed="false">
      <c r="A127" s="10" t="s">
        <v>6569</v>
      </c>
      <c r="B127" s="10" t="n">
        <f aca="false">COUNTIF('Tagged Responses'!$U$2:$U$733,"*"&amp;$A127&amp;"*")</f>
        <v>20</v>
      </c>
      <c r="C127" s="11" t="n">
        <f aca="false">IFERROR(COUNTIF('Tagged Responses'!$U$2:$U$733,"*"&amp;$A127&amp;"*")/C$112,"")</f>
        <v>0.0275103163686382</v>
      </c>
      <c r="D127" s="11" t="n">
        <f aca="false">IFERROR(COUNTIFS('Tagged Responses'!$U$2:$U$733,"*"&amp;$A127&amp;"*",'Tagged Responses'!$D$2:$D$733,Notes!$B$9)/D$112,"")</f>
        <v>0.0277777777777778</v>
      </c>
      <c r="E127" s="11" t="n">
        <f aca="false">IFERROR(COUNTIFS('Tagged Responses'!$U$2:$U$733,"*"&amp;$A127&amp;"*",'Tagged Responses'!$D$2:$D$733,Notes!$C$9)/E$112,"")</f>
        <v>0.0239520958083832</v>
      </c>
      <c r="F127" s="11" t="n">
        <f aca="false">IFERROR(COUNTIFS('Tagged Responses'!$U$2:$U$733,"*"&amp;$A127&amp;"*",'Tagged Responses'!$D$2:$D$733,Notes!$D$9)/F$112,"")</f>
        <v>0.05</v>
      </c>
      <c r="G127" s="11" t="n">
        <f aca="false">IFERROR(COUNTIFS('Tagged Responses'!$U$2:$U$733,"*"&amp;$A127&amp;"*",'Tagged Responses'!$E$2:$E$733,"Female")/G$112,"")</f>
        <v>0.0220588235294118</v>
      </c>
      <c r="H127" s="11" t="n">
        <f aca="false">IFERROR(COUNTIFS('Tagged Responses'!$U$2:$U$733,"*"&amp;$A127&amp;"*",'Tagged Responses'!$E$2:$E$733,"Male")/H$112,"")</f>
        <v>0.0294117647058824</v>
      </c>
      <c r="I127" s="11" t="n">
        <f aca="false">IFERROR(COUNTIFS('Tagged Responses'!$U$2:$U$733,"*"&amp;$A127&amp;"*",'Tagged Responses'!$G$2:$G$733,"United States")/I$112,"")</f>
        <v>0.0362595419847328</v>
      </c>
      <c r="J127" s="11" t="n">
        <f aca="false">IFERROR(COUNTIFS('Tagged Responses'!$U$2:$U$733,"*"&amp;$A127&amp;"*",'Tagged Responses'!$G$2:$G$733,"China")/J$112,"")</f>
        <v>0</v>
      </c>
    </row>
    <row r="128" customFormat="false" ht="15" hidden="false" customHeight="true" outlineLevel="0" collapsed="false">
      <c r="A128" s="10" t="s">
        <v>6644</v>
      </c>
      <c r="B128" s="10" t="n">
        <f aca="false">COUNTIF('Tagged Responses'!$U$2:$U$733,"*"&amp;$A128&amp;"*")</f>
        <v>16</v>
      </c>
      <c r="C128" s="11" t="n">
        <f aca="false">IFERROR(COUNTIF('Tagged Responses'!$U$2:$U$733,"*"&amp;$A128&amp;"*")/C$112,"")</f>
        <v>0.0220082530949106</v>
      </c>
      <c r="D128" s="11" t="n">
        <f aca="false">IFERROR(COUNTIFS('Tagged Responses'!$U$2:$U$733,"*"&amp;$A128&amp;"*",'Tagged Responses'!$D$2:$D$733,Notes!$B$9)/D$112,"")</f>
        <v>0.0259259259259259</v>
      </c>
      <c r="E128" s="11" t="n">
        <f aca="false">IFERROR(COUNTIFS('Tagged Responses'!$U$2:$U$733,"*"&amp;$A128&amp;"*",'Tagged Responses'!$D$2:$D$733,Notes!$C$9)/E$112,"")</f>
        <v>0.0119760479041916</v>
      </c>
      <c r="F128" s="11" t="n">
        <f aca="false">IFERROR(COUNTIFS('Tagged Responses'!$U$2:$U$733,"*"&amp;$A128&amp;"*",'Tagged Responses'!$D$2:$D$733,Notes!$D$9)/F$112,"")</f>
        <v>0</v>
      </c>
      <c r="G128" s="11" t="n">
        <f aca="false">IFERROR(COUNTIFS('Tagged Responses'!$U$2:$U$733,"*"&amp;$A128&amp;"*",'Tagged Responses'!$E$2:$E$733,"Female")/G$112,"")</f>
        <v>0.0196078431372549</v>
      </c>
      <c r="H128" s="11" t="n">
        <f aca="false">IFERROR(COUNTIFS('Tagged Responses'!$U$2:$U$733,"*"&amp;$A128&amp;"*",'Tagged Responses'!$E$2:$E$733,"Male")/H$112,"")</f>
        <v>0.0261437908496732</v>
      </c>
      <c r="I128" s="11" t="n">
        <f aca="false">IFERROR(COUNTIFS('Tagged Responses'!$U$2:$U$733,"*"&amp;$A128&amp;"*",'Tagged Responses'!$G$2:$G$733,"United States")/I$112,"")</f>
        <v>0.0305343511450382</v>
      </c>
      <c r="J128" s="11" t="n">
        <f aca="false">IFERROR(COUNTIFS('Tagged Responses'!$U$2:$U$733,"*"&amp;$A128&amp;"*",'Tagged Responses'!$G$2:$G$733,"China")/J$112,"")</f>
        <v>0</v>
      </c>
    </row>
    <row r="129" customFormat="false" ht="15" hidden="false" customHeight="true" outlineLevel="0" collapsed="false">
      <c r="A129" s="10" t="s">
        <v>6646</v>
      </c>
      <c r="B129" s="10" t="n">
        <f aca="false">COUNTIF('Tagged Responses'!$U$2:$U$733,"*"&amp;$A129&amp;"*")</f>
        <v>16</v>
      </c>
      <c r="C129" s="11" t="n">
        <f aca="false">IFERROR(COUNTIF('Tagged Responses'!$U$2:$U$733,"*"&amp;$A129&amp;"*")/C$112,"")</f>
        <v>0.0220082530949106</v>
      </c>
      <c r="D129" s="11" t="n">
        <f aca="false">IFERROR(COUNTIFS('Tagged Responses'!$U$2:$U$733,"*"&amp;$A129&amp;"*",'Tagged Responses'!$D$2:$D$733,Notes!$B$9)/D$112,"")</f>
        <v>0.0222222222222222</v>
      </c>
      <c r="E129" s="11" t="n">
        <f aca="false">IFERROR(COUNTIFS('Tagged Responses'!$U$2:$U$733,"*"&amp;$A129&amp;"*",'Tagged Responses'!$D$2:$D$733,Notes!$C$9)/E$112,"")</f>
        <v>0.0179640718562874</v>
      </c>
      <c r="F129" s="11" t="n">
        <f aca="false">IFERROR(COUNTIFS('Tagged Responses'!$U$2:$U$733,"*"&amp;$A129&amp;"*",'Tagged Responses'!$D$2:$D$733,Notes!$D$9)/F$112,"")</f>
        <v>0.05</v>
      </c>
      <c r="G129" s="11" t="n">
        <f aca="false">IFERROR(COUNTIFS('Tagged Responses'!$U$2:$U$733,"*"&amp;$A129&amp;"*",'Tagged Responses'!$E$2:$E$733,"Female")/G$112,"")</f>
        <v>0.0294117647058824</v>
      </c>
      <c r="H129" s="11" t="n">
        <f aca="false">IFERROR(COUNTIFS('Tagged Responses'!$U$2:$U$733,"*"&amp;$A129&amp;"*",'Tagged Responses'!$E$2:$E$733,"Male")/H$112,"")</f>
        <v>0.0130718954248366</v>
      </c>
      <c r="I129" s="11" t="n">
        <f aca="false">IFERROR(COUNTIFS('Tagged Responses'!$U$2:$U$733,"*"&amp;$A129&amp;"*",'Tagged Responses'!$G$2:$G$733,"United States")/I$112,"")</f>
        <v>0.0229007633587786</v>
      </c>
      <c r="J129" s="11" t="n">
        <f aca="false">IFERROR(COUNTIFS('Tagged Responses'!$U$2:$U$733,"*"&amp;$A129&amp;"*",'Tagged Responses'!$G$2:$G$733,"China")/J$112,"")</f>
        <v>0.0254777070063694</v>
      </c>
    </row>
    <row r="130" customFormat="false" ht="15" hidden="false" customHeight="true" outlineLevel="0" collapsed="false">
      <c r="A130" s="10" t="s">
        <v>6864</v>
      </c>
      <c r="B130" s="10" t="n">
        <f aca="false">COUNTIF('Tagged Responses'!$U$2:$U$733,"*"&amp;$A130&amp;"*")</f>
        <v>5</v>
      </c>
      <c r="C130" s="11" t="n">
        <f aca="false">IFERROR(COUNTIF('Tagged Responses'!$U$2:$U$733,"*"&amp;$A130&amp;"*")/C$112,"")</f>
        <v>0.00687757909215956</v>
      </c>
      <c r="D130" s="11" t="n">
        <f aca="false">IFERROR(COUNTIFS('Tagged Responses'!$U$2:$U$733,"*"&amp;$A130&amp;"*",'Tagged Responses'!$D$2:$D$733,Notes!$B$9)/D$112,"")</f>
        <v>0.00555555555555556</v>
      </c>
      <c r="E130" s="11" t="n">
        <f aca="false">IFERROR(COUNTIFS('Tagged Responses'!$U$2:$U$733,"*"&amp;$A130&amp;"*",'Tagged Responses'!$D$2:$D$733,Notes!$C$9)/E$112,"")</f>
        <v>0.00598802395209581</v>
      </c>
      <c r="F130" s="11" t="n">
        <f aca="false">IFERROR(COUNTIFS('Tagged Responses'!$U$2:$U$733,"*"&amp;$A130&amp;"*",'Tagged Responses'!$D$2:$D$733,Notes!$D$9)/F$112,"")</f>
        <v>0.05</v>
      </c>
      <c r="G130" s="11" t="n">
        <f aca="false">IFERROR(COUNTIFS('Tagged Responses'!$U$2:$U$733,"*"&amp;$A130&amp;"*",'Tagged Responses'!$E$2:$E$733,"Female")/G$112,"")</f>
        <v>0.00980392156862745</v>
      </c>
      <c r="H130" s="11" t="n">
        <f aca="false">IFERROR(COUNTIFS('Tagged Responses'!$U$2:$U$733,"*"&amp;$A130&amp;"*",'Tagged Responses'!$E$2:$E$733,"Male")/H$112,"")</f>
        <v>0.00326797385620915</v>
      </c>
      <c r="I130" s="11" t="n">
        <f aca="false">IFERROR(COUNTIFS('Tagged Responses'!$U$2:$U$733,"*"&amp;$A130&amp;"*",'Tagged Responses'!$G$2:$G$733,"United States")/I$112,"")</f>
        <v>0.00954198473282443</v>
      </c>
      <c r="J130" s="11" t="n">
        <f aca="false">IFERROR(COUNTIFS('Tagged Responses'!$U$2:$U$733,"*"&amp;$A130&amp;"*",'Tagged Responses'!$G$2:$G$733,"China")/J$112,"")</f>
        <v>0</v>
      </c>
    </row>
    <row r="131" customFormat="false" ht="15" hidden="false" customHeight="true" outlineLevel="0" collapsed="false">
      <c r="A131" s="10" t="s">
        <v>6534</v>
      </c>
      <c r="B131" s="10" t="n">
        <f aca="false">COUNTIF('Tagged Responses'!$U$2:$U$733,"*"&amp;$A131&amp;"*")</f>
        <v>4</v>
      </c>
      <c r="C131" s="11" t="n">
        <f aca="false">IFERROR(COUNTIF('Tagged Responses'!$U$2:$U$733,"*"&amp;$A131&amp;"*")/C$112,"")</f>
        <v>0.00550206327372765</v>
      </c>
      <c r="D131" s="11" t="n">
        <f aca="false">IFERROR(COUNTIFS('Tagged Responses'!$U$2:$U$733,"*"&amp;$A131&amp;"*",'Tagged Responses'!$D$2:$D$733,Notes!$B$9)/D$112,"")</f>
        <v>0.0037037037037037</v>
      </c>
      <c r="E131" s="11" t="n">
        <f aca="false">IFERROR(COUNTIFS('Tagged Responses'!$U$2:$U$733,"*"&amp;$A131&amp;"*",'Tagged Responses'!$D$2:$D$733,Notes!$C$9)/E$112,"")</f>
        <v>0.0119760479041916</v>
      </c>
      <c r="F131" s="11" t="n">
        <f aca="false">IFERROR(COUNTIFS('Tagged Responses'!$U$2:$U$733,"*"&amp;$A131&amp;"*",'Tagged Responses'!$D$2:$D$733,Notes!$D$9)/F$112,"")</f>
        <v>0</v>
      </c>
      <c r="G131" s="11" t="n">
        <f aca="false">IFERROR(COUNTIFS('Tagged Responses'!$U$2:$U$733,"*"&amp;$A131&amp;"*",'Tagged Responses'!$E$2:$E$733,"Female")/G$112,"")</f>
        <v>0.00490196078431373</v>
      </c>
      <c r="H131" s="11" t="n">
        <f aca="false">IFERROR(COUNTIFS('Tagged Responses'!$U$2:$U$733,"*"&amp;$A131&amp;"*",'Tagged Responses'!$E$2:$E$733,"Male")/H$112,"")</f>
        <v>0.0065359477124183</v>
      </c>
      <c r="I131" s="11" t="n">
        <f aca="false">IFERROR(COUNTIFS('Tagged Responses'!$U$2:$U$733,"*"&amp;$A131&amp;"*",'Tagged Responses'!$G$2:$G$733,"United States")/I$112,"")</f>
        <v>0.00572519083969466</v>
      </c>
      <c r="J131" s="11" t="n">
        <f aca="false">IFERROR(COUNTIFS('Tagged Responses'!$U$2:$U$733,"*"&amp;$A131&amp;"*",'Tagged Responses'!$G$2:$G$733,"China")/J$112,"")</f>
        <v>0.00636942675159236</v>
      </c>
    </row>
    <row r="132" customFormat="false" ht="15" hidden="false" customHeight="true" outlineLevel="0" collapsed="false">
      <c r="A132" s="10" t="s">
        <v>6770</v>
      </c>
      <c r="B132" s="10" t="n">
        <f aca="false">COUNTIF('Tagged Responses'!$U$2:$U$733,"*"&amp;$A132&amp;"*")</f>
        <v>3</v>
      </c>
      <c r="C132" s="11" t="n">
        <f aca="false">IFERROR(COUNTIF('Tagged Responses'!$U$2:$U$733,"*"&amp;$A132&amp;"*")/C$112,"")</f>
        <v>0.00412654745529574</v>
      </c>
      <c r="D132" s="11" t="n">
        <f aca="false">IFERROR(COUNTIFS('Tagged Responses'!$U$2:$U$733,"*"&amp;$A132&amp;"*",'Tagged Responses'!$D$2:$D$733,Notes!$B$9)/D$112,"")</f>
        <v>0</v>
      </c>
      <c r="E132" s="11" t="n">
        <f aca="false">IFERROR(COUNTIFS('Tagged Responses'!$U$2:$U$733,"*"&amp;$A132&amp;"*",'Tagged Responses'!$D$2:$D$733,Notes!$C$9)/E$112,"")</f>
        <v>0.00598802395209581</v>
      </c>
      <c r="F132" s="11" t="n">
        <f aca="false">IFERROR(COUNTIFS('Tagged Responses'!$U$2:$U$733,"*"&amp;$A132&amp;"*",'Tagged Responses'!$D$2:$D$733,Notes!$D$9)/F$112,"")</f>
        <v>0.1</v>
      </c>
      <c r="G132" s="11" t="n">
        <f aca="false">IFERROR(COUNTIFS('Tagged Responses'!$U$2:$U$733,"*"&amp;$A132&amp;"*",'Tagged Responses'!$E$2:$E$733,"Female")/G$112,"")</f>
        <v>0.00245098039215686</v>
      </c>
      <c r="H132" s="11" t="n">
        <f aca="false">IFERROR(COUNTIFS('Tagged Responses'!$U$2:$U$733,"*"&amp;$A132&amp;"*",'Tagged Responses'!$E$2:$E$733,"Male")/H$112,"")</f>
        <v>0.0065359477124183</v>
      </c>
      <c r="I132" s="11" t="n">
        <f aca="false">IFERROR(COUNTIFS('Tagged Responses'!$U$2:$U$733,"*"&amp;$A132&amp;"*",'Tagged Responses'!$G$2:$G$733,"United States")/I$112,"")</f>
        <v>0.00190839694656489</v>
      </c>
      <c r="J132" s="11" t="n">
        <f aca="false">IFERROR(COUNTIFS('Tagged Responses'!$U$2:$U$733,"*"&amp;$A132&amp;"*",'Tagged Responses'!$G$2:$G$733,"China")/J$112,"")</f>
        <v>0.0127388535031847</v>
      </c>
    </row>
    <row r="133" customFormat="false" ht="15" hidden="false" customHeight="true" outlineLevel="0" collapsed="false">
      <c r="A133" s="10" t="s">
        <v>6918</v>
      </c>
      <c r="B133" s="10" t="n">
        <f aca="false">COUNTIF('Tagged Responses'!$U$2:$U$733,"*"&amp;$A133&amp;"*")</f>
        <v>2</v>
      </c>
      <c r="C133" s="11" t="n">
        <f aca="false">IFERROR(COUNTIF('Tagged Responses'!$U$2:$U$733,"*"&amp;$A133&amp;"*")/C$112,"")</f>
        <v>0.00275103163686382</v>
      </c>
      <c r="D133" s="11" t="n">
        <f aca="false">IFERROR(COUNTIFS('Tagged Responses'!$U$2:$U$733,"*"&amp;$A133&amp;"*",'Tagged Responses'!$D$2:$D$733,Notes!$B$9)/D$112,"")</f>
        <v>0.00185185185185185</v>
      </c>
      <c r="E133" s="11" t="n">
        <f aca="false">IFERROR(COUNTIFS('Tagged Responses'!$U$2:$U$733,"*"&amp;$A133&amp;"*",'Tagged Responses'!$D$2:$D$733,Notes!$C$9)/E$112,"")</f>
        <v>0.00598802395209581</v>
      </c>
      <c r="F133" s="11" t="n">
        <f aca="false">IFERROR(COUNTIFS('Tagged Responses'!$U$2:$U$733,"*"&amp;$A133&amp;"*",'Tagged Responses'!$D$2:$D$733,Notes!$D$9)/F$112,"")</f>
        <v>0</v>
      </c>
      <c r="G133" s="11" t="n">
        <f aca="false">IFERROR(COUNTIFS('Tagged Responses'!$U$2:$U$733,"*"&amp;$A133&amp;"*",'Tagged Responses'!$E$2:$E$733,"Female")/G$112,"")</f>
        <v>0.00245098039215686</v>
      </c>
      <c r="H133" s="11" t="n">
        <f aca="false">IFERROR(COUNTIFS('Tagged Responses'!$U$2:$U$733,"*"&amp;$A133&amp;"*",'Tagged Responses'!$E$2:$E$733,"Male")/H$112,"")</f>
        <v>0.00326797385620915</v>
      </c>
      <c r="I133" s="11" t="n">
        <f aca="false">IFERROR(COUNTIFS('Tagged Responses'!$U$2:$U$733,"*"&amp;$A133&amp;"*",'Tagged Responses'!$G$2:$G$733,"United States")/I$112,"")</f>
        <v>0.00381679389312977</v>
      </c>
      <c r="J133" s="11" t="n">
        <f aca="false">IFERROR(COUNTIFS('Tagged Responses'!$U$2:$U$733,"*"&amp;$A133&amp;"*",'Tagged Responses'!$G$2:$G$733,"China")/J$112,"")</f>
        <v>0</v>
      </c>
    </row>
    <row r="134" customFormat="false" ht="15" hidden="false" customHeight="true" outlineLevel="0" collapsed="false">
      <c r="A134" s="10" t="s">
        <v>6520</v>
      </c>
      <c r="B134" s="10" t="n">
        <f aca="false">COUNTIF('Tagged Responses'!$U$2:$U$733,"*"&amp;$A134&amp;"*")</f>
        <v>2</v>
      </c>
      <c r="C134" s="11" t="n">
        <f aca="false">IFERROR(COUNTIF('Tagged Responses'!$U$2:$U$733,"*"&amp;$A134&amp;"*")/C$112,"")</f>
        <v>0.00275103163686382</v>
      </c>
      <c r="D134" s="11" t="n">
        <f aca="false">IFERROR(COUNTIFS('Tagged Responses'!$U$2:$U$733,"*"&amp;$A134&amp;"*",'Tagged Responses'!$D$2:$D$733,Notes!$B$9)/D$112,"")</f>
        <v>0.0037037037037037</v>
      </c>
      <c r="E134" s="11" t="n">
        <f aca="false">IFERROR(COUNTIFS('Tagged Responses'!$U$2:$U$733,"*"&amp;$A134&amp;"*",'Tagged Responses'!$D$2:$D$733,Notes!$C$9)/E$112,"")</f>
        <v>0</v>
      </c>
      <c r="F134" s="11" t="n">
        <f aca="false">IFERROR(COUNTIFS('Tagged Responses'!$U$2:$U$733,"*"&amp;$A134&amp;"*",'Tagged Responses'!$D$2:$D$733,Notes!$D$9)/F$112,"")</f>
        <v>0</v>
      </c>
      <c r="G134" s="11" t="n">
        <f aca="false">IFERROR(COUNTIFS('Tagged Responses'!$U$2:$U$733,"*"&amp;$A134&amp;"*",'Tagged Responses'!$E$2:$E$733,"Female")/G$112,"")</f>
        <v>0.00490196078431373</v>
      </c>
      <c r="H134" s="11" t="n">
        <f aca="false">IFERROR(COUNTIFS('Tagged Responses'!$U$2:$U$733,"*"&amp;$A134&amp;"*",'Tagged Responses'!$E$2:$E$733,"Male")/H$112,"")</f>
        <v>0</v>
      </c>
      <c r="I134" s="11" t="n">
        <f aca="false">IFERROR(COUNTIFS('Tagged Responses'!$U$2:$U$733,"*"&amp;$A134&amp;"*",'Tagged Responses'!$G$2:$G$733,"United States")/I$112,"")</f>
        <v>0.00381679389312977</v>
      </c>
      <c r="J134" s="11" t="n">
        <f aca="false">IFERROR(COUNTIFS('Tagged Responses'!$U$2:$U$733,"*"&amp;$A134&amp;"*",'Tagged Responses'!$G$2:$G$733,"China")/J$112,"")</f>
        <v>0</v>
      </c>
    </row>
    <row r="135" customFormat="false" ht="15" hidden="false" customHeight="true" outlineLevel="0" collapsed="false">
      <c r="A135" s="10" t="s">
        <v>6551</v>
      </c>
      <c r="B135" s="10" t="n">
        <f aca="false">COUNTIF('Tagged Responses'!$U$2:$U$733,"*"&amp;$A135&amp;"*")</f>
        <v>47</v>
      </c>
      <c r="C135" s="11" t="n">
        <f aca="false">IFERROR(COUNTIF('Tagged Responses'!$U$2:$U$733,"*"&amp;$A135&amp;"*")/C$112,"")</f>
        <v>0.0646492434662999</v>
      </c>
      <c r="D135" s="11" t="n">
        <f aca="false">IFERROR(COUNTIFS('Tagged Responses'!$U$2:$U$733,"*"&amp;$A135&amp;"*",'Tagged Responses'!$D$2:$D$733,Notes!$B$9)/D$112,"")</f>
        <v>0.0592592592592593</v>
      </c>
      <c r="E135" s="11" t="n">
        <f aca="false">IFERROR(COUNTIFS('Tagged Responses'!$U$2:$U$733,"*"&amp;$A135&amp;"*",'Tagged Responses'!$D$2:$D$733,Notes!$C$9)/E$112,"")</f>
        <v>0.0838323353293413</v>
      </c>
      <c r="F135" s="11" t="n">
        <f aca="false">IFERROR(COUNTIFS('Tagged Responses'!$U$2:$U$733,"*"&amp;$A135&amp;"*",'Tagged Responses'!$D$2:$D$733,Notes!$D$9)/F$112,"")</f>
        <v>0.05</v>
      </c>
      <c r="G135" s="11" t="n">
        <f aca="false">IFERROR(COUNTIFS('Tagged Responses'!$U$2:$U$733,"*"&amp;$A135&amp;"*",'Tagged Responses'!$E$2:$E$733,"Female")/G$112,"")</f>
        <v>0.0392156862745098</v>
      </c>
      <c r="H135" s="11" t="n">
        <f aca="false">IFERROR(COUNTIFS('Tagged Responses'!$U$2:$U$733,"*"&amp;$A135&amp;"*",'Tagged Responses'!$E$2:$E$733,"Male")/H$112,"")</f>
        <v>0.101307189542484</v>
      </c>
      <c r="I135" s="11" t="n">
        <f aca="false">IFERROR(COUNTIFS('Tagged Responses'!$U$2:$U$733,"*"&amp;$A135&amp;"*",'Tagged Responses'!$G$2:$G$733,"United States")/I$112,"")</f>
        <v>0.0610687022900763</v>
      </c>
      <c r="J135" s="11" t="n">
        <f aca="false">IFERROR(COUNTIFS('Tagged Responses'!$U$2:$U$733,"*"&amp;$A135&amp;"*",'Tagged Responses'!$G$2:$G$733,"China")/J$112,"")</f>
        <v>0.0700636942675159</v>
      </c>
    </row>
    <row r="136" customFormat="false" ht="15" hidden="false" customHeight="true" outlineLevel="0" collapsed="false">
      <c r="A136" s="10" t="s">
        <v>6538</v>
      </c>
      <c r="B136" s="10" t="n">
        <f aca="false">COUNTIF('Tagged Responses'!$U$2:$U$733,"*"&amp;$A136&amp;"*")</f>
        <v>5</v>
      </c>
      <c r="C136" s="11" t="n">
        <f aca="false">IFERROR(COUNTIF('Tagged Responses'!$U$2:$U$733,"*"&amp;$A136&amp;"*")/C$112,"")</f>
        <v>0.00687757909215956</v>
      </c>
      <c r="D136" s="11" t="n">
        <f aca="false">IFERROR(COUNTIFS('Tagged Responses'!$U$2:$U$733,"*"&amp;$A136&amp;"*",'Tagged Responses'!$D$2:$D$733,Notes!$B$9)/D$112,"")</f>
        <v>0.0037037037037037</v>
      </c>
      <c r="E136" s="11" t="n">
        <f aca="false">IFERROR(COUNTIFS('Tagged Responses'!$U$2:$U$733,"*"&amp;$A136&amp;"*",'Tagged Responses'!$D$2:$D$733,Notes!$C$9)/E$112,"")</f>
        <v>0.0179640718562874</v>
      </c>
      <c r="F136" s="11" t="n">
        <f aca="false">IFERROR(COUNTIFS('Tagged Responses'!$U$2:$U$733,"*"&amp;$A136&amp;"*",'Tagged Responses'!$D$2:$D$733,Notes!$D$9)/F$112,"")</f>
        <v>0</v>
      </c>
      <c r="G136" s="11" t="n">
        <f aca="false">IFERROR(COUNTIFS('Tagged Responses'!$U$2:$U$733,"*"&amp;$A136&amp;"*",'Tagged Responses'!$E$2:$E$733,"Female")/G$112,"")</f>
        <v>0.00735294117647059</v>
      </c>
      <c r="H136" s="11" t="n">
        <f aca="false">IFERROR(COUNTIFS('Tagged Responses'!$U$2:$U$733,"*"&amp;$A136&amp;"*",'Tagged Responses'!$E$2:$E$733,"Male")/H$112,"")</f>
        <v>0.0065359477124183</v>
      </c>
      <c r="I136" s="11" t="n">
        <f aca="false">IFERROR(COUNTIFS('Tagged Responses'!$U$2:$U$733,"*"&amp;$A136&amp;"*",'Tagged Responses'!$G$2:$G$733,"United States")/I$112,"")</f>
        <v>0.00381679389312977</v>
      </c>
      <c r="J136" s="11" t="n">
        <f aca="false">IFERROR(COUNTIFS('Tagged Responses'!$U$2:$U$733,"*"&amp;$A136&amp;"*",'Tagged Responses'!$G$2:$G$733,"China")/J$112,"")</f>
        <v>0.0191082802547771</v>
      </c>
    </row>
    <row r="138" customFormat="false" ht="15" hidden="false" customHeight="true" outlineLevel="0" collapsed="false">
      <c r="A138" s="8" t="s">
        <v>32</v>
      </c>
    </row>
    <row r="139" customFormat="false" ht="30" hidden="false" customHeight="true" outlineLevel="0" collapsed="false">
      <c r="A139" s="2" t="s">
        <v>7683</v>
      </c>
      <c r="B139" s="2" t="s">
        <v>7684</v>
      </c>
      <c r="C139" s="2" t="s">
        <v>7685</v>
      </c>
      <c r="D139" s="2" t="str">
        <f aca="false">Notes!$B$9</f>
        <v>Student age (≤29)</v>
      </c>
      <c r="E139" s="2" t="str">
        <f aca="false">Notes!$C$9</f>
        <v>Middle-aged (30–64)</v>
      </c>
      <c r="F139" s="2" t="str">
        <f aca="false">Notes!$D$9</f>
        <v>Elderly (65+)</v>
      </c>
      <c r="G139" s="2" t="s">
        <v>45</v>
      </c>
      <c r="H139" s="2" t="s">
        <v>83</v>
      </c>
      <c r="I139" s="2" t="s">
        <v>7686</v>
      </c>
      <c r="J139" s="2" t="s">
        <v>7687</v>
      </c>
    </row>
    <row r="140" customFormat="false" ht="15" hidden="false" customHeight="true" outlineLevel="0" collapsed="false">
      <c r="A140" s="9" t="s">
        <v>7688</v>
      </c>
      <c r="B140" s="9" t="n">
        <f aca="false">COUNTIF('Tagged Responses'!$V$2:$V$733,"?*")</f>
        <v>454</v>
      </c>
      <c r="C140" s="9" t="n">
        <f aca="false">COUNTIF('Tagged Responses'!$V$2:$V$733,"?*")</f>
        <v>454</v>
      </c>
      <c r="D140" s="9" t="n">
        <f aca="false">COUNTIFS('Tagged Responses'!$V$2:$V$733,"?*",'Tagged Responses'!$D$2:$D$733,Notes!$B$9)</f>
        <v>324</v>
      </c>
      <c r="E140" s="9" t="n">
        <f aca="false">COUNTIFS('Tagged Responses'!$V$2:$V$733,"?*",'Tagged Responses'!$D$2:$D$733,Notes!$C$9)</f>
        <v>116</v>
      </c>
      <c r="F140" s="9" t="n">
        <f aca="false">COUNTIFS('Tagged Responses'!$V$2:$V$733,"?*",'Tagged Responses'!$D$2:$D$733,Notes!$D$9)</f>
        <v>14</v>
      </c>
      <c r="G140" s="9" t="n">
        <f aca="false">COUNTIFS('Tagged Responses'!$V$2:$V$733,"?*",'Tagged Responses'!$E$2:$E$733,"Female")</f>
        <v>258</v>
      </c>
      <c r="H140" s="9" t="n">
        <f aca="false">COUNTIFS('Tagged Responses'!$V$2:$V$733,"?*",'Tagged Responses'!$E$2:$E$733,"Male")</f>
        <v>189</v>
      </c>
      <c r="I140" s="9" t="n">
        <f aca="false">COUNTIFS('Tagged Responses'!$V$2:$V$733,"?*",'Tagged Responses'!$G$2:$G$733,"United States")</f>
        <v>375</v>
      </c>
      <c r="J140" s="9" t="n">
        <f aca="false">COUNTIFS('Tagged Responses'!$V$2:$V$733,"?*",'Tagged Responses'!$G$2:$G$733,"China")</f>
        <v>62</v>
      </c>
    </row>
    <row r="141" customFormat="false" ht="15" hidden="false" customHeight="true" outlineLevel="0" collapsed="false">
      <c r="A141" s="10" t="s">
        <v>6545</v>
      </c>
      <c r="B141" s="10" t="n">
        <f aca="false">COUNTIF('Tagged Responses'!$W$2:$W$733,"*"&amp;$A141&amp;"*")</f>
        <v>154</v>
      </c>
      <c r="C141" s="11" t="n">
        <f aca="false">IFERROR(COUNTIF('Tagged Responses'!$W$2:$W$733,"*"&amp;$A141&amp;"*")/C$140,"")</f>
        <v>0.33920704845815</v>
      </c>
      <c r="D141" s="11" t="n">
        <f aca="false">IFERROR(COUNTIFS('Tagged Responses'!$W$2:$W$733,"*"&amp;$A141&amp;"*",'Tagged Responses'!$D$2:$D$733,Notes!$B$9)/D$140,"")</f>
        <v>0.348765432098765</v>
      </c>
      <c r="E141" s="11" t="n">
        <f aca="false">IFERROR(COUNTIFS('Tagged Responses'!$W$2:$W$733,"*"&amp;$A141&amp;"*",'Tagged Responses'!$D$2:$D$733,Notes!$C$9)/E$140,"")</f>
        <v>0.327586206896552</v>
      </c>
      <c r="F141" s="11" t="n">
        <f aca="false">IFERROR(COUNTIFS('Tagged Responses'!$W$2:$W$733,"*"&amp;$A141&amp;"*",'Tagged Responses'!$D$2:$D$733,Notes!$D$9)/F$140,"")</f>
        <v>0.214285714285714</v>
      </c>
      <c r="G141" s="11" t="n">
        <f aca="false">IFERROR(COUNTIFS('Tagged Responses'!$W$2:$W$733,"*"&amp;$A141&amp;"*",'Tagged Responses'!$E$2:$E$733,"Female")/G$140,"")</f>
        <v>0.27906976744186</v>
      </c>
      <c r="H141" s="11" t="n">
        <f aca="false">IFERROR(COUNTIFS('Tagged Responses'!$W$2:$W$733,"*"&amp;$A141&amp;"*",'Tagged Responses'!$E$2:$E$733,"Male")/H$140,"")</f>
        <v>0.428571428571429</v>
      </c>
      <c r="I141" s="11" t="n">
        <f aca="false">IFERROR(COUNTIFS('Tagged Responses'!$W$2:$W$733,"*"&amp;$A141&amp;"*",'Tagged Responses'!$G$2:$G$733,"United States")/I$140,"")</f>
        <v>0.304</v>
      </c>
      <c r="J141" s="11" t="n">
        <f aca="false">IFERROR(COUNTIFS('Tagged Responses'!$W$2:$W$733,"*"&amp;$A141&amp;"*",'Tagged Responses'!$G$2:$G$733,"China")/J$140,"")</f>
        <v>0.467741935483871</v>
      </c>
    </row>
    <row r="142" customFormat="false" ht="15" hidden="false" customHeight="true" outlineLevel="0" collapsed="false">
      <c r="A142" s="10" t="s">
        <v>6568</v>
      </c>
      <c r="B142" s="10" t="n">
        <f aca="false">COUNTIF('Tagged Responses'!$W$2:$W$733,"*"&amp;$A142&amp;"*")</f>
        <v>124</v>
      </c>
      <c r="C142" s="11" t="n">
        <f aca="false">IFERROR(COUNTIF('Tagged Responses'!$W$2:$W$733,"*"&amp;$A142&amp;"*")/C$140,"")</f>
        <v>0.273127753303965</v>
      </c>
      <c r="D142" s="11" t="n">
        <f aca="false">IFERROR(COUNTIFS('Tagged Responses'!$W$2:$W$733,"*"&amp;$A142&amp;"*",'Tagged Responses'!$D$2:$D$733,Notes!$B$9)/D$140,"")</f>
        <v>0.253086419753086</v>
      </c>
      <c r="E142" s="11" t="n">
        <f aca="false">IFERROR(COUNTIFS('Tagged Responses'!$W$2:$W$733,"*"&amp;$A142&amp;"*",'Tagged Responses'!$D$2:$D$733,Notes!$C$9)/E$140,"")</f>
        <v>0.336206896551724</v>
      </c>
      <c r="F142" s="11" t="n">
        <f aca="false">IFERROR(COUNTIFS('Tagged Responses'!$W$2:$W$733,"*"&amp;$A142&amp;"*",'Tagged Responses'!$D$2:$D$733,Notes!$D$9)/F$140,"")</f>
        <v>0.214285714285714</v>
      </c>
      <c r="G142" s="11" t="n">
        <f aca="false">IFERROR(COUNTIFS('Tagged Responses'!$W$2:$W$733,"*"&amp;$A142&amp;"*",'Tagged Responses'!$E$2:$E$733,"Female")/G$140,"")</f>
        <v>0.306201550387597</v>
      </c>
      <c r="H142" s="11" t="n">
        <f aca="false">IFERROR(COUNTIFS('Tagged Responses'!$W$2:$W$733,"*"&amp;$A142&amp;"*",'Tagged Responses'!$E$2:$E$733,"Male")/H$140,"")</f>
        <v>0.211640211640212</v>
      </c>
      <c r="I142" s="11" t="n">
        <f aca="false">IFERROR(COUNTIFS('Tagged Responses'!$W$2:$W$733,"*"&amp;$A142&amp;"*",'Tagged Responses'!$G$2:$G$733,"United States")/I$140,"")</f>
        <v>0.269333333333333</v>
      </c>
      <c r="J142" s="11" t="n">
        <f aca="false">IFERROR(COUNTIFS('Tagged Responses'!$W$2:$W$733,"*"&amp;$A142&amp;"*",'Tagged Responses'!$G$2:$G$733,"China")/J$140,"")</f>
        <v>0.32258064516129</v>
      </c>
    </row>
    <row r="143" customFormat="false" ht="15" hidden="false" customHeight="true" outlineLevel="0" collapsed="false">
      <c r="A143" s="10" t="s">
        <v>6611</v>
      </c>
      <c r="B143" s="10" t="n">
        <f aca="false">COUNTIF('Tagged Responses'!$W$2:$W$733,"*"&amp;$A143&amp;"*")</f>
        <v>120</v>
      </c>
      <c r="C143" s="11" t="n">
        <f aca="false">IFERROR(COUNTIF('Tagged Responses'!$W$2:$W$733,"*"&amp;$A143&amp;"*")/C$140,"")</f>
        <v>0.26431718061674</v>
      </c>
      <c r="D143" s="11" t="n">
        <f aca="false">IFERROR(COUNTIFS('Tagged Responses'!$W$2:$W$733,"*"&amp;$A143&amp;"*",'Tagged Responses'!$D$2:$D$733,Notes!$B$9)/D$140,"")</f>
        <v>0.265432098765432</v>
      </c>
      <c r="E143" s="11" t="n">
        <f aca="false">IFERROR(COUNTIFS('Tagged Responses'!$W$2:$W$733,"*"&amp;$A143&amp;"*",'Tagged Responses'!$D$2:$D$733,Notes!$C$9)/E$140,"")</f>
        <v>0.28448275862069</v>
      </c>
      <c r="F143" s="11" t="n">
        <f aca="false">IFERROR(COUNTIFS('Tagged Responses'!$W$2:$W$733,"*"&amp;$A143&amp;"*",'Tagged Responses'!$D$2:$D$733,Notes!$D$9)/F$140,"")</f>
        <v>0.0714285714285714</v>
      </c>
      <c r="G143" s="11" t="n">
        <f aca="false">IFERROR(COUNTIFS('Tagged Responses'!$W$2:$W$733,"*"&amp;$A143&amp;"*",'Tagged Responses'!$E$2:$E$733,"Female")/G$140,"")</f>
        <v>0.255813953488372</v>
      </c>
      <c r="H143" s="11" t="n">
        <f aca="false">IFERROR(COUNTIFS('Tagged Responses'!$W$2:$W$733,"*"&amp;$A143&amp;"*",'Tagged Responses'!$E$2:$E$733,"Male")/H$140,"")</f>
        <v>0.275132275132275</v>
      </c>
      <c r="I143" s="11" t="n">
        <f aca="false">IFERROR(COUNTIFS('Tagged Responses'!$W$2:$W$733,"*"&amp;$A143&amp;"*",'Tagged Responses'!$G$2:$G$733,"United States")/I$140,"")</f>
        <v>0.285333333333333</v>
      </c>
      <c r="J143" s="11" t="n">
        <f aca="false">IFERROR(COUNTIFS('Tagged Responses'!$W$2:$W$733,"*"&amp;$A143&amp;"*",'Tagged Responses'!$G$2:$G$733,"China")/J$140,"")</f>
        <v>0.161290322580645</v>
      </c>
    </row>
    <row r="144" customFormat="false" ht="15" hidden="false" customHeight="true" outlineLevel="0" collapsed="false">
      <c r="A144" s="10" t="s">
        <v>6540</v>
      </c>
      <c r="B144" s="10" t="n">
        <f aca="false">COUNTIF('Tagged Responses'!$W$2:$W$733,"*"&amp;$A144&amp;"*")</f>
        <v>112</v>
      </c>
      <c r="C144" s="11" t="n">
        <f aca="false">IFERROR(COUNTIF('Tagged Responses'!$W$2:$W$733,"*"&amp;$A144&amp;"*")/C$140,"")</f>
        <v>0.246696035242291</v>
      </c>
      <c r="D144" s="11" t="n">
        <f aca="false">IFERROR(COUNTIFS('Tagged Responses'!$W$2:$W$733,"*"&amp;$A144&amp;"*",'Tagged Responses'!$D$2:$D$733,Notes!$B$9)/D$140,"")</f>
        <v>0.228395061728395</v>
      </c>
      <c r="E144" s="11" t="n">
        <f aca="false">IFERROR(COUNTIFS('Tagged Responses'!$W$2:$W$733,"*"&amp;$A144&amp;"*",'Tagged Responses'!$D$2:$D$733,Notes!$C$9)/E$140,"")</f>
        <v>0.258620689655172</v>
      </c>
      <c r="F144" s="11" t="n">
        <f aca="false">IFERROR(COUNTIFS('Tagged Responses'!$W$2:$W$733,"*"&amp;$A144&amp;"*",'Tagged Responses'!$D$2:$D$733,Notes!$D$9)/F$140,"")</f>
        <v>0.571428571428571</v>
      </c>
      <c r="G144" s="11" t="n">
        <f aca="false">IFERROR(COUNTIFS('Tagged Responses'!$W$2:$W$733,"*"&amp;$A144&amp;"*",'Tagged Responses'!$E$2:$E$733,"Female")/G$140,"")</f>
        <v>0.263565891472868</v>
      </c>
      <c r="H144" s="11" t="n">
        <f aca="false">IFERROR(COUNTIFS('Tagged Responses'!$W$2:$W$733,"*"&amp;$A144&amp;"*",'Tagged Responses'!$E$2:$E$733,"Male")/H$140,"")</f>
        <v>0.232804232804233</v>
      </c>
      <c r="I144" s="11" t="n">
        <f aca="false">IFERROR(COUNTIFS('Tagged Responses'!$W$2:$W$733,"*"&amp;$A144&amp;"*",'Tagged Responses'!$G$2:$G$733,"United States")/I$140,"")</f>
        <v>0.253333333333333</v>
      </c>
      <c r="J144" s="11" t="n">
        <f aca="false">IFERROR(COUNTIFS('Tagged Responses'!$W$2:$W$733,"*"&amp;$A144&amp;"*",'Tagged Responses'!$G$2:$G$733,"China")/J$140,"")</f>
        <v>0.193548387096774</v>
      </c>
    </row>
    <row r="145" customFormat="false" ht="15" hidden="false" customHeight="true" outlineLevel="0" collapsed="false">
      <c r="A145" s="10" t="s">
        <v>6828</v>
      </c>
      <c r="B145" s="10" t="n">
        <f aca="false">COUNTIF('Tagged Responses'!$W$2:$W$733,"*"&amp;$A145&amp;"*")</f>
        <v>79</v>
      </c>
      <c r="C145" s="11" t="n">
        <f aca="false">IFERROR(COUNTIF('Tagged Responses'!$W$2:$W$733,"*"&amp;$A145&amp;"*")/C$140,"")</f>
        <v>0.174008810572687</v>
      </c>
      <c r="D145" s="11" t="n">
        <f aca="false">IFERROR(COUNTIFS('Tagged Responses'!$W$2:$W$733,"*"&amp;$A145&amp;"*",'Tagged Responses'!$D$2:$D$733,Notes!$B$9)/D$140,"")</f>
        <v>0.182098765432099</v>
      </c>
      <c r="E145" s="11" t="n">
        <f aca="false">IFERROR(COUNTIFS('Tagged Responses'!$W$2:$W$733,"*"&amp;$A145&amp;"*",'Tagged Responses'!$D$2:$D$733,Notes!$C$9)/E$140,"")</f>
        <v>0.137931034482759</v>
      </c>
      <c r="F145" s="11" t="n">
        <f aca="false">IFERROR(COUNTIFS('Tagged Responses'!$W$2:$W$733,"*"&amp;$A145&amp;"*",'Tagged Responses'!$D$2:$D$733,Notes!$D$9)/F$140,"")</f>
        <v>0.285714285714286</v>
      </c>
      <c r="G145" s="11" t="n">
        <f aca="false">IFERROR(COUNTIFS('Tagged Responses'!$W$2:$W$733,"*"&amp;$A145&amp;"*",'Tagged Responses'!$E$2:$E$733,"Female")/G$140,"")</f>
        <v>0.186046511627907</v>
      </c>
      <c r="H145" s="11" t="n">
        <f aca="false">IFERROR(COUNTIFS('Tagged Responses'!$W$2:$W$733,"*"&amp;$A145&amp;"*",'Tagged Responses'!$E$2:$E$733,"Male")/H$140,"")</f>
        <v>0.158730158730159</v>
      </c>
      <c r="I145" s="11" t="n">
        <f aca="false">IFERROR(COUNTIFS('Tagged Responses'!$W$2:$W$733,"*"&amp;$A145&amp;"*",'Tagged Responses'!$G$2:$G$733,"United States")/I$140,"")</f>
        <v>0.176</v>
      </c>
      <c r="J145" s="11" t="n">
        <f aca="false">IFERROR(COUNTIFS('Tagged Responses'!$W$2:$W$733,"*"&amp;$A145&amp;"*",'Tagged Responses'!$G$2:$G$733,"China")/J$140,"")</f>
        <v>0.145161290322581</v>
      </c>
    </row>
    <row r="146" customFormat="false" ht="15" hidden="false" customHeight="true" outlineLevel="0" collapsed="false">
      <c r="A146" s="10" t="s">
        <v>6765</v>
      </c>
      <c r="B146" s="10" t="n">
        <f aca="false">COUNTIF('Tagged Responses'!$W$2:$W$733,"*"&amp;$A146&amp;"*")</f>
        <v>54</v>
      </c>
      <c r="C146" s="11" t="n">
        <f aca="false">IFERROR(COUNTIF('Tagged Responses'!$W$2:$W$733,"*"&amp;$A146&amp;"*")/C$140,"")</f>
        <v>0.118942731277533</v>
      </c>
      <c r="D146" s="11" t="n">
        <f aca="false">IFERROR(COUNTIFS('Tagged Responses'!$W$2:$W$733,"*"&amp;$A146&amp;"*",'Tagged Responses'!$D$2:$D$733,Notes!$B$9)/D$140,"")</f>
        <v>0.101851851851852</v>
      </c>
      <c r="E146" s="11" t="n">
        <f aca="false">IFERROR(COUNTIFS('Tagged Responses'!$W$2:$W$733,"*"&amp;$A146&amp;"*",'Tagged Responses'!$D$2:$D$733,Notes!$C$9)/E$140,"")</f>
        <v>0.155172413793103</v>
      </c>
      <c r="F146" s="11" t="n">
        <f aca="false">IFERROR(COUNTIFS('Tagged Responses'!$W$2:$W$733,"*"&amp;$A146&amp;"*",'Tagged Responses'!$D$2:$D$733,Notes!$D$9)/F$140,"")</f>
        <v>0.214285714285714</v>
      </c>
      <c r="G146" s="11" t="n">
        <f aca="false">IFERROR(COUNTIFS('Tagged Responses'!$W$2:$W$733,"*"&amp;$A146&amp;"*",'Tagged Responses'!$E$2:$E$733,"Female")/G$140,"")</f>
        <v>0.116279069767442</v>
      </c>
      <c r="H146" s="11" t="n">
        <f aca="false">IFERROR(COUNTIFS('Tagged Responses'!$W$2:$W$733,"*"&amp;$A146&amp;"*",'Tagged Responses'!$E$2:$E$733,"Male")/H$140,"")</f>
        <v>0.121693121693122</v>
      </c>
      <c r="I146" s="11" t="n">
        <f aca="false">IFERROR(COUNTIFS('Tagged Responses'!$W$2:$W$733,"*"&amp;$A146&amp;"*",'Tagged Responses'!$G$2:$G$733,"United States")/I$140,"")</f>
        <v>0.128</v>
      </c>
      <c r="J146" s="11" t="n">
        <f aca="false">IFERROR(COUNTIFS('Tagged Responses'!$W$2:$W$733,"*"&amp;$A146&amp;"*",'Tagged Responses'!$G$2:$G$733,"China")/J$140,"")</f>
        <v>0.0806451612903226</v>
      </c>
    </row>
    <row r="147" customFormat="false" ht="15" hidden="false" customHeight="true" outlineLevel="0" collapsed="false">
      <c r="A147" s="10" t="s">
        <v>6510</v>
      </c>
      <c r="B147" s="10" t="n">
        <f aca="false">COUNTIF('Tagged Responses'!$W$2:$W$733,"*"&amp;$A147&amp;"*")</f>
        <v>52</v>
      </c>
      <c r="C147" s="11" t="n">
        <f aca="false">IFERROR(COUNTIF('Tagged Responses'!$W$2:$W$733,"*"&amp;$A147&amp;"*")/C$140,"")</f>
        <v>0.114537444933921</v>
      </c>
      <c r="D147" s="11" t="n">
        <f aca="false">IFERROR(COUNTIFS('Tagged Responses'!$W$2:$W$733,"*"&amp;$A147&amp;"*",'Tagged Responses'!$D$2:$D$733,Notes!$B$9)/D$140,"")</f>
        <v>0.12037037037037</v>
      </c>
      <c r="E147" s="11" t="n">
        <f aca="false">IFERROR(COUNTIFS('Tagged Responses'!$W$2:$W$733,"*"&amp;$A147&amp;"*",'Tagged Responses'!$D$2:$D$733,Notes!$C$9)/E$140,"")</f>
        <v>0.0948275862068966</v>
      </c>
      <c r="F147" s="11" t="n">
        <f aca="false">IFERROR(COUNTIFS('Tagged Responses'!$W$2:$W$733,"*"&amp;$A147&amp;"*",'Tagged Responses'!$D$2:$D$733,Notes!$D$9)/F$140,"")</f>
        <v>0.142857142857143</v>
      </c>
      <c r="G147" s="11" t="n">
        <f aca="false">IFERROR(COUNTIFS('Tagged Responses'!$W$2:$W$733,"*"&amp;$A147&amp;"*",'Tagged Responses'!$E$2:$E$733,"Female")/G$140,"")</f>
        <v>0.131782945736434</v>
      </c>
      <c r="H147" s="11" t="n">
        <f aca="false">IFERROR(COUNTIFS('Tagged Responses'!$W$2:$W$733,"*"&amp;$A147&amp;"*",'Tagged Responses'!$E$2:$E$733,"Male")/H$140,"")</f>
        <v>0.0793650793650794</v>
      </c>
      <c r="I147" s="11" t="n">
        <f aca="false">IFERROR(COUNTIFS('Tagged Responses'!$W$2:$W$733,"*"&amp;$A147&amp;"*",'Tagged Responses'!$G$2:$G$733,"United States")/I$140,"")</f>
        <v>0.130666666666667</v>
      </c>
      <c r="J147" s="11" t="n">
        <f aca="false">IFERROR(COUNTIFS('Tagged Responses'!$W$2:$W$733,"*"&amp;$A147&amp;"*",'Tagged Responses'!$G$2:$G$733,"China")/J$140,"")</f>
        <v>0.0483870967741936</v>
      </c>
    </row>
    <row r="148" customFormat="false" ht="15" hidden="false" customHeight="true" outlineLevel="0" collapsed="false">
      <c r="A148" s="10" t="s">
        <v>6900</v>
      </c>
      <c r="B148" s="10" t="n">
        <f aca="false">COUNTIF('Tagged Responses'!$W$2:$W$733,"*"&amp;$A148&amp;"*")</f>
        <v>38</v>
      </c>
      <c r="C148" s="11" t="n">
        <f aca="false">IFERROR(COUNTIF('Tagged Responses'!$W$2:$W$733,"*"&amp;$A148&amp;"*")/C$140,"")</f>
        <v>0.0837004405286344</v>
      </c>
      <c r="D148" s="11" t="n">
        <f aca="false">IFERROR(COUNTIFS('Tagged Responses'!$W$2:$W$733,"*"&amp;$A148&amp;"*",'Tagged Responses'!$D$2:$D$733,Notes!$B$9)/D$140,"")</f>
        <v>0.0833333333333333</v>
      </c>
      <c r="E148" s="11" t="n">
        <f aca="false">IFERROR(COUNTIFS('Tagged Responses'!$W$2:$W$733,"*"&amp;$A148&amp;"*",'Tagged Responses'!$D$2:$D$733,Notes!$C$9)/E$140,"")</f>
        <v>0.0862068965517241</v>
      </c>
      <c r="F148" s="11" t="n">
        <f aca="false">IFERROR(COUNTIFS('Tagged Responses'!$W$2:$W$733,"*"&amp;$A148&amp;"*",'Tagged Responses'!$D$2:$D$733,Notes!$D$9)/F$140,"")</f>
        <v>0.0714285714285714</v>
      </c>
      <c r="G148" s="11" t="n">
        <f aca="false">IFERROR(COUNTIFS('Tagged Responses'!$W$2:$W$733,"*"&amp;$A148&amp;"*",'Tagged Responses'!$E$2:$E$733,"Female")/G$140,"")</f>
        <v>0.116279069767442</v>
      </c>
      <c r="H148" s="11" t="n">
        <f aca="false">IFERROR(COUNTIFS('Tagged Responses'!$W$2:$W$733,"*"&amp;$A148&amp;"*",'Tagged Responses'!$E$2:$E$733,"Male")/H$140,"")</f>
        <v>0.0423280423280423</v>
      </c>
      <c r="I148" s="11" t="n">
        <f aca="false">IFERROR(COUNTIFS('Tagged Responses'!$W$2:$W$733,"*"&amp;$A148&amp;"*",'Tagged Responses'!$G$2:$G$733,"United States")/I$140,"")</f>
        <v>0.08</v>
      </c>
      <c r="J148" s="11" t="n">
        <f aca="false">IFERROR(COUNTIFS('Tagged Responses'!$W$2:$W$733,"*"&amp;$A148&amp;"*",'Tagged Responses'!$G$2:$G$733,"China")/J$140,"")</f>
        <v>0.129032258064516</v>
      </c>
    </row>
    <row r="149" customFormat="false" ht="15" hidden="false" customHeight="true" outlineLevel="0" collapsed="false">
      <c r="A149" s="10" t="s">
        <v>6564</v>
      </c>
      <c r="B149" s="10" t="n">
        <f aca="false">COUNTIF('Tagged Responses'!$W$2:$W$733,"*"&amp;$A149&amp;"*")</f>
        <v>22</v>
      </c>
      <c r="C149" s="11" t="n">
        <f aca="false">IFERROR(COUNTIF('Tagged Responses'!$W$2:$W$733,"*"&amp;$A149&amp;"*")/C$140,"")</f>
        <v>0.0484581497797357</v>
      </c>
      <c r="D149" s="11" t="n">
        <f aca="false">IFERROR(COUNTIFS('Tagged Responses'!$W$2:$W$733,"*"&amp;$A149&amp;"*",'Tagged Responses'!$D$2:$D$733,Notes!$B$9)/D$140,"")</f>
        <v>0.0648148148148148</v>
      </c>
      <c r="E149" s="11" t="n">
        <f aca="false">IFERROR(COUNTIFS('Tagged Responses'!$W$2:$W$733,"*"&amp;$A149&amp;"*",'Tagged Responses'!$D$2:$D$733,Notes!$C$9)/E$140,"")</f>
        <v>0.00862068965517241</v>
      </c>
      <c r="F149" s="11" t="n">
        <f aca="false">IFERROR(COUNTIFS('Tagged Responses'!$W$2:$W$733,"*"&amp;$A149&amp;"*",'Tagged Responses'!$D$2:$D$733,Notes!$D$9)/F$140,"")</f>
        <v>0</v>
      </c>
      <c r="G149" s="11" t="n">
        <f aca="false">IFERROR(COUNTIFS('Tagged Responses'!$W$2:$W$733,"*"&amp;$A149&amp;"*",'Tagged Responses'!$E$2:$E$733,"Female")/G$140,"")</f>
        <v>0.0503875968992248</v>
      </c>
      <c r="H149" s="11" t="n">
        <f aca="false">IFERROR(COUNTIFS('Tagged Responses'!$W$2:$W$733,"*"&amp;$A149&amp;"*",'Tagged Responses'!$E$2:$E$733,"Male")/H$140,"")</f>
        <v>0.037037037037037</v>
      </c>
      <c r="I149" s="11" t="n">
        <f aca="false">IFERROR(COUNTIFS('Tagged Responses'!$W$2:$W$733,"*"&amp;$A149&amp;"*",'Tagged Responses'!$G$2:$G$733,"United States")/I$140,"")</f>
        <v>0.0533333333333333</v>
      </c>
      <c r="J149" s="11" t="n">
        <f aca="false">IFERROR(COUNTIFS('Tagged Responses'!$W$2:$W$733,"*"&amp;$A149&amp;"*",'Tagged Responses'!$G$2:$G$733,"China")/J$140,"")</f>
        <v>0</v>
      </c>
    </row>
    <row r="150" customFormat="false" ht="15" hidden="false" customHeight="true" outlineLevel="0" collapsed="false">
      <c r="A150" s="10" t="s">
        <v>6646</v>
      </c>
      <c r="B150" s="10" t="n">
        <f aca="false">COUNTIF('Tagged Responses'!$W$2:$W$733,"*"&amp;$A150&amp;"*")</f>
        <v>20</v>
      </c>
      <c r="C150" s="11" t="n">
        <f aca="false">IFERROR(COUNTIF('Tagged Responses'!$W$2:$W$733,"*"&amp;$A150&amp;"*")/C$140,"")</f>
        <v>0.0440528634361234</v>
      </c>
      <c r="D150" s="11" t="n">
        <f aca="false">IFERROR(COUNTIFS('Tagged Responses'!$W$2:$W$733,"*"&amp;$A150&amp;"*",'Tagged Responses'!$D$2:$D$733,Notes!$B$9)/D$140,"")</f>
        <v>0.0401234567901235</v>
      </c>
      <c r="E150" s="11" t="n">
        <f aca="false">IFERROR(COUNTIFS('Tagged Responses'!$W$2:$W$733,"*"&amp;$A150&amp;"*",'Tagged Responses'!$D$2:$D$733,Notes!$C$9)/E$140,"")</f>
        <v>0.0517241379310345</v>
      </c>
      <c r="F150" s="11" t="n">
        <f aca="false">IFERROR(COUNTIFS('Tagged Responses'!$W$2:$W$733,"*"&amp;$A150&amp;"*",'Tagged Responses'!$D$2:$D$733,Notes!$D$9)/F$140,"")</f>
        <v>0.0714285714285714</v>
      </c>
      <c r="G150" s="11" t="n">
        <f aca="false">IFERROR(COUNTIFS('Tagged Responses'!$W$2:$W$733,"*"&amp;$A150&amp;"*",'Tagged Responses'!$E$2:$E$733,"Female")/G$140,"")</f>
        <v>0.0542635658914729</v>
      </c>
      <c r="H150" s="11" t="n">
        <f aca="false">IFERROR(COUNTIFS('Tagged Responses'!$W$2:$W$733,"*"&amp;$A150&amp;"*",'Tagged Responses'!$E$2:$E$733,"Male")/H$140,"")</f>
        <v>0.0317460317460317</v>
      </c>
      <c r="I150" s="11" t="n">
        <f aca="false">IFERROR(COUNTIFS('Tagged Responses'!$W$2:$W$733,"*"&amp;$A150&amp;"*",'Tagged Responses'!$G$2:$G$733,"United States")/I$140,"")</f>
        <v>0.0426666666666667</v>
      </c>
      <c r="J150" s="11" t="n">
        <f aca="false">IFERROR(COUNTIFS('Tagged Responses'!$W$2:$W$733,"*"&amp;$A150&amp;"*",'Tagged Responses'!$G$2:$G$733,"China")/J$140,"")</f>
        <v>0.0483870967741936</v>
      </c>
    </row>
    <row r="151" customFormat="false" ht="15" hidden="false" customHeight="true" outlineLevel="0" collapsed="false">
      <c r="A151" s="10" t="s">
        <v>2035</v>
      </c>
      <c r="B151" s="10" t="n">
        <f aca="false">COUNTIF('Tagged Responses'!$W$2:$W$733,"*"&amp;$A151&amp;"*")</f>
        <v>19</v>
      </c>
      <c r="C151" s="11" t="n">
        <f aca="false">IFERROR(COUNTIF('Tagged Responses'!$W$2:$W$733,"*"&amp;$A151&amp;"*")/C$140,"")</f>
        <v>0.0418502202643172</v>
      </c>
      <c r="D151" s="11" t="n">
        <f aca="false">IFERROR(COUNTIFS('Tagged Responses'!$W$2:$W$733,"*"&amp;$A151&amp;"*",'Tagged Responses'!$D$2:$D$733,Notes!$B$9)/D$140,"")</f>
        <v>0.0339506172839506</v>
      </c>
      <c r="E151" s="11" t="n">
        <f aca="false">IFERROR(COUNTIFS('Tagged Responses'!$W$2:$W$733,"*"&amp;$A151&amp;"*",'Tagged Responses'!$D$2:$D$733,Notes!$C$9)/E$140,"")</f>
        <v>0.0689655172413793</v>
      </c>
      <c r="F151" s="11" t="n">
        <f aca="false">IFERROR(COUNTIFS('Tagged Responses'!$W$2:$W$733,"*"&amp;$A151&amp;"*",'Tagged Responses'!$D$2:$D$733,Notes!$D$9)/F$140,"")</f>
        <v>0</v>
      </c>
      <c r="G151" s="11" t="n">
        <f aca="false">IFERROR(COUNTIFS('Tagged Responses'!$W$2:$W$733,"*"&amp;$A151&amp;"*",'Tagged Responses'!$E$2:$E$733,"Female")/G$140,"")</f>
        <v>0.0542635658914729</v>
      </c>
      <c r="H151" s="11" t="n">
        <f aca="false">IFERROR(COUNTIFS('Tagged Responses'!$W$2:$W$733,"*"&amp;$A151&amp;"*",'Tagged Responses'!$E$2:$E$733,"Male")/H$140,"")</f>
        <v>0.0264550264550265</v>
      </c>
      <c r="I151" s="11" t="n">
        <f aca="false">IFERROR(COUNTIFS('Tagged Responses'!$W$2:$W$733,"*"&amp;$A151&amp;"*",'Tagged Responses'!$G$2:$G$733,"United States")/I$140,"")</f>
        <v>0.048</v>
      </c>
      <c r="J151" s="11" t="n">
        <f aca="false">IFERROR(COUNTIFS('Tagged Responses'!$W$2:$W$733,"*"&amp;$A151&amp;"*",'Tagged Responses'!$G$2:$G$733,"China")/J$140,"")</f>
        <v>0.0161290322580645</v>
      </c>
    </row>
    <row r="152" customFormat="false" ht="15" hidden="false" customHeight="true" outlineLevel="0" collapsed="false">
      <c r="A152" s="10" t="s">
        <v>6569</v>
      </c>
      <c r="B152" s="10" t="n">
        <f aca="false">COUNTIF('Tagged Responses'!$W$2:$W$733,"*"&amp;$A152&amp;"*")</f>
        <v>16</v>
      </c>
      <c r="C152" s="11" t="n">
        <f aca="false">IFERROR(COUNTIF('Tagged Responses'!$W$2:$W$733,"*"&amp;$A152&amp;"*")/C$140,"")</f>
        <v>0.0352422907488987</v>
      </c>
      <c r="D152" s="11" t="n">
        <f aca="false">IFERROR(COUNTIFS('Tagged Responses'!$W$2:$W$733,"*"&amp;$A152&amp;"*",'Tagged Responses'!$D$2:$D$733,Notes!$B$9)/D$140,"")</f>
        <v>0.0339506172839506</v>
      </c>
      <c r="E152" s="11" t="n">
        <f aca="false">IFERROR(COUNTIFS('Tagged Responses'!$W$2:$W$733,"*"&amp;$A152&amp;"*",'Tagged Responses'!$D$2:$D$733,Notes!$C$9)/E$140,"")</f>
        <v>0.0258620689655172</v>
      </c>
      <c r="F152" s="11" t="n">
        <f aca="false">IFERROR(COUNTIFS('Tagged Responses'!$W$2:$W$733,"*"&amp;$A152&amp;"*",'Tagged Responses'!$D$2:$D$733,Notes!$D$9)/F$140,"")</f>
        <v>0.142857142857143</v>
      </c>
      <c r="G152" s="11" t="n">
        <f aca="false">IFERROR(COUNTIFS('Tagged Responses'!$W$2:$W$733,"*"&amp;$A152&amp;"*",'Tagged Responses'!$E$2:$E$733,"Female")/G$140,"")</f>
        <v>0.0348837209302326</v>
      </c>
      <c r="H152" s="11" t="n">
        <f aca="false">IFERROR(COUNTIFS('Tagged Responses'!$W$2:$W$733,"*"&amp;$A152&amp;"*",'Tagged Responses'!$E$2:$E$733,"Male")/H$140,"")</f>
        <v>0.037037037037037</v>
      </c>
      <c r="I152" s="11" t="n">
        <f aca="false">IFERROR(COUNTIFS('Tagged Responses'!$W$2:$W$733,"*"&amp;$A152&amp;"*",'Tagged Responses'!$G$2:$G$733,"United States")/I$140,"")</f>
        <v>0.0373333333333333</v>
      </c>
      <c r="J152" s="11" t="n">
        <f aca="false">IFERROR(COUNTIFS('Tagged Responses'!$W$2:$W$733,"*"&amp;$A152&amp;"*",'Tagged Responses'!$G$2:$G$733,"China")/J$140,"")</f>
        <v>0.0161290322580645</v>
      </c>
    </row>
    <row r="153" customFormat="false" ht="15" hidden="false" customHeight="true" outlineLevel="0" collapsed="false">
      <c r="A153" s="10" t="s">
        <v>6820</v>
      </c>
      <c r="B153" s="10" t="n">
        <f aca="false">COUNTIF('Tagged Responses'!$W$2:$W$733,"*"&amp;$A153&amp;"*")</f>
        <v>15</v>
      </c>
      <c r="C153" s="11" t="n">
        <f aca="false">IFERROR(COUNTIF('Tagged Responses'!$W$2:$W$733,"*"&amp;$A153&amp;"*")/C$140,"")</f>
        <v>0.0330396475770925</v>
      </c>
      <c r="D153" s="11" t="n">
        <f aca="false">IFERROR(COUNTIFS('Tagged Responses'!$W$2:$W$733,"*"&amp;$A153&amp;"*",'Tagged Responses'!$D$2:$D$733,Notes!$B$9)/D$140,"")</f>
        <v>0.0432098765432099</v>
      </c>
      <c r="E153" s="11" t="n">
        <f aca="false">IFERROR(COUNTIFS('Tagged Responses'!$W$2:$W$733,"*"&amp;$A153&amp;"*",'Tagged Responses'!$D$2:$D$733,Notes!$C$9)/E$140,"")</f>
        <v>0.00862068965517241</v>
      </c>
      <c r="F153" s="11" t="n">
        <f aca="false">IFERROR(COUNTIFS('Tagged Responses'!$W$2:$W$733,"*"&amp;$A153&amp;"*",'Tagged Responses'!$D$2:$D$733,Notes!$D$9)/F$140,"")</f>
        <v>0</v>
      </c>
      <c r="G153" s="11" t="n">
        <f aca="false">IFERROR(COUNTIFS('Tagged Responses'!$W$2:$W$733,"*"&amp;$A153&amp;"*",'Tagged Responses'!$E$2:$E$733,"Female")/G$140,"")</f>
        <v>0.0271317829457364</v>
      </c>
      <c r="H153" s="11" t="n">
        <f aca="false">IFERROR(COUNTIFS('Tagged Responses'!$W$2:$W$733,"*"&amp;$A153&amp;"*",'Tagged Responses'!$E$2:$E$733,"Male")/H$140,"")</f>
        <v>0.0317460317460317</v>
      </c>
      <c r="I153" s="11" t="n">
        <f aca="false">IFERROR(COUNTIFS('Tagged Responses'!$W$2:$W$733,"*"&amp;$A153&amp;"*",'Tagged Responses'!$G$2:$G$733,"United States")/I$140,"")</f>
        <v>0.04</v>
      </c>
      <c r="J153" s="11" t="n">
        <f aca="false">IFERROR(COUNTIFS('Tagged Responses'!$W$2:$W$733,"*"&amp;$A153&amp;"*",'Tagged Responses'!$G$2:$G$733,"China")/J$140,"")</f>
        <v>0</v>
      </c>
    </row>
    <row r="154" customFormat="false" ht="15" hidden="false" customHeight="true" outlineLevel="0" collapsed="false">
      <c r="A154" s="10" t="s">
        <v>6516</v>
      </c>
      <c r="B154" s="10" t="n">
        <f aca="false">COUNTIF('Tagged Responses'!$W$2:$W$733,"*"&amp;$A154&amp;"*")</f>
        <v>11</v>
      </c>
      <c r="C154" s="11" t="n">
        <f aca="false">IFERROR(COUNTIF('Tagged Responses'!$W$2:$W$733,"*"&amp;$A154&amp;"*")/C$140,"")</f>
        <v>0.0242290748898678</v>
      </c>
      <c r="D154" s="11" t="n">
        <f aca="false">IFERROR(COUNTIFS('Tagged Responses'!$W$2:$W$733,"*"&amp;$A154&amp;"*",'Tagged Responses'!$D$2:$D$733,Notes!$B$9)/D$140,"")</f>
        <v>0.0216049382716049</v>
      </c>
      <c r="E154" s="11" t="n">
        <f aca="false">IFERROR(COUNTIFS('Tagged Responses'!$W$2:$W$733,"*"&amp;$A154&amp;"*",'Tagged Responses'!$D$2:$D$733,Notes!$C$9)/E$140,"")</f>
        <v>0.0258620689655172</v>
      </c>
      <c r="F154" s="11" t="n">
        <f aca="false">IFERROR(COUNTIFS('Tagged Responses'!$W$2:$W$733,"*"&amp;$A154&amp;"*",'Tagged Responses'!$D$2:$D$733,Notes!$D$9)/F$140,"")</f>
        <v>0.0714285714285714</v>
      </c>
      <c r="G154" s="11" t="n">
        <f aca="false">IFERROR(COUNTIFS('Tagged Responses'!$W$2:$W$733,"*"&amp;$A154&amp;"*",'Tagged Responses'!$E$2:$E$733,"Female")/G$140,"")</f>
        <v>0.0310077519379845</v>
      </c>
      <c r="H154" s="11" t="n">
        <f aca="false">IFERROR(COUNTIFS('Tagged Responses'!$W$2:$W$733,"*"&amp;$A154&amp;"*",'Tagged Responses'!$E$2:$E$733,"Male")/H$140,"")</f>
        <v>0.0158730158730159</v>
      </c>
      <c r="I154" s="11" t="n">
        <f aca="false">IFERROR(COUNTIFS('Tagged Responses'!$W$2:$W$733,"*"&amp;$A154&amp;"*",'Tagged Responses'!$G$2:$G$733,"United States")/I$140,"")</f>
        <v>0.0266666666666667</v>
      </c>
      <c r="J154" s="11" t="n">
        <f aca="false">IFERROR(COUNTIFS('Tagged Responses'!$W$2:$W$733,"*"&amp;$A154&amp;"*",'Tagged Responses'!$G$2:$G$733,"China")/J$140,"")</f>
        <v>0.0161290322580645</v>
      </c>
    </row>
    <row r="155" customFormat="false" ht="15" hidden="false" customHeight="true" outlineLevel="0" collapsed="false">
      <c r="A155" s="10" t="s">
        <v>6770</v>
      </c>
      <c r="B155" s="10" t="n">
        <f aca="false">COUNTIF('Tagged Responses'!$W$2:$W$733,"*"&amp;$A155&amp;"*")</f>
        <v>8</v>
      </c>
      <c r="C155" s="11" t="n">
        <f aca="false">IFERROR(COUNTIF('Tagged Responses'!$W$2:$W$733,"*"&amp;$A155&amp;"*")/C$140,"")</f>
        <v>0.0176211453744493</v>
      </c>
      <c r="D155" s="11" t="n">
        <f aca="false">IFERROR(COUNTIFS('Tagged Responses'!$W$2:$W$733,"*"&amp;$A155&amp;"*",'Tagged Responses'!$D$2:$D$733,Notes!$B$9)/D$140,"")</f>
        <v>0.0154320987654321</v>
      </c>
      <c r="E155" s="11" t="n">
        <f aca="false">IFERROR(COUNTIFS('Tagged Responses'!$W$2:$W$733,"*"&amp;$A155&amp;"*",'Tagged Responses'!$D$2:$D$733,Notes!$C$9)/E$140,"")</f>
        <v>0.00862068965517241</v>
      </c>
      <c r="F155" s="11" t="n">
        <f aca="false">IFERROR(COUNTIFS('Tagged Responses'!$W$2:$W$733,"*"&amp;$A155&amp;"*",'Tagged Responses'!$D$2:$D$733,Notes!$D$9)/F$140,"")</f>
        <v>0.142857142857143</v>
      </c>
      <c r="G155" s="11" t="n">
        <f aca="false">IFERROR(COUNTIFS('Tagged Responses'!$W$2:$W$733,"*"&amp;$A155&amp;"*",'Tagged Responses'!$E$2:$E$733,"Female")/G$140,"")</f>
        <v>0.0155038759689922</v>
      </c>
      <c r="H155" s="11" t="n">
        <f aca="false">IFERROR(COUNTIFS('Tagged Responses'!$W$2:$W$733,"*"&amp;$A155&amp;"*",'Tagged Responses'!$E$2:$E$733,"Male")/H$140,"")</f>
        <v>0.0211640211640212</v>
      </c>
      <c r="I155" s="11" t="n">
        <f aca="false">IFERROR(COUNTIFS('Tagged Responses'!$W$2:$W$733,"*"&amp;$A155&amp;"*",'Tagged Responses'!$G$2:$G$733,"United States")/I$140,"")</f>
        <v>0.016</v>
      </c>
      <c r="J155" s="11" t="n">
        <f aca="false">IFERROR(COUNTIFS('Tagged Responses'!$W$2:$W$733,"*"&amp;$A155&amp;"*",'Tagged Responses'!$G$2:$G$733,"China")/J$140,"")</f>
        <v>0.032258064516129</v>
      </c>
    </row>
    <row r="156" customFormat="false" ht="15" hidden="false" customHeight="true" outlineLevel="0" collapsed="false">
      <c r="A156" s="10" t="s">
        <v>6520</v>
      </c>
      <c r="B156" s="10" t="n">
        <f aca="false">COUNTIF('Tagged Responses'!$W$2:$W$733,"*"&amp;$A156&amp;"*")</f>
        <v>4</v>
      </c>
      <c r="C156" s="11" t="n">
        <f aca="false">IFERROR(COUNTIF('Tagged Responses'!$W$2:$W$733,"*"&amp;$A156&amp;"*")/C$140,"")</f>
        <v>0.00881057268722467</v>
      </c>
      <c r="D156" s="11" t="n">
        <f aca="false">IFERROR(COUNTIFS('Tagged Responses'!$W$2:$W$733,"*"&amp;$A156&amp;"*",'Tagged Responses'!$D$2:$D$733,Notes!$B$9)/D$140,"")</f>
        <v>0.0123456790123457</v>
      </c>
      <c r="E156" s="11" t="n">
        <f aca="false">IFERROR(COUNTIFS('Tagged Responses'!$W$2:$W$733,"*"&amp;$A156&amp;"*",'Tagged Responses'!$D$2:$D$733,Notes!$C$9)/E$140,"")</f>
        <v>0</v>
      </c>
      <c r="F156" s="11" t="n">
        <f aca="false">IFERROR(COUNTIFS('Tagged Responses'!$W$2:$W$733,"*"&amp;$A156&amp;"*",'Tagged Responses'!$D$2:$D$733,Notes!$D$9)/F$140,"")</f>
        <v>0</v>
      </c>
      <c r="G156" s="11" t="n">
        <f aca="false">IFERROR(COUNTIFS('Tagged Responses'!$W$2:$W$733,"*"&amp;$A156&amp;"*",'Tagged Responses'!$E$2:$E$733,"Female")/G$140,"")</f>
        <v>0.00387596899224806</v>
      </c>
      <c r="H156" s="11" t="n">
        <f aca="false">IFERROR(COUNTIFS('Tagged Responses'!$W$2:$W$733,"*"&amp;$A156&amp;"*",'Tagged Responses'!$E$2:$E$733,"Male")/H$140,"")</f>
        <v>0.0105820105820106</v>
      </c>
      <c r="I156" s="11" t="n">
        <f aca="false">IFERROR(COUNTIFS('Tagged Responses'!$W$2:$W$733,"*"&amp;$A156&amp;"*",'Tagged Responses'!$G$2:$G$733,"United States")/I$140,"")</f>
        <v>0.0106666666666667</v>
      </c>
      <c r="J156" s="11" t="n">
        <f aca="false">IFERROR(COUNTIFS('Tagged Responses'!$W$2:$W$733,"*"&amp;$A156&amp;"*",'Tagged Responses'!$G$2:$G$733,"China")/J$140,"")</f>
        <v>0</v>
      </c>
    </row>
    <row r="157" customFormat="false" ht="15" hidden="false" customHeight="true" outlineLevel="0" collapsed="false">
      <c r="A157" s="10" t="s">
        <v>6918</v>
      </c>
      <c r="B157" s="10" t="n">
        <f aca="false">COUNTIF('Tagged Responses'!$W$2:$W$733,"*"&amp;$A157&amp;"*")</f>
        <v>4</v>
      </c>
      <c r="C157" s="11" t="n">
        <f aca="false">IFERROR(COUNTIF('Tagged Responses'!$W$2:$W$733,"*"&amp;$A157&amp;"*")/C$140,"")</f>
        <v>0.00881057268722467</v>
      </c>
      <c r="D157" s="11" t="n">
        <f aca="false">IFERROR(COUNTIFS('Tagged Responses'!$W$2:$W$733,"*"&amp;$A157&amp;"*",'Tagged Responses'!$D$2:$D$733,Notes!$B$9)/D$140,"")</f>
        <v>0.00617283950617284</v>
      </c>
      <c r="E157" s="11" t="n">
        <f aca="false">IFERROR(COUNTIFS('Tagged Responses'!$W$2:$W$733,"*"&amp;$A157&amp;"*",'Tagged Responses'!$D$2:$D$733,Notes!$C$9)/E$140,"")</f>
        <v>0.0172413793103448</v>
      </c>
      <c r="F157" s="11" t="n">
        <f aca="false">IFERROR(COUNTIFS('Tagged Responses'!$W$2:$W$733,"*"&amp;$A157&amp;"*",'Tagged Responses'!$D$2:$D$733,Notes!$D$9)/F$140,"")</f>
        <v>0</v>
      </c>
      <c r="G157" s="11" t="n">
        <f aca="false">IFERROR(COUNTIFS('Tagged Responses'!$W$2:$W$733,"*"&amp;$A157&amp;"*",'Tagged Responses'!$E$2:$E$733,"Female")/G$140,"")</f>
        <v>0.00775193798449612</v>
      </c>
      <c r="H157" s="11" t="n">
        <f aca="false">IFERROR(COUNTIFS('Tagged Responses'!$W$2:$W$733,"*"&amp;$A157&amp;"*",'Tagged Responses'!$E$2:$E$733,"Male")/H$140,"")</f>
        <v>0.0105820105820106</v>
      </c>
      <c r="I157" s="11" t="n">
        <f aca="false">IFERROR(COUNTIFS('Tagged Responses'!$W$2:$W$733,"*"&amp;$A157&amp;"*",'Tagged Responses'!$G$2:$G$733,"United States")/I$140,"")</f>
        <v>0.0106666666666667</v>
      </c>
      <c r="J157" s="11" t="n">
        <f aca="false">IFERROR(COUNTIFS('Tagged Responses'!$W$2:$W$733,"*"&amp;$A157&amp;"*",'Tagged Responses'!$G$2:$G$733,"China")/J$140,"")</f>
        <v>0</v>
      </c>
    </row>
    <row r="158" customFormat="false" ht="15" hidden="false" customHeight="true" outlineLevel="0" collapsed="false">
      <c r="A158" s="10" t="s">
        <v>6864</v>
      </c>
      <c r="B158" s="10" t="n">
        <f aca="false">COUNTIF('Tagged Responses'!$W$2:$W$733,"*"&amp;$A158&amp;"*")</f>
        <v>3</v>
      </c>
      <c r="C158" s="11" t="n">
        <f aca="false">IFERROR(COUNTIF('Tagged Responses'!$W$2:$W$733,"*"&amp;$A158&amp;"*")/C$140,"")</f>
        <v>0.0066079295154185</v>
      </c>
      <c r="D158" s="11" t="n">
        <f aca="false">IFERROR(COUNTIFS('Tagged Responses'!$W$2:$W$733,"*"&amp;$A158&amp;"*",'Tagged Responses'!$D$2:$D$733,Notes!$B$9)/D$140,"")</f>
        <v>0.00925925925925926</v>
      </c>
      <c r="E158" s="11" t="n">
        <f aca="false">IFERROR(COUNTIFS('Tagged Responses'!$W$2:$W$733,"*"&amp;$A158&amp;"*",'Tagged Responses'!$D$2:$D$733,Notes!$C$9)/E$140,"")</f>
        <v>0</v>
      </c>
      <c r="F158" s="11" t="n">
        <f aca="false">IFERROR(COUNTIFS('Tagged Responses'!$W$2:$W$733,"*"&amp;$A158&amp;"*",'Tagged Responses'!$D$2:$D$733,Notes!$D$9)/F$140,"")</f>
        <v>0</v>
      </c>
      <c r="G158" s="11" t="n">
        <f aca="false">IFERROR(COUNTIFS('Tagged Responses'!$W$2:$W$733,"*"&amp;$A158&amp;"*",'Tagged Responses'!$E$2:$E$733,"Female")/G$140,"")</f>
        <v>0.00387596899224806</v>
      </c>
      <c r="H158" s="11" t="n">
        <f aca="false">IFERROR(COUNTIFS('Tagged Responses'!$W$2:$W$733,"*"&amp;$A158&amp;"*",'Tagged Responses'!$E$2:$E$733,"Male")/H$140,"")</f>
        <v>0.0105820105820106</v>
      </c>
      <c r="I158" s="11" t="n">
        <f aca="false">IFERROR(COUNTIFS('Tagged Responses'!$W$2:$W$733,"*"&amp;$A158&amp;"*",'Tagged Responses'!$G$2:$G$733,"United States")/I$140,"")</f>
        <v>0.008</v>
      </c>
      <c r="J158" s="11" t="n">
        <f aca="false">IFERROR(COUNTIFS('Tagged Responses'!$W$2:$W$733,"*"&amp;$A158&amp;"*",'Tagged Responses'!$G$2:$G$733,"China")/J$140,"")</f>
        <v>0</v>
      </c>
    </row>
    <row r="159" customFormat="false" ht="15" hidden="false" customHeight="true" outlineLevel="0" collapsed="false">
      <c r="A159" s="10" t="s">
        <v>6534</v>
      </c>
      <c r="B159" s="10" t="n">
        <f aca="false">COUNTIF('Tagged Responses'!$W$2:$W$733,"*"&amp;$A159&amp;"*")</f>
        <v>2</v>
      </c>
      <c r="C159" s="11" t="n">
        <f aca="false">IFERROR(COUNTIF('Tagged Responses'!$W$2:$W$733,"*"&amp;$A159&amp;"*")/C$140,"")</f>
        <v>0.00440528634361234</v>
      </c>
      <c r="D159" s="11" t="n">
        <f aca="false">IFERROR(COUNTIFS('Tagged Responses'!$W$2:$W$733,"*"&amp;$A159&amp;"*",'Tagged Responses'!$D$2:$D$733,Notes!$B$9)/D$140,"")</f>
        <v>0.00617283950617284</v>
      </c>
      <c r="E159" s="11" t="n">
        <f aca="false">IFERROR(COUNTIFS('Tagged Responses'!$W$2:$W$733,"*"&amp;$A159&amp;"*",'Tagged Responses'!$D$2:$D$733,Notes!$C$9)/E$140,"")</f>
        <v>0</v>
      </c>
      <c r="F159" s="11" t="n">
        <f aca="false">IFERROR(COUNTIFS('Tagged Responses'!$W$2:$W$733,"*"&amp;$A159&amp;"*",'Tagged Responses'!$D$2:$D$733,Notes!$D$9)/F$140,"")</f>
        <v>0</v>
      </c>
      <c r="G159" s="11" t="n">
        <f aca="false">IFERROR(COUNTIFS('Tagged Responses'!$W$2:$W$733,"*"&amp;$A159&amp;"*",'Tagged Responses'!$E$2:$E$733,"Female")/G$140,"")</f>
        <v>0.00387596899224806</v>
      </c>
      <c r="H159" s="11" t="n">
        <f aca="false">IFERROR(COUNTIFS('Tagged Responses'!$W$2:$W$733,"*"&amp;$A159&amp;"*",'Tagged Responses'!$E$2:$E$733,"Male")/H$140,"")</f>
        <v>0.00529100529100529</v>
      </c>
      <c r="I159" s="11" t="n">
        <f aca="false">IFERROR(COUNTIFS('Tagged Responses'!$W$2:$W$733,"*"&amp;$A159&amp;"*",'Tagged Responses'!$G$2:$G$733,"United States")/I$140,"")</f>
        <v>0.00533333333333333</v>
      </c>
      <c r="J159" s="11" t="n">
        <f aca="false">IFERROR(COUNTIFS('Tagged Responses'!$W$2:$W$733,"*"&amp;$A159&amp;"*",'Tagged Responses'!$G$2:$G$733,"China")/J$140,"")</f>
        <v>0</v>
      </c>
    </row>
    <row r="160" customFormat="false" ht="15" hidden="false" customHeight="true" outlineLevel="0" collapsed="false">
      <c r="A160" s="10" t="s">
        <v>6551</v>
      </c>
      <c r="B160" s="10" t="n">
        <f aca="false">COUNTIF('Tagged Responses'!$W$2:$W$733,"*"&amp;$A160&amp;"*")</f>
        <v>48</v>
      </c>
      <c r="C160" s="11" t="n">
        <f aca="false">IFERROR(COUNTIF('Tagged Responses'!$W$2:$W$733,"*"&amp;$A160&amp;"*")/C$140,"")</f>
        <v>0.105726872246696</v>
      </c>
      <c r="D160" s="11" t="n">
        <f aca="false">IFERROR(COUNTIFS('Tagged Responses'!$W$2:$W$733,"*"&amp;$A160&amp;"*",'Tagged Responses'!$D$2:$D$733,Notes!$B$9)/D$140,"")</f>
        <v>0.111111111111111</v>
      </c>
      <c r="E160" s="11" t="n">
        <f aca="false">IFERROR(COUNTIFS('Tagged Responses'!$W$2:$W$733,"*"&amp;$A160&amp;"*",'Tagged Responses'!$D$2:$D$733,Notes!$C$9)/E$140,"")</f>
        <v>0.0862068965517241</v>
      </c>
      <c r="F160" s="11" t="n">
        <f aca="false">IFERROR(COUNTIFS('Tagged Responses'!$W$2:$W$733,"*"&amp;$A160&amp;"*",'Tagged Responses'!$D$2:$D$733,Notes!$D$9)/F$140,"")</f>
        <v>0.142857142857143</v>
      </c>
      <c r="G160" s="11" t="n">
        <f aca="false">IFERROR(COUNTIFS('Tagged Responses'!$W$2:$W$733,"*"&amp;$A160&amp;"*",'Tagged Responses'!$E$2:$E$733,"Female")/G$140,"")</f>
        <v>0.0930232558139535</v>
      </c>
      <c r="H160" s="11" t="n">
        <f aca="false">IFERROR(COUNTIFS('Tagged Responses'!$W$2:$W$733,"*"&amp;$A160&amp;"*",'Tagged Responses'!$E$2:$E$733,"Male")/H$140,"")</f>
        <v>0.121693121693122</v>
      </c>
      <c r="I160" s="11" t="n">
        <f aca="false">IFERROR(COUNTIFS('Tagged Responses'!$W$2:$W$733,"*"&amp;$A160&amp;"*",'Tagged Responses'!$G$2:$G$733,"United States")/I$140,"")</f>
        <v>0.114666666666667</v>
      </c>
      <c r="J160" s="11" t="n">
        <f aca="false">IFERROR(COUNTIFS('Tagged Responses'!$W$2:$W$733,"*"&amp;$A160&amp;"*",'Tagged Responses'!$G$2:$G$733,"China")/J$140,"")</f>
        <v>0.0645161290322581</v>
      </c>
    </row>
    <row r="161" customFormat="false" ht="15" hidden="false" customHeight="true" outlineLevel="0" collapsed="false">
      <c r="A161" s="10" t="s">
        <v>6538</v>
      </c>
      <c r="B161" s="10" t="n">
        <f aca="false">COUNTIF('Tagged Responses'!$W$2:$W$733,"*"&amp;$A161&amp;"*")</f>
        <v>6</v>
      </c>
      <c r="C161" s="11" t="n">
        <f aca="false">IFERROR(COUNTIF('Tagged Responses'!$W$2:$W$733,"*"&amp;$A161&amp;"*")/C$140,"")</f>
        <v>0.013215859030837</v>
      </c>
      <c r="D161" s="11" t="n">
        <f aca="false">IFERROR(COUNTIFS('Tagged Responses'!$W$2:$W$733,"*"&amp;$A161&amp;"*",'Tagged Responses'!$D$2:$D$733,Notes!$B$9)/D$140,"")</f>
        <v>0.0123456790123457</v>
      </c>
      <c r="E161" s="11" t="n">
        <f aca="false">IFERROR(COUNTIFS('Tagged Responses'!$W$2:$W$733,"*"&amp;$A161&amp;"*",'Tagged Responses'!$D$2:$D$733,Notes!$C$9)/E$140,"")</f>
        <v>0.0172413793103448</v>
      </c>
      <c r="F161" s="11" t="n">
        <f aca="false">IFERROR(COUNTIFS('Tagged Responses'!$W$2:$W$733,"*"&amp;$A161&amp;"*",'Tagged Responses'!$D$2:$D$733,Notes!$D$9)/F$140,"")</f>
        <v>0</v>
      </c>
      <c r="G161" s="11" t="n">
        <f aca="false">IFERROR(COUNTIFS('Tagged Responses'!$W$2:$W$733,"*"&amp;$A161&amp;"*",'Tagged Responses'!$E$2:$E$733,"Female")/G$140,"")</f>
        <v>0.0155038759689922</v>
      </c>
      <c r="H161" s="11" t="n">
        <f aca="false">IFERROR(COUNTIFS('Tagged Responses'!$W$2:$W$733,"*"&amp;$A161&amp;"*",'Tagged Responses'!$E$2:$E$733,"Male")/H$140,"")</f>
        <v>0.0105820105820106</v>
      </c>
      <c r="I161" s="11" t="n">
        <f aca="false">IFERROR(COUNTIFS('Tagged Responses'!$W$2:$W$733,"*"&amp;$A161&amp;"*",'Tagged Responses'!$G$2:$G$733,"United States")/I$140,"")</f>
        <v>0.0106666666666667</v>
      </c>
      <c r="J161" s="11" t="n">
        <f aca="false">IFERROR(COUNTIFS('Tagged Responses'!$W$2:$W$733,"*"&amp;$A161&amp;"*",'Tagged Responses'!$G$2:$G$733,"China")/J$140,"")</f>
        <v>0.032258064516129</v>
      </c>
    </row>
    <row r="163" customFormat="false" ht="15" hidden="false" customHeight="true" outlineLevel="0" collapsed="false">
      <c r="A163" s="8" t="s">
        <v>34</v>
      </c>
    </row>
    <row r="164" customFormat="false" ht="30" hidden="false" customHeight="true" outlineLevel="0" collapsed="false">
      <c r="A164" s="2" t="s">
        <v>7683</v>
      </c>
      <c r="B164" s="2" t="s">
        <v>7684</v>
      </c>
      <c r="C164" s="2" t="s">
        <v>7685</v>
      </c>
      <c r="D164" s="2" t="str">
        <f aca="false">Notes!$B$9</f>
        <v>Student age (≤29)</v>
      </c>
      <c r="E164" s="2" t="str">
        <f aca="false">Notes!$C$9</f>
        <v>Middle-aged (30–64)</v>
      </c>
      <c r="F164" s="2" t="str">
        <f aca="false">Notes!$D$9</f>
        <v>Elderly (65+)</v>
      </c>
      <c r="G164" s="2" t="s">
        <v>45</v>
      </c>
      <c r="H164" s="2" t="s">
        <v>83</v>
      </c>
      <c r="I164" s="2" t="s">
        <v>7686</v>
      </c>
      <c r="J164" s="2" t="s">
        <v>7687</v>
      </c>
    </row>
    <row r="165" customFormat="false" ht="15" hidden="false" customHeight="true" outlineLevel="0" collapsed="false">
      <c r="A165" s="9" t="s">
        <v>7688</v>
      </c>
      <c r="B165" s="9" t="n">
        <f aca="false">COUNTIF('Tagged Responses'!$X$2:$X$733,"?*")</f>
        <v>606</v>
      </c>
      <c r="C165" s="9" t="n">
        <f aca="false">COUNTIF('Tagged Responses'!$X$2:$X$733,"?*")</f>
        <v>606</v>
      </c>
      <c r="D165" s="9" t="n">
        <f aca="false">COUNTIFS('Tagged Responses'!$X$2:$X$733,"?*",'Tagged Responses'!$D$2:$D$733,Notes!$B$9)</f>
        <v>442</v>
      </c>
      <c r="E165" s="9" t="n">
        <f aca="false">COUNTIFS('Tagged Responses'!$X$2:$X$733,"?*",'Tagged Responses'!$D$2:$D$733,Notes!$C$9)</f>
        <v>146</v>
      </c>
      <c r="F165" s="9" t="n">
        <f aca="false">COUNTIFS('Tagged Responses'!$X$2:$X$733,"?*",'Tagged Responses'!$D$2:$D$733,Notes!$D$9)</f>
        <v>18</v>
      </c>
      <c r="G165" s="9" t="n">
        <f aca="false">COUNTIFS('Tagged Responses'!$X$2:$X$733,"?*",'Tagged Responses'!$E$2:$E$733,"Female")</f>
        <v>356</v>
      </c>
      <c r="H165" s="9" t="n">
        <f aca="false">COUNTIFS('Tagged Responses'!$X$2:$X$733,"?*",'Tagged Responses'!$E$2:$E$733,"Male")</f>
        <v>237</v>
      </c>
      <c r="I165" s="9" t="n">
        <f aca="false">COUNTIFS('Tagged Responses'!$X$2:$X$733,"?*",'Tagged Responses'!$G$2:$G$733,"United States")</f>
        <v>411</v>
      </c>
      <c r="J165" s="9" t="n">
        <f aca="false">COUNTIFS('Tagged Responses'!$X$2:$X$733,"?*",'Tagged Responses'!$G$2:$G$733,"China")</f>
        <v>156</v>
      </c>
    </row>
    <row r="166" customFormat="false" ht="15" hidden="false" customHeight="true" outlineLevel="0" collapsed="false">
      <c r="A166" s="10" t="s">
        <v>6545</v>
      </c>
      <c r="B166" s="10" t="n">
        <f aca="false">COUNTIF('Tagged Responses'!$Y$2:$Y$733,"*"&amp;$A166&amp;"*")</f>
        <v>237</v>
      </c>
      <c r="C166" s="11" t="n">
        <f aca="false">IFERROR(COUNTIF('Tagged Responses'!$Y$2:$Y$733,"*"&amp;$A166&amp;"*")/C$165,"")</f>
        <v>0.391089108910891</v>
      </c>
      <c r="D166" s="11" t="n">
        <f aca="false">IFERROR(COUNTIFS('Tagged Responses'!$Y$2:$Y$733,"*"&amp;$A166&amp;"*",'Tagged Responses'!$D$2:$D$733,Notes!$B$9)/D$165,"")</f>
        <v>0.395927601809955</v>
      </c>
      <c r="E166" s="11" t="n">
        <f aca="false">IFERROR(COUNTIFS('Tagged Responses'!$Y$2:$Y$733,"*"&amp;$A166&amp;"*",'Tagged Responses'!$D$2:$D$733,Notes!$C$9)/E$165,"")</f>
        <v>0.376712328767123</v>
      </c>
      <c r="F166" s="11" t="n">
        <f aca="false">IFERROR(COUNTIFS('Tagged Responses'!$Y$2:$Y$733,"*"&amp;$A166&amp;"*",'Tagged Responses'!$D$2:$D$733,Notes!$D$9)/F$165,"")</f>
        <v>0.388888888888889</v>
      </c>
      <c r="G166" s="11" t="n">
        <f aca="false">IFERROR(COUNTIFS('Tagged Responses'!$Y$2:$Y$733,"*"&amp;$A166&amp;"*",'Tagged Responses'!$E$2:$E$733,"Female")/G$165,"")</f>
        <v>0.426966292134831</v>
      </c>
      <c r="H166" s="11" t="n">
        <f aca="false">IFERROR(COUNTIFS('Tagged Responses'!$Y$2:$Y$733,"*"&amp;$A166&amp;"*",'Tagged Responses'!$E$2:$E$733,"Male")/H$165,"")</f>
        <v>0.329113924050633</v>
      </c>
      <c r="I166" s="11" t="n">
        <f aca="false">IFERROR(COUNTIFS('Tagged Responses'!$Y$2:$Y$733,"*"&amp;$A166&amp;"*",'Tagged Responses'!$G$2:$G$733,"United States")/I$165,"")</f>
        <v>0.386861313868613</v>
      </c>
      <c r="J166" s="11" t="n">
        <f aca="false">IFERROR(COUNTIFS('Tagged Responses'!$Y$2:$Y$733,"*"&amp;$A166&amp;"*",'Tagged Responses'!$G$2:$G$733,"China")/J$165,"")</f>
        <v>0.403846153846154</v>
      </c>
    </row>
    <row r="167" customFormat="false" ht="15" hidden="false" customHeight="true" outlineLevel="0" collapsed="false">
      <c r="A167" s="10" t="s">
        <v>6568</v>
      </c>
      <c r="B167" s="10" t="n">
        <f aca="false">COUNTIF('Tagged Responses'!$Y$2:$Y$733,"*"&amp;$A167&amp;"*")</f>
        <v>180</v>
      </c>
      <c r="C167" s="11" t="n">
        <f aca="false">IFERROR(COUNTIF('Tagged Responses'!$Y$2:$Y$733,"*"&amp;$A167&amp;"*")/C$165,"")</f>
        <v>0.297029702970297</v>
      </c>
      <c r="D167" s="11" t="n">
        <f aca="false">IFERROR(COUNTIFS('Tagged Responses'!$Y$2:$Y$733,"*"&amp;$A167&amp;"*",'Tagged Responses'!$D$2:$D$733,Notes!$B$9)/D$165,"")</f>
        <v>0.30316742081448</v>
      </c>
      <c r="E167" s="11" t="n">
        <f aca="false">IFERROR(COUNTIFS('Tagged Responses'!$Y$2:$Y$733,"*"&amp;$A167&amp;"*",'Tagged Responses'!$D$2:$D$733,Notes!$C$9)/E$165,"")</f>
        <v>0.280821917808219</v>
      </c>
      <c r="F167" s="11" t="n">
        <f aca="false">IFERROR(COUNTIFS('Tagged Responses'!$Y$2:$Y$733,"*"&amp;$A167&amp;"*",'Tagged Responses'!$D$2:$D$733,Notes!$D$9)/F$165,"")</f>
        <v>0.277777777777778</v>
      </c>
      <c r="G167" s="11" t="n">
        <f aca="false">IFERROR(COUNTIFS('Tagged Responses'!$Y$2:$Y$733,"*"&amp;$A167&amp;"*",'Tagged Responses'!$E$2:$E$733,"Female")/G$165,"")</f>
        <v>0.289325842696629</v>
      </c>
      <c r="H167" s="11" t="n">
        <f aca="false">IFERROR(COUNTIFS('Tagged Responses'!$Y$2:$Y$733,"*"&amp;$A167&amp;"*",'Tagged Responses'!$E$2:$E$733,"Male")/H$165,"")</f>
        <v>0.30379746835443</v>
      </c>
      <c r="I167" s="11" t="n">
        <f aca="false">IFERROR(COUNTIFS('Tagged Responses'!$Y$2:$Y$733,"*"&amp;$A167&amp;"*",'Tagged Responses'!$G$2:$G$733,"United States")/I$165,"")</f>
        <v>0.262773722627737</v>
      </c>
      <c r="J167" s="11" t="n">
        <f aca="false">IFERROR(COUNTIFS('Tagged Responses'!$Y$2:$Y$733,"*"&amp;$A167&amp;"*",'Tagged Responses'!$G$2:$G$733,"China")/J$165,"")</f>
        <v>0.346153846153846</v>
      </c>
    </row>
    <row r="168" customFormat="false" ht="15" hidden="false" customHeight="true" outlineLevel="0" collapsed="false">
      <c r="A168" s="10" t="s">
        <v>6646</v>
      </c>
      <c r="B168" s="10" t="n">
        <f aca="false">COUNTIF('Tagged Responses'!$Y$2:$Y$733,"*"&amp;$A168&amp;"*")</f>
        <v>135</v>
      </c>
      <c r="C168" s="11" t="n">
        <f aca="false">IFERROR(COUNTIF('Tagged Responses'!$Y$2:$Y$733,"*"&amp;$A168&amp;"*")/C$165,"")</f>
        <v>0.222772277227723</v>
      </c>
      <c r="D168" s="11" t="n">
        <f aca="false">IFERROR(COUNTIFS('Tagged Responses'!$Y$2:$Y$733,"*"&amp;$A168&amp;"*",'Tagged Responses'!$D$2:$D$733,Notes!$B$9)/D$165,"")</f>
        <v>0.221719457013575</v>
      </c>
      <c r="E168" s="11" t="n">
        <f aca="false">IFERROR(COUNTIFS('Tagged Responses'!$Y$2:$Y$733,"*"&amp;$A168&amp;"*",'Tagged Responses'!$D$2:$D$733,Notes!$C$9)/E$165,"")</f>
        <v>0.23972602739726</v>
      </c>
      <c r="F168" s="11" t="n">
        <f aca="false">IFERROR(COUNTIFS('Tagged Responses'!$Y$2:$Y$733,"*"&amp;$A168&amp;"*",'Tagged Responses'!$D$2:$D$733,Notes!$D$9)/F$165,"")</f>
        <v>0.111111111111111</v>
      </c>
      <c r="G168" s="11" t="n">
        <f aca="false">IFERROR(COUNTIFS('Tagged Responses'!$Y$2:$Y$733,"*"&amp;$A168&amp;"*",'Tagged Responses'!$E$2:$E$733,"Female")/G$165,"")</f>
        <v>0.24438202247191</v>
      </c>
      <c r="H168" s="11" t="n">
        <f aca="false">IFERROR(COUNTIFS('Tagged Responses'!$Y$2:$Y$733,"*"&amp;$A168&amp;"*",'Tagged Responses'!$E$2:$E$733,"Male")/H$165,"")</f>
        <v>0.181434599156118</v>
      </c>
      <c r="I168" s="11" t="n">
        <f aca="false">IFERROR(COUNTIFS('Tagged Responses'!$Y$2:$Y$733,"*"&amp;$A168&amp;"*",'Tagged Responses'!$G$2:$G$733,"United States")/I$165,"")</f>
        <v>0.209245742092457</v>
      </c>
      <c r="J168" s="11" t="n">
        <f aca="false">IFERROR(COUNTIFS('Tagged Responses'!$Y$2:$Y$733,"*"&amp;$A168&amp;"*",'Tagged Responses'!$G$2:$G$733,"China")/J$165,"")</f>
        <v>0.243589743589744</v>
      </c>
    </row>
    <row r="169" customFormat="false" ht="15" hidden="false" customHeight="true" outlineLevel="0" collapsed="false">
      <c r="A169" s="10" t="s">
        <v>6820</v>
      </c>
      <c r="B169" s="10" t="n">
        <f aca="false">COUNTIF('Tagged Responses'!$Y$2:$Y$733,"*"&amp;$A169&amp;"*")</f>
        <v>96</v>
      </c>
      <c r="C169" s="11" t="n">
        <f aca="false">IFERROR(COUNTIF('Tagged Responses'!$Y$2:$Y$733,"*"&amp;$A169&amp;"*")/C$165,"")</f>
        <v>0.158415841584158</v>
      </c>
      <c r="D169" s="11" t="n">
        <f aca="false">IFERROR(COUNTIFS('Tagged Responses'!$Y$2:$Y$733,"*"&amp;$A169&amp;"*",'Tagged Responses'!$D$2:$D$733,Notes!$B$9)/D$165,"")</f>
        <v>0.171945701357466</v>
      </c>
      <c r="E169" s="11" t="n">
        <f aca="false">IFERROR(COUNTIFS('Tagged Responses'!$Y$2:$Y$733,"*"&amp;$A169&amp;"*",'Tagged Responses'!$D$2:$D$733,Notes!$C$9)/E$165,"")</f>
        <v>0.136986301369863</v>
      </c>
      <c r="F169" s="11" t="n">
        <f aca="false">IFERROR(COUNTIFS('Tagged Responses'!$Y$2:$Y$733,"*"&amp;$A169&amp;"*",'Tagged Responses'!$D$2:$D$733,Notes!$D$9)/F$165,"")</f>
        <v>0</v>
      </c>
      <c r="G169" s="11" t="n">
        <f aca="false">IFERROR(COUNTIFS('Tagged Responses'!$Y$2:$Y$733,"*"&amp;$A169&amp;"*",'Tagged Responses'!$E$2:$E$733,"Female")/G$165,"")</f>
        <v>0.176966292134831</v>
      </c>
      <c r="H169" s="11" t="n">
        <f aca="false">IFERROR(COUNTIFS('Tagged Responses'!$Y$2:$Y$733,"*"&amp;$A169&amp;"*",'Tagged Responses'!$E$2:$E$733,"Male")/H$165,"")</f>
        <v>0.126582278481013</v>
      </c>
      <c r="I169" s="11" t="n">
        <f aca="false">IFERROR(COUNTIFS('Tagged Responses'!$Y$2:$Y$733,"*"&amp;$A169&amp;"*",'Tagged Responses'!$G$2:$G$733,"United States")/I$165,"")</f>
        <v>0.150851581508516</v>
      </c>
      <c r="J169" s="11" t="n">
        <f aca="false">IFERROR(COUNTIFS('Tagged Responses'!$Y$2:$Y$733,"*"&amp;$A169&amp;"*",'Tagged Responses'!$G$2:$G$733,"China")/J$165,"")</f>
        <v>0.17948717948718</v>
      </c>
    </row>
    <row r="170" customFormat="false" ht="15" hidden="false" customHeight="true" outlineLevel="0" collapsed="false">
      <c r="A170" s="10" t="s">
        <v>6540</v>
      </c>
      <c r="B170" s="10" t="n">
        <f aca="false">COUNTIF('Tagged Responses'!$Y$2:$Y$733,"*"&amp;$A170&amp;"*")</f>
        <v>85</v>
      </c>
      <c r="C170" s="11" t="n">
        <f aca="false">IFERROR(COUNTIF('Tagged Responses'!$Y$2:$Y$733,"*"&amp;$A170&amp;"*")/C$165,"")</f>
        <v>0.14026402640264</v>
      </c>
      <c r="D170" s="11" t="n">
        <f aca="false">IFERROR(COUNTIFS('Tagged Responses'!$Y$2:$Y$733,"*"&amp;$A170&amp;"*",'Tagged Responses'!$D$2:$D$733,Notes!$B$9)/D$165,"")</f>
        <v>0.138009049773756</v>
      </c>
      <c r="E170" s="11" t="n">
        <f aca="false">IFERROR(COUNTIFS('Tagged Responses'!$Y$2:$Y$733,"*"&amp;$A170&amp;"*",'Tagged Responses'!$D$2:$D$733,Notes!$C$9)/E$165,"")</f>
        <v>0.123287671232877</v>
      </c>
      <c r="F170" s="11" t="n">
        <f aca="false">IFERROR(COUNTIFS('Tagged Responses'!$Y$2:$Y$733,"*"&amp;$A170&amp;"*",'Tagged Responses'!$D$2:$D$733,Notes!$D$9)/F$165,"")</f>
        <v>0.333333333333333</v>
      </c>
      <c r="G170" s="11" t="n">
        <f aca="false">IFERROR(COUNTIFS('Tagged Responses'!$Y$2:$Y$733,"*"&amp;$A170&amp;"*",'Tagged Responses'!$E$2:$E$733,"Female")/G$165,"")</f>
        <v>0.140449438202247</v>
      </c>
      <c r="H170" s="11" t="n">
        <f aca="false">IFERROR(COUNTIFS('Tagged Responses'!$Y$2:$Y$733,"*"&amp;$A170&amp;"*",'Tagged Responses'!$E$2:$E$733,"Male")/H$165,"")</f>
        <v>0.135021097046414</v>
      </c>
      <c r="I170" s="11" t="n">
        <f aca="false">IFERROR(COUNTIFS('Tagged Responses'!$Y$2:$Y$733,"*"&amp;$A170&amp;"*",'Tagged Responses'!$G$2:$G$733,"United States")/I$165,"")</f>
        <v>0.109489051094891</v>
      </c>
      <c r="J170" s="11" t="n">
        <f aca="false">IFERROR(COUNTIFS('Tagged Responses'!$Y$2:$Y$733,"*"&amp;$A170&amp;"*",'Tagged Responses'!$G$2:$G$733,"China")/J$165,"")</f>
        <v>0.224358974358974</v>
      </c>
    </row>
    <row r="171" customFormat="false" ht="15" hidden="false" customHeight="true" outlineLevel="0" collapsed="false">
      <c r="A171" s="10" t="s">
        <v>6510</v>
      </c>
      <c r="B171" s="10" t="n">
        <f aca="false">COUNTIF('Tagged Responses'!$Y$2:$Y$733,"*"&amp;$A171&amp;"*")</f>
        <v>57</v>
      </c>
      <c r="C171" s="11" t="n">
        <f aca="false">IFERROR(COUNTIF('Tagged Responses'!$Y$2:$Y$733,"*"&amp;$A171&amp;"*")/C$165,"")</f>
        <v>0.0940594059405941</v>
      </c>
      <c r="D171" s="11" t="n">
        <f aca="false">IFERROR(COUNTIFS('Tagged Responses'!$Y$2:$Y$733,"*"&amp;$A171&amp;"*",'Tagged Responses'!$D$2:$D$733,Notes!$B$9)/D$165,"")</f>
        <v>0.0950226244343891</v>
      </c>
      <c r="E171" s="11" t="n">
        <f aca="false">IFERROR(COUNTIFS('Tagged Responses'!$Y$2:$Y$733,"*"&amp;$A171&amp;"*",'Tagged Responses'!$D$2:$D$733,Notes!$C$9)/E$165,"")</f>
        <v>0.102739726027397</v>
      </c>
      <c r="F171" s="11" t="n">
        <f aca="false">IFERROR(COUNTIFS('Tagged Responses'!$Y$2:$Y$733,"*"&amp;$A171&amp;"*",'Tagged Responses'!$D$2:$D$733,Notes!$D$9)/F$165,"")</f>
        <v>0</v>
      </c>
      <c r="G171" s="11" t="n">
        <f aca="false">IFERROR(COUNTIFS('Tagged Responses'!$Y$2:$Y$733,"*"&amp;$A171&amp;"*",'Tagged Responses'!$E$2:$E$733,"Female")/G$165,"")</f>
        <v>0.0842696629213483</v>
      </c>
      <c r="H171" s="11" t="n">
        <f aca="false">IFERROR(COUNTIFS('Tagged Responses'!$Y$2:$Y$733,"*"&amp;$A171&amp;"*",'Tagged Responses'!$E$2:$E$733,"Male")/H$165,"")</f>
        <v>0.0928270042194093</v>
      </c>
      <c r="I171" s="11" t="n">
        <f aca="false">IFERROR(COUNTIFS('Tagged Responses'!$Y$2:$Y$733,"*"&amp;$A171&amp;"*",'Tagged Responses'!$G$2:$G$733,"United States")/I$165,"")</f>
        <v>0.111922141119221</v>
      </c>
      <c r="J171" s="11" t="n">
        <f aca="false">IFERROR(COUNTIFS('Tagged Responses'!$Y$2:$Y$733,"*"&amp;$A171&amp;"*",'Tagged Responses'!$G$2:$G$733,"China")/J$165,"")</f>
        <v>0.0576923076923077</v>
      </c>
    </row>
    <row r="172" customFormat="false" ht="15" hidden="false" customHeight="true" outlineLevel="0" collapsed="false">
      <c r="A172" s="10" t="s">
        <v>6611</v>
      </c>
      <c r="B172" s="10" t="n">
        <f aca="false">COUNTIF('Tagged Responses'!$Y$2:$Y$733,"*"&amp;$A172&amp;"*")</f>
        <v>52</v>
      </c>
      <c r="C172" s="11" t="n">
        <f aca="false">IFERROR(COUNTIF('Tagged Responses'!$Y$2:$Y$733,"*"&amp;$A172&amp;"*")/C$165,"")</f>
        <v>0.0858085808580858</v>
      </c>
      <c r="D172" s="11" t="n">
        <f aca="false">IFERROR(COUNTIFS('Tagged Responses'!$Y$2:$Y$733,"*"&amp;$A172&amp;"*",'Tagged Responses'!$D$2:$D$733,Notes!$B$9)/D$165,"")</f>
        <v>0.0882352941176471</v>
      </c>
      <c r="E172" s="11" t="n">
        <f aca="false">IFERROR(COUNTIFS('Tagged Responses'!$Y$2:$Y$733,"*"&amp;$A172&amp;"*",'Tagged Responses'!$D$2:$D$733,Notes!$C$9)/E$165,"")</f>
        <v>0.0684931506849315</v>
      </c>
      <c r="F172" s="11" t="n">
        <f aca="false">IFERROR(COUNTIFS('Tagged Responses'!$Y$2:$Y$733,"*"&amp;$A172&amp;"*",'Tagged Responses'!$D$2:$D$733,Notes!$D$9)/F$165,"")</f>
        <v>0.166666666666667</v>
      </c>
      <c r="G172" s="11" t="n">
        <f aca="false">IFERROR(COUNTIFS('Tagged Responses'!$Y$2:$Y$733,"*"&amp;$A172&amp;"*",'Tagged Responses'!$E$2:$E$733,"Female")/G$165,"")</f>
        <v>0.0786516853932584</v>
      </c>
      <c r="H172" s="11" t="n">
        <f aca="false">IFERROR(COUNTIFS('Tagged Responses'!$Y$2:$Y$733,"*"&amp;$A172&amp;"*",'Tagged Responses'!$E$2:$E$733,"Male")/H$165,"")</f>
        <v>0.0970464135021097</v>
      </c>
      <c r="I172" s="11" t="n">
        <f aca="false">IFERROR(COUNTIFS('Tagged Responses'!$Y$2:$Y$733,"*"&amp;$A172&amp;"*",'Tagged Responses'!$G$2:$G$733,"United States")/I$165,"")</f>
        <v>0.104622871046229</v>
      </c>
      <c r="J172" s="11" t="n">
        <f aca="false">IFERROR(COUNTIFS('Tagged Responses'!$Y$2:$Y$733,"*"&amp;$A172&amp;"*",'Tagged Responses'!$G$2:$G$733,"China")/J$165,"")</f>
        <v>0.0384615384615385</v>
      </c>
    </row>
    <row r="173" customFormat="false" ht="15" hidden="false" customHeight="true" outlineLevel="0" collapsed="false">
      <c r="A173" s="10" t="s">
        <v>6828</v>
      </c>
      <c r="B173" s="10" t="n">
        <f aca="false">COUNTIF('Tagged Responses'!$Y$2:$Y$733,"*"&amp;$A173&amp;"*")</f>
        <v>48</v>
      </c>
      <c r="C173" s="11" t="n">
        <f aca="false">IFERROR(COUNTIF('Tagged Responses'!$Y$2:$Y$733,"*"&amp;$A173&amp;"*")/C$165,"")</f>
        <v>0.0792079207920792</v>
      </c>
      <c r="D173" s="11" t="n">
        <f aca="false">IFERROR(COUNTIFS('Tagged Responses'!$Y$2:$Y$733,"*"&amp;$A173&amp;"*",'Tagged Responses'!$D$2:$D$733,Notes!$B$9)/D$165,"")</f>
        <v>0.0723981900452489</v>
      </c>
      <c r="E173" s="11" t="n">
        <f aca="false">IFERROR(COUNTIFS('Tagged Responses'!$Y$2:$Y$733,"*"&amp;$A173&amp;"*",'Tagged Responses'!$D$2:$D$733,Notes!$C$9)/E$165,"")</f>
        <v>0.0958904109589041</v>
      </c>
      <c r="F173" s="11" t="n">
        <f aca="false">IFERROR(COUNTIFS('Tagged Responses'!$Y$2:$Y$733,"*"&amp;$A173&amp;"*",'Tagged Responses'!$D$2:$D$733,Notes!$D$9)/F$165,"")</f>
        <v>0.111111111111111</v>
      </c>
      <c r="G173" s="11" t="n">
        <f aca="false">IFERROR(COUNTIFS('Tagged Responses'!$Y$2:$Y$733,"*"&amp;$A173&amp;"*",'Tagged Responses'!$E$2:$E$733,"Female")/G$165,"")</f>
        <v>0.0898876404494382</v>
      </c>
      <c r="H173" s="11" t="n">
        <f aca="false">IFERROR(COUNTIFS('Tagged Responses'!$Y$2:$Y$733,"*"&amp;$A173&amp;"*",'Tagged Responses'!$E$2:$E$733,"Male")/H$165,"")</f>
        <v>0.0632911392405063</v>
      </c>
      <c r="I173" s="11" t="n">
        <f aca="false">IFERROR(COUNTIFS('Tagged Responses'!$Y$2:$Y$733,"*"&amp;$A173&amp;"*",'Tagged Responses'!$G$2:$G$733,"United States")/I$165,"")</f>
        <v>0.0656934306569343</v>
      </c>
      <c r="J173" s="11" t="n">
        <f aca="false">IFERROR(COUNTIFS('Tagged Responses'!$Y$2:$Y$733,"*"&amp;$A173&amp;"*",'Tagged Responses'!$G$2:$G$733,"China")/J$165,"")</f>
        <v>0.108974358974359</v>
      </c>
    </row>
    <row r="174" customFormat="false" ht="15" hidden="false" customHeight="true" outlineLevel="0" collapsed="false">
      <c r="A174" s="10" t="s">
        <v>6564</v>
      </c>
      <c r="B174" s="10" t="n">
        <f aca="false">COUNTIF('Tagged Responses'!$Y$2:$Y$733,"*"&amp;$A174&amp;"*")</f>
        <v>43</v>
      </c>
      <c r="C174" s="11" t="n">
        <f aca="false">IFERROR(COUNTIF('Tagged Responses'!$Y$2:$Y$733,"*"&amp;$A174&amp;"*")/C$165,"")</f>
        <v>0.070957095709571</v>
      </c>
      <c r="D174" s="11" t="n">
        <f aca="false">IFERROR(COUNTIFS('Tagged Responses'!$Y$2:$Y$733,"*"&amp;$A174&amp;"*",'Tagged Responses'!$D$2:$D$733,Notes!$B$9)/D$165,"")</f>
        <v>0.0723981900452489</v>
      </c>
      <c r="E174" s="11" t="n">
        <f aca="false">IFERROR(COUNTIFS('Tagged Responses'!$Y$2:$Y$733,"*"&amp;$A174&amp;"*",'Tagged Responses'!$D$2:$D$733,Notes!$C$9)/E$165,"")</f>
        <v>0.0684931506849315</v>
      </c>
      <c r="F174" s="11" t="n">
        <f aca="false">IFERROR(COUNTIFS('Tagged Responses'!$Y$2:$Y$733,"*"&amp;$A174&amp;"*",'Tagged Responses'!$D$2:$D$733,Notes!$D$9)/F$165,"")</f>
        <v>0.0555555555555556</v>
      </c>
      <c r="G174" s="11" t="n">
        <f aca="false">IFERROR(COUNTIFS('Tagged Responses'!$Y$2:$Y$733,"*"&amp;$A174&amp;"*",'Tagged Responses'!$E$2:$E$733,"Female")/G$165,"")</f>
        <v>0.0702247191011236</v>
      </c>
      <c r="H174" s="11" t="n">
        <f aca="false">IFERROR(COUNTIFS('Tagged Responses'!$Y$2:$Y$733,"*"&amp;$A174&amp;"*",'Tagged Responses'!$E$2:$E$733,"Male")/H$165,"")</f>
        <v>0.0759493670886076</v>
      </c>
      <c r="I174" s="11" t="n">
        <f aca="false">IFERROR(COUNTIFS('Tagged Responses'!$Y$2:$Y$733,"*"&amp;$A174&amp;"*",'Tagged Responses'!$G$2:$G$733,"United States")/I$165,"")</f>
        <v>0.0754257907542579</v>
      </c>
      <c r="J174" s="11" t="n">
        <f aca="false">IFERROR(COUNTIFS('Tagged Responses'!$Y$2:$Y$733,"*"&amp;$A174&amp;"*",'Tagged Responses'!$G$2:$G$733,"China")/J$165,"")</f>
        <v>0.0576923076923077</v>
      </c>
    </row>
    <row r="175" customFormat="false" ht="15" hidden="false" customHeight="true" outlineLevel="0" collapsed="false">
      <c r="A175" s="10" t="s">
        <v>6918</v>
      </c>
      <c r="B175" s="10" t="n">
        <f aca="false">COUNTIF('Tagged Responses'!$Y$2:$Y$733,"*"&amp;$A175&amp;"*")</f>
        <v>37</v>
      </c>
      <c r="C175" s="11" t="n">
        <f aca="false">IFERROR(COUNTIF('Tagged Responses'!$Y$2:$Y$733,"*"&amp;$A175&amp;"*")/C$165,"")</f>
        <v>0.0610561056105611</v>
      </c>
      <c r="D175" s="11" t="n">
        <f aca="false">IFERROR(COUNTIFS('Tagged Responses'!$Y$2:$Y$733,"*"&amp;$A175&amp;"*",'Tagged Responses'!$D$2:$D$733,Notes!$B$9)/D$165,"")</f>
        <v>0.0678733031674208</v>
      </c>
      <c r="E175" s="11" t="n">
        <f aca="false">IFERROR(COUNTIFS('Tagged Responses'!$Y$2:$Y$733,"*"&amp;$A175&amp;"*",'Tagged Responses'!$D$2:$D$733,Notes!$C$9)/E$165,"")</f>
        <v>0.0410958904109589</v>
      </c>
      <c r="F175" s="11" t="n">
        <f aca="false">IFERROR(COUNTIFS('Tagged Responses'!$Y$2:$Y$733,"*"&amp;$A175&amp;"*",'Tagged Responses'!$D$2:$D$733,Notes!$D$9)/F$165,"")</f>
        <v>0.0555555555555556</v>
      </c>
      <c r="G175" s="11" t="n">
        <f aca="false">IFERROR(COUNTIFS('Tagged Responses'!$Y$2:$Y$733,"*"&amp;$A175&amp;"*",'Tagged Responses'!$E$2:$E$733,"Female")/G$165,"")</f>
        <v>0.0589887640449438</v>
      </c>
      <c r="H175" s="11" t="n">
        <f aca="false">IFERROR(COUNTIFS('Tagged Responses'!$Y$2:$Y$733,"*"&amp;$A175&amp;"*",'Tagged Responses'!$E$2:$E$733,"Male")/H$165,"")</f>
        <v>0.0590717299578059</v>
      </c>
      <c r="I175" s="11" t="n">
        <f aca="false">IFERROR(COUNTIFS('Tagged Responses'!$Y$2:$Y$733,"*"&amp;$A175&amp;"*",'Tagged Responses'!$G$2:$G$733,"United States")/I$165,"")</f>
        <v>0.0583941605839416</v>
      </c>
      <c r="J175" s="11" t="n">
        <f aca="false">IFERROR(COUNTIFS('Tagged Responses'!$Y$2:$Y$733,"*"&amp;$A175&amp;"*",'Tagged Responses'!$G$2:$G$733,"China")/J$165,"")</f>
        <v>0.0576923076923077</v>
      </c>
    </row>
    <row r="176" customFormat="false" ht="15" hidden="false" customHeight="true" outlineLevel="0" collapsed="false">
      <c r="A176" s="10" t="s">
        <v>6900</v>
      </c>
      <c r="B176" s="10" t="n">
        <f aca="false">COUNTIF('Tagged Responses'!$Y$2:$Y$733,"*"&amp;$A176&amp;"*")</f>
        <v>28</v>
      </c>
      <c r="C176" s="11" t="n">
        <f aca="false">IFERROR(COUNTIF('Tagged Responses'!$Y$2:$Y$733,"*"&amp;$A176&amp;"*")/C$165,"")</f>
        <v>0.0462046204620462</v>
      </c>
      <c r="D176" s="11" t="n">
        <f aca="false">IFERROR(COUNTIFS('Tagged Responses'!$Y$2:$Y$733,"*"&amp;$A176&amp;"*",'Tagged Responses'!$D$2:$D$733,Notes!$B$9)/D$165,"")</f>
        <v>0.0475113122171946</v>
      </c>
      <c r="E176" s="11" t="n">
        <f aca="false">IFERROR(COUNTIFS('Tagged Responses'!$Y$2:$Y$733,"*"&amp;$A176&amp;"*",'Tagged Responses'!$D$2:$D$733,Notes!$C$9)/E$165,"")</f>
        <v>0.0479452054794521</v>
      </c>
      <c r="F176" s="11" t="n">
        <f aca="false">IFERROR(COUNTIFS('Tagged Responses'!$Y$2:$Y$733,"*"&amp;$A176&amp;"*",'Tagged Responses'!$D$2:$D$733,Notes!$D$9)/F$165,"")</f>
        <v>0</v>
      </c>
      <c r="G176" s="11" t="n">
        <f aca="false">IFERROR(COUNTIFS('Tagged Responses'!$Y$2:$Y$733,"*"&amp;$A176&amp;"*",'Tagged Responses'!$E$2:$E$733,"Female")/G$165,"")</f>
        <v>0.0561797752808989</v>
      </c>
      <c r="H176" s="11" t="n">
        <f aca="false">IFERROR(COUNTIFS('Tagged Responses'!$Y$2:$Y$733,"*"&amp;$A176&amp;"*",'Tagged Responses'!$E$2:$E$733,"Male")/H$165,"")</f>
        <v>0.029535864978903</v>
      </c>
      <c r="I176" s="11" t="n">
        <f aca="false">IFERROR(COUNTIFS('Tagged Responses'!$Y$2:$Y$733,"*"&amp;$A176&amp;"*",'Tagged Responses'!$G$2:$G$733,"United States")/I$165,"")</f>
        <v>0.0291970802919708</v>
      </c>
      <c r="J176" s="11" t="n">
        <f aca="false">IFERROR(COUNTIFS('Tagged Responses'!$Y$2:$Y$733,"*"&amp;$A176&amp;"*",'Tagged Responses'!$G$2:$G$733,"China")/J$165,"")</f>
        <v>0.0833333333333333</v>
      </c>
    </row>
    <row r="177" customFormat="false" ht="15" hidden="false" customHeight="true" outlineLevel="0" collapsed="false">
      <c r="A177" s="10" t="s">
        <v>6765</v>
      </c>
      <c r="B177" s="10" t="n">
        <f aca="false">COUNTIF('Tagged Responses'!$Y$2:$Y$733,"*"&amp;$A177&amp;"*")</f>
        <v>23</v>
      </c>
      <c r="C177" s="11" t="n">
        <f aca="false">IFERROR(COUNTIF('Tagged Responses'!$Y$2:$Y$733,"*"&amp;$A177&amp;"*")/C$165,"")</f>
        <v>0.037953795379538</v>
      </c>
      <c r="D177" s="11" t="n">
        <f aca="false">IFERROR(COUNTIFS('Tagged Responses'!$Y$2:$Y$733,"*"&amp;$A177&amp;"*",'Tagged Responses'!$D$2:$D$733,Notes!$B$9)/D$165,"")</f>
        <v>0.0294117647058824</v>
      </c>
      <c r="E177" s="11" t="n">
        <f aca="false">IFERROR(COUNTIFS('Tagged Responses'!$Y$2:$Y$733,"*"&amp;$A177&amp;"*",'Tagged Responses'!$D$2:$D$733,Notes!$C$9)/E$165,"")</f>
        <v>0.0616438356164384</v>
      </c>
      <c r="F177" s="11" t="n">
        <f aca="false">IFERROR(COUNTIFS('Tagged Responses'!$Y$2:$Y$733,"*"&amp;$A177&amp;"*",'Tagged Responses'!$D$2:$D$733,Notes!$D$9)/F$165,"")</f>
        <v>0.0555555555555556</v>
      </c>
      <c r="G177" s="11" t="n">
        <f aca="false">IFERROR(COUNTIFS('Tagged Responses'!$Y$2:$Y$733,"*"&amp;$A177&amp;"*",'Tagged Responses'!$E$2:$E$733,"Female")/G$165,"")</f>
        <v>0.047752808988764</v>
      </c>
      <c r="H177" s="11" t="n">
        <f aca="false">IFERROR(COUNTIFS('Tagged Responses'!$Y$2:$Y$733,"*"&amp;$A177&amp;"*",'Tagged Responses'!$E$2:$E$733,"Male")/H$165,"")</f>
        <v>0.0253164556962025</v>
      </c>
      <c r="I177" s="11" t="n">
        <f aca="false">IFERROR(COUNTIFS('Tagged Responses'!$Y$2:$Y$733,"*"&amp;$A177&amp;"*",'Tagged Responses'!$G$2:$G$733,"United States")/I$165,"")</f>
        <v>0.0462287104622871</v>
      </c>
      <c r="J177" s="11" t="n">
        <f aca="false">IFERROR(COUNTIFS('Tagged Responses'!$Y$2:$Y$733,"*"&amp;$A177&amp;"*",'Tagged Responses'!$G$2:$G$733,"China")/J$165,"")</f>
        <v>0.0192307692307692</v>
      </c>
    </row>
    <row r="178" customFormat="false" ht="15" hidden="false" customHeight="true" outlineLevel="0" collapsed="false">
      <c r="A178" s="10" t="s">
        <v>6569</v>
      </c>
      <c r="B178" s="10" t="n">
        <f aca="false">COUNTIF('Tagged Responses'!$Y$2:$Y$733,"*"&amp;$A178&amp;"*")</f>
        <v>20</v>
      </c>
      <c r="C178" s="11" t="n">
        <f aca="false">IFERROR(COUNTIF('Tagged Responses'!$Y$2:$Y$733,"*"&amp;$A178&amp;"*")/C$165,"")</f>
        <v>0.033003300330033</v>
      </c>
      <c r="D178" s="11" t="n">
        <f aca="false">IFERROR(COUNTIFS('Tagged Responses'!$Y$2:$Y$733,"*"&amp;$A178&amp;"*",'Tagged Responses'!$D$2:$D$733,Notes!$B$9)/D$165,"")</f>
        <v>0.0407239819004525</v>
      </c>
      <c r="E178" s="11" t="n">
        <f aca="false">IFERROR(COUNTIFS('Tagged Responses'!$Y$2:$Y$733,"*"&amp;$A178&amp;"*",'Tagged Responses'!$D$2:$D$733,Notes!$C$9)/E$165,"")</f>
        <v>0.0136986301369863</v>
      </c>
      <c r="F178" s="11" t="n">
        <f aca="false">IFERROR(COUNTIFS('Tagged Responses'!$Y$2:$Y$733,"*"&amp;$A178&amp;"*",'Tagged Responses'!$D$2:$D$733,Notes!$D$9)/F$165,"")</f>
        <v>0</v>
      </c>
      <c r="G178" s="11" t="n">
        <f aca="false">IFERROR(COUNTIFS('Tagged Responses'!$Y$2:$Y$733,"*"&amp;$A178&amp;"*",'Tagged Responses'!$E$2:$E$733,"Female")/G$165,"")</f>
        <v>0.0337078651685393</v>
      </c>
      <c r="H178" s="11" t="n">
        <f aca="false">IFERROR(COUNTIFS('Tagged Responses'!$Y$2:$Y$733,"*"&amp;$A178&amp;"*",'Tagged Responses'!$E$2:$E$733,"Male")/H$165,"")</f>
        <v>0.029535864978903</v>
      </c>
      <c r="I178" s="11" t="n">
        <f aca="false">IFERROR(COUNTIFS('Tagged Responses'!$Y$2:$Y$733,"*"&amp;$A178&amp;"*",'Tagged Responses'!$G$2:$G$733,"United States")/I$165,"")</f>
        <v>0.0413625304136253</v>
      </c>
      <c r="J178" s="11" t="n">
        <f aca="false">IFERROR(COUNTIFS('Tagged Responses'!$Y$2:$Y$733,"*"&amp;$A178&amp;"*",'Tagged Responses'!$G$2:$G$733,"China")/J$165,"")</f>
        <v>0.0128205128205128</v>
      </c>
    </row>
    <row r="179" customFormat="false" ht="15" hidden="false" customHeight="true" outlineLevel="0" collapsed="false">
      <c r="A179" s="10" t="s">
        <v>6516</v>
      </c>
      <c r="B179" s="10" t="n">
        <f aca="false">COUNTIF('Tagged Responses'!$Y$2:$Y$733,"*"&amp;$A179&amp;"*")</f>
        <v>10</v>
      </c>
      <c r="C179" s="11" t="n">
        <f aca="false">IFERROR(COUNTIF('Tagged Responses'!$Y$2:$Y$733,"*"&amp;$A179&amp;"*")/C$165,"")</f>
        <v>0.0165016501650165</v>
      </c>
      <c r="D179" s="11" t="n">
        <f aca="false">IFERROR(COUNTIFS('Tagged Responses'!$Y$2:$Y$733,"*"&amp;$A179&amp;"*",'Tagged Responses'!$D$2:$D$733,Notes!$B$9)/D$165,"")</f>
        <v>0.0135746606334842</v>
      </c>
      <c r="E179" s="11" t="n">
        <f aca="false">IFERROR(COUNTIFS('Tagged Responses'!$Y$2:$Y$733,"*"&amp;$A179&amp;"*",'Tagged Responses'!$D$2:$D$733,Notes!$C$9)/E$165,"")</f>
        <v>0.0273972602739726</v>
      </c>
      <c r="F179" s="11" t="n">
        <f aca="false">IFERROR(COUNTIFS('Tagged Responses'!$Y$2:$Y$733,"*"&amp;$A179&amp;"*",'Tagged Responses'!$D$2:$D$733,Notes!$D$9)/F$165,"")</f>
        <v>0</v>
      </c>
      <c r="G179" s="11" t="n">
        <f aca="false">IFERROR(COUNTIFS('Tagged Responses'!$Y$2:$Y$733,"*"&amp;$A179&amp;"*",'Tagged Responses'!$E$2:$E$733,"Female")/G$165,"")</f>
        <v>0.0168539325842697</v>
      </c>
      <c r="H179" s="11" t="n">
        <f aca="false">IFERROR(COUNTIFS('Tagged Responses'!$Y$2:$Y$733,"*"&amp;$A179&amp;"*",'Tagged Responses'!$E$2:$E$733,"Male")/H$165,"")</f>
        <v>0.0126582278481013</v>
      </c>
      <c r="I179" s="11" t="n">
        <f aca="false">IFERROR(COUNTIFS('Tagged Responses'!$Y$2:$Y$733,"*"&amp;$A179&amp;"*",'Tagged Responses'!$G$2:$G$733,"United States")/I$165,"")</f>
        <v>0.0194647201946472</v>
      </c>
      <c r="J179" s="11" t="n">
        <f aca="false">IFERROR(COUNTIFS('Tagged Responses'!$Y$2:$Y$733,"*"&amp;$A179&amp;"*",'Tagged Responses'!$G$2:$G$733,"China")/J$165,"")</f>
        <v>0.0128205128205128</v>
      </c>
    </row>
    <row r="180" customFormat="false" ht="15" hidden="false" customHeight="true" outlineLevel="0" collapsed="false">
      <c r="A180" s="10" t="s">
        <v>2035</v>
      </c>
      <c r="B180" s="10" t="n">
        <f aca="false">COUNTIF('Tagged Responses'!$Y$2:$Y$733,"*"&amp;$A180&amp;"*")</f>
        <v>8</v>
      </c>
      <c r="C180" s="11" t="n">
        <f aca="false">IFERROR(COUNTIF('Tagged Responses'!$Y$2:$Y$733,"*"&amp;$A180&amp;"*")/C$165,"")</f>
        <v>0.0132013201320132</v>
      </c>
      <c r="D180" s="11" t="n">
        <f aca="false">IFERROR(COUNTIFS('Tagged Responses'!$Y$2:$Y$733,"*"&amp;$A180&amp;"*",'Tagged Responses'!$D$2:$D$733,Notes!$B$9)/D$165,"")</f>
        <v>0.00904977375565611</v>
      </c>
      <c r="E180" s="11" t="n">
        <f aca="false">IFERROR(COUNTIFS('Tagged Responses'!$Y$2:$Y$733,"*"&amp;$A180&amp;"*",'Tagged Responses'!$D$2:$D$733,Notes!$C$9)/E$165,"")</f>
        <v>0.0136986301369863</v>
      </c>
      <c r="F180" s="11" t="n">
        <f aca="false">IFERROR(COUNTIFS('Tagged Responses'!$Y$2:$Y$733,"*"&amp;$A180&amp;"*",'Tagged Responses'!$D$2:$D$733,Notes!$D$9)/F$165,"")</f>
        <v>0.111111111111111</v>
      </c>
      <c r="G180" s="11" t="n">
        <f aca="false">IFERROR(COUNTIFS('Tagged Responses'!$Y$2:$Y$733,"*"&amp;$A180&amp;"*",'Tagged Responses'!$E$2:$E$733,"Female")/G$165,"")</f>
        <v>0.0140449438202247</v>
      </c>
      <c r="H180" s="11" t="n">
        <f aca="false">IFERROR(COUNTIFS('Tagged Responses'!$Y$2:$Y$733,"*"&amp;$A180&amp;"*",'Tagged Responses'!$E$2:$E$733,"Male")/H$165,"")</f>
        <v>0.00843881856540084</v>
      </c>
      <c r="I180" s="11" t="n">
        <f aca="false">IFERROR(COUNTIFS('Tagged Responses'!$Y$2:$Y$733,"*"&amp;$A180&amp;"*",'Tagged Responses'!$G$2:$G$733,"United States")/I$165,"")</f>
        <v>0.0170316301703163</v>
      </c>
      <c r="J180" s="11" t="n">
        <f aca="false">IFERROR(COUNTIFS('Tagged Responses'!$Y$2:$Y$733,"*"&amp;$A180&amp;"*",'Tagged Responses'!$G$2:$G$733,"China")/J$165,"")</f>
        <v>0.00641025641025641</v>
      </c>
    </row>
    <row r="181" customFormat="false" ht="15" hidden="false" customHeight="true" outlineLevel="0" collapsed="false">
      <c r="A181" s="10" t="s">
        <v>6520</v>
      </c>
      <c r="B181" s="10" t="n">
        <f aca="false">COUNTIF('Tagged Responses'!$Y$2:$Y$733,"*"&amp;$A181&amp;"*")</f>
        <v>3</v>
      </c>
      <c r="C181" s="11" t="n">
        <f aca="false">IFERROR(COUNTIF('Tagged Responses'!$Y$2:$Y$733,"*"&amp;$A181&amp;"*")/C$165,"")</f>
        <v>0.00495049504950495</v>
      </c>
      <c r="D181" s="11" t="n">
        <f aca="false">IFERROR(COUNTIFS('Tagged Responses'!$Y$2:$Y$733,"*"&amp;$A181&amp;"*",'Tagged Responses'!$D$2:$D$733,Notes!$B$9)/D$165,"")</f>
        <v>0.00678733031674208</v>
      </c>
      <c r="E181" s="11" t="n">
        <f aca="false">IFERROR(COUNTIFS('Tagged Responses'!$Y$2:$Y$733,"*"&amp;$A181&amp;"*",'Tagged Responses'!$D$2:$D$733,Notes!$C$9)/E$165,"")</f>
        <v>0</v>
      </c>
      <c r="F181" s="11" t="n">
        <f aca="false">IFERROR(COUNTIFS('Tagged Responses'!$Y$2:$Y$733,"*"&amp;$A181&amp;"*",'Tagged Responses'!$D$2:$D$733,Notes!$D$9)/F$165,"")</f>
        <v>0</v>
      </c>
      <c r="G181" s="11" t="n">
        <f aca="false">IFERROR(COUNTIFS('Tagged Responses'!$Y$2:$Y$733,"*"&amp;$A181&amp;"*",'Tagged Responses'!$E$2:$E$733,"Female")/G$165,"")</f>
        <v>0.00842696629213483</v>
      </c>
      <c r="H181" s="11" t="n">
        <f aca="false">IFERROR(COUNTIFS('Tagged Responses'!$Y$2:$Y$733,"*"&amp;$A181&amp;"*",'Tagged Responses'!$E$2:$E$733,"Male")/H$165,"")</f>
        <v>0</v>
      </c>
      <c r="I181" s="11" t="n">
        <f aca="false">IFERROR(COUNTIFS('Tagged Responses'!$Y$2:$Y$733,"*"&amp;$A181&amp;"*",'Tagged Responses'!$G$2:$G$733,"United States")/I$165,"")</f>
        <v>0.0072992700729927</v>
      </c>
      <c r="J181" s="11" t="n">
        <f aca="false">IFERROR(COUNTIFS('Tagged Responses'!$Y$2:$Y$733,"*"&amp;$A181&amp;"*",'Tagged Responses'!$G$2:$G$733,"China")/J$165,"")</f>
        <v>0</v>
      </c>
    </row>
    <row r="182" customFormat="false" ht="15" hidden="false" customHeight="true" outlineLevel="0" collapsed="false">
      <c r="A182" s="10" t="s">
        <v>6864</v>
      </c>
      <c r="B182" s="10" t="n">
        <f aca="false">COUNTIF('Tagged Responses'!$Y$2:$Y$733,"*"&amp;$A182&amp;"*")</f>
        <v>2</v>
      </c>
      <c r="C182" s="11" t="n">
        <f aca="false">IFERROR(COUNTIF('Tagged Responses'!$Y$2:$Y$733,"*"&amp;$A182&amp;"*")/C$165,"")</f>
        <v>0.0033003300330033</v>
      </c>
      <c r="D182" s="11" t="n">
        <f aca="false">IFERROR(COUNTIFS('Tagged Responses'!$Y$2:$Y$733,"*"&amp;$A182&amp;"*",'Tagged Responses'!$D$2:$D$733,Notes!$B$9)/D$165,"")</f>
        <v>0.00226244343891403</v>
      </c>
      <c r="E182" s="11" t="n">
        <f aca="false">IFERROR(COUNTIFS('Tagged Responses'!$Y$2:$Y$733,"*"&amp;$A182&amp;"*",'Tagged Responses'!$D$2:$D$733,Notes!$C$9)/E$165,"")</f>
        <v>0.00684931506849315</v>
      </c>
      <c r="F182" s="11" t="n">
        <f aca="false">IFERROR(COUNTIFS('Tagged Responses'!$Y$2:$Y$733,"*"&amp;$A182&amp;"*",'Tagged Responses'!$D$2:$D$733,Notes!$D$9)/F$165,"")</f>
        <v>0</v>
      </c>
      <c r="G182" s="11" t="n">
        <f aca="false">IFERROR(COUNTIFS('Tagged Responses'!$Y$2:$Y$733,"*"&amp;$A182&amp;"*",'Tagged Responses'!$E$2:$E$733,"Female")/G$165,"")</f>
        <v>0.00280898876404494</v>
      </c>
      <c r="H182" s="11" t="n">
        <f aca="false">IFERROR(COUNTIFS('Tagged Responses'!$Y$2:$Y$733,"*"&amp;$A182&amp;"*",'Tagged Responses'!$E$2:$E$733,"Male")/H$165,"")</f>
        <v>0.00421940928270042</v>
      </c>
      <c r="I182" s="11" t="n">
        <f aca="false">IFERROR(COUNTIFS('Tagged Responses'!$Y$2:$Y$733,"*"&amp;$A182&amp;"*",'Tagged Responses'!$G$2:$G$733,"United States")/I$165,"")</f>
        <v>0.0048661800486618</v>
      </c>
      <c r="J182" s="11" t="n">
        <f aca="false">IFERROR(COUNTIFS('Tagged Responses'!$Y$2:$Y$733,"*"&amp;$A182&amp;"*",'Tagged Responses'!$G$2:$G$733,"China")/J$165,"")</f>
        <v>0</v>
      </c>
    </row>
    <row r="183" customFormat="false" ht="15" hidden="false" customHeight="true" outlineLevel="0" collapsed="false">
      <c r="A183" s="10" t="s">
        <v>6534</v>
      </c>
      <c r="B183" s="10" t="n">
        <f aca="false">COUNTIF('Tagged Responses'!$Y$2:$Y$733,"*"&amp;$A183&amp;"*")</f>
        <v>2</v>
      </c>
      <c r="C183" s="11" t="n">
        <f aca="false">IFERROR(COUNTIF('Tagged Responses'!$Y$2:$Y$733,"*"&amp;$A183&amp;"*")/C$165,"")</f>
        <v>0.0033003300330033</v>
      </c>
      <c r="D183" s="11" t="n">
        <f aca="false">IFERROR(COUNTIFS('Tagged Responses'!$Y$2:$Y$733,"*"&amp;$A183&amp;"*",'Tagged Responses'!$D$2:$D$733,Notes!$B$9)/D$165,"")</f>
        <v>0.00452488687782806</v>
      </c>
      <c r="E183" s="11" t="n">
        <f aca="false">IFERROR(COUNTIFS('Tagged Responses'!$Y$2:$Y$733,"*"&amp;$A183&amp;"*",'Tagged Responses'!$D$2:$D$733,Notes!$C$9)/E$165,"")</f>
        <v>0</v>
      </c>
      <c r="F183" s="11" t="n">
        <f aca="false">IFERROR(COUNTIFS('Tagged Responses'!$Y$2:$Y$733,"*"&amp;$A183&amp;"*",'Tagged Responses'!$D$2:$D$733,Notes!$D$9)/F$165,"")</f>
        <v>0</v>
      </c>
      <c r="G183" s="11" t="n">
        <f aca="false">IFERROR(COUNTIFS('Tagged Responses'!$Y$2:$Y$733,"*"&amp;$A183&amp;"*",'Tagged Responses'!$E$2:$E$733,"Female")/G$165,"")</f>
        <v>0.00561797752808989</v>
      </c>
      <c r="H183" s="11" t="n">
        <f aca="false">IFERROR(COUNTIFS('Tagged Responses'!$Y$2:$Y$733,"*"&amp;$A183&amp;"*",'Tagged Responses'!$E$2:$E$733,"Male")/H$165,"")</f>
        <v>0</v>
      </c>
      <c r="I183" s="11" t="n">
        <f aca="false">IFERROR(COUNTIFS('Tagged Responses'!$Y$2:$Y$733,"*"&amp;$A183&amp;"*",'Tagged Responses'!$G$2:$G$733,"United States")/I$165,"")</f>
        <v>0.0048661800486618</v>
      </c>
      <c r="J183" s="11" t="n">
        <f aca="false">IFERROR(COUNTIFS('Tagged Responses'!$Y$2:$Y$733,"*"&amp;$A183&amp;"*",'Tagged Responses'!$G$2:$G$733,"China")/J$165,"")</f>
        <v>0</v>
      </c>
    </row>
    <row r="184" customFormat="false" ht="15" hidden="false" customHeight="true" outlineLevel="0" collapsed="false">
      <c r="A184" s="10" t="s">
        <v>6551</v>
      </c>
      <c r="B184" s="10" t="n">
        <f aca="false">COUNTIF('Tagged Responses'!$Y$2:$Y$733,"*"&amp;$A184&amp;"*")</f>
        <v>51</v>
      </c>
      <c r="C184" s="11" t="n">
        <f aca="false">IFERROR(COUNTIF('Tagged Responses'!$Y$2:$Y$733,"*"&amp;$A184&amp;"*")/C$165,"")</f>
        <v>0.0841584158415842</v>
      </c>
      <c r="D184" s="11" t="n">
        <f aca="false">IFERROR(COUNTIFS('Tagged Responses'!$Y$2:$Y$733,"*"&amp;$A184&amp;"*",'Tagged Responses'!$D$2:$D$733,Notes!$B$9)/D$165,"")</f>
        <v>0.085972850678733</v>
      </c>
      <c r="E184" s="11" t="n">
        <f aca="false">IFERROR(COUNTIFS('Tagged Responses'!$Y$2:$Y$733,"*"&amp;$A184&amp;"*",'Tagged Responses'!$D$2:$D$733,Notes!$C$9)/E$165,"")</f>
        <v>0.0821917808219178</v>
      </c>
      <c r="F184" s="11" t="n">
        <f aca="false">IFERROR(COUNTIFS('Tagged Responses'!$Y$2:$Y$733,"*"&amp;$A184&amp;"*",'Tagged Responses'!$D$2:$D$733,Notes!$D$9)/F$165,"")</f>
        <v>0.0555555555555556</v>
      </c>
      <c r="G184" s="11" t="n">
        <f aca="false">IFERROR(COUNTIFS('Tagged Responses'!$Y$2:$Y$733,"*"&amp;$A184&amp;"*",'Tagged Responses'!$E$2:$E$733,"Female")/G$165,"")</f>
        <v>0.0842696629213483</v>
      </c>
      <c r="H184" s="11" t="n">
        <f aca="false">IFERROR(COUNTIFS('Tagged Responses'!$Y$2:$Y$733,"*"&amp;$A184&amp;"*",'Tagged Responses'!$E$2:$E$733,"Male")/H$165,"")</f>
        <v>0.0843881856540084</v>
      </c>
      <c r="I184" s="11" t="n">
        <f aca="false">IFERROR(COUNTIFS('Tagged Responses'!$Y$2:$Y$733,"*"&amp;$A184&amp;"*",'Tagged Responses'!$G$2:$G$733,"United States")/I$165,"")</f>
        <v>0.0875912408759124</v>
      </c>
      <c r="J184" s="11" t="n">
        <f aca="false">IFERROR(COUNTIFS('Tagged Responses'!$Y$2:$Y$733,"*"&amp;$A184&amp;"*",'Tagged Responses'!$G$2:$G$733,"China")/J$165,"")</f>
        <v>0.0961538461538462</v>
      </c>
    </row>
    <row r="185" customFormat="false" ht="15" hidden="false" customHeight="true" outlineLevel="0" collapsed="false">
      <c r="A185" s="10" t="s">
        <v>6538</v>
      </c>
      <c r="B185" s="10" t="n">
        <f aca="false">COUNTIF('Tagged Responses'!$Y$2:$Y$733,"*"&amp;$A185&amp;"*")</f>
        <v>14</v>
      </c>
      <c r="C185" s="11" t="n">
        <f aca="false">IFERROR(COUNTIF('Tagged Responses'!$Y$2:$Y$733,"*"&amp;$A185&amp;"*")/C$165,"")</f>
        <v>0.0231023102310231</v>
      </c>
      <c r="D185" s="11" t="n">
        <f aca="false">IFERROR(COUNTIFS('Tagged Responses'!$Y$2:$Y$733,"*"&amp;$A185&amp;"*",'Tagged Responses'!$D$2:$D$733,Notes!$B$9)/D$165,"")</f>
        <v>0.0203619909502262</v>
      </c>
      <c r="E185" s="11" t="n">
        <f aca="false">IFERROR(COUNTIFS('Tagged Responses'!$Y$2:$Y$733,"*"&amp;$A185&amp;"*",'Tagged Responses'!$D$2:$D$733,Notes!$C$9)/E$165,"")</f>
        <v>0.0342465753424658</v>
      </c>
      <c r="F185" s="11" t="n">
        <f aca="false">IFERROR(COUNTIFS('Tagged Responses'!$Y$2:$Y$733,"*"&amp;$A185&amp;"*",'Tagged Responses'!$D$2:$D$733,Notes!$D$9)/F$165,"")</f>
        <v>0</v>
      </c>
      <c r="G185" s="11" t="n">
        <f aca="false">IFERROR(COUNTIFS('Tagged Responses'!$Y$2:$Y$733,"*"&amp;$A185&amp;"*",'Tagged Responses'!$E$2:$E$733,"Female")/G$165,"")</f>
        <v>0.0112359550561798</v>
      </c>
      <c r="H185" s="11" t="n">
        <f aca="false">IFERROR(COUNTIFS('Tagged Responses'!$Y$2:$Y$733,"*"&amp;$A185&amp;"*",'Tagged Responses'!$E$2:$E$733,"Male")/H$165,"")</f>
        <v>0.0421940928270042</v>
      </c>
      <c r="I185" s="11" t="n">
        <f aca="false">IFERROR(COUNTIFS('Tagged Responses'!$Y$2:$Y$733,"*"&amp;$A185&amp;"*",'Tagged Responses'!$G$2:$G$733,"United States")/I$165,"")</f>
        <v>0.0267639902676399</v>
      </c>
      <c r="J185" s="11" t="n">
        <f aca="false">IFERROR(COUNTIFS('Tagged Responses'!$Y$2:$Y$733,"*"&amp;$A185&amp;"*",'Tagged Responses'!$G$2:$G$733,"China")/J$165,"")</f>
        <v>0.0128205128205128</v>
      </c>
    </row>
    <row r="187" customFormat="false" ht="15" hidden="false" customHeight="true" outlineLevel="0" collapsed="false">
      <c r="A187" s="8" t="s">
        <v>7696</v>
      </c>
    </row>
    <row r="188" customFormat="false" ht="30" hidden="false" customHeight="true" outlineLevel="0" collapsed="false">
      <c r="A188" s="2" t="s">
        <v>7683</v>
      </c>
      <c r="B188" s="2" t="s">
        <v>7684</v>
      </c>
      <c r="C188" s="2" t="s">
        <v>7685</v>
      </c>
      <c r="D188" s="2" t="str">
        <f aca="false">Notes!$B$9</f>
        <v>Student age (≤29)</v>
      </c>
      <c r="E188" s="2" t="str">
        <f aca="false">Notes!$C$9</f>
        <v>Middle-aged (30–64)</v>
      </c>
      <c r="F188" s="2" t="str">
        <f aca="false">Notes!$D$9</f>
        <v>Elderly (65+)</v>
      </c>
      <c r="G188" s="2" t="s">
        <v>45</v>
      </c>
      <c r="H188" s="2" t="s">
        <v>83</v>
      </c>
      <c r="I188" s="2" t="s">
        <v>7686</v>
      </c>
      <c r="J188" s="2" t="s">
        <v>7687</v>
      </c>
    </row>
    <row r="189" customFormat="false" ht="15" hidden="false" customHeight="true" outlineLevel="0" collapsed="false">
      <c r="A189" s="9" t="s">
        <v>7688</v>
      </c>
      <c r="B189" s="9" t="n">
        <f aca="false">COUNTIF('Tagged Responses'!$Z$2:$Z$733,"?*")</f>
        <v>466</v>
      </c>
      <c r="C189" s="9" t="n">
        <f aca="false">COUNTIF('Tagged Responses'!$Z$2:$Z$733,"?*")</f>
        <v>466</v>
      </c>
      <c r="D189" s="9" t="n">
        <f aca="false">COUNTIFS('Tagged Responses'!$Z$2:$Z$733,"?*",'Tagged Responses'!$D$2:$D$733,Notes!$B$9)</f>
        <v>331</v>
      </c>
      <c r="E189" s="9" t="n">
        <f aca="false">COUNTIFS('Tagged Responses'!$Z$2:$Z$733,"?*",'Tagged Responses'!$D$2:$D$733,Notes!$C$9)</f>
        <v>116</v>
      </c>
      <c r="F189" s="9" t="n">
        <f aca="false">COUNTIFS('Tagged Responses'!$Z$2:$Z$733,"?*",'Tagged Responses'!$D$2:$D$733,Notes!$D$9)</f>
        <v>19</v>
      </c>
      <c r="G189" s="9" t="n">
        <f aca="false">COUNTIFS('Tagged Responses'!$Z$2:$Z$733,"?*",'Tagged Responses'!$E$2:$E$733,"Female")</f>
        <v>289</v>
      </c>
      <c r="H189" s="9" t="n">
        <f aca="false">COUNTIFS('Tagged Responses'!$Z$2:$Z$733,"?*",'Tagged Responses'!$E$2:$E$733,"Male")</f>
        <v>165</v>
      </c>
      <c r="I189" s="9" t="n">
        <f aca="false">COUNTIFS('Tagged Responses'!$Z$2:$Z$733,"?*",'Tagged Responses'!$G$2:$G$733,"United States")</f>
        <v>318</v>
      </c>
      <c r="J189" s="9" t="n">
        <f aca="false">COUNTIFS('Tagged Responses'!$Z$2:$Z$733,"?*",'Tagged Responses'!$G$2:$G$733,"China")</f>
        <v>116</v>
      </c>
    </row>
    <row r="190" customFormat="false" ht="15" hidden="false" customHeight="true" outlineLevel="0" collapsed="false">
      <c r="A190" s="10" t="s">
        <v>6820</v>
      </c>
      <c r="B190" s="10" t="n">
        <f aca="false">COUNTIF('Tagged Responses'!$AA$2:$AA$733,"*"&amp;$A190&amp;"*")</f>
        <v>201</v>
      </c>
      <c r="C190" s="11" t="n">
        <f aca="false">IFERROR(COUNTIF('Tagged Responses'!$AA$2:$AA$733,"*"&amp;$A190&amp;"*")/C$189,"")</f>
        <v>0.431330472103004</v>
      </c>
      <c r="D190" s="11" t="n">
        <f aca="false">IFERROR(COUNTIFS('Tagged Responses'!$AA$2:$AA$733,"*"&amp;$A190&amp;"*",'Tagged Responses'!$D$2:$D$733,Notes!$B$9)/D$189,"")</f>
        <v>0.447129909365559</v>
      </c>
      <c r="E190" s="11" t="n">
        <f aca="false">IFERROR(COUNTIFS('Tagged Responses'!$AA$2:$AA$733,"*"&amp;$A190&amp;"*",'Tagged Responses'!$D$2:$D$733,Notes!$C$9)/E$189,"")</f>
        <v>0.413793103448276</v>
      </c>
      <c r="F190" s="11" t="n">
        <f aca="false">IFERROR(COUNTIFS('Tagged Responses'!$AA$2:$AA$733,"*"&amp;$A190&amp;"*",'Tagged Responses'!$D$2:$D$733,Notes!$D$9)/F$189,"")</f>
        <v>0.263157894736842</v>
      </c>
      <c r="G190" s="11" t="n">
        <f aca="false">IFERROR(COUNTIFS('Tagged Responses'!$AA$2:$AA$733,"*"&amp;$A190&amp;"*",'Tagged Responses'!$E$2:$E$733,"Female")/G$189,"")</f>
        <v>0.477508650519031</v>
      </c>
      <c r="H190" s="11" t="n">
        <f aca="false">IFERROR(COUNTIFS('Tagged Responses'!$AA$2:$AA$733,"*"&amp;$A190&amp;"*",'Tagged Responses'!$E$2:$E$733,"Male")/H$189,"")</f>
        <v>0.321212121212121</v>
      </c>
      <c r="I190" s="11" t="n">
        <f aca="false">IFERROR(COUNTIFS('Tagged Responses'!$AA$2:$AA$733,"*"&amp;$A190&amp;"*",'Tagged Responses'!$G$2:$G$733,"United States")/I$189,"")</f>
        <v>0.371069182389937</v>
      </c>
      <c r="J190" s="11" t="n">
        <f aca="false">IFERROR(COUNTIFS('Tagged Responses'!$AA$2:$AA$733,"*"&amp;$A190&amp;"*",'Tagged Responses'!$G$2:$G$733,"China")/J$189,"")</f>
        <v>0.560344827586207</v>
      </c>
    </row>
    <row r="191" customFormat="false" ht="15" hidden="false" customHeight="true" outlineLevel="0" collapsed="false">
      <c r="A191" s="10" t="s">
        <v>6545</v>
      </c>
      <c r="B191" s="10" t="n">
        <f aca="false">COUNTIF('Tagged Responses'!$AA$2:$AA$733,"*"&amp;$A191&amp;"*")</f>
        <v>140</v>
      </c>
      <c r="C191" s="11" t="n">
        <f aca="false">IFERROR(COUNTIF('Tagged Responses'!$AA$2:$AA$733,"*"&amp;$A191&amp;"*")/C$189,"")</f>
        <v>0.300429184549356</v>
      </c>
      <c r="D191" s="11" t="n">
        <f aca="false">IFERROR(COUNTIFS('Tagged Responses'!$AA$2:$AA$733,"*"&amp;$A191&amp;"*",'Tagged Responses'!$D$2:$D$733,Notes!$B$9)/D$189,"")</f>
        <v>0.338368580060423</v>
      </c>
      <c r="E191" s="11" t="n">
        <f aca="false">IFERROR(COUNTIFS('Tagged Responses'!$AA$2:$AA$733,"*"&amp;$A191&amp;"*",'Tagged Responses'!$D$2:$D$733,Notes!$C$9)/E$189,"")</f>
        <v>0.21551724137931</v>
      </c>
      <c r="F191" s="11" t="n">
        <f aca="false">IFERROR(COUNTIFS('Tagged Responses'!$AA$2:$AA$733,"*"&amp;$A191&amp;"*",'Tagged Responses'!$D$2:$D$733,Notes!$D$9)/F$189,"")</f>
        <v>0.157894736842105</v>
      </c>
      <c r="G191" s="11" t="n">
        <f aca="false">IFERROR(COUNTIFS('Tagged Responses'!$AA$2:$AA$733,"*"&amp;$A191&amp;"*",'Tagged Responses'!$E$2:$E$733,"Female")/G$189,"")</f>
        <v>0.346020761245675</v>
      </c>
      <c r="H191" s="11" t="n">
        <f aca="false">IFERROR(COUNTIFS('Tagged Responses'!$AA$2:$AA$733,"*"&amp;$A191&amp;"*",'Tagged Responses'!$E$2:$E$733,"Male")/H$189,"")</f>
        <v>0.218181818181818</v>
      </c>
      <c r="I191" s="11" t="n">
        <f aca="false">IFERROR(COUNTIFS('Tagged Responses'!$AA$2:$AA$733,"*"&amp;$A191&amp;"*",'Tagged Responses'!$G$2:$G$733,"United States")/I$189,"")</f>
        <v>0.358490566037736</v>
      </c>
      <c r="J191" s="11" t="n">
        <f aca="false">IFERROR(COUNTIFS('Tagged Responses'!$AA$2:$AA$733,"*"&amp;$A191&amp;"*",'Tagged Responses'!$G$2:$G$733,"China")/J$189,"")</f>
        <v>0.155172413793103</v>
      </c>
    </row>
    <row r="192" customFormat="false" ht="15" hidden="false" customHeight="true" outlineLevel="0" collapsed="false">
      <c r="A192" s="10" t="s">
        <v>6568</v>
      </c>
      <c r="B192" s="10" t="n">
        <f aca="false">COUNTIF('Tagged Responses'!$AA$2:$AA$733,"*"&amp;$A192&amp;"*")</f>
        <v>140</v>
      </c>
      <c r="C192" s="11" t="n">
        <f aca="false">IFERROR(COUNTIF('Tagged Responses'!$AA$2:$AA$733,"*"&amp;$A192&amp;"*")/C$189,"")</f>
        <v>0.300429184549356</v>
      </c>
      <c r="D192" s="11" t="n">
        <f aca="false">IFERROR(COUNTIFS('Tagged Responses'!$AA$2:$AA$733,"*"&amp;$A192&amp;"*",'Tagged Responses'!$D$2:$D$733,Notes!$B$9)/D$189,"")</f>
        <v>0.317220543806647</v>
      </c>
      <c r="E192" s="11" t="n">
        <f aca="false">IFERROR(COUNTIFS('Tagged Responses'!$AA$2:$AA$733,"*"&amp;$A192&amp;"*",'Tagged Responses'!$D$2:$D$733,Notes!$C$9)/E$189,"")</f>
        <v>0.232758620689655</v>
      </c>
      <c r="F192" s="11" t="n">
        <f aca="false">IFERROR(COUNTIFS('Tagged Responses'!$AA$2:$AA$733,"*"&amp;$A192&amp;"*",'Tagged Responses'!$D$2:$D$733,Notes!$D$9)/F$189,"")</f>
        <v>0.421052631578947</v>
      </c>
      <c r="G192" s="11" t="n">
        <f aca="false">IFERROR(COUNTIFS('Tagged Responses'!$AA$2:$AA$733,"*"&amp;$A192&amp;"*",'Tagged Responses'!$E$2:$E$733,"Female")/G$189,"")</f>
        <v>0.28719723183391</v>
      </c>
      <c r="H192" s="11" t="n">
        <f aca="false">IFERROR(COUNTIFS('Tagged Responses'!$AA$2:$AA$733,"*"&amp;$A192&amp;"*",'Tagged Responses'!$E$2:$E$733,"Male")/H$189,"")</f>
        <v>0.309090909090909</v>
      </c>
      <c r="I192" s="11" t="n">
        <f aca="false">IFERROR(COUNTIFS('Tagged Responses'!$AA$2:$AA$733,"*"&amp;$A192&amp;"*",'Tagged Responses'!$G$2:$G$733,"United States")/I$189,"")</f>
        <v>0.273584905660377</v>
      </c>
      <c r="J192" s="11" t="n">
        <f aca="false">IFERROR(COUNTIFS('Tagged Responses'!$AA$2:$AA$733,"*"&amp;$A192&amp;"*",'Tagged Responses'!$G$2:$G$733,"China")/J$189,"")</f>
        <v>0.344827586206897</v>
      </c>
    </row>
    <row r="193" customFormat="false" ht="15" hidden="false" customHeight="true" outlineLevel="0" collapsed="false">
      <c r="A193" s="10" t="s">
        <v>6611</v>
      </c>
      <c r="B193" s="10" t="n">
        <f aca="false">COUNTIF('Tagged Responses'!$AA$2:$AA$733,"*"&amp;$A193&amp;"*")</f>
        <v>127</v>
      </c>
      <c r="C193" s="11" t="n">
        <f aca="false">IFERROR(COUNTIF('Tagged Responses'!$AA$2:$AA$733,"*"&amp;$A193&amp;"*")/C$189,"")</f>
        <v>0.272532188841202</v>
      </c>
      <c r="D193" s="11" t="n">
        <f aca="false">IFERROR(COUNTIFS('Tagged Responses'!$AA$2:$AA$733,"*"&amp;$A193&amp;"*",'Tagged Responses'!$D$2:$D$733,Notes!$B$9)/D$189,"")</f>
        <v>0.308157099697885</v>
      </c>
      <c r="E193" s="11" t="n">
        <f aca="false">IFERROR(COUNTIFS('Tagged Responses'!$AA$2:$AA$733,"*"&amp;$A193&amp;"*",'Tagged Responses'!$D$2:$D$733,Notes!$C$9)/E$189,"")</f>
        <v>0.181034482758621</v>
      </c>
      <c r="F193" s="11" t="n">
        <f aca="false">IFERROR(COUNTIFS('Tagged Responses'!$AA$2:$AA$733,"*"&amp;$A193&amp;"*",'Tagged Responses'!$D$2:$D$733,Notes!$D$9)/F$189,"")</f>
        <v>0.210526315789474</v>
      </c>
      <c r="G193" s="11" t="n">
        <f aca="false">IFERROR(COUNTIFS('Tagged Responses'!$AA$2:$AA$733,"*"&amp;$A193&amp;"*",'Tagged Responses'!$E$2:$E$733,"Female")/G$189,"")</f>
        <v>0.26643598615917</v>
      </c>
      <c r="H193" s="11" t="n">
        <f aca="false">IFERROR(COUNTIFS('Tagged Responses'!$AA$2:$AA$733,"*"&amp;$A193&amp;"*",'Tagged Responses'!$E$2:$E$733,"Male")/H$189,"")</f>
        <v>0.266666666666667</v>
      </c>
      <c r="I193" s="11" t="n">
        <f aca="false">IFERROR(COUNTIFS('Tagged Responses'!$AA$2:$AA$733,"*"&amp;$A193&amp;"*",'Tagged Responses'!$G$2:$G$733,"United States")/I$189,"")</f>
        <v>0.226415094339623</v>
      </c>
      <c r="J193" s="11" t="n">
        <f aca="false">IFERROR(COUNTIFS('Tagged Responses'!$AA$2:$AA$733,"*"&amp;$A193&amp;"*",'Tagged Responses'!$G$2:$G$733,"China")/J$189,"")</f>
        <v>0.387931034482759</v>
      </c>
    </row>
    <row r="194" customFormat="false" ht="15" hidden="false" customHeight="true" outlineLevel="0" collapsed="false">
      <c r="A194" s="10" t="s">
        <v>6918</v>
      </c>
      <c r="B194" s="10" t="n">
        <f aca="false">COUNTIF('Tagged Responses'!$AA$2:$AA$733,"*"&amp;$A194&amp;"*")</f>
        <v>126</v>
      </c>
      <c r="C194" s="11" t="n">
        <f aca="false">IFERROR(COUNTIF('Tagged Responses'!$AA$2:$AA$733,"*"&amp;$A194&amp;"*")/C$189,"")</f>
        <v>0.270386266094421</v>
      </c>
      <c r="D194" s="11" t="n">
        <f aca="false">IFERROR(COUNTIFS('Tagged Responses'!$AA$2:$AA$733,"*"&amp;$A194&amp;"*",'Tagged Responses'!$D$2:$D$733,Notes!$B$9)/D$189,"")</f>
        <v>0.283987915407855</v>
      </c>
      <c r="E194" s="11" t="n">
        <f aca="false">IFERROR(COUNTIFS('Tagged Responses'!$AA$2:$AA$733,"*"&amp;$A194&amp;"*",'Tagged Responses'!$D$2:$D$733,Notes!$C$9)/E$189,"")</f>
        <v>0.232758620689655</v>
      </c>
      <c r="F194" s="11" t="n">
        <f aca="false">IFERROR(COUNTIFS('Tagged Responses'!$AA$2:$AA$733,"*"&amp;$A194&amp;"*",'Tagged Responses'!$D$2:$D$733,Notes!$D$9)/F$189,"")</f>
        <v>0.263157894736842</v>
      </c>
      <c r="G194" s="11" t="n">
        <f aca="false">IFERROR(COUNTIFS('Tagged Responses'!$AA$2:$AA$733,"*"&amp;$A194&amp;"*",'Tagged Responses'!$E$2:$E$733,"Female")/G$189,"")</f>
        <v>0.294117647058824</v>
      </c>
      <c r="H194" s="11" t="n">
        <f aca="false">IFERROR(COUNTIFS('Tagged Responses'!$AA$2:$AA$733,"*"&amp;$A194&amp;"*",'Tagged Responses'!$E$2:$E$733,"Male")/H$189,"")</f>
        <v>0.23030303030303</v>
      </c>
      <c r="I194" s="11" t="n">
        <f aca="false">IFERROR(COUNTIFS('Tagged Responses'!$AA$2:$AA$733,"*"&amp;$A194&amp;"*",'Tagged Responses'!$G$2:$G$733,"United States")/I$189,"")</f>
        <v>0.238993710691824</v>
      </c>
      <c r="J194" s="11" t="n">
        <f aca="false">IFERROR(COUNTIFS('Tagged Responses'!$AA$2:$AA$733,"*"&amp;$A194&amp;"*",'Tagged Responses'!$G$2:$G$733,"China")/J$189,"")</f>
        <v>0.336206896551724</v>
      </c>
    </row>
    <row r="195" customFormat="false" ht="15" hidden="false" customHeight="true" outlineLevel="0" collapsed="false">
      <c r="A195" s="10" t="s">
        <v>6646</v>
      </c>
      <c r="B195" s="10" t="n">
        <f aca="false">COUNTIF('Tagged Responses'!$AA$2:$AA$733,"*"&amp;$A195&amp;"*")</f>
        <v>108</v>
      </c>
      <c r="C195" s="11" t="n">
        <f aca="false">IFERROR(COUNTIF('Tagged Responses'!$AA$2:$AA$733,"*"&amp;$A195&amp;"*")/C$189,"")</f>
        <v>0.231759656652361</v>
      </c>
      <c r="D195" s="11" t="n">
        <f aca="false">IFERROR(COUNTIFS('Tagged Responses'!$AA$2:$AA$733,"*"&amp;$A195&amp;"*",'Tagged Responses'!$D$2:$D$733,Notes!$B$9)/D$189,"")</f>
        <v>0.250755287009063</v>
      </c>
      <c r="E195" s="11" t="n">
        <f aca="false">IFERROR(COUNTIFS('Tagged Responses'!$AA$2:$AA$733,"*"&amp;$A195&amp;"*",'Tagged Responses'!$D$2:$D$733,Notes!$C$9)/E$189,"")</f>
        <v>0.181034482758621</v>
      </c>
      <c r="F195" s="11" t="n">
        <f aca="false">IFERROR(COUNTIFS('Tagged Responses'!$AA$2:$AA$733,"*"&amp;$A195&amp;"*",'Tagged Responses'!$D$2:$D$733,Notes!$D$9)/F$189,"")</f>
        <v>0.210526315789474</v>
      </c>
      <c r="G195" s="11" t="n">
        <f aca="false">IFERROR(COUNTIFS('Tagged Responses'!$AA$2:$AA$733,"*"&amp;$A195&amp;"*",'Tagged Responses'!$E$2:$E$733,"Female")/G$189,"")</f>
        <v>0.221453287197232</v>
      </c>
      <c r="H195" s="11" t="n">
        <f aca="false">IFERROR(COUNTIFS('Tagged Responses'!$AA$2:$AA$733,"*"&amp;$A195&amp;"*",'Tagged Responses'!$E$2:$E$733,"Male")/H$189,"")</f>
        <v>0.254545454545455</v>
      </c>
      <c r="I195" s="11" t="n">
        <f aca="false">IFERROR(COUNTIFS('Tagged Responses'!$AA$2:$AA$733,"*"&amp;$A195&amp;"*",'Tagged Responses'!$G$2:$G$733,"United States")/I$189,"")</f>
        <v>0.207547169811321</v>
      </c>
      <c r="J195" s="11" t="n">
        <f aca="false">IFERROR(COUNTIFS('Tagged Responses'!$AA$2:$AA$733,"*"&amp;$A195&amp;"*",'Tagged Responses'!$G$2:$G$733,"China")/J$189,"")</f>
        <v>0.258620689655172</v>
      </c>
    </row>
    <row r="196" customFormat="false" ht="15" hidden="false" customHeight="true" outlineLevel="0" collapsed="false">
      <c r="A196" s="10" t="s">
        <v>6540</v>
      </c>
      <c r="B196" s="10" t="n">
        <f aca="false">COUNTIF('Tagged Responses'!$AA$2:$AA$733,"*"&amp;$A196&amp;"*")</f>
        <v>88</v>
      </c>
      <c r="C196" s="11" t="n">
        <f aca="false">IFERROR(COUNTIF('Tagged Responses'!$AA$2:$AA$733,"*"&amp;$A196&amp;"*")/C$189,"")</f>
        <v>0.188841201716738</v>
      </c>
      <c r="D196" s="11" t="n">
        <f aca="false">IFERROR(COUNTIFS('Tagged Responses'!$AA$2:$AA$733,"*"&amp;$A196&amp;"*",'Tagged Responses'!$D$2:$D$733,Notes!$B$9)/D$189,"")</f>
        <v>0.193353474320242</v>
      </c>
      <c r="E196" s="11" t="n">
        <f aca="false">IFERROR(COUNTIFS('Tagged Responses'!$AA$2:$AA$733,"*"&amp;$A196&amp;"*",'Tagged Responses'!$D$2:$D$733,Notes!$C$9)/E$189,"")</f>
        <v>0.163793103448276</v>
      </c>
      <c r="F196" s="11" t="n">
        <f aca="false">IFERROR(COUNTIFS('Tagged Responses'!$AA$2:$AA$733,"*"&amp;$A196&amp;"*",'Tagged Responses'!$D$2:$D$733,Notes!$D$9)/F$189,"")</f>
        <v>0.263157894736842</v>
      </c>
      <c r="G196" s="11" t="n">
        <f aca="false">IFERROR(COUNTIFS('Tagged Responses'!$AA$2:$AA$733,"*"&amp;$A196&amp;"*",'Tagged Responses'!$E$2:$E$733,"Female")/G$189,"")</f>
        <v>0.217993079584775</v>
      </c>
      <c r="H196" s="11" t="n">
        <f aca="false">IFERROR(COUNTIFS('Tagged Responses'!$AA$2:$AA$733,"*"&amp;$A196&amp;"*",'Tagged Responses'!$E$2:$E$733,"Male")/H$189,"")</f>
        <v>0.139393939393939</v>
      </c>
      <c r="I196" s="11" t="n">
        <f aca="false">IFERROR(COUNTIFS('Tagged Responses'!$AA$2:$AA$733,"*"&amp;$A196&amp;"*",'Tagged Responses'!$G$2:$G$733,"United States")/I$189,"")</f>
        <v>0.125786163522013</v>
      </c>
      <c r="J196" s="11" t="n">
        <f aca="false">IFERROR(COUNTIFS('Tagged Responses'!$AA$2:$AA$733,"*"&amp;$A196&amp;"*",'Tagged Responses'!$G$2:$G$733,"China")/J$189,"")</f>
        <v>0.327586206896552</v>
      </c>
    </row>
    <row r="197" customFormat="false" ht="15" hidden="false" customHeight="true" outlineLevel="0" collapsed="false">
      <c r="A197" s="10" t="s">
        <v>6770</v>
      </c>
      <c r="B197" s="10" t="n">
        <f aca="false">COUNTIF('Tagged Responses'!$AA$2:$AA$733,"*"&amp;$A197&amp;"*")</f>
        <v>64</v>
      </c>
      <c r="C197" s="11" t="n">
        <f aca="false">IFERROR(COUNTIF('Tagged Responses'!$AA$2:$AA$733,"*"&amp;$A197&amp;"*")/C$189,"")</f>
        <v>0.137339055793991</v>
      </c>
      <c r="D197" s="11" t="n">
        <f aca="false">IFERROR(COUNTIFS('Tagged Responses'!$AA$2:$AA$733,"*"&amp;$A197&amp;"*",'Tagged Responses'!$D$2:$D$733,Notes!$B$9)/D$189,"")</f>
        <v>0.169184290030212</v>
      </c>
      <c r="E197" s="11" t="n">
        <f aca="false">IFERROR(COUNTIFS('Tagged Responses'!$AA$2:$AA$733,"*"&amp;$A197&amp;"*",'Tagged Responses'!$D$2:$D$733,Notes!$C$9)/E$189,"")</f>
        <v>0.0689655172413793</v>
      </c>
      <c r="F197" s="11" t="n">
        <f aca="false">IFERROR(COUNTIFS('Tagged Responses'!$AA$2:$AA$733,"*"&amp;$A197&amp;"*",'Tagged Responses'!$D$2:$D$733,Notes!$D$9)/F$189,"")</f>
        <v>0</v>
      </c>
      <c r="G197" s="11" t="n">
        <f aca="false">IFERROR(COUNTIFS('Tagged Responses'!$AA$2:$AA$733,"*"&amp;$A197&amp;"*",'Tagged Responses'!$E$2:$E$733,"Female")/G$189,"")</f>
        <v>0.176470588235294</v>
      </c>
      <c r="H197" s="11" t="n">
        <f aca="false">IFERROR(COUNTIFS('Tagged Responses'!$AA$2:$AA$733,"*"&amp;$A197&amp;"*",'Tagged Responses'!$E$2:$E$733,"Male")/H$189,"")</f>
        <v>0.0666666666666667</v>
      </c>
      <c r="I197" s="11" t="n">
        <f aca="false">IFERROR(COUNTIFS('Tagged Responses'!$AA$2:$AA$733,"*"&amp;$A197&amp;"*",'Tagged Responses'!$G$2:$G$733,"United States")/I$189,"")</f>
        <v>0.0566037735849057</v>
      </c>
      <c r="J197" s="11" t="n">
        <f aca="false">IFERROR(COUNTIFS('Tagged Responses'!$AA$2:$AA$733,"*"&amp;$A197&amp;"*",'Tagged Responses'!$G$2:$G$733,"China")/J$189,"")</f>
        <v>0.310344827586207</v>
      </c>
    </row>
    <row r="198" customFormat="false" ht="15" hidden="false" customHeight="true" outlineLevel="0" collapsed="false">
      <c r="A198" s="10" t="s">
        <v>6828</v>
      </c>
      <c r="B198" s="10" t="n">
        <f aca="false">COUNTIF('Tagged Responses'!$AA$2:$AA$733,"*"&amp;$A198&amp;"*")</f>
        <v>46</v>
      </c>
      <c r="C198" s="11" t="n">
        <f aca="false">IFERROR(COUNTIF('Tagged Responses'!$AA$2:$AA$733,"*"&amp;$A198&amp;"*")/C$189,"")</f>
        <v>0.0987124463519313</v>
      </c>
      <c r="D198" s="11" t="n">
        <f aca="false">IFERROR(COUNTIFS('Tagged Responses'!$AA$2:$AA$733,"*"&amp;$A198&amp;"*",'Tagged Responses'!$D$2:$D$733,Notes!$B$9)/D$189,"")</f>
        <v>0.105740181268882</v>
      </c>
      <c r="E198" s="11" t="n">
        <f aca="false">IFERROR(COUNTIFS('Tagged Responses'!$AA$2:$AA$733,"*"&amp;$A198&amp;"*",'Tagged Responses'!$D$2:$D$733,Notes!$C$9)/E$189,"")</f>
        <v>0.0775862068965517</v>
      </c>
      <c r="F198" s="11" t="n">
        <f aca="false">IFERROR(COUNTIFS('Tagged Responses'!$AA$2:$AA$733,"*"&amp;$A198&amp;"*",'Tagged Responses'!$D$2:$D$733,Notes!$D$9)/F$189,"")</f>
        <v>0.105263157894737</v>
      </c>
      <c r="G198" s="11" t="n">
        <f aca="false">IFERROR(COUNTIFS('Tagged Responses'!$AA$2:$AA$733,"*"&amp;$A198&amp;"*",'Tagged Responses'!$E$2:$E$733,"Female")/G$189,"")</f>
        <v>0.100346020761246</v>
      </c>
      <c r="H198" s="11" t="n">
        <f aca="false">IFERROR(COUNTIFS('Tagged Responses'!$AA$2:$AA$733,"*"&amp;$A198&amp;"*",'Tagged Responses'!$E$2:$E$733,"Male")/H$189,"")</f>
        <v>0.0909090909090909</v>
      </c>
      <c r="I198" s="11" t="n">
        <f aca="false">IFERROR(COUNTIFS('Tagged Responses'!$AA$2:$AA$733,"*"&amp;$A198&amp;"*",'Tagged Responses'!$G$2:$G$733,"United States")/I$189,"")</f>
        <v>0.0817610062893082</v>
      </c>
      <c r="J198" s="11" t="n">
        <f aca="false">IFERROR(COUNTIFS('Tagged Responses'!$AA$2:$AA$733,"*"&amp;$A198&amp;"*",'Tagged Responses'!$G$2:$G$733,"China")/J$189,"")</f>
        <v>0.155172413793103</v>
      </c>
    </row>
    <row r="199" customFormat="false" ht="15" hidden="false" customHeight="true" outlineLevel="0" collapsed="false">
      <c r="A199" s="10" t="s">
        <v>6900</v>
      </c>
      <c r="B199" s="10" t="n">
        <f aca="false">COUNTIF('Tagged Responses'!$AA$2:$AA$733,"*"&amp;$A199&amp;"*")</f>
        <v>36</v>
      </c>
      <c r="C199" s="11" t="n">
        <f aca="false">IFERROR(COUNTIF('Tagged Responses'!$AA$2:$AA$733,"*"&amp;$A199&amp;"*")/C$189,"")</f>
        <v>0.0772532188841202</v>
      </c>
      <c r="D199" s="11" t="n">
        <f aca="false">IFERROR(COUNTIFS('Tagged Responses'!$AA$2:$AA$733,"*"&amp;$A199&amp;"*",'Tagged Responses'!$D$2:$D$733,Notes!$B$9)/D$189,"")</f>
        <v>0.081570996978852</v>
      </c>
      <c r="E199" s="11" t="n">
        <f aca="false">IFERROR(COUNTIFS('Tagged Responses'!$AA$2:$AA$733,"*"&amp;$A199&amp;"*",'Tagged Responses'!$D$2:$D$733,Notes!$C$9)/E$189,"")</f>
        <v>0.0603448275862069</v>
      </c>
      <c r="F199" s="11" t="n">
        <f aca="false">IFERROR(COUNTIFS('Tagged Responses'!$AA$2:$AA$733,"*"&amp;$A199&amp;"*",'Tagged Responses'!$D$2:$D$733,Notes!$D$9)/F$189,"")</f>
        <v>0.105263157894737</v>
      </c>
      <c r="G199" s="11" t="n">
        <f aca="false">IFERROR(COUNTIFS('Tagged Responses'!$AA$2:$AA$733,"*"&amp;$A199&amp;"*",'Tagged Responses'!$E$2:$E$733,"Female")/G$189,"")</f>
        <v>0.0830449826989619</v>
      </c>
      <c r="H199" s="11" t="n">
        <f aca="false">IFERROR(COUNTIFS('Tagged Responses'!$AA$2:$AA$733,"*"&amp;$A199&amp;"*",'Tagged Responses'!$E$2:$E$733,"Male")/H$189,"")</f>
        <v>0.0606060606060606</v>
      </c>
      <c r="I199" s="11" t="n">
        <f aca="false">IFERROR(COUNTIFS('Tagged Responses'!$AA$2:$AA$733,"*"&amp;$A199&amp;"*",'Tagged Responses'!$G$2:$G$733,"United States")/I$189,"")</f>
        <v>0.0660377358490566</v>
      </c>
      <c r="J199" s="11" t="n">
        <f aca="false">IFERROR(COUNTIFS('Tagged Responses'!$AA$2:$AA$733,"*"&amp;$A199&amp;"*",'Tagged Responses'!$G$2:$G$733,"China")/J$189,"")</f>
        <v>0.103448275862069</v>
      </c>
    </row>
    <row r="200" customFormat="false" ht="15" hidden="false" customHeight="true" outlineLevel="0" collapsed="false">
      <c r="A200" s="10" t="s">
        <v>6510</v>
      </c>
      <c r="B200" s="10" t="n">
        <f aca="false">COUNTIF('Tagged Responses'!$AA$2:$AA$733,"*"&amp;$A200&amp;"*")</f>
        <v>24</v>
      </c>
      <c r="C200" s="11" t="n">
        <f aca="false">IFERROR(COUNTIF('Tagged Responses'!$AA$2:$AA$733,"*"&amp;$A200&amp;"*")/C$189,"")</f>
        <v>0.0515021459227468</v>
      </c>
      <c r="D200" s="11" t="n">
        <f aca="false">IFERROR(COUNTIFS('Tagged Responses'!$AA$2:$AA$733,"*"&amp;$A200&amp;"*",'Tagged Responses'!$D$2:$D$733,Notes!$B$9)/D$189,"")</f>
        <v>0.0604229607250755</v>
      </c>
      <c r="E200" s="11" t="n">
        <f aca="false">IFERROR(COUNTIFS('Tagged Responses'!$AA$2:$AA$733,"*"&amp;$A200&amp;"*",'Tagged Responses'!$D$2:$D$733,Notes!$C$9)/E$189,"")</f>
        <v>0.0172413793103448</v>
      </c>
      <c r="F200" s="11" t="n">
        <f aca="false">IFERROR(COUNTIFS('Tagged Responses'!$AA$2:$AA$733,"*"&amp;$A200&amp;"*",'Tagged Responses'!$D$2:$D$733,Notes!$D$9)/F$189,"")</f>
        <v>0.105263157894737</v>
      </c>
      <c r="G200" s="11" t="n">
        <f aca="false">IFERROR(COUNTIFS('Tagged Responses'!$AA$2:$AA$733,"*"&amp;$A200&amp;"*",'Tagged Responses'!$E$2:$E$733,"Female")/G$189,"")</f>
        <v>0.0380622837370242</v>
      </c>
      <c r="H200" s="11" t="n">
        <f aca="false">IFERROR(COUNTIFS('Tagged Responses'!$AA$2:$AA$733,"*"&amp;$A200&amp;"*",'Tagged Responses'!$E$2:$E$733,"Male")/H$189,"")</f>
        <v>0.0666666666666667</v>
      </c>
      <c r="I200" s="11" t="n">
        <f aca="false">IFERROR(COUNTIFS('Tagged Responses'!$AA$2:$AA$733,"*"&amp;$A200&amp;"*",'Tagged Responses'!$G$2:$G$733,"United States")/I$189,"")</f>
        <v>0.059748427672956</v>
      </c>
      <c r="J200" s="11" t="n">
        <f aca="false">IFERROR(COUNTIFS('Tagged Responses'!$AA$2:$AA$733,"*"&amp;$A200&amp;"*",'Tagged Responses'!$G$2:$G$733,"China")/J$189,"")</f>
        <v>0.0172413793103448</v>
      </c>
    </row>
    <row r="201" customFormat="false" ht="15" hidden="false" customHeight="true" outlineLevel="0" collapsed="false">
      <c r="A201" s="10" t="s">
        <v>6564</v>
      </c>
      <c r="B201" s="10" t="n">
        <f aca="false">COUNTIF('Tagged Responses'!$AA$2:$AA$733,"*"&amp;$A201&amp;"*")</f>
        <v>24</v>
      </c>
      <c r="C201" s="11" t="n">
        <f aca="false">IFERROR(COUNTIF('Tagged Responses'!$AA$2:$AA$733,"*"&amp;$A201&amp;"*")/C$189,"")</f>
        <v>0.0515021459227468</v>
      </c>
      <c r="D201" s="11" t="n">
        <f aca="false">IFERROR(COUNTIFS('Tagged Responses'!$AA$2:$AA$733,"*"&amp;$A201&amp;"*",'Tagged Responses'!$D$2:$D$733,Notes!$B$9)/D$189,"")</f>
        <v>0.0694864048338369</v>
      </c>
      <c r="E201" s="11" t="n">
        <f aca="false">IFERROR(COUNTIFS('Tagged Responses'!$AA$2:$AA$733,"*"&amp;$A201&amp;"*",'Tagged Responses'!$D$2:$D$733,Notes!$C$9)/E$189,"")</f>
        <v>0.00862068965517241</v>
      </c>
      <c r="F201" s="11" t="n">
        <f aca="false">IFERROR(COUNTIFS('Tagged Responses'!$AA$2:$AA$733,"*"&amp;$A201&amp;"*",'Tagged Responses'!$D$2:$D$733,Notes!$D$9)/F$189,"")</f>
        <v>0</v>
      </c>
      <c r="G201" s="11" t="n">
        <f aca="false">IFERROR(COUNTIFS('Tagged Responses'!$AA$2:$AA$733,"*"&amp;$A201&amp;"*",'Tagged Responses'!$E$2:$E$733,"Female")/G$189,"")</f>
        <v>0.069204152249135</v>
      </c>
      <c r="H201" s="11" t="n">
        <f aca="false">IFERROR(COUNTIFS('Tagged Responses'!$AA$2:$AA$733,"*"&amp;$A201&amp;"*",'Tagged Responses'!$E$2:$E$733,"Male")/H$189,"")</f>
        <v>0.0242424242424242</v>
      </c>
      <c r="I201" s="11" t="n">
        <f aca="false">IFERROR(COUNTIFS('Tagged Responses'!$AA$2:$AA$733,"*"&amp;$A201&amp;"*",'Tagged Responses'!$G$2:$G$733,"United States")/I$189,"")</f>
        <v>0.0660377358490566</v>
      </c>
      <c r="J201" s="11" t="n">
        <f aca="false">IFERROR(COUNTIFS('Tagged Responses'!$AA$2:$AA$733,"*"&amp;$A201&amp;"*",'Tagged Responses'!$G$2:$G$733,"China")/J$189,"")</f>
        <v>0</v>
      </c>
    </row>
    <row r="202" customFormat="false" ht="15" hidden="false" customHeight="true" outlineLevel="0" collapsed="false">
      <c r="A202" s="10" t="s">
        <v>6569</v>
      </c>
      <c r="B202" s="10" t="n">
        <f aca="false">COUNTIF('Tagged Responses'!$AA$2:$AA$733,"*"&amp;$A202&amp;"*")</f>
        <v>23</v>
      </c>
      <c r="C202" s="11" t="n">
        <f aca="false">IFERROR(COUNTIF('Tagged Responses'!$AA$2:$AA$733,"*"&amp;$A202&amp;"*")/C$189,"")</f>
        <v>0.0493562231759657</v>
      </c>
      <c r="D202" s="11" t="n">
        <f aca="false">IFERROR(COUNTIFS('Tagged Responses'!$AA$2:$AA$733,"*"&amp;$A202&amp;"*",'Tagged Responses'!$D$2:$D$733,Notes!$B$9)/D$189,"")</f>
        <v>0.0453172205438066</v>
      </c>
      <c r="E202" s="11" t="n">
        <f aca="false">IFERROR(COUNTIFS('Tagged Responses'!$AA$2:$AA$733,"*"&amp;$A202&amp;"*",'Tagged Responses'!$D$2:$D$733,Notes!$C$9)/E$189,"")</f>
        <v>0.0431034482758621</v>
      </c>
      <c r="F202" s="11" t="n">
        <f aca="false">IFERROR(COUNTIFS('Tagged Responses'!$AA$2:$AA$733,"*"&amp;$A202&amp;"*",'Tagged Responses'!$D$2:$D$733,Notes!$D$9)/F$189,"")</f>
        <v>0.157894736842105</v>
      </c>
      <c r="G202" s="11" t="n">
        <f aca="false">IFERROR(COUNTIFS('Tagged Responses'!$AA$2:$AA$733,"*"&amp;$A202&amp;"*",'Tagged Responses'!$E$2:$E$733,"Female")/G$189,"")</f>
        <v>0.055363321799308</v>
      </c>
      <c r="H202" s="11" t="n">
        <f aca="false">IFERROR(COUNTIFS('Tagged Responses'!$AA$2:$AA$733,"*"&amp;$A202&amp;"*",'Tagged Responses'!$E$2:$E$733,"Male")/H$189,"")</f>
        <v>0.0424242424242424</v>
      </c>
      <c r="I202" s="11" t="n">
        <f aca="false">IFERROR(COUNTIFS('Tagged Responses'!$AA$2:$AA$733,"*"&amp;$A202&amp;"*",'Tagged Responses'!$G$2:$G$733,"United States")/I$189,"")</f>
        <v>0.059748427672956</v>
      </c>
      <c r="J202" s="11" t="n">
        <f aca="false">IFERROR(COUNTIFS('Tagged Responses'!$AA$2:$AA$733,"*"&amp;$A202&amp;"*",'Tagged Responses'!$G$2:$G$733,"China")/J$189,"")</f>
        <v>0.0172413793103448</v>
      </c>
    </row>
    <row r="203" customFormat="false" ht="15" hidden="false" customHeight="true" outlineLevel="0" collapsed="false">
      <c r="A203" s="10" t="s">
        <v>6765</v>
      </c>
      <c r="B203" s="10" t="n">
        <f aca="false">COUNTIF('Tagged Responses'!$AA$2:$AA$733,"*"&amp;$A203&amp;"*")</f>
        <v>20</v>
      </c>
      <c r="C203" s="11" t="n">
        <f aca="false">IFERROR(COUNTIF('Tagged Responses'!$AA$2:$AA$733,"*"&amp;$A203&amp;"*")/C$189,"")</f>
        <v>0.0429184549356223</v>
      </c>
      <c r="D203" s="11" t="n">
        <f aca="false">IFERROR(COUNTIFS('Tagged Responses'!$AA$2:$AA$733,"*"&amp;$A203&amp;"*",'Tagged Responses'!$D$2:$D$733,Notes!$B$9)/D$189,"")</f>
        <v>0.0453172205438066</v>
      </c>
      <c r="E203" s="11" t="n">
        <f aca="false">IFERROR(COUNTIFS('Tagged Responses'!$AA$2:$AA$733,"*"&amp;$A203&amp;"*",'Tagged Responses'!$D$2:$D$733,Notes!$C$9)/E$189,"")</f>
        <v>0.0344827586206897</v>
      </c>
      <c r="F203" s="11" t="n">
        <f aca="false">IFERROR(COUNTIFS('Tagged Responses'!$AA$2:$AA$733,"*"&amp;$A203&amp;"*",'Tagged Responses'!$D$2:$D$733,Notes!$D$9)/F$189,"")</f>
        <v>0.0526315789473684</v>
      </c>
      <c r="G203" s="11" t="n">
        <f aca="false">IFERROR(COUNTIFS('Tagged Responses'!$AA$2:$AA$733,"*"&amp;$A203&amp;"*",'Tagged Responses'!$E$2:$E$733,"Female")/G$189,"")</f>
        <v>0.0449826989619377</v>
      </c>
      <c r="H203" s="11" t="n">
        <f aca="false">IFERROR(COUNTIFS('Tagged Responses'!$AA$2:$AA$733,"*"&amp;$A203&amp;"*",'Tagged Responses'!$E$2:$E$733,"Male")/H$189,"")</f>
        <v>0.0424242424242424</v>
      </c>
      <c r="I203" s="11" t="n">
        <f aca="false">IFERROR(COUNTIFS('Tagged Responses'!$AA$2:$AA$733,"*"&amp;$A203&amp;"*",'Tagged Responses'!$G$2:$G$733,"United States")/I$189,"")</f>
        <v>0.059748427672956</v>
      </c>
      <c r="J203" s="11" t="n">
        <f aca="false">IFERROR(COUNTIFS('Tagged Responses'!$AA$2:$AA$733,"*"&amp;$A203&amp;"*",'Tagged Responses'!$G$2:$G$733,"China")/J$189,"")</f>
        <v>0.00862068965517241</v>
      </c>
    </row>
    <row r="204" customFormat="false" ht="15" hidden="false" customHeight="true" outlineLevel="0" collapsed="false">
      <c r="A204" s="10" t="s">
        <v>2035</v>
      </c>
      <c r="B204" s="10" t="n">
        <f aca="false">COUNTIF('Tagged Responses'!$AA$2:$AA$733,"*"&amp;$A204&amp;"*")</f>
        <v>10</v>
      </c>
      <c r="C204" s="11" t="n">
        <f aca="false">IFERROR(COUNTIF('Tagged Responses'!$AA$2:$AA$733,"*"&amp;$A204&amp;"*")/C$189,"")</f>
        <v>0.0214592274678112</v>
      </c>
      <c r="D204" s="11" t="n">
        <f aca="false">IFERROR(COUNTIFS('Tagged Responses'!$AA$2:$AA$733,"*"&amp;$A204&amp;"*",'Tagged Responses'!$D$2:$D$733,Notes!$B$9)/D$189,"")</f>
        <v>0.0181268882175227</v>
      </c>
      <c r="E204" s="11" t="n">
        <f aca="false">IFERROR(COUNTIFS('Tagged Responses'!$AA$2:$AA$733,"*"&amp;$A204&amp;"*",'Tagged Responses'!$D$2:$D$733,Notes!$C$9)/E$189,"")</f>
        <v>0.0172413793103448</v>
      </c>
      <c r="F204" s="11" t="n">
        <f aca="false">IFERROR(COUNTIFS('Tagged Responses'!$AA$2:$AA$733,"*"&amp;$A204&amp;"*",'Tagged Responses'!$D$2:$D$733,Notes!$D$9)/F$189,"")</f>
        <v>0.105263157894737</v>
      </c>
      <c r="G204" s="11" t="n">
        <f aca="false">IFERROR(COUNTIFS('Tagged Responses'!$AA$2:$AA$733,"*"&amp;$A204&amp;"*",'Tagged Responses'!$E$2:$E$733,"Female")/G$189,"")</f>
        <v>0.0173010380622837</v>
      </c>
      <c r="H204" s="11" t="n">
        <f aca="false">IFERROR(COUNTIFS('Tagged Responses'!$AA$2:$AA$733,"*"&amp;$A204&amp;"*",'Tagged Responses'!$E$2:$E$733,"Male")/H$189,"")</f>
        <v>0.0303030303030303</v>
      </c>
      <c r="I204" s="11" t="n">
        <f aca="false">IFERROR(COUNTIFS('Tagged Responses'!$AA$2:$AA$733,"*"&amp;$A204&amp;"*",'Tagged Responses'!$G$2:$G$733,"United States")/I$189,"")</f>
        <v>0.0283018867924528</v>
      </c>
      <c r="J204" s="11" t="n">
        <f aca="false">IFERROR(COUNTIFS('Tagged Responses'!$AA$2:$AA$733,"*"&amp;$A204&amp;"*",'Tagged Responses'!$G$2:$G$733,"China")/J$189,"")</f>
        <v>0</v>
      </c>
    </row>
    <row r="205" customFormat="false" ht="15" hidden="false" customHeight="true" outlineLevel="0" collapsed="false">
      <c r="A205" s="10" t="s">
        <v>6516</v>
      </c>
      <c r="B205" s="10" t="n">
        <f aca="false">COUNTIF('Tagged Responses'!$AA$2:$AA$733,"*"&amp;$A205&amp;"*")</f>
        <v>8</v>
      </c>
      <c r="C205" s="11" t="n">
        <f aca="false">IFERROR(COUNTIF('Tagged Responses'!$AA$2:$AA$733,"*"&amp;$A205&amp;"*")/C$189,"")</f>
        <v>0.0171673819742489</v>
      </c>
      <c r="D205" s="11" t="n">
        <f aca="false">IFERROR(COUNTIFS('Tagged Responses'!$AA$2:$AA$733,"*"&amp;$A205&amp;"*",'Tagged Responses'!$D$2:$D$733,Notes!$B$9)/D$189,"")</f>
        <v>0.0151057401812689</v>
      </c>
      <c r="E205" s="11" t="n">
        <f aca="false">IFERROR(COUNTIFS('Tagged Responses'!$AA$2:$AA$733,"*"&amp;$A205&amp;"*",'Tagged Responses'!$D$2:$D$733,Notes!$C$9)/E$189,"")</f>
        <v>0.00862068965517241</v>
      </c>
      <c r="F205" s="11" t="n">
        <f aca="false">IFERROR(COUNTIFS('Tagged Responses'!$AA$2:$AA$733,"*"&amp;$A205&amp;"*",'Tagged Responses'!$D$2:$D$733,Notes!$D$9)/F$189,"")</f>
        <v>0.105263157894737</v>
      </c>
      <c r="G205" s="11" t="n">
        <f aca="false">IFERROR(COUNTIFS('Tagged Responses'!$AA$2:$AA$733,"*"&amp;$A205&amp;"*",'Tagged Responses'!$E$2:$E$733,"Female")/G$189,"")</f>
        <v>0.0069204152249135</v>
      </c>
      <c r="H205" s="11" t="n">
        <f aca="false">IFERROR(COUNTIFS('Tagged Responses'!$AA$2:$AA$733,"*"&amp;$A205&amp;"*",'Tagged Responses'!$E$2:$E$733,"Male")/H$189,"")</f>
        <v>0.0363636363636364</v>
      </c>
      <c r="I205" s="11" t="n">
        <f aca="false">IFERROR(COUNTIFS('Tagged Responses'!$AA$2:$AA$733,"*"&amp;$A205&amp;"*",'Tagged Responses'!$G$2:$G$733,"United States")/I$189,"")</f>
        <v>0.0188679245283019</v>
      </c>
      <c r="J205" s="11" t="n">
        <f aca="false">IFERROR(COUNTIFS('Tagged Responses'!$AA$2:$AA$733,"*"&amp;$A205&amp;"*",'Tagged Responses'!$G$2:$G$733,"China")/J$189,"")</f>
        <v>0.0172413793103448</v>
      </c>
    </row>
    <row r="206" customFormat="false" ht="15" hidden="false" customHeight="true" outlineLevel="0" collapsed="false">
      <c r="A206" s="10" t="s">
        <v>6534</v>
      </c>
      <c r="B206" s="10" t="n">
        <f aca="false">COUNTIF('Tagged Responses'!$AA$2:$AA$733,"*"&amp;$A206&amp;"*")</f>
        <v>8</v>
      </c>
      <c r="C206" s="11" t="n">
        <f aca="false">IFERROR(COUNTIF('Tagged Responses'!$AA$2:$AA$733,"*"&amp;$A206&amp;"*")/C$189,"")</f>
        <v>0.0171673819742489</v>
      </c>
      <c r="D206" s="11" t="n">
        <f aca="false">IFERROR(COUNTIFS('Tagged Responses'!$AA$2:$AA$733,"*"&amp;$A206&amp;"*",'Tagged Responses'!$D$2:$D$733,Notes!$B$9)/D$189,"")</f>
        <v>0.0120845921450151</v>
      </c>
      <c r="E206" s="11" t="n">
        <f aca="false">IFERROR(COUNTIFS('Tagged Responses'!$AA$2:$AA$733,"*"&amp;$A206&amp;"*",'Tagged Responses'!$D$2:$D$733,Notes!$C$9)/E$189,"")</f>
        <v>0.0344827586206897</v>
      </c>
      <c r="F206" s="11" t="n">
        <f aca="false">IFERROR(COUNTIFS('Tagged Responses'!$AA$2:$AA$733,"*"&amp;$A206&amp;"*",'Tagged Responses'!$D$2:$D$733,Notes!$D$9)/F$189,"")</f>
        <v>0</v>
      </c>
      <c r="G206" s="11" t="n">
        <f aca="false">IFERROR(COUNTIFS('Tagged Responses'!$AA$2:$AA$733,"*"&amp;$A206&amp;"*",'Tagged Responses'!$E$2:$E$733,"Female")/G$189,"")</f>
        <v>0.013840830449827</v>
      </c>
      <c r="H206" s="11" t="n">
        <f aca="false">IFERROR(COUNTIFS('Tagged Responses'!$AA$2:$AA$733,"*"&amp;$A206&amp;"*",'Tagged Responses'!$E$2:$E$733,"Male")/H$189,"")</f>
        <v>0.0242424242424242</v>
      </c>
      <c r="I206" s="11" t="n">
        <f aca="false">IFERROR(COUNTIFS('Tagged Responses'!$AA$2:$AA$733,"*"&amp;$A206&amp;"*",'Tagged Responses'!$G$2:$G$733,"United States")/I$189,"")</f>
        <v>0.0188679245283019</v>
      </c>
      <c r="J206" s="11" t="n">
        <f aca="false">IFERROR(COUNTIFS('Tagged Responses'!$AA$2:$AA$733,"*"&amp;$A206&amp;"*",'Tagged Responses'!$G$2:$G$733,"China")/J$189,"")</f>
        <v>0.00862068965517241</v>
      </c>
    </row>
    <row r="207" customFormat="false" ht="15" hidden="false" customHeight="true" outlineLevel="0" collapsed="false">
      <c r="A207" s="10" t="s">
        <v>6864</v>
      </c>
      <c r="B207" s="10" t="n">
        <f aca="false">COUNTIF('Tagged Responses'!$AA$2:$AA$733,"*"&amp;$A207&amp;"*")</f>
        <v>3</v>
      </c>
      <c r="C207" s="11" t="n">
        <f aca="false">IFERROR(COUNTIF('Tagged Responses'!$AA$2:$AA$733,"*"&amp;$A207&amp;"*")/C$189,"")</f>
        <v>0.00643776824034335</v>
      </c>
      <c r="D207" s="11" t="n">
        <f aca="false">IFERROR(COUNTIFS('Tagged Responses'!$AA$2:$AA$733,"*"&amp;$A207&amp;"*",'Tagged Responses'!$D$2:$D$733,Notes!$B$9)/D$189,"")</f>
        <v>0.00604229607250755</v>
      </c>
      <c r="E207" s="11" t="n">
        <f aca="false">IFERROR(COUNTIFS('Tagged Responses'!$AA$2:$AA$733,"*"&amp;$A207&amp;"*",'Tagged Responses'!$D$2:$D$733,Notes!$C$9)/E$189,"")</f>
        <v>0.00862068965517241</v>
      </c>
      <c r="F207" s="11" t="n">
        <f aca="false">IFERROR(COUNTIFS('Tagged Responses'!$AA$2:$AA$733,"*"&amp;$A207&amp;"*",'Tagged Responses'!$D$2:$D$733,Notes!$D$9)/F$189,"")</f>
        <v>0</v>
      </c>
      <c r="G207" s="11" t="n">
        <f aca="false">IFERROR(COUNTIFS('Tagged Responses'!$AA$2:$AA$733,"*"&amp;$A207&amp;"*",'Tagged Responses'!$E$2:$E$733,"Female")/G$189,"")</f>
        <v>0.00346020761245675</v>
      </c>
      <c r="H207" s="11" t="n">
        <f aca="false">IFERROR(COUNTIFS('Tagged Responses'!$AA$2:$AA$733,"*"&amp;$A207&amp;"*",'Tagged Responses'!$E$2:$E$733,"Male")/H$189,"")</f>
        <v>0.00606060606060606</v>
      </c>
      <c r="I207" s="11" t="n">
        <f aca="false">IFERROR(COUNTIFS('Tagged Responses'!$AA$2:$AA$733,"*"&amp;$A207&amp;"*",'Tagged Responses'!$G$2:$G$733,"United States")/I$189,"")</f>
        <v>0.00628930817610063</v>
      </c>
      <c r="J207" s="11" t="n">
        <f aca="false">IFERROR(COUNTIFS('Tagged Responses'!$AA$2:$AA$733,"*"&amp;$A207&amp;"*",'Tagged Responses'!$G$2:$G$733,"China")/J$189,"")</f>
        <v>0</v>
      </c>
    </row>
    <row r="208" customFormat="false" ht="15" hidden="false" customHeight="true" outlineLevel="0" collapsed="false">
      <c r="A208" s="10" t="s">
        <v>6551</v>
      </c>
      <c r="B208" s="10" t="n">
        <f aca="false">COUNTIF('Tagged Responses'!$AA$2:$AA$733,"*"&amp;$A208&amp;"*")</f>
        <v>23</v>
      </c>
      <c r="C208" s="11" t="n">
        <f aca="false">IFERROR(COUNTIF('Tagged Responses'!$AA$2:$AA$733,"*"&amp;$A208&amp;"*")/C$189,"")</f>
        <v>0.0493562231759657</v>
      </c>
      <c r="D208" s="11" t="n">
        <f aca="false">IFERROR(COUNTIFS('Tagged Responses'!$AA$2:$AA$733,"*"&amp;$A208&amp;"*",'Tagged Responses'!$D$2:$D$733,Notes!$B$9)/D$189,"")</f>
        <v>0.0392749244712991</v>
      </c>
      <c r="E208" s="11" t="n">
        <f aca="false">IFERROR(COUNTIFS('Tagged Responses'!$AA$2:$AA$733,"*"&amp;$A208&amp;"*",'Tagged Responses'!$D$2:$D$733,Notes!$C$9)/E$189,"")</f>
        <v>0.0689655172413793</v>
      </c>
      <c r="F208" s="11" t="n">
        <f aca="false">IFERROR(COUNTIFS('Tagged Responses'!$AA$2:$AA$733,"*"&amp;$A208&amp;"*",'Tagged Responses'!$D$2:$D$733,Notes!$D$9)/F$189,"")</f>
        <v>0.105263157894737</v>
      </c>
      <c r="G208" s="11" t="n">
        <f aca="false">IFERROR(COUNTIFS('Tagged Responses'!$AA$2:$AA$733,"*"&amp;$A208&amp;"*",'Tagged Responses'!$E$2:$E$733,"Female")/G$189,"")</f>
        <v>0.0380622837370242</v>
      </c>
      <c r="H208" s="11" t="n">
        <f aca="false">IFERROR(COUNTIFS('Tagged Responses'!$AA$2:$AA$733,"*"&amp;$A208&amp;"*",'Tagged Responses'!$E$2:$E$733,"Male")/H$189,"")</f>
        <v>0.0727272727272727</v>
      </c>
      <c r="I208" s="11" t="n">
        <f aca="false">IFERROR(COUNTIFS('Tagged Responses'!$AA$2:$AA$733,"*"&amp;$A208&amp;"*",'Tagged Responses'!$G$2:$G$733,"United States")/I$189,"")</f>
        <v>0.050314465408805</v>
      </c>
      <c r="J208" s="11" t="n">
        <f aca="false">IFERROR(COUNTIFS('Tagged Responses'!$AA$2:$AA$733,"*"&amp;$A208&amp;"*",'Tagged Responses'!$G$2:$G$733,"China")/J$189,"")</f>
        <v>0.0517241379310345</v>
      </c>
    </row>
    <row r="209" customFormat="false" ht="15" hidden="false" customHeight="true" outlineLevel="0" collapsed="false">
      <c r="A209" s="10" t="s">
        <v>6647</v>
      </c>
      <c r="B209" s="10" t="n">
        <f aca="false">COUNTIF('Tagged Responses'!$AA$2:$AA$733,"*"&amp;$A209&amp;"*")</f>
        <v>18</v>
      </c>
      <c r="C209" s="11" t="n">
        <f aca="false">IFERROR(COUNTIF('Tagged Responses'!$AA$2:$AA$733,"*"&amp;$A209&amp;"*")/C$189,"")</f>
        <v>0.0386266094420601</v>
      </c>
      <c r="D209" s="11" t="n">
        <f aca="false">IFERROR(COUNTIFS('Tagged Responses'!$AA$2:$AA$733,"*"&amp;$A209&amp;"*",'Tagged Responses'!$D$2:$D$733,Notes!$B$9)/D$189,"")</f>
        <v>0.0302114803625378</v>
      </c>
      <c r="E209" s="11" t="n">
        <f aca="false">IFERROR(COUNTIFS('Tagged Responses'!$AA$2:$AA$733,"*"&amp;$A209&amp;"*",'Tagged Responses'!$D$2:$D$733,Notes!$C$9)/E$189,"")</f>
        <v>0.0603448275862069</v>
      </c>
      <c r="F209" s="11" t="n">
        <f aca="false">IFERROR(COUNTIFS('Tagged Responses'!$AA$2:$AA$733,"*"&amp;$A209&amp;"*",'Tagged Responses'!$D$2:$D$733,Notes!$D$9)/F$189,"")</f>
        <v>0.0526315789473684</v>
      </c>
      <c r="G209" s="11" t="n">
        <f aca="false">IFERROR(COUNTIFS('Tagged Responses'!$AA$2:$AA$733,"*"&amp;$A209&amp;"*",'Tagged Responses'!$E$2:$E$733,"Female")/G$189,"")</f>
        <v>0.0346020761245675</v>
      </c>
      <c r="H209" s="11" t="n">
        <f aca="false">IFERROR(COUNTIFS('Tagged Responses'!$AA$2:$AA$733,"*"&amp;$A209&amp;"*",'Tagged Responses'!$E$2:$E$733,"Male")/H$189,"")</f>
        <v>0.0484848484848485</v>
      </c>
      <c r="I209" s="11" t="n">
        <f aca="false">IFERROR(COUNTIFS('Tagged Responses'!$AA$2:$AA$733,"*"&amp;$A209&amp;"*",'Tagged Responses'!$G$2:$G$733,"United States")/I$189,"")</f>
        <v>0.050314465408805</v>
      </c>
      <c r="J209" s="11" t="n">
        <f aca="false">IFERROR(COUNTIFS('Tagged Responses'!$AA$2:$AA$733,"*"&amp;$A209&amp;"*",'Tagged Responses'!$G$2:$G$733,"China")/J$189,"")</f>
        <v>0.0172413793103448</v>
      </c>
    </row>
    <row r="210" customFormat="false" ht="15" hidden="false" customHeight="true" outlineLevel="0" collapsed="false">
      <c r="A210" s="10" t="s">
        <v>6538</v>
      </c>
      <c r="B210" s="10" t="n">
        <f aca="false">COUNTIF('Tagged Responses'!$AA$2:$AA$733,"*"&amp;$A210&amp;"*")</f>
        <v>24</v>
      </c>
      <c r="C210" s="11" t="n">
        <f aca="false">IFERROR(COUNTIF('Tagged Responses'!$AA$2:$AA$733,"*"&amp;$A210&amp;"*")/C$189,"")</f>
        <v>0.0515021459227468</v>
      </c>
      <c r="D210" s="11" t="n">
        <f aca="false">IFERROR(COUNTIFS('Tagged Responses'!$AA$2:$AA$733,"*"&amp;$A210&amp;"*",'Tagged Responses'!$D$2:$D$733,Notes!$B$9)/D$189,"")</f>
        <v>0.0422960725075529</v>
      </c>
      <c r="E210" s="11" t="n">
        <f aca="false">IFERROR(COUNTIFS('Tagged Responses'!$AA$2:$AA$733,"*"&amp;$A210&amp;"*",'Tagged Responses'!$D$2:$D$733,Notes!$C$9)/E$189,"")</f>
        <v>0.0775862068965517</v>
      </c>
      <c r="F210" s="11" t="n">
        <f aca="false">IFERROR(COUNTIFS('Tagged Responses'!$AA$2:$AA$733,"*"&amp;$A210&amp;"*",'Tagged Responses'!$D$2:$D$733,Notes!$D$9)/F$189,"")</f>
        <v>0.0526315789473684</v>
      </c>
      <c r="G210" s="11" t="n">
        <f aca="false">IFERROR(COUNTIFS('Tagged Responses'!$AA$2:$AA$733,"*"&amp;$A210&amp;"*",'Tagged Responses'!$E$2:$E$733,"Female")/G$189,"")</f>
        <v>0.0519031141868512</v>
      </c>
      <c r="H210" s="11" t="n">
        <f aca="false">IFERROR(COUNTIFS('Tagged Responses'!$AA$2:$AA$733,"*"&amp;$A210&amp;"*",'Tagged Responses'!$E$2:$E$733,"Male")/H$189,"")</f>
        <v>0.0545454545454545</v>
      </c>
      <c r="I210" s="11" t="n">
        <f aca="false">IFERROR(COUNTIFS('Tagged Responses'!$AA$2:$AA$733,"*"&amp;$A210&amp;"*",'Tagged Responses'!$G$2:$G$733,"United States")/I$189,"")</f>
        <v>0.0220125786163522</v>
      </c>
      <c r="J210" s="11" t="n">
        <f aca="false">IFERROR(COUNTIFS('Tagged Responses'!$AA$2:$AA$733,"*"&amp;$A210&amp;"*",'Tagged Responses'!$G$2:$G$733,"China")/J$189,"")</f>
        <v>0.146551724137931</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1" width="40"/>
    <col collapsed="false" customWidth="true" hidden="false" outlineLevel="0" max="6" min="2" style="1" width="14"/>
  </cols>
  <sheetData>
    <row r="1" customFormat="false" ht="15.75" hidden="false" customHeight="true" outlineLevel="0" collapsed="false">
      <c r="A1" s="6" t="s">
        <v>7697</v>
      </c>
      <c r="B1" s="10"/>
      <c r="C1" s="10"/>
      <c r="D1" s="10"/>
      <c r="E1" s="10"/>
      <c r="F1" s="10"/>
    </row>
    <row r="2" customFormat="false" ht="15" hidden="false" customHeight="true" outlineLevel="0" collapsed="false">
      <c r="A2" s="10"/>
      <c r="B2" s="10"/>
      <c r="C2" s="10"/>
      <c r="D2" s="10"/>
      <c r="E2" s="10"/>
      <c r="F2" s="10"/>
    </row>
    <row r="3" customFormat="false" ht="15" hidden="false" customHeight="true" outlineLevel="0" collapsed="false">
      <c r="A3" s="9" t="s">
        <v>7698</v>
      </c>
      <c r="B3" s="10"/>
      <c r="C3" s="10"/>
      <c r="D3" s="10"/>
      <c r="E3" s="10"/>
      <c r="F3" s="10"/>
    </row>
    <row r="4" customFormat="false" ht="15" hidden="false" customHeight="true" outlineLevel="0" collapsed="false">
      <c r="A4" s="10" t="s">
        <v>7699</v>
      </c>
      <c r="B4" s="12" t="n">
        <v>29</v>
      </c>
      <c r="C4" s="10"/>
      <c r="D4" s="10"/>
      <c r="E4" s="10"/>
      <c r="F4" s="10"/>
    </row>
    <row r="5" customFormat="false" ht="15" hidden="false" customHeight="true" outlineLevel="0" collapsed="false">
      <c r="A5" s="10" t="s">
        <v>7700</v>
      </c>
      <c r="B5" s="12" t="n">
        <v>65</v>
      </c>
      <c r="C5" s="10"/>
      <c r="D5" s="10"/>
      <c r="E5" s="10"/>
      <c r="F5" s="10"/>
    </row>
    <row r="6" customFormat="false" ht="15" hidden="false" customHeight="true" outlineLevel="0" collapsed="false">
      <c r="A6" s="10" t="s">
        <v>7701</v>
      </c>
      <c r="B6" s="10" t="s">
        <v>7702</v>
      </c>
      <c r="C6" s="10"/>
      <c r="D6" s="10"/>
      <c r="E6" s="10"/>
      <c r="F6" s="10"/>
    </row>
    <row r="7" customFormat="false" ht="15" hidden="false" customHeight="true" outlineLevel="0" collapsed="false">
      <c r="A7" s="10"/>
      <c r="B7" s="10"/>
      <c r="C7" s="10"/>
      <c r="D7" s="10"/>
      <c r="E7" s="10"/>
      <c r="F7" s="10"/>
    </row>
    <row r="8" customFormat="false" ht="15" hidden="false" customHeight="true" outlineLevel="0" collapsed="false">
      <c r="A8" s="9" t="s">
        <v>7703</v>
      </c>
      <c r="B8" s="10"/>
      <c r="C8" s="10"/>
      <c r="D8" s="10"/>
      <c r="E8" s="10"/>
      <c r="F8" s="10"/>
    </row>
    <row r="9" customFormat="false" ht="15" hidden="false" customHeight="true" outlineLevel="0" collapsed="false">
      <c r="A9" s="9" t="s">
        <v>1</v>
      </c>
      <c r="B9" s="9" t="str">
        <f aca="false">"Student age (≤"&amp;$B$4&amp;")"</f>
        <v>Student age (≤29)</v>
      </c>
      <c r="C9" s="9" t="str">
        <f aca="false">"Middle-aged ("&amp;($B$4+1)&amp;"–"&amp;($B$5-1)&amp;")"</f>
        <v>Middle-aged (30–64)</v>
      </c>
      <c r="D9" s="9" t="str">
        <f aca="false">"Elderly ("&amp;$B$5&amp;"+)"</f>
        <v>Elderly (65+)</v>
      </c>
      <c r="E9" s="9" t="s">
        <v>7704</v>
      </c>
      <c r="F9" s="9" t="s">
        <v>7705</v>
      </c>
    </row>
    <row r="10" customFormat="false" ht="15" hidden="false" customHeight="true" outlineLevel="0" collapsed="false">
      <c r="A10" s="10" t="n">
        <v>1</v>
      </c>
      <c r="B10" s="10" t="n">
        <f aca="false">COUNTIFS(Combined!$B:$B,$A10,Combined!$G:$G,B$9)</f>
        <v>67</v>
      </c>
      <c r="C10" s="10" t="n">
        <f aca="false">COUNTIFS(Combined!$B:$B,$A10,Combined!$G:$G,C$9)</f>
        <v>8</v>
      </c>
      <c r="D10" s="10" t="n">
        <f aca="false">COUNTIFS(Combined!$B:$B,$A10,Combined!$G:$G,D$9)</f>
        <v>0</v>
      </c>
      <c r="E10" s="10" t="n">
        <f aca="false">COUNTIFS(Combined!$B:$B,$A10,Combined!$F:$F,"")</f>
        <v>0</v>
      </c>
      <c r="F10" s="10" t="n">
        <f aca="false">COUNTIF(Combined!$B:$B,$A10)</f>
        <v>75</v>
      </c>
    </row>
    <row r="11" customFormat="false" ht="15" hidden="false" customHeight="true" outlineLevel="0" collapsed="false">
      <c r="A11" s="10" t="n">
        <v>2</v>
      </c>
      <c r="B11" s="10" t="n">
        <f aca="false">COUNTIFS(Combined!$B:$B,$A11,Combined!$G:$G,B$9)</f>
        <v>34</v>
      </c>
      <c r="C11" s="10" t="n">
        <f aca="false">COUNTIFS(Combined!$B:$B,$A11,Combined!$G:$G,C$9)</f>
        <v>13</v>
      </c>
      <c r="D11" s="10" t="n">
        <f aca="false">COUNTIFS(Combined!$B:$B,$A11,Combined!$G:$G,D$9)</f>
        <v>2</v>
      </c>
      <c r="E11" s="10" t="n">
        <f aca="false">COUNTIFS(Combined!$B:$B,$A11,Combined!$F:$F,"")</f>
        <v>0</v>
      </c>
      <c r="F11" s="10" t="n">
        <f aca="false">COUNTIF(Combined!$B:$B,$A11)</f>
        <v>49</v>
      </c>
    </row>
    <row r="12" customFormat="false" ht="15" hidden="false" customHeight="true" outlineLevel="0" collapsed="false">
      <c r="A12" s="10" t="n">
        <v>3</v>
      </c>
      <c r="B12" s="10" t="n">
        <f aca="false">COUNTIFS(Combined!$B:$B,$A12,Combined!$G:$G,B$9)</f>
        <v>41</v>
      </c>
      <c r="C12" s="10" t="n">
        <f aca="false">COUNTIFS(Combined!$B:$B,$A12,Combined!$G:$G,C$9)</f>
        <v>56</v>
      </c>
      <c r="D12" s="10" t="n">
        <f aca="false">COUNTIFS(Combined!$B:$B,$A12,Combined!$G:$G,D$9)</f>
        <v>5</v>
      </c>
      <c r="E12" s="10" t="n">
        <f aca="false">COUNTIFS(Combined!$B:$B,$A12,Combined!$F:$F,"")</f>
        <v>0</v>
      </c>
      <c r="F12" s="10" t="n">
        <f aca="false">COUNTIF(Combined!$B:$B,$A12)</f>
        <v>102</v>
      </c>
    </row>
    <row r="13" customFormat="false" ht="15" hidden="false" customHeight="true" outlineLevel="0" collapsed="false">
      <c r="A13" s="10" t="n">
        <v>4</v>
      </c>
      <c r="B13" s="10" t="n">
        <f aca="false">COUNTIFS(Combined!$B:$B,$A13,Combined!$G:$G,B$9)</f>
        <v>91</v>
      </c>
      <c r="C13" s="10" t="n">
        <f aca="false">COUNTIFS(Combined!$B:$B,$A13,Combined!$G:$G,C$9)</f>
        <v>15</v>
      </c>
      <c r="D13" s="10" t="n">
        <f aca="false">COUNTIFS(Combined!$B:$B,$A13,Combined!$G:$G,D$9)</f>
        <v>0</v>
      </c>
      <c r="E13" s="10" t="n">
        <f aca="false">COUNTIFS(Combined!$B:$B,$A13,Combined!$F:$F,"")</f>
        <v>0</v>
      </c>
      <c r="F13" s="10" t="n">
        <f aca="false">COUNTIF(Combined!$B:$B,$A13)</f>
        <v>106</v>
      </c>
    </row>
    <row r="14" customFormat="false" ht="15" hidden="false" customHeight="true" outlineLevel="0" collapsed="false">
      <c r="A14" s="10" t="n">
        <v>5</v>
      </c>
      <c r="B14" s="10" t="n">
        <f aca="false">COUNTIFS(Combined!$B:$B,$A14,Combined!$G:$G,B$9)</f>
        <v>64</v>
      </c>
      <c r="C14" s="10" t="n">
        <f aca="false">COUNTIFS(Combined!$B:$B,$A14,Combined!$G:$G,C$9)</f>
        <v>31</v>
      </c>
      <c r="D14" s="10" t="n">
        <f aca="false">COUNTIFS(Combined!$B:$B,$A14,Combined!$G:$G,D$9)</f>
        <v>6</v>
      </c>
      <c r="E14" s="10" t="n">
        <f aca="false">COUNTIFS(Combined!$B:$B,$A14,Combined!$F:$F,"")</f>
        <v>0</v>
      </c>
      <c r="F14" s="10" t="n">
        <f aca="false">COUNTIF(Combined!$B:$B,$A14)</f>
        <v>101</v>
      </c>
    </row>
    <row r="15" customFormat="false" ht="15" hidden="false" customHeight="true" outlineLevel="0" collapsed="false">
      <c r="A15" s="10" t="n">
        <v>6</v>
      </c>
      <c r="B15" s="10" t="n">
        <f aca="false">COUNTIFS(Combined!$B:$B,$A15,Combined!$G:$G,B$9)</f>
        <v>95</v>
      </c>
      <c r="C15" s="10" t="n">
        <f aca="false">COUNTIFS(Combined!$B:$B,$A15,Combined!$G:$G,C$9)</f>
        <v>23</v>
      </c>
      <c r="D15" s="10" t="n">
        <f aca="false">COUNTIFS(Combined!$B:$B,$A15,Combined!$G:$G,D$9)</f>
        <v>4</v>
      </c>
      <c r="E15" s="10" t="n">
        <f aca="false">COUNTIFS(Combined!$B:$B,$A15,Combined!$F:$F,"")</f>
        <v>0</v>
      </c>
      <c r="F15" s="10" t="n">
        <f aca="false">COUNTIF(Combined!$B:$B,$A15)</f>
        <v>122</v>
      </c>
    </row>
    <row r="16" customFormat="false" ht="15" hidden="false" customHeight="true" outlineLevel="0" collapsed="false">
      <c r="A16" s="10" t="n">
        <v>7</v>
      </c>
      <c r="B16" s="10" t="n">
        <f aca="false">COUNTIFS(Combined!$B:$B,$A16,Combined!$G:$G,B$9)</f>
        <v>87</v>
      </c>
      <c r="C16" s="10" t="n">
        <f aca="false">COUNTIFS(Combined!$B:$B,$A16,Combined!$G:$G,C$9)</f>
        <v>13</v>
      </c>
      <c r="D16" s="10" t="n">
        <f aca="false">COUNTIFS(Combined!$B:$B,$A16,Combined!$G:$G,D$9)</f>
        <v>0</v>
      </c>
      <c r="E16" s="10" t="n">
        <f aca="false">COUNTIFS(Combined!$B:$B,$A16,Combined!$F:$F,"")</f>
        <v>0</v>
      </c>
      <c r="F16" s="10" t="n">
        <f aca="false">COUNTIF(Combined!$B:$B,$A16)</f>
        <v>100</v>
      </c>
    </row>
    <row r="17" customFormat="false" ht="15" hidden="false" customHeight="true" outlineLevel="0" collapsed="false">
      <c r="A17" s="10" t="n">
        <v>8</v>
      </c>
      <c r="B17" s="10" t="n">
        <f aca="false">COUNTIFS(Combined!$B:$B,$A17,Combined!$G:$G,B$9)</f>
        <v>66</v>
      </c>
      <c r="C17" s="10" t="n">
        <f aca="false">COUNTIFS(Combined!$B:$B,$A17,Combined!$G:$G,C$9)</f>
        <v>8</v>
      </c>
      <c r="D17" s="10" t="n">
        <f aca="false">COUNTIFS(Combined!$B:$B,$A17,Combined!$G:$G,D$9)</f>
        <v>3</v>
      </c>
      <c r="E17" s="10" t="n">
        <f aca="false">COUNTIFS(Combined!$B:$B,$A17,Combined!$F:$F,"")</f>
        <v>0</v>
      </c>
      <c r="F17" s="10" t="n">
        <f aca="false">COUNTIF(Combined!$B:$B,$A17)</f>
        <v>77</v>
      </c>
    </row>
    <row r="18" customFormat="false" ht="15" hidden="false" customHeight="true" outlineLevel="0" collapsed="false">
      <c r="A18" s="9" t="s">
        <v>7705</v>
      </c>
      <c r="B18" s="9" t="n">
        <f aca="false">SUM(B10:B17)</f>
        <v>545</v>
      </c>
      <c r="C18" s="9" t="n">
        <f aca="false">SUM(C10:C17)</f>
        <v>167</v>
      </c>
      <c r="D18" s="9" t="n">
        <f aca="false">SUM(D10:D17)</f>
        <v>20</v>
      </c>
      <c r="E18" s="9" t="n">
        <f aca="false">SUM(E10:E17)</f>
        <v>0</v>
      </c>
      <c r="F18" s="9" t="n">
        <f aca="false">SUM(F10:F17)</f>
        <v>732</v>
      </c>
    </row>
    <row r="20" customFormat="false" ht="15" hidden="false" customHeight="true" outlineLevel="0" collapsed="false">
      <c r="A20" s="9" t="s">
        <v>7706</v>
      </c>
    </row>
    <row r="21" customFormat="false" ht="15" hidden="false" customHeight="true" outlineLevel="0" collapsed="false">
      <c r="A21" s="10" t="s">
        <v>7707</v>
      </c>
    </row>
    <row r="22" customFormat="false" ht="15" hidden="false" customHeight="true" outlineLevel="0" collapsed="false">
      <c r="A22" s="10" t="s">
        <v>7708</v>
      </c>
    </row>
    <row r="23" customFormat="false" ht="15" hidden="false" customHeight="true" outlineLevel="0" collapsed="false">
      <c r="A23" s="10" t="s">
        <v>7709</v>
      </c>
    </row>
    <row r="24" customFormat="false" ht="15" hidden="false" customHeight="true" outlineLevel="0" collapsed="false">
      <c r="A24" s="10" t="s">
        <v>7710</v>
      </c>
    </row>
    <row r="25" customFormat="false" ht="15" hidden="false" customHeight="true" outlineLevel="0" collapsed="false">
      <c r="A25" s="10" t="s">
        <v>7711</v>
      </c>
    </row>
    <row r="26" customFormat="false" ht="15" hidden="false" customHeight="true" outlineLevel="0" collapsed="false">
      <c r="A26" s="9" t="s">
        <v>7712</v>
      </c>
    </row>
    <row r="27" customFormat="false" ht="15" hidden="false" customHeight="true" outlineLevel="0" collapsed="false">
      <c r="A27" s="10" t="s">
        <v>7713</v>
      </c>
    </row>
    <row r="28" customFormat="false" ht="15" hidden="false" customHeight="true" outlineLevel="0" collapsed="false">
      <c r="A28" s="10" t="s">
        <v>7714</v>
      </c>
    </row>
    <row r="29" customFormat="false" ht="15" hidden="false" customHeight="true" outlineLevel="0" collapsed="false">
      <c r="A29" s="9" t="s">
        <v>7715</v>
      </c>
    </row>
    <row r="30" customFormat="false" ht="15" hidden="false" customHeight="true" outlineLevel="0" collapsed="false">
      <c r="A30" s="10" t="s">
        <v>7716</v>
      </c>
    </row>
    <row r="31" customFormat="false" ht="15" hidden="false" customHeight="true" outlineLevel="0" collapsed="false">
      <c r="A31" s="10" t="s">
        <v>7717</v>
      </c>
    </row>
    <row r="32" customFormat="false" ht="15" hidden="false" customHeight="true" outlineLevel="0" collapsed="false">
      <c r="A32" s="10" t="s">
        <v>7718</v>
      </c>
    </row>
    <row r="33" customFormat="false" ht="15" hidden="false" customHeight="true" outlineLevel="0" collapsed="false">
      <c r="A33" s="10" t="s">
        <v>7719</v>
      </c>
    </row>
    <row r="34" customFormat="false" ht="15" hidden="false" customHeight="true" outlineLevel="0" collapsed="false">
      <c r="A34" s="10" t="s">
        <v>7720</v>
      </c>
    </row>
    <row r="35" customFormat="false" ht="15" hidden="false" customHeight="true" outlineLevel="0" collapsed="false">
      <c r="A35" s="10" t="s">
        <v>7721</v>
      </c>
    </row>
    <row r="37" customFormat="false" ht="15" hidden="false" customHeight="true" outlineLevel="0" collapsed="false">
      <c r="A37" s="9" t="s">
        <v>7722</v>
      </c>
    </row>
    <row r="38" customFormat="false" ht="15" hidden="false" customHeight="true" outlineLevel="0" collapsed="false">
      <c r="A38" s="10" t="s">
        <v>7723</v>
      </c>
    </row>
    <row r="39" customFormat="false" ht="15" hidden="false" customHeight="true" outlineLevel="0" collapsed="false">
      <c r="A39" s="10" t="s">
        <v>7724</v>
      </c>
    </row>
    <row r="40" customFormat="false" ht="15" hidden="false" customHeight="true" outlineLevel="0" collapsed="false">
      <c r="A40" s="10" t="s">
        <v>7725</v>
      </c>
    </row>
    <row r="41" customFormat="false" ht="15" hidden="false" customHeight="true" outlineLevel="0" collapsed="false">
      <c r="A41" s="10" t="s">
        <v>7726</v>
      </c>
    </row>
    <row r="42" customFormat="false" ht="15" hidden="false" customHeight="true" outlineLevel="0" collapsed="false">
      <c r="A42" s="10" t="s">
        <v>7727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2" activeCellId="0" sqref="H12"/>
    </sheetView>
  </sheetViews>
  <sheetFormatPr defaultColWidth="43.5078125" defaultRowHeight="15.75" zeroHeight="false" outlineLevelRow="0" outlineLevelCol="0"/>
  <cols>
    <col collapsed="false" customWidth="true" hidden="false" outlineLevel="0" max="1" min="1" style="13" width="7"/>
    <col collapsed="false" customWidth="true" hidden="false" outlineLevel="0" max="2" min="2" style="13" width="9.83"/>
    <col collapsed="false" customWidth="true" hidden="false" outlineLevel="0" max="3" min="3" style="13" width="25.5"/>
    <col collapsed="false" customWidth="true" hidden="false" outlineLevel="0" max="4" min="4" style="13" width="34.5"/>
    <col collapsed="false" customWidth="false" hidden="false" outlineLevel="0" max="5" min="5" style="13" width="43.5"/>
    <col collapsed="false" customWidth="true" hidden="false" outlineLevel="0" max="6" min="6" style="13" width="42.51"/>
    <col collapsed="false" customWidth="false" hidden="false" outlineLevel="0" max="16384" min="7" style="13" width="43.5"/>
  </cols>
  <sheetData>
    <row r="1" s="16" customFormat="true" ht="63" hidden="false" customHeight="true" outlineLevel="0" collapsed="false">
      <c r="A1" s="14" t="s">
        <v>5</v>
      </c>
      <c r="B1" s="14" t="s">
        <v>7</v>
      </c>
      <c r="C1" s="14" t="s">
        <v>7728</v>
      </c>
      <c r="D1" s="14" t="s">
        <v>7729</v>
      </c>
      <c r="E1" s="14" t="s">
        <v>7730</v>
      </c>
      <c r="F1" s="14" t="s">
        <v>7731</v>
      </c>
      <c r="G1" s="14" t="s">
        <v>7732</v>
      </c>
      <c r="H1" s="14" t="s">
        <v>7733</v>
      </c>
      <c r="I1" s="14" t="s">
        <v>7734</v>
      </c>
      <c r="J1" s="14" t="s">
        <v>7735</v>
      </c>
      <c r="K1" s="14" t="s">
        <v>7736</v>
      </c>
      <c r="L1" s="14" t="s">
        <v>7737</v>
      </c>
      <c r="M1" s="14" t="s">
        <v>7738</v>
      </c>
      <c r="N1" s="14" t="s">
        <v>7739</v>
      </c>
      <c r="O1" s="14" t="s">
        <v>7740</v>
      </c>
      <c r="P1" s="14" t="s">
        <v>7741</v>
      </c>
      <c r="Q1" s="14" t="s">
        <v>7742</v>
      </c>
      <c r="R1" s="14" t="s">
        <v>7743</v>
      </c>
      <c r="S1" s="14" t="s">
        <v>7744</v>
      </c>
      <c r="T1" s="14" t="s">
        <v>7745</v>
      </c>
      <c r="U1" s="14" t="s">
        <v>7746</v>
      </c>
      <c r="V1" s="14" t="s">
        <v>7747</v>
      </c>
      <c r="W1" s="14" t="s">
        <v>7748</v>
      </c>
      <c r="X1" s="15"/>
      <c r="Y1" s="15"/>
      <c r="Z1" s="15"/>
      <c r="AA1" s="15"/>
      <c r="AB1" s="15"/>
      <c r="AC1" s="15"/>
    </row>
    <row r="2" customFormat="false" ht="67.5" hidden="false" customHeight="true" outlineLevel="0" collapsed="false">
      <c r="A2" s="17" t="n">
        <v>25</v>
      </c>
      <c r="B2" s="17" t="s">
        <v>45</v>
      </c>
      <c r="C2" s="17" t="s">
        <v>7749</v>
      </c>
      <c r="D2" s="17" t="s">
        <v>7750</v>
      </c>
      <c r="E2" s="17" t="s">
        <v>51</v>
      </c>
      <c r="F2" s="17" t="n">
        <v>35</v>
      </c>
      <c r="G2" s="17" t="s">
        <v>7751</v>
      </c>
      <c r="H2" s="17" t="s">
        <v>54</v>
      </c>
      <c r="I2" s="17" t="s">
        <v>7752</v>
      </c>
      <c r="J2" s="17" t="s">
        <v>56</v>
      </c>
      <c r="K2" s="17" t="s">
        <v>57</v>
      </c>
      <c r="L2" s="18"/>
      <c r="M2" s="17" t="n">
        <v>3</v>
      </c>
      <c r="N2" s="17" t="n">
        <v>1</v>
      </c>
      <c r="O2" s="17" t="n">
        <v>2</v>
      </c>
      <c r="P2" s="17" t="n">
        <v>2</v>
      </c>
      <c r="Q2" s="17" t="n">
        <v>1</v>
      </c>
      <c r="R2" s="17" t="n">
        <v>3</v>
      </c>
      <c r="S2" s="18"/>
      <c r="T2" s="17" t="s">
        <v>7753</v>
      </c>
      <c r="U2" s="17" t="s">
        <v>59</v>
      </c>
      <c r="V2" s="17" t="s">
        <v>59</v>
      </c>
      <c r="W2" s="17" t="s">
        <v>59</v>
      </c>
      <c r="X2" s="18"/>
      <c r="Y2" s="18"/>
      <c r="Z2" s="18"/>
      <c r="AA2" s="18"/>
      <c r="AB2" s="18"/>
      <c r="AC2" s="18"/>
    </row>
    <row r="3" customFormat="false" ht="33.75" hidden="false" customHeight="true" outlineLevel="0" collapsed="false">
      <c r="A3" s="17" t="n">
        <v>24</v>
      </c>
      <c r="B3" s="17" t="s">
        <v>45</v>
      </c>
      <c r="C3" s="17" t="s">
        <v>7754</v>
      </c>
      <c r="D3" s="17" t="s">
        <v>7750</v>
      </c>
      <c r="E3" s="17" t="s">
        <v>7755</v>
      </c>
      <c r="F3" s="17" t="n">
        <v>38</v>
      </c>
      <c r="G3" s="17" t="s">
        <v>64</v>
      </c>
      <c r="H3" s="17" t="s">
        <v>65</v>
      </c>
      <c r="I3" s="17" t="s">
        <v>66</v>
      </c>
      <c r="J3" s="17" t="s">
        <v>67</v>
      </c>
      <c r="K3" s="17" t="s">
        <v>68</v>
      </c>
      <c r="L3" s="18"/>
      <c r="M3" s="17" t="n">
        <v>2</v>
      </c>
      <c r="N3" s="17" t="n">
        <v>1</v>
      </c>
      <c r="O3" s="17" t="n">
        <v>3</v>
      </c>
      <c r="P3" s="17" t="n">
        <v>3</v>
      </c>
      <c r="Q3" s="17" t="n">
        <v>2</v>
      </c>
      <c r="R3" s="17" t="n">
        <v>1</v>
      </c>
      <c r="S3" s="18"/>
      <c r="T3" s="17" t="s">
        <v>69</v>
      </c>
      <c r="U3" s="17" t="s">
        <v>59</v>
      </c>
      <c r="V3" s="17" t="s">
        <v>59</v>
      </c>
      <c r="W3" s="17" t="s">
        <v>59</v>
      </c>
      <c r="X3" s="18"/>
      <c r="Y3" s="18"/>
      <c r="Z3" s="18"/>
      <c r="AA3" s="18"/>
      <c r="AB3" s="18"/>
      <c r="AC3" s="18"/>
    </row>
    <row r="4" customFormat="false" ht="118.5" hidden="false" customHeight="true" outlineLevel="0" collapsed="false">
      <c r="A4" s="17" t="n">
        <v>19</v>
      </c>
      <c r="B4" s="17" t="s">
        <v>45</v>
      </c>
      <c r="C4" s="17" t="s">
        <v>71</v>
      </c>
      <c r="D4" s="17" t="s">
        <v>49</v>
      </c>
      <c r="E4" s="17" t="s">
        <v>73</v>
      </c>
      <c r="F4" s="17" t="n">
        <v>10</v>
      </c>
      <c r="G4" s="17" t="s">
        <v>75</v>
      </c>
      <c r="H4" s="17" t="s">
        <v>76</v>
      </c>
      <c r="I4" s="17" t="s">
        <v>77</v>
      </c>
      <c r="J4" s="17" t="s">
        <v>78</v>
      </c>
      <c r="K4" s="17" t="s">
        <v>79</v>
      </c>
      <c r="L4" s="18"/>
      <c r="M4" s="17" t="n">
        <v>3</v>
      </c>
      <c r="N4" s="17" t="n">
        <v>3</v>
      </c>
      <c r="O4" s="17" t="n">
        <v>2</v>
      </c>
      <c r="P4" s="17" t="n">
        <v>2</v>
      </c>
      <c r="Q4" s="17" t="n">
        <v>1</v>
      </c>
      <c r="R4" s="17" t="n">
        <v>1</v>
      </c>
      <c r="S4" s="18"/>
      <c r="T4" s="17" t="s">
        <v>80</v>
      </c>
      <c r="U4" s="17" t="s">
        <v>59</v>
      </c>
      <c r="V4" s="17" t="s">
        <v>59</v>
      </c>
      <c r="W4" s="17" t="s">
        <v>59</v>
      </c>
      <c r="X4" s="18"/>
      <c r="Y4" s="18"/>
      <c r="Z4" s="18"/>
      <c r="AA4" s="18"/>
      <c r="AB4" s="18"/>
      <c r="AC4" s="18"/>
    </row>
    <row r="5" customFormat="false" ht="51" hidden="false" customHeight="true" outlineLevel="0" collapsed="false">
      <c r="A5" s="17" t="n">
        <v>21</v>
      </c>
      <c r="B5" s="17" t="s">
        <v>83</v>
      </c>
      <c r="C5" s="17" t="s">
        <v>7756</v>
      </c>
      <c r="D5" s="17" t="s">
        <v>7756</v>
      </c>
      <c r="E5" s="17" t="s">
        <v>84</v>
      </c>
      <c r="F5" s="17" t="n">
        <v>40</v>
      </c>
      <c r="G5" s="17" t="s">
        <v>85</v>
      </c>
      <c r="H5" s="17" t="s">
        <v>86</v>
      </c>
      <c r="I5" s="17" t="s">
        <v>7757</v>
      </c>
      <c r="J5" s="17" t="s">
        <v>88</v>
      </c>
      <c r="K5" s="17" t="s">
        <v>89</v>
      </c>
      <c r="L5" s="18"/>
      <c r="M5" s="17" t="n">
        <v>3</v>
      </c>
      <c r="N5" s="17" t="n">
        <v>2</v>
      </c>
      <c r="O5" s="17" t="n">
        <v>1</v>
      </c>
      <c r="P5" s="17" t="n">
        <v>3</v>
      </c>
      <c r="Q5" s="17" t="n">
        <v>2</v>
      </c>
      <c r="R5" s="17" t="n">
        <v>1</v>
      </c>
      <c r="S5" s="18"/>
      <c r="T5" s="17" t="s">
        <v>7758</v>
      </c>
      <c r="U5" s="17" t="s">
        <v>59</v>
      </c>
      <c r="V5" s="17" t="s">
        <v>59</v>
      </c>
      <c r="W5" s="17" t="s">
        <v>59</v>
      </c>
      <c r="X5" s="18"/>
      <c r="Y5" s="18"/>
      <c r="Z5" s="18"/>
      <c r="AA5" s="18"/>
      <c r="AB5" s="18"/>
      <c r="AC5" s="18"/>
    </row>
    <row r="6" customFormat="false" ht="33.75" hidden="false" customHeight="true" outlineLevel="0" collapsed="false">
      <c r="A6" s="17" t="n">
        <v>21</v>
      </c>
      <c r="B6" s="17" t="s">
        <v>83</v>
      </c>
      <c r="C6" s="17" t="s">
        <v>7759</v>
      </c>
      <c r="D6" s="17" t="s">
        <v>7760</v>
      </c>
      <c r="E6" s="17" t="s">
        <v>94</v>
      </c>
      <c r="F6" s="17" t="n">
        <v>20</v>
      </c>
      <c r="G6" s="17" t="s">
        <v>96</v>
      </c>
      <c r="H6" s="17" t="s">
        <v>97</v>
      </c>
      <c r="I6" s="17" t="s">
        <v>98</v>
      </c>
      <c r="J6" s="17" t="s">
        <v>7761</v>
      </c>
      <c r="K6" s="17" t="s">
        <v>100</v>
      </c>
      <c r="L6" s="17" t="s">
        <v>101</v>
      </c>
      <c r="M6" s="17" t="n">
        <v>2</v>
      </c>
      <c r="N6" s="17" t="n">
        <v>1</v>
      </c>
      <c r="O6" s="17" t="n">
        <v>3</v>
      </c>
      <c r="P6" s="17" t="n">
        <v>2</v>
      </c>
      <c r="Q6" s="17" t="n">
        <v>1</v>
      </c>
      <c r="R6" s="17" t="n">
        <v>3</v>
      </c>
      <c r="S6" s="17" t="s">
        <v>102</v>
      </c>
      <c r="T6" s="17" t="s">
        <v>102</v>
      </c>
      <c r="U6" s="17" t="s">
        <v>59</v>
      </c>
      <c r="V6" s="17" t="s">
        <v>98</v>
      </c>
      <c r="W6" s="17" t="s">
        <v>98</v>
      </c>
      <c r="X6" s="18"/>
      <c r="Y6" s="18"/>
      <c r="Z6" s="18"/>
      <c r="AA6" s="18"/>
      <c r="AB6" s="18"/>
      <c r="AC6" s="18"/>
    </row>
    <row r="7" customFormat="false" ht="16.5" hidden="false" customHeight="true" outlineLevel="0" collapsed="false">
      <c r="A7" s="19" t="n">
        <v>24</v>
      </c>
      <c r="B7" s="19" t="s">
        <v>83</v>
      </c>
      <c r="C7" s="19" t="s">
        <v>7762</v>
      </c>
      <c r="D7" s="19" t="s">
        <v>7762</v>
      </c>
      <c r="E7" s="19" t="s">
        <v>104</v>
      </c>
      <c r="F7" s="19" t="n">
        <v>32</v>
      </c>
      <c r="G7" s="19" t="s">
        <v>105</v>
      </c>
      <c r="H7" s="19" t="s">
        <v>7763</v>
      </c>
      <c r="I7" s="19" t="s">
        <v>107</v>
      </c>
      <c r="J7" s="17" t="s">
        <v>7764</v>
      </c>
      <c r="K7" s="17" t="s">
        <v>7765</v>
      </c>
      <c r="L7" s="19" t="s">
        <v>110</v>
      </c>
      <c r="M7" s="19" t="n">
        <v>2</v>
      </c>
      <c r="N7" s="19" t="n">
        <v>1</v>
      </c>
      <c r="O7" s="19" t="n">
        <v>3</v>
      </c>
      <c r="P7" s="19" t="n">
        <v>2</v>
      </c>
      <c r="Q7" s="19" t="n">
        <v>1</v>
      </c>
      <c r="R7" s="19" t="n">
        <v>3</v>
      </c>
      <c r="S7" s="19" t="s">
        <v>7766</v>
      </c>
      <c r="T7" s="17" t="s">
        <v>7767</v>
      </c>
      <c r="U7" s="19" t="s">
        <v>59</v>
      </c>
      <c r="V7" s="19" t="s">
        <v>59</v>
      </c>
      <c r="W7" s="19" t="s">
        <v>59</v>
      </c>
      <c r="X7" s="20"/>
      <c r="Y7" s="20"/>
      <c r="Z7" s="20"/>
      <c r="AA7" s="20"/>
      <c r="AB7" s="20"/>
      <c r="AC7" s="20"/>
    </row>
    <row r="8" customFormat="false" ht="16.5" hidden="false" customHeight="true" outlineLevel="0" collapsed="false">
      <c r="A8" s="19"/>
      <c r="B8" s="19"/>
      <c r="C8" s="19"/>
      <c r="D8" s="19"/>
      <c r="E8" s="19"/>
      <c r="F8" s="19"/>
      <c r="G8" s="19"/>
      <c r="H8" s="19"/>
      <c r="I8" s="19"/>
      <c r="J8" s="17" t="s">
        <v>7768</v>
      </c>
      <c r="K8" s="17" t="s">
        <v>7769</v>
      </c>
      <c r="L8" s="19"/>
      <c r="M8" s="19"/>
      <c r="N8" s="19"/>
      <c r="O8" s="19"/>
      <c r="P8" s="19"/>
      <c r="Q8" s="19"/>
      <c r="R8" s="19"/>
      <c r="S8" s="19"/>
      <c r="T8" s="17"/>
      <c r="U8" s="19"/>
      <c r="V8" s="19"/>
      <c r="W8" s="19"/>
      <c r="X8" s="19"/>
      <c r="Y8" s="19"/>
      <c r="Z8" s="19"/>
      <c r="AA8" s="19"/>
      <c r="AB8" s="19"/>
      <c r="AC8" s="19"/>
    </row>
    <row r="9" customFormat="false" ht="16.5" hidden="false" customHeight="true" outlineLevel="0" collapsed="false">
      <c r="A9" s="19"/>
      <c r="B9" s="19"/>
      <c r="C9" s="19"/>
      <c r="D9" s="19"/>
      <c r="E9" s="19"/>
      <c r="F9" s="19"/>
      <c r="G9" s="19"/>
      <c r="H9" s="19"/>
      <c r="I9" s="19"/>
      <c r="J9" s="17" t="s">
        <v>7770</v>
      </c>
      <c r="K9" s="17" t="s">
        <v>7771</v>
      </c>
      <c r="L9" s="19"/>
      <c r="M9" s="19"/>
      <c r="N9" s="19"/>
      <c r="O9" s="19"/>
      <c r="P9" s="19"/>
      <c r="Q9" s="19"/>
      <c r="R9" s="19"/>
      <c r="S9" s="19"/>
      <c r="T9" s="17" t="s">
        <v>7772</v>
      </c>
      <c r="U9" s="19"/>
      <c r="V9" s="19"/>
      <c r="W9" s="19"/>
      <c r="X9" s="19"/>
      <c r="Y9" s="19"/>
      <c r="Z9" s="19"/>
      <c r="AA9" s="19"/>
      <c r="AB9" s="19"/>
      <c r="AC9" s="19"/>
    </row>
    <row r="10" customFormat="false" ht="118.5" hidden="false" customHeight="true" outlineLevel="0" collapsed="false">
      <c r="A10" s="17" t="n">
        <v>20</v>
      </c>
      <c r="B10" s="17" t="s">
        <v>83</v>
      </c>
      <c r="C10" s="17" t="s">
        <v>114</v>
      </c>
      <c r="D10" s="17" t="s">
        <v>49</v>
      </c>
      <c r="E10" s="17" t="s">
        <v>116</v>
      </c>
      <c r="F10" s="17" t="n">
        <v>25</v>
      </c>
      <c r="G10" s="17" t="s">
        <v>7773</v>
      </c>
      <c r="H10" s="17" t="s">
        <v>119</v>
      </c>
      <c r="I10" s="17" t="s">
        <v>120</v>
      </c>
      <c r="J10" s="17" t="s">
        <v>121</v>
      </c>
      <c r="K10" s="17" t="s">
        <v>7774</v>
      </c>
      <c r="L10" s="17" t="s">
        <v>123</v>
      </c>
      <c r="M10" s="17" t="n">
        <v>2</v>
      </c>
      <c r="N10" s="17" t="n">
        <v>1</v>
      </c>
      <c r="O10" s="17" t="n">
        <v>3</v>
      </c>
      <c r="P10" s="17" t="n">
        <v>2</v>
      </c>
      <c r="Q10" s="17" t="n">
        <v>1</v>
      </c>
      <c r="R10" s="17" t="n">
        <v>3</v>
      </c>
      <c r="S10" s="17" t="s">
        <v>124</v>
      </c>
      <c r="T10" s="17" t="s">
        <v>125</v>
      </c>
      <c r="U10" s="17" t="s">
        <v>59</v>
      </c>
      <c r="V10" s="17" t="s">
        <v>59</v>
      </c>
      <c r="W10" s="17" t="s">
        <v>59</v>
      </c>
      <c r="X10" s="18"/>
      <c r="Y10" s="18"/>
      <c r="Z10" s="18"/>
      <c r="AA10" s="18"/>
      <c r="AB10" s="18"/>
      <c r="AC10" s="18"/>
    </row>
    <row r="11" customFormat="false" ht="153" hidden="false" customHeight="true" outlineLevel="0" collapsed="false">
      <c r="A11" s="17" t="n">
        <v>20</v>
      </c>
      <c r="B11" s="17" t="s">
        <v>83</v>
      </c>
      <c r="C11" s="17" t="s">
        <v>127</v>
      </c>
      <c r="D11" s="17" t="s">
        <v>49</v>
      </c>
      <c r="E11" s="17" t="s">
        <v>129</v>
      </c>
      <c r="F11" s="17" t="n">
        <v>12</v>
      </c>
      <c r="G11" s="17" t="s">
        <v>130</v>
      </c>
      <c r="H11" s="17" t="s">
        <v>131</v>
      </c>
      <c r="I11" s="17" t="s">
        <v>132</v>
      </c>
      <c r="J11" s="17" t="s">
        <v>133</v>
      </c>
      <c r="K11" s="17" t="s">
        <v>134</v>
      </c>
      <c r="L11" s="17" t="s">
        <v>135</v>
      </c>
      <c r="M11" s="17" t="n">
        <v>2</v>
      </c>
      <c r="N11" s="17" t="n">
        <v>3</v>
      </c>
      <c r="O11" s="17" t="n">
        <v>1</v>
      </c>
      <c r="P11" s="17" t="n">
        <v>3</v>
      </c>
      <c r="Q11" s="17" t="n">
        <v>1</v>
      </c>
      <c r="R11" s="17" t="n">
        <v>2</v>
      </c>
      <c r="S11" s="17" t="s">
        <v>136</v>
      </c>
      <c r="T11" s="17" t="s">
        <v>137</v>
      </c>
      <c r="U11" s="17" t="s">
        <v>59</v>
      </c>
      <c r="V11" s="17" t="s">
        <v>59</v>
      </c>
      <c r="W11" s="17" t="s">
        <v>59</v>
      </c>
      <c r="X11" s="18"/>
      <c r="Y11" s="18"/>
      <c r="Z11" s="18"/>
      <c r="AA11" s="18"/>
      <c r="AB11" s="18"/>
      <c r="AC11" s="18"/>
    </row>
    <row r="12" customFormat="false" ht="51" hidden="false" customHeight="true" outlineLevel="0" collapsed="false">
      <c r="A12" s="19" t="n">
        <v>21</v>
      </c>
      <c r="B12" s="19" t="s">
        <v>83</v>
      </c>
      <c r="C12" s="19" t="s">
        <v>49</v>
      </c>
      <c r="D12" s="19" t="s">
        <v>49</v>
      </c>
      <c r="E12" s="19" t="s">
        <v>7775</v>
      </c>
      <c r="F12" s="19" t="n">
        <v>30</v>
      </c>
      <c r="G12" s="19" t="s">
        <v>140</v>
      </c>
      <c r="H12" s="19" t="s">
        <v>141</v>
      </c>
      <c r="I12" s="19" t="s">
        <v>142</v>
      </c>
      <c r="J12" s="19" t="s">
        <v>143</v>
      </c>
      <c r="K12" s="19" t="s">
        <v>144</v>
      </c>
      <c r="L12" s="17" t="s">
        <v>7776</v>
      </c>
      <c r="M12" s="19" t="n">
        <v>2</v>
      </c>
      <c r="N12" s="19" t="n">
        <v>1</v>
      </c>
      <c r="O12" s="19" t="n">
        <v>3</v>
      </c>
      <c r="P12" s="19" t="n">
        <v>2</v>
      </c>
      <c r="Q12" s="19" t="n">
        <v>3</v>
      </c>
      <c r="R12" s="19" t="n">
        <v>1</v>
      </c>
      <c r="S12" s="19" t="s">
        <v>146</v>
      </c>
      <c r="T12" s="19" t="s">
        <v>147</v>
      </c>
      <c r="U12" s="19" t="s">
        <v>59</v>
      </c>
      <c r="V12" s="19" t="s">
        <v>59</v>
      </c>
      <c r="W12" s="19" t="s">
        <v>59</v>
      </c>
      <c r="X12" s="20"/>
      <c r="Y12" s="20"/>
      <c r="Z12" s="20"/>
      <c r="AA12" s="20"/>
      <c r="AB12" s="20"/>
      <c r="AC12" s="20"/>
    </row>
    <row r="13" customFormat="false" ht="33.75" hidden="false" customHeight="true" outlineLevel="0" collapsed="false">
      <c r="A13" s="19"/>
      <c r="B13" s="19"/>
      <c r="C13" s="19"/>
      <c r="D13" s="19"/>
      <c r="E13" s="19"/>
      <c r="F13" s="19"/>
      <c r="G13" s="19"/>
      <c r="H13" s="19"/>
      <c r="I13" s="19"/>
      <c r="J13" s="19"/>
      <c r="K13" s="19"/>
      <c r="L13" s="17" t="s">
        <v>7777</v>
      </c>
      <c r="M13" s="19"/>
      <c r="N13" s="19"/>
      <c r="O13" s="19"/>
      <c r="P13" s="19"/>
      <c r="Q13" s="19"/>
      <c r="R13" s="19"/>
      <c r="S13" s="19"/>
      <c r="T13" s="19"/>
      <c r="U13" s="19"/>
      <c r="V13" s="19"/>
      <c r="W13" s="19"/>
      <c r="X13" s="19"/>
      <c r="Y13" s="19"/>
      <c r="Z13" s="19"/>
      <c r="AA13" s="19"/>
      <c r="AB13" s="19"/>
      <c r="AC13" s="19"/>
    </row>
    <row r="14" customFormat="false" ht="33.75" hidden="false" customHeight="true" outlineLevel="0" collapsed="false">
      <c r="A14" s="19"/>
      <c r="B14" s="19"/>
      <c r="C14" s="19"/>
      <c r="D14" s="19"/>
      <c r="E14" s="19"/>
      <c r="F14" s="19"/>
      <c r="G14" s="19"/>
      <c r="H14" s="19"/>
      <c r="I14" s="19"/>
      <c r="J14" s="19"/>
      <c r="K14" s="19"/>
      <c r="L14" s="17" t="s">
        <v>7778</v>
      </c>
      <c r="M14" s="19"/>
      <c r="N14" s="19"/>
      <c r="O14" s="19"/>
      <c r="P14" s="19"/>
      <c r="Q14" s="19"/>
      <c r="R14" s="19"/>
      <c r="S14" s="19"/>
      <c r="T14" s="19"/>
      <c r="U14" s="19"/>
      <c r="V14" s="19"/>
      <c r="W14" s="19"/>
      <c r="X14" s="19"/>
      <c r="Y14" s="19"/>
      <c r="Z14" s="19"/>
      <c r="AA14" s="19"/>
      <c r="AB14" s="19"/>
      <c r="AC14" s="19"/>
    </row>
    <row r="15" customFormat="false" ht="16.5" hidden="false" customHeight="true" outlineLevel="0" collapsed="false">
      <c r="A15" s="19" t="n">
        <v>20</v>
      </c>
      <c r="B15" s="19" t="s">
        <v>83</v>
      </c>
      <c r="C15" s="19" t="s">
        <v>49</v>
      </c>
      <c r="D15" s="19" t="s">
        <v>49</v>
      </c>
      <c r="E15" s="19" t="s">
        <v>149</v>
      </c>
      <c r="F15" s="19" t="n">
        <v>32</v>
      </c>
      <c r="G15" s="19" t="s">
        <v>150</v>
      </c>
      <c r="H15" s="19" t="s">
        <v>151</v>
      </c>
      <c r="I15" s="19" t="s">
        <v>152</v>
      </c>
      <c r="J15" s="17" t="s">
        <v>2061</v>
      </c>
      <c r="K15" s="19" t="s">
        <v>154</v>
      </c>
      <c r="L15" s="19" t="s">
        <v>155</v>
      </c>
      <c r="M15" s="19" t="n">
        <v>1</v>
      </c>
      <c r="N15" s="19" t="n">
        <v>3</v>
      </c>
      <c r="O15" s="19" t="n">
        <v>2</v>
      </c>
      <c r="P15" s="19" t="n">
        <v>1</v>
      </c>
      <c r="Q15" s="19" t="n">
        <v>3</v>
      </c>
      <c r="R15" s="19" t="n">
        <v>2</v>
      </c>
      <c r="S15" s="19" t="s">
        <v>156</v>
      </c>
      <c r="T15" s="19" t="s">
        <v>157</v>
      </c>
      <c r="U15" s="19" t="s">
        <v>59</v>
      </c>
      <c r="V15" s="19" t="s">
        <v>59</v>
      </c>
      <c r="W15" s="19" t="s">
        <v>59</v>
      </c>
      <c r="X15" s="20"/>
      <c r="Y15" s="20"/>
      <c r="Z15" s="20"/>
      <c r="AA15" s="20"/>
      <c r="AB15" s="20"/>
      <c r="AC15" s="20"/>
    </row>
    <row r="16" customFormat="false" ht="16.5" hidden="false" customHeight="true" outlineLevel="0" collapsed="false">
      <c r="A16" s="19"/>
      <c r="B16" s="19"/>
      <c r="C16" s="19"/>
      <c r="D16" s="19"/>
      <c r="E16" s="19"/>
      <c r="F16" s="19"/>
      <c r="G16" s="19"/>
      <c r="H16" s="19"/>
      <c r="I16" s="19"/>
      <c r="J16" s="17" t="s">
        <v>1859</v>
      </c>
      <c r="K16" s="19"/>
      <c r="L16" s="19"/>
      <c r="M16" s="19"/>
      <c r="N16" s="19"/>
      <c r="O16" s="19"/>
      <c r="P16" s="19"/>
      <c r="Q16" s="19"/>
      <c r="R16" s="19"/>
      <c r="S16" s="19"/>
      <c r="T16" s="19"/>
      <c r="U16" s="19"/>
      <c r="V16" s="19"/>
      <c r="W16" s="19"/>
      <c r="X16" s="19"/>
      <c r="Y16" s="19"/>
      <c r="Z16" s="19"/>
      <c r="AA16" s="19"/>
      <c r="AB16" s="19"/>
      <c r="AC16" s="19"/>
    </row>
    <row r="17" customFormat="false" ht="16.5" hidden="false" customHeight="true" outlineLevel="0" collapsed="false">
      <c r="A17" s="19"/>
      <c r="B17" s="19"/>
      <c r="C17" s="19"/>
      <c r="D17" s="19"/>
      <c r="E17" s="19"/>
      <c r="F17" s="19"/>
      <c r="G17" s="19"/>
      <c r="H17" s="19"/>
      <c r="I17" s="19"/>
      <c r="J17" s="17" t="s">
        <v>7779</v>
      </c>
      <c r="K17" s="19"/>
      <c r="L17" s="19"/>
      <c r="M17" s="19"/>
      <c r="N17" s="19"/>
      <c r="O17" s="19"/>
      <c r="P17" s="19"/>
      <c r="Q17" s="19"/>
      <c r="R17" s="19"/>
      <c r="S17" s="19"/>
      <c r="T17" s="19"/>
      <c r="U17" s="19"/>
      <c r="V17" s="19"/>
      <c r="W17" s="19"/>
      <c r="X17" s="19"/>
      <c r="Y17" s="19"/>
      <c r="Z17" s="19"/>
      <c r="AA17" s="19"/>
      <c r="AB17" s="19"/>
      <c r="AC17" s="19"/>
    </row>
    <row r="18" customFormat="false" ht="118.5" hidden="false" customHeight="true" outlineLevel="0" collapsed="false">
      <c r="A18" s="17" t="n">
        <v>22</v>
      </c>
      <c r="B18" s="17" t="s">
        <v>45</v>
      </c>
      <c r="C18" s="17" t="s">
        <v>7780</v>
      </c>
      <c r="D18" s="17" t="s">
        <v>7756</v>
      </c>
      <c r="E18" s="17" t="s">
        <v>161</v>
      </c>
      <c r="F18" s="17" t="n">
        <v>30</v>
      </c>
      <c r="G18" s="17" t="s">
        <v>162</v>
      </c>
      <c r="H18" s="17" t="s">
        <v>7781</v>
      </c>
      <c r="I18" s="17" t="s">
        <v>164</v>
      </c>
      <c r="J18" s="17" t="s">
        <v>165</v>
      </c>
      <c r="K18" s="17" t="s">
        <v>166</v>
      </c>
      <c r="L18" s="17" t="s">
        <v>167</v>
      </c>
      <c r="M18" s="17" t="n">
        <v>1</v>
      </c>
      <c r="N18" s="17" t="n">
        <v>2</v>
      </c>
      <c r="O18" s="17" t="n">
        <v>3</v>
      </c>
      <c r="P18" s="17" t="n">
        <v>2</v>
      </c>
      <c r="Q18" s="17" t="n">
        <v>1</v>
      </c>
      <c r="R18" s="17" t="n">
        <v>3</v>
      </c>
      <c r="S18" s="17" t="s">
        <v>168</v>
      </c>
      <c r="T18" s="17" t="s">
        <v>169</v>
      </c>
      <c r="U18" s="17" t="s">
        <v>59</v>
      </c>
      <c r="V18" s="17" t="s">
        <v>59</v>
      </c>
      <c r="W18" s="17" t="s">
        <v>59</v>
      </c>
      <c r="X18" s="18"/>
      <c r="Y18" s="18"/>
      <c r="Z18" s="18"/>
      <c r="AA18" s="18"/>
      <c r="AB18" s="18"/>
      <c r="AC18" s="18"/>
    </row>
    <row r="19" customFormat="false" ht="102" hidden="false" customHeight="true" outlineLevel="0" collapsed="false">
      <c r="A19" s="17" t="n">
        <v>22</v>
      </c>
      <c r="B19" s="17" t="s">
        <v>83</v>
      </c>
      <c r="C19" s="17" t="s">
        <v>171</v>
      </c>
      <c r="D19" s="17" t="s">
        <v>7782</v>
      </c>
      <c r="E19" s="17" t="s">
        <v>173</v>
      </c>
      <c r="F19" s="17" t="n">
        <v>25</v>
      </c>
      <c r="G19" s="17" t="s">
        <v>174</v>
      </c>
      <c r="H19" s="17" t="s">
        <v>7783</v>
      </c>
      <c r="I19" s="17" t="s">
        <v>176</v>
      </c>
      <c r="J19" s="17" t="s">
        <v>177</v>
      </c>
      <c r="K19" s="17" t="s">
        <v>178</v>
      </c>
      <c r="L19" s="17" t="s">
        <v>179</v>
      </c>
      <c r="M19" s="17" t="n">
        <v>1</v>
      </c>
      <c r="N19" s="17" t="n">
        <v>2</v>
      </c>
      <c r="O19" s="17" t="n">
        <v>3</v>
      </c>
      <c r="P19" s="17" t="n">
        <v>2</v>
      </c>
      <c r="Q19" s="17" t="n">
        <v>1</v>
      </c>
      <c r="R19" s="17" t="n">
        <v>3</v>
      </c>
      <c r="S19" s="17" t="s">
        <v>180</v>
      </c>
      <c r="T19" s="17" t="s">
        <v>181</v>
      </c>
      <c r="U19" s="17" t="s">
        <v>59</v>
      </c>
      <c r="V19" s="17" t="s">
        <v>98</v>
      </c>
      <c r="W19" s="17" t="s">
        <v>59</v>
      </c>
      <c r="X19" s="18"/>
      <c r="Y19" s="18"/>
      <c r="Z19" s="18"/>
      <c r="AA19" s="18"/>
      <c r="AB19" s="18"/>
      <c r="AC19" s="18"/>
    </row>
    <row r="20" customFormat="false" ht="118.5" hidden="false" customHeight="true" outlineLevel="0" collapsed="false">
      <c r="A20" s="19" t="n">
        <v>22</v>
      </c>
      <c r="B20" s="19" t="s">
        <v>83</v>
      </c>
      <c r="C20" s="19" t="s">
        <v>49</v>
      </c>
      <c r="D20" s="19" t="s">
        <v>7784</v>
      </c>
      <c r="E20" s="19" t="s">
        <v>183</v>
      </c>
      <c r="F20" s="19" t="n">
        <v>30</v>
      </c>
      <c r="G20" s="19" t="s">
        <v>184</v>
      </c>
      <c r="H20" s="19" t="s">
        <v>185</v>
      </c>
      <c r="I20" s="17" t="s">
        <v>7785</v>
      </c>
      <c r="J20" s="19" t="s">
        <v>187</v>
      </c>
      <c r="K20" s="19" t="s">
        <v>188</v>
      </c>
      <c r="L20" s="19" t="s">
        <v>189</v>
      </c>
      <c r="M20" s="19" t="n">
        <v>1</v>
      </c>
      <c r="N20" s="19" t="n">
        <v>2</v>
      </c>
      <c r="O20" s="19" t="n">
        <v>3</v>
      </c>
      <c r="P20" s="19" t="n">
        <v>1</v>
      </c>
      <c r="Q20" s="19" t="n">
        <v>3</v>
      </c>
      <c r="R20" s="19" t="n">
        <v>2</v>
      </c>
      <c r="S20" s="17" t="s">
        <v>7786</v>
      </c>
      <c r="T20" s="19" t="s">
        <v>191</v>
      </c>
      <c r="U20" s="19" t="s">
        <v>59</v>
      </c>
      <c r="V20" s="19" t="s">
        <v>59</v>
      </c>
      <c r="W20" s="19" t="s">
        <v>59</v>
      </c>
      <c r="X20" s="20"/>
      <c r="Y20" s="20"/>
      <c r="Z20" s="20"/>
      <c r="AA20" s="20"/>
      <c r="AB20" s="20"/>
      <c r="AC20" s="20"/>
    </row>
    <row r="21" customFormat="false" ht="15.75" hidden="false" customHeight="true" outlineLevel="0" collapsed="false">
      <c r="A21" s="19"/>
      <c r="B21" s="19"/>
      <c r="C21" s="19"/>
      <c r="D21" s="19"/>
      <c r="E21" s="19"/>
      <c r="F21" s="19"/>
      <c r="G21" s="19"/>
      <c r="H21" s="19"/>
      <c r="J21" s="19"/>
      <c r="K21" s="19"/>
      <c r="L21" s="19"/>
      <c r="M21" s="19"/>
      <c r="N21" s="19"/>
      <c r="O21" s="19"/>
      <c r="P21" s="19"/>
      <c r="Q21" s="19"/>
      <c r="R21" s="19"/>
      <c r="S21" s="17"/>
      <c r="T21" s="19"/>
      <c r="U21" s="19"/>
      <c r="V21" s="19"/>
      <c r="W21" s="19"/>
      <c r="X21" s="19"/>
      <c r="Y21" s="19"/>
      <c r="Z21" s="19"/>
      <c r="AA21" s="19"/>
      <c r="AB21" s="19"/>
      <c r="AC21" s="19"/>
    </row>
    <row r="22" customFormat="false" ht="288.75" hidden="false" customHeight="true" outlineLevel="0" collapsed="false">
      <c r="A22" s="19"/>
      <c r="B22" s="19"/>
      <c r="C22" s="19"/>
      <c r="D22" s="19"/>
      <c r="E22" s="19"/>
      <c r="F22" s="19"/>
      <c r="G22" s="19"/>
      <c r="H22" s="19"/>
      <c r="I22" s="17" t="s">
        <v>7787</v>
      </c>
      <c r="J22" s="19"/>
      <c r="K22" s="19"/>
      <c r="L22" s="19"/>
      <c r="M22" s="19"/>
      <c r="N22" s="19"/>
      <c r="O22" s="19"/>
      <c r="P22" s="19"/>
      <c r="Q22" s="19"/>
      <c r="R22" s="19"/>
      <c r="S22" s="17" t="s">
        <v>7788</v>
      </c>
      <c r="T22" s="19"/>
      <c r="U22" s="19"/>
      <c r="V22" s="19"/>
      <c r="W22" s="19"/>
      <c r="X22" s="19"/>
      <c r="Y22" s="19"/>
      <c r="Z22" s="19"/>
      <c r="AA22" s="19"/>
      <c r="AB22" s="19"/>
      <c r="AC22" s="19"/>
    </row>
    <row r="23" customFormat="false" ht="15.75" hidden="false" customHeight="true" outlineLevel="0" collapsed="false">
      <c r="A23" s="19"/>
      <c r="B23" s="19"/>
      <c r="C23" s="19"/>
      <c r="D23" s="19"/>
      <c r="E23" s="19"/>
      <c r="F23" s="19"/>
      <c r="G23" s="19"/>
      <c r="H23" s="19"/>
      <c r="J23" s="19"/>
      <c r="K23" s="19"/>
      <c r="L23" s="19"/>
      <c r="M23" s="19"/>
      <c r="N23" s="19"/>
      <c r="O23" s="19"/>
      <c r="P23" s="19"/>
      <c r="Q23" s="19"/>
      <c r="R23" s="19"/>
      <c r="S23" s="17"/>
      <c r="T23" s="19"/>
      <c r="U23" s="19"/>
      <c r="V23" s="19"/>
      <c r="W23" s="19"/>
      <c r="X23" s="19"/>
      <c r="Y23" s="19"/>
      <c r="Z23" s="19"/>
      <c r="AA23" s="19"/>
      <c r="AB23" s="19"/>
      <c r="AC23" s="19"/>
    </row>
    <row r="24" customFormat="false" ht="355.5" hidden="false" customHeight="true" outlineLevel="0" collapsed="false">
      <c r="A24" s="19"/>
      <c r="B24" s="19"/>
      <c r="C24" s="19"/>
      <c r="D24" s="19"/>
      <c r="E24" s="19"/>
      <c r="F24" s="19"/>
      <c r="G24" s="19"/>
      <c r="H24" s="19"/>
      <c r="I24" s="17" t="s">
        <v>7789</v>
      </c>
      <c r="J24" s="19"/>
      <c r="K24" s="19"/>
      <c r="L24" s="19"/>
      <c r="M24" s="19"/>
      <c r="N24" s="19"/>
      <c r="O24" s="19"/>
      <c r="P24" s="19"/>
      <c r="Q24" s="19"/>
      <c r="R24" s="19"/>
      <c r="S24" s="17"/>
      <c r="T24" s="19"/>
      <c r="U24" s="19"/>
      <c r="V24" s="19"/>
      <c r="W24" s="19"/>
      <c r="X24" s="19"/>
      <c r="Y24" s="19"/>
      <c r="Z24" s="19"/>
      <c r="AA24" s="19"/>
      <c r="AB24" s="19"/>
      <c r="AC24" s="19"/>
    </row>
    <row r="25" customFormat="false" ht="15.75" hidden="false" customHeight="true" outlineLevel="0" collapsed="false">
      <c r="A25" s="19"/>
      <c r="B25" s="19"/>
      <c r="C25" s="19"/>
      <c r="D25" s="19"/>
      <c r="E25" s="19"/>
      <c r="F25" s="19"/>
      <c r="G25" s="19"/>
      <c r="H25" s="19"/>
      <c r="J25" s="19"/>
      <c r="K25" s="19"/>
      <c r="L25" s="19"/>
      <c r="M25" s="19"/>
      <c r="N25" s="19"/>
      <c r="O25" s="19"/>
      <c r="P25" s="19"/>
      <c r="Q25" s="19"/>
      <c r="R25" s="19"/>
      <c r="S25" s="17"/>
      <c r="T25" s="19"/>
      <c r="U25" s="19"/>
      <c r="V25" s="19"/>
      <c r="W25" s="19"/>
      <c r="X25" s="19"/>
      <c r="Y25" s="19"/>
      <c r="Z25" s="19"/>
      <c r="AA25" s="19"/>
      <c r="AB25" s="19"/>
      <c r="AC25" s="19"/>
    </row>
    <row r="26" customFormat="false" ht="118.5" hidden="false" customHeight="true" outlineLevel="0" collapsed="false">
      <c r="A26" s="19"/>
      <c r="B26" s="19"/>
      <c r="C26" s="19"/>
      <c r="D26" s="19"/>
      <c r="E26" s="19"/>
      <c r="F26" s="19"/>
      <c r="G26" s="19"/>
      <c r="H26" s="19"/>
      <c r="I26" s="17" t="s">
        <v>7790</v>
      </c>
      <c r="J26" s="19"/>
      <c r="K26" s="19"/>
      <c r="L26" s="19"/>
      <c r="M26" s="19"/>
      <c r="N26" s="19"/>
      <c r="O26" s="19"/>
      <c r="P26" s="19"/>
      <c r="Q26" s="19"/>
      <c r="R26" s="19"/>
      <c r="S26" s="17"/>
      <c r="T26" s="19"/>
      <c r="U26" s="19"/>
      <c r="V26" s="19"/>
      <c r="W26" s="19"/>
      <c r="X26" s="19"/>
      <c r="Y26" s="19"/>
      <c r="Z26" s="19"/>
      <c r="AA26" s="19"/>
      <c r="AB26" s="19"/>
      <c r="AC26" s="19"/>
    </row>
    <row r="27" customFormat="false" ht="15.75" hidden="false" customHeight="true" outlineLevel="0" collapsed="false">
      <c r="A27" s="19"/>
      <c r="B27" s="19"/>
      <c r="C27" s="19"/>
      <c r="D27" s="19"/>
      <c r="E27" s="19"/>
      <c r="F27" s="19"/>
      <c r="G27" s="19"/>
      <c r="H27" s="19"/>
      <c r="J27" s="19"/>
      <c r="K27" s="19"/>
      <c r="L27" s="19"/>
      <c r="M27" s="19"/>
      <c r="N27" s="19"/>
      <c r="O27" s="19"/>
      <c r="P27" s="19"/>
      <c r="Q27" s="19"/>
      <c r="R27" s="19"/>
      <c r="S27" s="17"/>
      <c r="T27" s="19"/>
      <c r="U27" s="19"/>
      <c r="V27" s="19"/>
      <c r="W27" s="19"/>
      <c r="X27" s="19"/>
      <c r="Y27" s="19"/>
      <c r="Z27" s="19"/>
      <c r="AA27" s="19"/>
      <c r="AB27" s="19"/>
      <c r="AC27" s="19"/>
    </row>
    <row r="28" customFormat="false" ht="409.5" hidden="false" customHeight="true" outlineLevel="0" collapsed="false">
      <c r="A28" s="19"/>
      <c r="B28" s="19"/>
      <c r="C28" s="19"/>
      <c r="D28" s="19"/>
      <c r="E28" s="19"/>
      <c r="F28" s="19"/>
      <c r="G28" s="19"/>
      <c r="H28" s="19"/>
      <c r="I28" s="17" t="s">
        <v>7791</v>
      </c>
      <c r="J28" s="19"/>
      <c r="K28" s="19"/>
      <c r="L28" s="19"/>
      <c r="M28" s="19"/>
      <c r="N28" s="19"/>
      <c r="O28" s="19"/>
      <c r="P28" s="19"/>
      <c r="Q28" s="19"/>
      <c r="R28" s="19"/>
      <c r="S28" s="17"/>
      <c r="T28" s="19"/>
      <c r="U28" s="19"/>
      <c r="V28" s="19"/>
      <c r="W28" s="19"/>
      <c r="X28" s="19"/>
      <c r="Y28" s="19"/>
      <c r="Z28" s="19"/>
      <c r="AA28" s="19"/>
      <c r="AB28" s="19"/>
      <c r="AC28" s="19"/>
    </row>
    <row r="29" customFormat="false" ht="15.75" hidden="false" customHeight="true" outlineLevel="0" collapsed="false">
      <c r="A29" s="19"/>
      <c r="B29" s="19"/>
      <c r="C29" s="19"/>
      <c r="D29" s="19"/>
      <c r="E29" s="19"/>
      <c r="F29" s="19"/>
      <c r="G29" s="19"/>
      <c r="H29" s="19"/>
      <c r="J29" s="19"/>
      <c r="K29" s="19"/>
      <c r="L29" s="19"/>
      <c r="M29" s="19"/>
      <c r="N29" s="19"/>
      <c r="O29" s="19"/>
      <c r="P29" s="19"/>
      <c r="Q29" s="19"/>
      <c r="R29" s="19"/>
      <c r="S29" s="17"/>
      <c r="T29" s="19"/>
      <c r="U29" s="19"/>
      <c r="V29" s="19"/>
      <c r="W29" s="19"/>
      <c r="X29" s="19"/>
      <c r="Y29" s="19"/>
      <c r="Z29" s="19"/>
      <c r="AA29" s="19"/>
      <c r="AB29" s="19"/>
      <c r="AC29" s="19"/>
    </row>
    <row r="30" customFormat="false" ht="118.5" hidden="false" customHeight="true" outlineLevel="0" collapsed="false">
      <c r="A30" s="19"/>
      <c r="B30" s="19"/>
      <c r="C30" s="19"/>
      <c r="D30" s="19"/>
      <c r="E30" s="19"/>
      <c r="F30" s="19"/>
      <c r="G30" s="19"/>
      <c r="H30" s="19"/>
      <c r="I30" s="17" t="s">
        <v>7792</v>
      </c>
      <c r="J30" s="19"/>
      <c r="K30" s="19"/>
      <c r="L30" s="19"/>
      <c r="M30" s="19"/>
      <c r="N30" s="19"/>
      <c r="O30" s="19"/>
      <c r="P30" s="19"/>
      <c r="Q30" s="19"/>
      <c r="R30" s="19"/>
      <c r="S30" s="17"/>
      <c r="T30" s="19"/>
      <c r="U30" s="19"/>
      <c r="V30" s="19"/>
      <c r="W30" s="19"/>
      <c r="X30" s="19"/>
      <c r="Y30" s="19"/>
      <c r="Z30" s="19"/>
      <c r="AA30" s="19"/>
      <c r="AB30" s="19"/>
      <c r="AC30" s="19"/>
    </row>
    <row r="31" customFormat="false" ht="15.75" hidden="false" customHeight="true" outlineLevel="0" collapsed="false">
      <c r="A31" s="19"/>
      <c r="B31" s="19"/>
      <c r="C31" s="19"/>
      <c r="D31" s="19"/>
      <c r="E31" s="19"/>
      <c r="F31" s="19"/>
      <c r="G31" s="19"/>
      <c r="H31" s="19"/>
      <c r="I31" s="17"/>
      <c r="J31" s="19"/>
      <c r="K31" s="19"/>
      <c r="L31" s="19"/>
      <c r="M31" s="19"/>
      <c r="N31" s="19"/>
      <c r="O31" s="19"/>
      <c r="P31" s="19"/>
      <c r="Q31" s="19"/>
      <c r="R31" s="19"/>
      <c r="S31" s="17"/>
      <c r="T31" s="19"/>
      <c r="U31" s="19"/>
      <c r="V31" s="19"/>
      <c r="W31" s="19"/>
      <c r="X31" s="19"/>
      <c r="Y31" s="19"/>
      <c r="Z31" s="19"/>
      <c r="AA31" s="19"/>
      <c r="AB31" s="19"/>
      <c r="AC31" s="19"/>
    </row>
    <row r="32" customFormat="false" ht="102" hidden="false" customHeight="true" outlineLevel="0" collapsed="false">
      <c r="A32" s="19"/>
      <c r="B32" s="19"/>
      <c r="C32" s="19"/>
      <c r="D32" s="19"/>
      <c r="E32" s="19"/>
      <c r="F32" s="19"/>
      <c r="G32" s="19"/>
      <c r="H32" s="19"/>
      <c r="I32" s="17" t="s">
        <v>7793</v>
      </c>
      <c r="J32" s="19"/>
      <c r="K32" s="19"/>
      <c r="L32" s="19"/>
      <c r="M32" s="19"/>
      <c r="N32" s="19"/>
      <c r="O32" s="19"/>
      <c r="P32" s="19"/>
      <c r="Q32" s="19"/>
      <c r="R32" s="19"/>
      <c r="S32" s="17"/>
      <c r="T32" s="19"/>
      <c r="U32" s="19"/>
      <c r="V32" s="19"/>
      <c r="W32" s="19"/>
      <c r="X32" s="19"/>
      <c r="Y32" s="19"/>
      <c r="Z32" s="19"/>
      <c r="AA32" s="19"/>
      <c r="AB32" s="19"/>
      <c r="AC32" s="19"/>
    </row>
    <row r="33" customFormat="false" ht="51" hidden="false" customHeight="true" outlineLevel="0" collapsed="false">
      <c r="A33" s="17" t="n">
        <v>24</v>
      </c>
      <c r="B33" s="17" t="s">
        <v>45</v>
      </c>
      <c r="C33" s="17" t="s">
        <v>7749</v>
      </c>
      <c r="D33" s="17" t="s">
        <v>7750</v>
      </c>
      <c r="E33" s="17" t="s">
        <v>193</v>
      </c>
      <c r="F33" s="17" t="n">
        <v>23</v>
      </c>
      <c r="G33" s="17" t="s">
        <v>130</v>
      </c>
      <c r="H33" s="17" t="s">
        <v>194</v>
      </c>
      <c r="I33" s="17" t="s">
        <v>195</v>
      </c>
      <c r="J33" s="17" t="s">
        <v>196</v>
      </c>
      <c r="K33" s="17" t="s">
        <v>197</v>
      </c>
      <c r="L33" s="17" t="s">
        <v>198</v>
      </c>
      <c r="M33" s="17" t="n">
        <v>3</v>
      </c>
      <c r="N33" s="17" t="n">
        <v>1</v>
      </c>
      <c r="O33" s="17" t="n">
        <v>2</v>
      </c>
      <c r="P33" s="17" t="n">
        <v>2</v>
      </c>
      <c r="Q33" s="17" t="n">
        <v>3</v>
      </c>
      <c r="R33" s="17" t="n">
        <v>1</v>
      </c>
      <c r="S33" s="17" t="s">
        <v>199</v>
      </c>
      <c r="T33" s="17" t="s">
        <v>200</v>
      </c>
      <c r="U33" s="17" t="s">
        <v>59</v>
      </c>
      <c r="V33" s="17" t="s">
        <v>59</v>
      </c>
      <c r="W33" s="17" t="s">
        <v>59</v>
      </c>
      <c r="X33" s="18"/>
      <c r="Y33" s="18"/>
      <c r="Z33" s="18"/>
      <c r="AA33" s="18"/>
      <c r="AB33" s="18"/>
      <c r="AC33" s="18"/>
    </row>
    <row r="34" customFormat="false" ht="16.5" hidden="false" customHeight="true" outlineLevel="0" collapsed="false">
      <c r="A34" s="19" t="n">
        <v>23</v>
      </c>
      <c r="B34" s="19" t="s">
        <v>83</v>
      </c>
      <c r="C34" s="19" t="s">
        <v>7794</v>
      </c>
      <c r="D34" s="19" t="s">
        <v>7782</v>
      </c>
      <c r="E34" s="19" t="s">
        <v>202</v>
      </c>
      <c r="F34" s="19" t="n">
        <v>20</v>
      </c>
      <c r="G34" s="19" t="s">
        <v>203</v>
      </c>
      <c r="H34" s="19" t="s">
        <v>204</v>
      </c>
      <c r="I34" s="19" t="s">
        <v>7795</v>
      </c>
      <c r="J34" s="17" t="s">
        <v>7796</v>
      </c>
      <c r="K34" s="19" t="s">
        <v>7797</v>
      </c>
      <c r="L34" s="19" t="s">
        <v>7798</v>
      </c>
      <c r="M34" s="19" t="n">
        <v>1</v>
      </c>
      <c r="N34" s="19" t="n">
        <v>2</v>
      </c>
      <c r="O34" s="19" t="n">
        <v>3</v>
      </c>
      <c r="P34" s="19" t="n">
        <v>2</v>
      </c>
      <c r="Q34" s="19" t="n">
        <v>3</v>
      </c>
      <c r="R34" s="19" t="n">
        <v>1</v>
      </c>
      <c r="S34" s="19" t="s">
        <v>209</v>
      </c>
      <c r="T34" s="19" t="s">
        <v>7799</v>
      </c>
      <c r="U34" s="19" t="s">
        <v>98</v>
      </c>
      <c r="V34" s="19" t="s">
        <v>59</v>
      </c>
      <c r="W34" s="19" t="s">
        <v>59</v>
      </c>
      <c r="X34" s="20"/>
      <c r="Y34" s="20"/>
      <c r="Z34" s="20"/>
      <c r="AA34" s="20"/>
      <c r="AB34" s="20"/>
      <c r="AC34" s="20"/>
    </row>
    <row r="35" customFormat="false" ht="16.5" hidden="false" customHeight="true" outlineLevel="0" collapsed="false">
      <c r="A35" s="19"/>
      <c r="B35" s="19"/>
      <c r="C35" s="19"/>
      <c r="D35" s="19"/>
      <c r="E35" s="19"/>
      <c r="F35" s="19"/>
      <c r="G35" s="19"/>
      <c r="H35" s="19"/>
      <c r="I35" s="19"/>
      <c r="J35" s="17" t="s">
        <v>7800</v>
      </c>
      <c r="K35" s="19"/>
      <c r="L35" s="19"/>
      <c r="M35" s="19"/>
      <c r="N35" s="19"/>
      <c r="O35" s="19"/>
      <c r="P35" s="19"/>
      <c r="Q35" s="19"/>
      <c r="R35" s="19"/>
      <c r="S35" s="19"/>
      <c r="T35" s="19"/>
      <c r="U35" s="19"/>
      <c r="V35" s="19"/>
      <c r="W35" s="19"/>
      <c r="X35" s="19"/>
      <c r="Y35" s="19"/>
      <c r="Z35" s="19"/>
      <c r="AA35" s="19"/>
      <c r="AB35" s="19"/>
      <c r="AC35" s="19"/>
    </row>
    <row r="36" customFormat="false" ht="16.5" hidden="false" customHeight="true" outlineLevel="0" collapsed="false">
      <c r="A36" s="19"/>
      <c r="B36" s="19"/>
      <c r="C36" s="19"/>
      <c r="D36" s="19"/>
      <c r="E36" s="19"/>
      <c r="F36" s="19"/>
      <c r="G36" s="19"/>
      <c r="H36" s="19"/>
      <c r="I36" s="19"/>
      <c r="J36" s="17" t="s">
        <v>7801</v>
      </c>
      <c r="K36" s="19"/>
      <c r="L36" s="19"/>
      <c r="M36" s="19"/>
      <c r="N36" s="19"/>
      <c r="O36" s="19"/>
      <c r="P36" s="19"/>
      <c r="Q36" s="19"/>
      <c r="R36" s="19"/>
      <c r="S36" s="19"/>
      <c r="T36" s="19"/>
      <c r="U36" s="19"/>
      <c r="V36" s="19"/>
      <c r="W36" s="19"/>
      <c r="X36" s="19"/>
      <c r="Y36" s="19"/>
      <c r="Z36" s="19"/>
      <c r="AA36" s="19"/>
      <c r="AB36" s="19"/>
      <c r="AC36" s="19"/>
    </row>
    <row r="37" customFormat="false" ht="51" hidden="false" customHeight="true" outlineLevel="0" collapsed="false">
      <c r="A37" s="17" t="n">
        <v>22</v>
      </c>
      <c r="B37" s="17" t="s">
        <v>83</v>
      </c>
      <c r="C37" s="17" t="s">
        <v>47</v>
      </c>
      <c r="D37" s="17" t="s">
        <v>47</v>
      </c>
      <c r="E37" s="17" t="s">
        <v>7802</v>
      </c>
      <c r="F37" s="17" t="n">
        <v>30</v>
      </c>
      <c r="G37" s="17" t="s">
        <v>213</v>
      </c>
      <c r="H37" s="17" t="s">
        <v>214</v>
      </c>
      <c r="I37" s="17" t="s">
        <v>215</v>
      </c>
      <c r="J37" s="17" t="s">
        <v>216</v>
      </c>
      <c r="K37" s="17" t="s">
        <v>217</v>
      </c>
      <c r="L37" s="17" t="s">
        <v>218</v>
      </c>
      <c r="M37" s="17" t="n">
        <v>1</v>
      </c>
      <c r="N37" s="17" t="n">
        <v>2</v>
      </c>
      <c r="O37" s="17" t="n">
        <v>3</v>
      </c>
      <c r="P37" s="17" t="n">
        <v>3</v>
      </c>
      <c r="Q37" s="17" t="n">
        <v>1</v>
      </c>
      <c r="R37" s="17" t="n">
        <v>2</v>
      </c>
      <c r="S37" s="17" t="s">
        <v>219</v>
      </c>
      <c r="T37" s="17" t="s">
        <v>220</v>
      </c>
      <c r="U37" s="17" t="s">
        <v>59</v>
      </c>
      <c r="V37" s="17" t="s">
        <v>59</v>
      </c>
      <c r="W37" s="17" t="s">
        <v>59</v>
      </c>
      <c r="X37" s="18"/>
      <c r="Y37" s="18"/>
      <c r="Z37" s="18"/>
      <c r="AA37" s="18"/>
      <c r="AB37" s="18"/>
      <c r="AC37" s="18"/>
    </row>
    <row r="38" customFormat="false" ht="51" hidden="false" customHeight="true" outlineLevel="0" collapsed="false">
      <c r="A38" s="17" t="n">
        <v>24</v>
      </c>
      <c r="B38" s="17" t="s">
        <v>83</v>
      </c>
      <c r="C38" s="17" t="s">
        <v>46</v>
      </c>
      <c r="D38" s="17" t="s">
        <v>49</v>
      </c>
      <c r="E38" s="17" t="s">
        <v>222</v>
      </c>
      <c r="F38" s="17" t="n">
        <v>40</v>
      </c>
      <c r="G38" s="17" t="s">
        <v>223</v>
      </c>
      <c r="H38" s="17" t="s">
        <v>7803</v>
      </c>
      <c r="I38" s="17" t="s">
        <v>225</v>
      </c>
      <c r="J38" s="17" t="s">
        <v>226</v>
      </c>
      <c r="K38" s="17" t="s">
        <v>227</v>
      </c>
      <c r="L38" s="17" t="s">
        <v>228</v>
      </c>
      <c r="M38" s="17" t="n">
        <v>3</v>
      </c>
      <c r="N38" s="17" t="n">
        <v>2</v>
      </c>
      <c r="O38" s="17" t="n">
        <v>1</v>
      </c>
      <c r="P38" s="17" t="n">
        <v>3</v>
      </c>
      <c r="Q38" s="17" t="n">
        <v>1</v>
      </c>
      <c r="R38" s="17" t="n">
        <v>2</v>
      </c>
      <c r="S38" s="17" t="s">
        <v>7804</v>
      </c>
      <c r="T38" s="17" t="s">
        <v>7805</v>
      </c>
      <c r="U38" s="17" t="s">
        <v>59</v>
      </c>
      <c r="V38" s="17" t="s">
        <v>59</v>
      </c>
      <c r="W38" s="17" t="s">
        <v>59</v>
      </c>
      <c r="X38" s="18"/>
      <c r="Y38" s="18"/>
      <c r="Z38" s="18"/>
      <c r="AA38" s="18"/>
      <c r="AB38" s="18"/>
      <c r="AC38" s="18"/>
    </row>
    <row r="39" customFormat="false" ht="16.5" hidden="false" customHeight="true" outlineLevel="0" collapsed="false">
      <c r="A39" s="19" t="n">
        <v>22</v>
      </c>
      <c r="B39" s="19" t="s">
        <v>83</v>
      </c>
      <c r="C39" s="19" t="s">
        <v>7806</v>
      </c>
      <c r="D39" s="19" t="s">
        <v>7807</v>
      </c>
      <c r="E39" s="19" t="s">
        <v>234</v>
      </c>
      <c r="F39" s="19" t="n">
        <v>15</v>
      </c>
      <c r="G39" s="17" t="s">
        <v>7808</v>
      </c>
      <c r="H39" s="19" t="s">
        <v>236</v>
      </c>
      <c r="I39" s="19" t="s">
        <v>237</v>
      </c>
      <c r="J39" s="17" t="s">
        <v>7809</v>
      </c>
      <c r="K39" s="19" t="s">
        <v>239</v>
      </c>
      <c r="L39" s="19" t="s">
        <v>240</v>
      </c>
      <c r="M39" s="19" t="n">
        <v>2</v>
      </c>
      <c r="N39" s="19" t="n">
        <v>1</v>
      </c>
      <c r="O39" s="19" t="n">
        <v>3</v>
      </c>
      <c r="P39" s="19" t="n">
        <v>2</v>
      </c>
      <c r="Q39" s="19" t="n">
        <v>3</v>
      </c>
      <c r="R39" s="19" t="n">
        <v>1</v>
      </c>
      <c r="S39" s="19" t="s">
        <v>241</v>
      </c>
      <c r="T39" s="17" t="s">
        <v>7810</v>
      </c>
      <c r="U39" s="19" t="s">
        <v>59</v>
      </c>
      <c r="V39" s="19" t="s">
        <v>59</v>
      </c>
      <c r="W39" s="19" t="s">
        <v>59</v>
      </c>
      <c r="X39" s="20"/>
      <c r="Y39" s="20"/>
      <c r="Z39" s="20"/>
      <c r="AA39" s="20"/>
      <c r="AB39" s="20"/>
      <c r="AC39" s="20"/>
    </row>
    <row r="40" customFormat="false" ht="16.5" hidden="false" customHeight="true" outlineLevel="0" collapsed="false">
      <c r="A40" s="19"/>
      <c r="B40" s="19"/>
      <c r="C40" s="19"/>
      <c r="D40" s="19"/>
      <c r="E40" s="19"/>
      <c r="F40" s="19"/>
      <c r="G40" s="17" t="s">
        <v>7811</v>
      </c>
      <c r="H40" s="19"/>
      <c r="I40" s="19"/>
      <c r="J40" s="17" t="s">
        <v>7812</v>
      </c>
      <c r="K40" s="19"/>
      <c r="L40" s="19"/>
      <c r="M40" s="19"/>
      <c r="N40" s="19"/>
      <c r="O40" s="19"/>
      <c r="P40" s="19"/>
      <c r="Q40" s="19"/>
      <c r="R40" s="19"/>
      <c r="S40" s="19"/>
      <c r="T40" s="17" t="s">
        <v>7813</v>
      </c>
      <c r="U40" s="19"/>
      <c r="V40" s="19"/>
      <c r="W40" s="19"/>
      <c r="X40" s="19"/>
      <c r="Y40" s="19"/>
      <c r="Z40" s="19"/>
      <c r="AA40" s="19"/>
      <c r="AB40" s="19"/>
      <c r="AC40" s="19"/>
    </row>
    <row r="41" customFormat="false" ht="33.75" hidden="false" customHeight="true" outlineLevel="0" collapsed="false">
      <c r="A41" s="19"/>
      <c r="B41" s="19"/>
      <c r="C41" s="19"/>
      <c r="D41" s="19"/>
      <c r="E41" s="19"/>
      <c r="F41" s="19"/>
      <c r="G41" s="17" t="s">
        <v>7814</v>
      </c>
      <c r="H41" s="19"/>
      <c r="I41" s="19"/>
      <c r="J41" s="17" t="s">
        <v>7815</v>
      </c>
      <c r="K41" s="19"/>
      <c r="L41" s="19"/>
      <c r="M41" s="19"/>
      <c r="N41" s="19"/>
      <c r="O41" s="19"/>
      <c r="P41" s="19"/>
      <c r="Q41" s="19"/>
      <c r="R41" s="19"/>
      <c r="S41" s="19"/>
      <c r="T41" s="17" t="s">
        <v>7816</v>
      </c>
      <c r="U41" s="19"/>
      <c r="V41" s="19"/>
      <c r="W41" s="19"/>
      <c r="X41" s="19"/>
      <c r="Y41" s="19"/>
      <c r="Z41" s="19"/>
      <c r="AA41" s="19"/>
      <c r="AB41" s="19"/>
      <c r="AC41" s="19"/>
    </row>
    <row r="42" customFormat="false" ht="51" hidden="false" customHeight="true" outlineLevel="0" collapsed="false">
      <c r="A42" s="19"/>
      <c r="B42" s="19"/>
      <c r="C42" s="19"/>
      <c r="D42" s="19"/>
      <c r="E42" s="19"/>
      <c r="F42" s="19"/>
      <c r="G42" s="17" t="s">
        <v>7817</v>
      </c>
      <c r="H42" s="19"/>
      <c r="I42" s="19"/>
      <c r="J42" s="17"/>
      <c r="K42" s="19"/>
      <c r="L42" s="19"/>
      <c r="M42" s="19"/>
      <c r="N42" s="19"/>
      <c r="O42" s="19"/>
      <c r="P42" s="19"/>
      <c r="Q42" s="19"/>
      <c r="R42" s="19"/>
      <c r="S42" s="19"/>
      <c r="T42" s="17"/>
      <c r="U42" s="19"/>
      <c r="V42" s="19"/>
      <c r="W42" s="19"/>
      <c r="X42" s="19"/>
      <c r="Y42" s="19"/>
      <c r="Z42" s="19"/>
      <c r="AA42" s="19"/>
      <c r="AB42" s="19"/>
      <c r="AC42" s="19"/>
    </row>
    <row r="43" customFormat="false" ht="16.5" hidden="false" customHeight="true" outlineLevel="0" collapsed="false">
      <c r="A43" s="19"/>
      <c r="B43" s="19"/>
      <c r="C43" s="19"/>
      <c r="D43" s="19"/>
      <c r="E43" s="19"/>
      <c r="F43" s="19"/>
      <c r="G43" s="17" t="s">
        <v>7818</v>
      </c>
      <c r="H43" s="19"/>
      <c r="I43" s="19"/>
      <c r="J43" s="17"/>
      <c r="K43" s="19"/>
      <c r="L43" s="19"/>
      <c r="M43" s="19"/>
      <c r="N43" s="19"/>
      <c r="O43" s="19"/>
      <c r="P43" s="19"/>
      <c r="Q43" s="19"/>
      <c r="R43" s="19"/>
      <c r="S43" s="19"/>
      <c r="T43" s="17"/>
      <c r="U43" s="19"/>
      <c r="V43" s="19"/>
      <c r="W43" s="19"/>
      <c r="X43" s="19"/>
      <c r="Y43" s="19"/>
      <c r="Z43" s="19"/>
      <c r="AA43" s="19"/>
      <c r="AB43" s="19"/>
      <c r="AC43" s="19"/>
    </row>
    <row r="44" customFormat="false" ht="16.5" hidden="false" customHeight="true" outlineLevel="0" collapsed="false">
      <c r="A44" s="19"/>
      <c r="B44" s="19"/>
      <c r="C44" s="19"/>
      <c r="D44" s="19"/>
      <c r="E44" s="19"/>
      <c r="F44" s="19"/>
      <c r="G44" s="17" t="s">
        <v>7819</v>
      </c>
      <c r="H44" s="19"/>
      <c r="I44" s="19"/>
      <c r="J44" s="17"/>
      <c r="K44" s="19"/>
      <c r="L44" s="19"/>
      <c r="M44" s="19"/>
      <c r="N44" s="19"/>
      <c r="O44" s="19"/>
      <c r="P44" s="19"/>
      <c r="Q44" s="19"/>
      <c r="R44" s="19"/>
      <c r="S44" s="19"/>
      <c r="T44" s="17"/>
      <c r="U44" s="19"/>
      <c r="V44" s="19"/>
      <c r="W44" s="19"/>
      <c r="X44" s="19"/>
      <c r="Y44" s="19"/>
      <c r="Z44" s="19"/>
      <c r="AA44" s="19"/>
      <c r="AB44" s="19"/>
      <c r="AC44" s="19"/>
    </row>
    <row r="45" customFormat="false" ht="15.75" hidden="false" customHeight="true" outlineLevel="0" collapsed="false">
      <c r="A45" s="19"/>
      <c r="B45" s="19"/>
      <c r="C45" s="19"/>
      <c r="D45" s="19"/>
      <c r="E45" s="19"/>
      <c r="F45" s="19"/>
      <c r="G45" s="17"/>
      <c r="H45" s="19"/>
      <c r="I45" s="19"/>
      <c r="J45" s="17"/>
      <c r="K45" s="19"/>
      <c r="L45" s="19"/>
      <c r="M45" s="19"/>
      <c r="N45" s="19"/>
      <c r="O45" s="19"/>
      <c r="P45" s="19"/>
      <c r="Q45" s="19"/>
      <c r="R45" s="19"/>
      <c r="S45" s="19"/>
      <c r="T45" s="17"/>
      <c r="U45" s="19"/>
      <c r="V45" s="19"/>
      <c r="W45" s="19"/>
      <c r="X45" s="19"/>
      <c r="Y45" s="19"/>
      <c r="Z45" s="19"/>
      <c r="AA45" s="19"/>
      <c r="AB45" s="19"/>
      <c r="AC45" s="19"/>
    </row>
    <row r="46" customFormat="false" ht="16.5" hidden="false" customHeight="true" outlineLevel="0" collapsed="false">
      <c r="A46" s="19"/>
      <c r="B46" s="19"/>
      <c r="C46" s="19"/>
      <c r="D46" s="19"/>
      <c r="E46" s="19"/>
      <c r="F46" s="19"/>
      <c r="G46" s="17" t="s">
        <v>7820</v>
      </c>
      <c r="H46" s="19"/>
      <c r="I46" s="19"/>
      <c r="J46" s="17"/>
      <c r="K46" s="19"/>
      <c r="L46" s="19"/>
      <c r="M46" s="19"/>
      <c r="N46" s="19"/>
      <c r="O46" s="19"/>
      <c r="P46" s="19"/>
      <c r="Q46" s="19"/>
      <c r="R46" s="19"/>
      <c r="S46" s="19"/>
      <c r="T46" s="17"/>
      <c r="U46" s="19"/>
      <c r="V46" s="19"/>
      <c r="W46" s="19"/>
      <c r="X46" s="19"/>
      <c r="Y46" s="19"/>
      <c r="Z46" s="19"/>
      <c r="AA46" s="19"/>
      <c r="AB46" s="19"/>
      <c r="AC46" s="19"/>
    </row>
    <row r="47" customFormat="false" ht="16.5" hidden="false" customHeight="true" outlineLevel="0" collapsed="false">
      <c r="A47" s="19" t="n">
        <v>26</v>
      </c>
      <c r="B47" s="19" t="s">
        <v>83</v>
      </c>
      <c r="C47" s="19" t="s">
        <v>159</v>
      </c>
      <c r="D47" s="19" t="s">
        <v>159</v>
      </c>
      <c r="E47" s="19" t="s">
        <v>244</v>
      </c>
      <c r="F47" s="19" t="n">
        <v>15</v>
      </c>
      <c r="G47" s="19" t="s">
        <v>7821</v>
      </c>
      <c r="H47" s="19" t="s">
        <v>7822</v>
      </c>
      <c r="I47" s="19" t="s">
        <v>7823</v>
      </c>
      <c r="J47" s="17" t="s">
        <v>7824</v>
      </c>
      <c r="K47" s="19" t="s">
        <v>249</v>
      </c>
      <c r="L47" s="19" t="s">
        <v>250</v>
      </c>
      <c r="M47" s="19" t="n">
        <v>2</v>
      </c>
      <c r="N47" s="19" t="n">
        <v>2</v>
      </c>
      <c r="O47" s="19" t="n">
        <v>1</v>
      </c>
      <c r="P47" s="19" t="n">
        <v>3</v>
      </c>
      <c r="Q47" s="19" t="n">
        <v>3</v>
      </c>
      <c r="R47" s="19" t="n">
        <v>1</v>
      </c>
      <c r="S47" s="19" t="s">
        <v>251</v>
      </c>
      <c r="T47" s="19" t="s">
        <v>252</v>
      </c>
      <c r="U47" s="19" t="s">
        <v>98</v>
      </c>
      <c r="V47" s="19" t="s">
        <v>98</v>
      </c>
      <c r="W47" s="19" t="s">
        <v>59</v>
      </c>
      <c r="X47" s="20"/>
      <c r="Y47" s="20"/>
      <c r="Z47" s="20"/>
      <c r="AA47" s="20"/>
      <c r="AB47" s="20"/>
      <c r="AC47" s="20"/>
    </row>
    <row r="48" customFormat="false" ht="16.5" hidden="false" customHeight="true" outlineLevel="0" collapsed="false">
      <c r="A48" s="19"/>
      <c r="B48" s="19"/>
      <c r="C48" s="19"/>
      <c r="D48" s="19"/>
      <c r="E48" s="19"/>
      <c r="F48" s="19"/>
      <c r="G48" s="19"/>
      <c r="H48" s="19"/>
      <c r="I48" s="19"/>
      <c r="J48" s="17" t="s">
        <v>7825</v>
      </c>
      <c r="K48" s="19"/>
      <c r="L48" s="19"/>
      <c r="M48" s="19"/>
      <c r="N48" s="19"/>
      <c r="O48" s="19"/>
      <c r="P48" s="19"/>
      <c r="Q48" s="19"/>
      <c r="R48" s="19"/>
      <c r="S48" s="19"/>
      <c r="T48" s="19"/>
      <c r="U48" s="19"/>
      <c r="V48" s="19"/>
      <c r="W48" s="19"/>
      <c r="X48" s="19"/>
      <c r="Y48" s="19"/>
      <c r="Z48" s="19"/>
      <c r="AA48" s="19"/>
      <c r="AB48" s="19"/>
      <c r="AC48" s="19"/>
    </row>
    <row r="49" customFormat="false" ht="16.5" hidden="false" customHeight="true" outlineLevel="0" collapsed="false">
      <c r="A49" s="19"/>
      <c r="B49" s="19"/>
      <c r="C49" s="19"/>
      <c r="D49" s="19"/>
      <c r="E49" s="19"/>
      <c r="F49" s="19"/>
      <c r="G49" s="19"/>
      <c r="H49" s="19"/>
      <c r="I49" s="19"/>
      <c r="J49" s="17" t="s">
        <v>7826</v>
      </c>
      <c r="K49" s="19"/>
      <c r="L49" s="19"/>
      <c r="M49" s="19"/>
      <c r="N49" s="19"/>
      <c r="O49" s="19"/>
      <c r="P49" s="19"/>
      <c r="Q49" s="19"/>
      <c r="R49" s="19"/>
      <c r="S49" s="19"/>
      <c r="T49" s="19"/>
      <c r="U49" s="19"/>
      <c r="V49" s="19"/>
      <c r="W49" s="19"/>
      <c r="X49" s="19"/>
      <c r="Y49" s="19"/>
      <c r="Z49" s="19"/>
      <c r="AA49" s="19"/>
      <c r="AB49" s="19"/>
      <c r="AC49" s="19"/>
    </row>
    <row r="50" customFormat="false" ht="33.75" hidden="false" customHeight="true" outlineLevel="0" collapsed="false">
      <c r="A50" s="19" t="n">
        <v>24</v>
      </c>
      <c r="B50" s="19" t="s">
        <v>83</v>
      </c>
      <c r="C50" s="19" t="s">
        <v>255</v>
      </c>
      <c r="D50" s="19" t="s">
        <v>257</v>
      </c>
      <c r="E50" s="19" t="s">
        <v>7827</v>
      </c>
      <c r="F50" s="19" t="n">
        <v>30</v>
      </c>
      <c r="G50" s="19" t="s">
        <v>7828</v>
      </c>
      <c r="H50" s="19" t="s">
        <v>7829</v>
      </c>
      <c r="I50" s="19" t="s">
        <v>7830</v>
      </c>
      <c r="J50" s="17" t="s">
        <v>7831</v>
      </c>
      <c r="K50" s="19" t="s">
        <v>7832</v>
      </c>
      <c r="L50" s="19" t="s">
        <v>264</v>
      </c>
      <c r="M50" s="19" t="n">
        <v>2</v>
      </c>
      <c r="N50" s="19" t="n">
        <v>2</v>
      </c>
      <c r="O50" s="19" t="n">
        <v>3</v>
      </c>
      <c r="P50" s="19" t="n">
        <v>1</v>
      </c>
      <c r="Q50" s="19" t="n">
        <v>1</v>
      </c>
      <c r="R50" s="19" t="n">
        <v>2</v>
      </c>
      <c r="S50" s="19" t="s">
        <v>265</v>
      </c>
      <c r="T50" s="17" t="s">
        <v>7833</v>
      </c>
      <c r="U50" s="19" t="s">
        <v>59</v>
      </c>
      <c r="V50" s="19" t="s">
        <v>59</v>
      </c>
      <c r="W50" s="19" t="s">
        <v>59</v>
      </c>
      <c r="X50" s="20"/>
      <c r="Y50" s="20"/>
      <c r="Z50" s="20"/>
      <c r="AA50" s="20"/>
      <c r="AB50" s="20"/>
      <c r="AC50" s="20"/>
    </row>
    <row r="51" customFormat="false" ht="33.75" hidden="false" customHeight="true" outlineLevel="0" collapsed="false">
      <c r="A51" s="19"/>
      <c r="B51" s="19"/>
      <c r="C51" s="19"/>
      <c r="D51" s="19"/>
      <c r="E51" s="19"/>
      <c r="F51" s="19"/>
      <c r="G51" s="19"/>
      <c r="H51" s="19"/>
      <c r="I51" s="19"/>
      <c r="J51" s="17" t="s">
        <v>7834</v>
      </c>
      <c r="K51" s="19"/>
      <c r="L51" s="19"/>
      <c r="M51" s="19"/>
      <c r="N51" s="19"/>
      <c r="O51" s="19"/>
      <c r="P51" s="19"/>
      <c r="Q51" s="19"/>
      <c r="R51" s="19"/>
      <c r="S51" s="19"/>
      <c r="T51" s="17" t="s">
        <v>7835</v>
      </c>
      <c r="U51" s="19"/>
      <c r="V51" s="19"/>
      <c r="W51" s="19"/>
      <c r="X51" s="19"/>
      <c r="Y51" s="19"/>
      <c r="Z51" s="19"/>
      <c r="AA51" s="19"/>
      <c r="AB51" s="19"/>
      <c r="AC51" s="19"/>
    </row>
    <row r="52" customFormat="false" ht="33.75" hidden="false" customHeight="true" outlineLevel="0" collapsed="false">
      <c r="A52" s="19"/>
      <c r="B52" s="19"/>
      <c r="C52" s="19"/>
      <c r="D52" s="19"/>
      <c r="E52" s="19"/>
      <c r="F52" s="19"/>
      <c r="G52" s="19"/>
      <c r="H52" s="19"/>
      <c r="I52" s="19"/>
      <c r="J52" s="17" t="s">
        <v>7836</v>
      </c>
      <c r="K52" s="19"/>
      <c r="L52" s="19"/>
      <c r="M52" s="19"/>
      <c r="N52" s="19"/>
      <c r="O52" s="19"/>
      <c r="P52" s="19"/>
      <c r="Q52" s="19"/>
      <c r="R52" s="19"/>
      <c r="S52" s="19"/>
      <c r="T52" s="17"/>
      <c r="U52" s="19"/>
      <c r="V52" s="19"/>
      <c r="W52" s="19"/>
      <c r="X52" s="19"/>
      <c r="Y52" s="19"/>
      <c r="Z52" s="19"/>
      <c r="AA52" s="19"/>
      <c r="AB52" s="19"/>
      <c r="AC52" s="19"/>
    </row>
    <row r="53" customFormat="false" ht="118.5" hidden="false" customHeight="true" outlineLevel="0" collapsed="false">
      <c r="A53" s="17" t="n">
        <v>28</v>
      </c>
      <c r="B53" s="17" t="s">
        <v>83</v>
      </c>
      <c r="C53" s="17" t="s">
        <v>7837</v>
      </c>
      <c r="D53" s="17" t="s">
        <v>7838</v>
      </c>
      <c r="E53" s="17" t="s">
        <v>268</v>
      </c>
      <c r="F53" s="17" t="n">
        <v>20</v>
      </c>
      <c r="G53" s="17" t="s">
        <v>269</v>
      </c>
      <c r="H53" s="17" t="s">
        <v>270</v>
      </c>
      <c r="I53" s="17" t="s">
        <v>271</v>
      </c>
      <c r="J53" s="17" t="s">
        <v>272</v>
      </c>
      <c r="K53" s="17" t="s">
        <v>273</v>
      </c>
      <c r="L53" s="17" t="s">
        <v>274</v>
      </c>
      <c r="M53" s="17" t="n">
        <v>1</v>
      </c>
      <c r="N53" s="17" t="n">
        <v>2</v>
      </c>
      <c r="O53" s="17" t="n">
        <v>3</v>
      </c>
      <c r="P53" s="17" t="n">
        <v>2</v>
      </c>
      <c r="Q53" s="17" t="n">
        <v>1</v>
      </c>
      <c r="R53" s="17" t="n">
        <v>3</v>
      </c>
      <c r="S53" s="17" t="s">
        <v>275</v>
      </c>
      <c r="T53" s="17" t="s">
        <v>276</v>
      </c>
      <c r="U53" s="17" t="s">
        <v>59</v>
      </c>
      <c r="V53" s="17" t="s">
        <v>59</v>
      </c>
      <c r="W53" s="17" t="s">
        <v>59</v>
      </c>
      <c r="X53" s="18"/>
      <c r="Y53" s="18"/>
      <c r="Z53" s="18"/>
      <c r="AA53" s="18"/>
      <c r="AB53" s="18"/>
      <c r="AC53" s="18"/>
    </row>
    <row r="54" customFormat="false" ht="67.5" hidden="false" customHeight="true" outlineLevel="0" collapsed="false">
      <c r="A54" s="17" t="n">
        <v>21</v>
      </c>
      <c r="B54" s="17" t="s">
        <v>83</v>
      </c>
      <c r="C54" s="17" t="s">
        <v>71</v>
      </c>
      <c r="D54" s="17" t="s">
        <v>49</v>
      </c>
      <c r="E54" s="17" t="s">
        <v>278</v>
      </c>
      <c r="F54" s="17" t="n">
        <v>20</v>
      </c>
      <c r="G54" s="17" t="s">
        <v>279</v>
      </c>
      <c r="H54" s="17" t="s">
        <v>280</v>
      </c>
      <c r="I54" s="17" t="s">
        <v>281</v>
      </c>
      <c r="J54" s="17" t="s">
        <v>282</v>
      </c>
      <c r="K54" s="17" t="s">
        <v>283</v>
      </c>
      <c r="L54" s="17" t="s">
        <v>284</v>
      </c>
      <c r="M54" s="17" t="n">
        <v>3</v>
      </c>
      <c r="N54" s="17" t="n">
        <v>3</v>
      </c>
      <c r="O54" s="17" t="n">
        <v>2</v>
      </c>
      <c r="P54" s="17" t="n">
        <v>2</v>
      </c>
      <c r="Q54" s="17" t="n">
        <v>1</v>
      </c>
      <c r="R54" s="17" t="n">
        <v>3</v>
      </c>
      <c r="S54" s="17" t="s">
        <v>285</v>
      </c>
      <c r="T54" s="17" t="s">
        <v>286</v>
      </c>
      <c r="U54" s="17" t="s">
        <v>59</v>
      </c>
      <c r="V54" s="17" t="s">
        <v>59</v>
      </c>
      <c r="W54" s="17" t="s">
        <v>59</v>
      </c>
      <c r="X54" s="18"/>
      <c r="Y54" s="18"/>
      <c r="Z54" s="18"/>
      <c r="AA54" s="18"/>
      <c r="AB54" s="18"/>
      <c r="AC54" s="18"/>
    </row>
    <row r="55" customFormat="false" ht="84.75" hidden="false" customHeight="true" outlineLevel="0" collapsed="false">
      <c r="A55" s="17" t="n">
        <v>21</v>
      </c>
      <c r="B55" s="17" t="s">
        <v>83</v>
      </c>
      <c r="C55" s="17" t="s">
        <v>7839</v>
      </c>
      <c r="D55" s="17" t="s">
        <v>7756</v>
      </c>
      <c r="E55" s="17" t="s">
        <v>291</v>
      </c>
      <c r="F55" s="17" t="n">
        <v>20</v>
      </c>
      <c r="G55" s="17" t="s">
        <v>292</v>
      </c>
      <c r="H55" s="17" t="s">
        <v>293</v>
      </c>
      <c r="I55" s="17" t="s">
        <v>294</v>
      </c>
      <c r="J55" s="17" t="s">
        <v>295</v>
      </c>
      <c r="K55" s="17" t="s">
        <v>296</v>
      </c>
      <c r="L55" s="17" t="s">
        <v>297</v>
      </c>
      <c r="M55" s="17" t="n">
        <v>1</v>
      </c>
      <c r="N55" s="17" t="n">
        <v>2</v>
      </c>
      <c r="O55" s="17" t="n">
        <v>3</v>
      </c>
      <c r="P55" s="17" t="n">
        <v>1</v>
      </c>
      <c r="Q55" s="17" t="n">
        <v>3</v>
      </c>
      <c r="R55" s="17" t="n">
        <v>2</v>
      </c>
      <c r="S55" s="17" t="s">
        <v>298</v>
      </c>
      <c r="T55" s="17" t="s">
        <v>299</v>
      </c>
      <c r="U55" s="17" t="s">
        <v>59</v>
      </c>
      <c r="V55" s="17" t="s">
        <v>98</v>
      </c>
      <c r="W55" s="17" t="s">
        <v>59</v>
      </c>
      <c r="X55" s="18"/>
      <c r="Y55" s="18"/>
      <c r="Z55" s="18"/>
      <c r="AA55" s="18"/>
      <c r="AB55" s="18"/>
      <c r="AC55" s="18"/>
    </row>
    <row r="56" customFormat="false" ht="84.75" hidden="false" customHeight="true" outlineLevel="0" collapsed="false">
      <c r="A56" s="17" t="n">
        <v>18</v>
      </c>
      <c r="B56" s="17" t="s">
        <v>45</v>
      </c>
      <c r="C56" s="17" t="s">
        <v>7840</v>
      </c>
      <c r="D56" s="17" t="s">
        <v>7840</v>
      </c>
      <c r="E56" s="17" t="s">
        <v>301</v>
      </c>
      <c r="F56" s="17" t="n">
        <v>25</v>
      </c>
      <c r="G56" s="17" t="s">
        <v>7841</v>
      </c>
      <c r="H56" s="17" t="s">
        <v>303</v>
      </c>
      <c r="I56" s="17" t="s">
        <v>7842</v>
      </c>
      <c r="J56" s="17" t="s">
        <v>7843</v>
      </c>
      <c r="K56" s="17" t="s">
        <v>306</v>
      </c>
      <c r="L56" s="17" t="s">
        <v>307</v>
      </c>
      <c r="M56" s="17" t="n">
        <v>1</v>
      </c>
      <c r="N56" s="17" t="n">
        <v>2</v>
      </c>
      <c r="O56" s="17" t="n">
        <v>3</v>
      </c>
      <c r="P56" s="17" t="n">
        <v>2</v>
      </c>
      <c r="Q56" s="17" t="n">
        <v>1</v>
      </c>
      <c r="R56" s="17" t="n">
        <v>3</v>
      </c>
      <c r="S56" s="17" t="s">
        <v>308</v>
      </c>
      <c r="T56" s="17" t="s">
        <v>309</v>
      </c>
      <c r="U56" s="17" t="s">
        <v>59</v>
      </c>
      <c r="V56" s="17" t="s">
        <v>59</v>
      </c>
      <c r="W56" s="17" t="s">
        <v>59</v>
      </c>
      <c r="X56" s="18"/>
      <c r="Y56" s="18"/>
      <c r="Z56" s="18"/>
      <c r="AA56" s="18"/>
      <c r="AB56" s="18"/>
      <c r="AC56" s="18"/>
    </row>
    <row r="57" customFormat="false" ht="33.75" hidden="false" customHeight="true" outlineLevel="0" collapsed="false">
      <c r="A57" s="17" t="n">
        <v>21</v>
      </c>
      <c r="B57" s="17" t="s">
        <v>83</v>
      </c>
      <c r="C57" s="17" t="s">
        <v>7844</v>
      </c>
      <c r="D57" s="17" t="s">
        <v>7845</v>
      </c>
      <c r="E57" s="17" t="s">
        <v>311</v>
      </c>
      <c r="F57" s="17" t="n">
        <v>25</v>
      </c>
      <c r="G57" s="17" t="s">
        <v>312</v>
      </c>
      <c r="H57" s="17" t="s">
        <v>313</v>
      </c>
      <c r="I57" s="17" t="s">
        <v>314</v>
      </c>
      <c r="J57" s="17" t="s">
        <v>315</v>
      </c>
      <c r="K57" s="17" t="s">
        <v>316</v>
      </c>
      <c r="L57" s="17" t="s">
        <v>317</v>
      </c>
      <c r="M57" s="17" t="n">
        <v>3</v>
      </c>
      <c r="N57" s="17" t="n">
        <v>1</v>
      </c>
      <c r="O57" s="17" t="n">
        <v>2</v>
      </c>
      <c r="P57" s="17" t="n">
        <v>2</v>
      </c>
      <c r="Q57" s="17" t="n">
        <v>1</v>
      </c>
      <c r="R57" s="17" t="n">
        <v>3</v>
      </c>
      <c r="S57" s="17" t="s">
        <v>318</v>
      </c>
      <c r="T57" s="17" t="s">
        <v>319</v>
      </c>
      <c r="U57" s="17" t="s">
        <v>59</v>
      </c>
      <c r="V57" s="17" t="s">
        <v>59</v>
      </c>
      <c r="W57" s="17" t="s">
        <v>59</v>
      </c>
      <c r="X57" s="18"/>
      <c r="Y57" s="18"/>
      <c r="Z57" s="18"/>
      <c r="AA57" s="18"/>
      <c r="AB57" s="18"/>
      <c r="AC57" s="18"/>
    </row>
    <row r="58" customFormat="false" ht="102" hidden="false" customHeight="true" outlineLevel="0" collapsed="false">
      <c r="A58" s="17" t="n">
        <v>21</v>
      </c>
      <c r="B58" s="17" t="s">
        <v>83</v>
      </c>
      <c r="C58" s="17" t="s">
        <v>7846</v>
      </c>
      <c r="D58" s="17" t="s">
        <v>7847</v>
      </c>
      <c r="E58" s="17" t="s">
        <v>323</v>
      </c>
      <c r="F58" s="17" t="n">
        <v>25</v>
      </c>
      <c r="G58" s="17" t="s">
        <v>324</v>
      </c>
      <c r="H58" s="17" t="s">
        <v>325</v>
      </c>
      <c r="I58" s="17" t="s">
        <v>326</v>
      </c>
      <c r="J58" s="17" t="s">
        <v>327</v>
      </c>
      <c r="K58" s="17" t="s">
        <v>328</v>
      </c>
      <c r="L58" s="17" t="s">
        <v>329</v>
      </c>
      <c r="M58" s="17" t="n">
        <v>3</v>
      </c>
      <c r="N58" s="17" t="n">
        <v>1</v>
      </c>
      <c r="O58" s="17" t="n">
        <v>2</v>
      </c>
      <c r="P58" s="17" t="n">
        <v>2</v>
      </c>
      <c r="Q58" s="17" t="n">
        <v>1</v>
      </c>
      <c r="R58" s="17" t="n">
        <v>3</v>
      </c>
      <c r="S58" s="17" t="s">
        <v>330</v>
      </c>
      <c r="T58" s="17" t="s">
        <v>331</v>
      </c>
      <c r="U58" s="17" t="s">
        <v>59</v>
      </c>
      <c r="V58" s="17" t="s">
        <v>59</v>
      </c>
      <c r="W58" s="17" t="s">
        <v>59</v>
      </c>
      <c r="X58" s="18"/>
      <c r="Y58" s="18"/>
      <c r="Z58" s="18"/>
      <c r="AA58" s="18"/>
      <c r="AB58" s="18"/>
      <c r="AC58" s="18"/>
    </row>
    <row r="59" customFormat="false" ht="237.75" hidden="false" customHeight="true" outlineLevel="0" collapsed="false">
      <c r="A59" s="17" t="n">
        <v>26</v>
      </c>
      <c r="B59" s="17" t="s">
        <v>45</v>
      </c>
      <c r="C59" s="17" t="s">
        <v>333</v>
      </c>
      <c r="D59" s="17" t="s">
        <v>171</v>
      </c>
      <c r="E59" s="17" t="s">
        <v>334</v>
      </c>
      <c r="F59" s="17" t="n">
        <v>22</v>
      </c>
      <c r="G59" s="17" t="s">
        <v>335</v>
      </c>
      <c r="H59" s="17" t="s">
        <v>336</v>
      </c>
      <c r="I59" s="17" t="s">
        <v>7848</v>
      </c>
      <c r="J59" s="17" t="s">
        <v>338</v>
      </c>
      <c r="K59" s="17" t="s">
        <v>339</v>
      </c>
      <c r="L59" s="17" t="s">
        <v>340</v>
      </c>
      <c r="M59" s="17" t="n">
        <v>1</v>
      </c>
      <c r="N59" s="17" t="n">
        <v>2</v>
      </c>
      <c r="O59" s="17" t="n">
        <v>3</v>
      </c>
      <c r="P59" s="17" t="n">
        <v>2</v>
      </c>
      <c r="Q59" s="17" t="n">
        <v>1</v>
      </c>
      <c r="R59" s="17" t="n">
        <v>3</v>
      </c>
      <c r="S59" s="17" t="s">
        <v>341</v>
      </c>
      <c r="T59" s="17" t="s">
        <v>7849</v>
      </c>
      <c r="U59" s="17" t="s">
        <v>59</v>
      </c>
      <c r="V59" s="17" t="s">
        <v>59</v>
      </c>
      <c r="W59" s="17" t="s">
        <v>59</v>
      </c>
      <c r="X59" s="18"/>
      <c r="Y59" s="18"/>
      <c r="Z59" s="18"/>
      <c r="AA59" s="18"/>
      <c r="AB59" s="18"/>
      <c r="AC59" s="18"/>
    </row>
    <row r="60" customFormat="false" ht="84.75" hidden="false" customHeight="true" outlineLevel="0" collapsed="false">
      <c r="A60" s="17" t="n">
        <v>22</v>
      </c>
      <c r="B60" s="17" t="s">
        <v>83</v>
      </c>
      <c r="C60" s="17" t="s">
        <v>344</v>
      </c>
      <c r="D60" s="17" t="s">
        <v>49</v>
      </c>
      <c r="E60" s="17" t="s">
        <v>346</v>
      </c>
      <c r="F60" s="17" t="n">
        <v>30</v>
      </c>
      <c r="G60" s="17" t="s">
        <v>7850</v>
      </c>
      <c r="H60" s="17" t="s">
        <v>7851</v>
      </c>
      <c r="I60" s="17" t="s">
        <v>98</v>
      </c>
      <c r="J60" s="17" t="s">
        <v>349</v>
      </c>
      <c r="K60" s="17" t="s">
        <v>7852</v>
      </c>
      <c r="L60" s="17" t="s">
        <v>351</v>
      </c>
      <c r="M60" s="17" t="n">
        <v>1</v>
      </c>
      <c r="N60" s="17" t="n">
        <v>3</v>
      </c>
      <c r="O60" s="17" t="n">
        <v>2</v>
      </c>
      <c r="P60" s="17" t="n">
        <v>3</v>
      </c>
      <c r="Q60" s="17" t="n">
        <v>1</v>
      </c>
      <c r="R60" s="17" t="n">
        <v>2</v>
      </c>
      <c r="S60" s="17" t="s">
        <v>352</v>
      </c>
      <c r="T60" s="17" t="s">
        <v>353</v>
      </c>
      <c r="U60" s="17" t="s">
        <v>59</v>
      </c>
      <c r="V60" s="17" t="s">
        <v>59</v>
      </c>
      <c r="W60" s="17" t="s">
        <v>59</v>
      </c>
      <c r="X60" s="18"/>
      <c r="Y60" s="18"/>
      <c r="Z60" s="18"/>
      <c r="AA60" s="18"/>
      <c r="AB60" s="18"/>
      <c r="AC60" s="18"/>
    </row>
    <row r="61" customFormat="false" ht="67.5" hidden="false" customHeight="true" outlineLevel="0" collapsed="false">
      <c r="A61" s="17" t="n">
        <v>22</v>
      </c>
      <c r="B61" s="17" t="s">
        <v>45</v>
      </c>
      <c r="C61" s="17" t="s">
        <v>7853</v>
      </c>
      <c r="D61" s="17" t="s">
        <v>7756</v>
      </c>
      <c r="E61" s="17" t="s">
        <v>7854</v>
      </c>
      <c r="F61" s="17" t="n">
        <v>30</v>
      </c>
      <c r="G61" s="17" t="s">
        <v>7855</v>
      </c>
      <c r="H61" s="17" t="s">
        <v>7856</v>
      </c>
      <c r="I61" s="17" t="s">
        <v>358</v>
      </c>
      <c r="J61" s="17" t="s">
        <v>7857</v>
      </c>
      <c r="K61" s="17" t="s">
        <v>7858</v>
      </c>
      <c r="L61" s="17" t="s">
        <v>7859</v>
      </c>
      <c r="M61" s="17" t="n">
        <v>2</v>
      </c>
      <c r="N61" s="17" t="n">
        <v>3</v>
      </c>
      <c r="O61" s="17" t="n">
        <v>1</v>
      </c>
      <c r="P61" s="17" t="n">
        <v>2</v>
      </c>
      <c r="Q61" s="17" t="n">
        <v>3</v>
      </c>
      <c r="R61" s="17" t="n">
        <v>1</v>
      </c>
      <c r="S61" s="17" t="s">
        <v>362</v>
      </c>
      <c r="T61" s="17" t="s">
        <v>7860</v>
      </c>
      <c r="U61" s="17" t="s">
        <v>59</v>
      </c>
      <c r="V61" s="17" t="s">
        <v>59</v>
      </c>
      <c r="W61" s="17" t="s">
        <v>59</v>
      </c>
      <c r="X61" s="18"/>
      <c r="Y61" s="18"/>
      <c r="Z61" s="18"/>
      <c r="AA61" s="18"/>
      <c r="AB61" s="18"/>
      <c r="AC61" s="18"/>
    </row>
    <row r="62" customFormat="false" ht="135.75" hidden="false" customHeight="true" outlineLevel="0" collapsed="false">
      <c r="A62" s="17" t="n">
        <v>23</v>
      </c>
      <c r="B62" s="17" t="s">
        <v>45</v>
      </c>
      <c r="C62" s="17" t="s">
        <v>49</v>
      </c>
      <c r="D62" s="17" t="s">
        <v>49</v>
      </c>
      <c r="E62" s="17" t="s">
        <v>365</v>
      </c>
      <c r="F62" s="17" t="n">
        <v>25</v>
      </c>
      <c r="G62" s="17" t="s">
        <v>366</v>
      </c>
      <c r="H62" s="17" t="s">
        <v>367</v>
      </c>
      <c r="I62" s="17" t="s">
        <v>7861</v>
      </c>
      <c r="J62" s="17" t="s">
        <v>369</v>
      </c>
      <c r="K62" s="17" t="s">
        <v>370</v>
      </c>
      <c r="L62" s="17" t="s">
        <v>371</v>
      </c>
      <c r="M62" s="17" t="n">
        <v>1</v>
      </c>
      <c r="N62" s="17" t="n">
        <v>2</v>
      </c>
      <c r="O62" s="17" t="n">
        <v>3</v>
      </c>
      <c r="P62" s="17" t="n">
        <v>1</v>
      </c>
      <c r="Q62" s="17" t="n">
        <v>3</v>
      </c>
      <c r="R62" s="17" t="n">
        <v>2</v>
      </c>
      <c r="S62" s="17" t="s">
        <v>372</v>
      </c>
      <c r="T62" s="17" t="s">
        <v>373</v>
      </c>
      <c r="U62" s="17" t="s">
        <v>59</v>
      </c>
      <c r="V62" s="17" t="s">
        <v>59</v>
      </c>
      <c r="W62" s="17" t="s">
        <v>59</v>
      </c>
      <c r="X62" s="18"/>
      <c r="Y62" s="18"/>
      <c r="Z62" s="18"/>
      <c r="AA62" s="18"/>
      <c r="AB62" s="18"/>
      <c r="AC62" s="18"/>
    </row>
    <row r="63" customFormat="false" ht="16.5" hidden="false" customHeight="true" outlineLevel="0" collapsed="false">
      <c r="A63" s="19" t="n">
        <v>25</v>
      </c>
      <c r="B63" s="19" t="s">
        <v>83</v>
      </c>
      <c r="C63" s="19" t="s">
        <v>7862</v>
      </c>
      <c r="D63" s="19" t="s">
        <v>49</v>
      </c>
      <c r="E63" s="19" t="s">
        <v>375</v>
      </c>
      <c r="F63" s="19" t="n">
        <v>35</v>
      </c>
      <c r="G63" s="19" t="s">
        <v>7863</v>
      </c>
      <c r="H63" s="19" t="s">
        <v>7864</v>
      </c>
      <c r="I63" s="19" t="s">
        <v>378</v>
      </c>
      <c r="J63" s="19" t="s">
        <v>379</v>
      </c>
      <c r="K63" s="19" t="s">
        <v>380</v>
      </c>
      <c r="L63" s="19" t="s">
        <v>7865</v>
      </c>
      <c r="M63" s="19" t="n">
        <v>2</v>
      </c>
      <c r="N63" s="19" t="n">
        <v>2</v>
      </c>
      <c r="O63" s="19" t="n">
        <v>2</v>
      </c>
      <c r="P63" s="19" t="n">
        <v>1</v>
      </c>
      <c r="Q63" s="19" t="n">
        <v>3</v>
      </c>
      <c r="R63" s="19" t="n">
        <v>2</v>
      </c>
      <c r="S63" s="19" t="s">
        <v>7866</v>
      </c>
      <c r="T63" s="17" t="s">
        <v>7867</v>
      </c>
      <c r="U63" s="19" t="s">
        <v>59</v>
      </c>
      <c r="V63" s="19" t="s">
        <v>59</v>
      </c>
      <c r="W63" s="19" t="s">
        <v>59</v>
      </c>
      <c r="X63" s="20"/>
      <c r="Y63" s="20"/>
      <c r="Z63" s="20"/>
      <c r="AA63" s="20"/>
      <c r="AB63" s="20"/>
      <c r="AC63" s="20"/>
    </row>
    <row r="64" customFormat="false" ht="33.75" hidden="false" customHeight="true" outlineLevel="0" collapsed="false">
      <c r="A64" s="19"/>
      <c r="B64" s="19"/>
      <c r="C64" s="19"/>
      <c r="D64" s="19"/>
      <c r="E64" s="19"/>
      <c r="F64" s="19"/>
      <c r="G64" s="19"/>
      <c r="H64" s="19"/>
      <c r="I64" s="19"/>
      <c r="J64" s="19"/>
      <c r="K64" s="19"/>
      <c r="L64" s="19"/>
      <c r="M64" s="19"/>
      <c r="N64" s="19"/>
      <c r="O64" s="19"/>
      <c r="P64" s="19"/>
      <c r="Q64" s="19"/>
      <c r="R64" s="19"/>
      <c r="S64" s="19"/>
      <c r="T64" s="17" t="s">
        <v>7868</v>
      </c>
      <c r="U64" s="19"/>
      <c r="V64" s="19"/>
      <c r="W64" s="19"/>
      <c r="X64" s="19"/>
      <c r="Y64" s="19"/>
      <c r="Z64" s="19"/>
      <c r="AA64" s="19"/>
      <c r="AB64" s="19"/>
      <c r="AC64" s="19"/>
    </row>
    <row r="65" customFormat="false" ht="33.75" hidden="false" customHeight="true" outlineLevel="0" collapsed="false">
      <c r="A65" s="17" t="n">
        <v>20</v>
      </c>
      <c r="B65" s="17" t="s">
        <v>83</v>
      </c>
      <c r="C65" s="17" t="s">
        <v>7806</v>
      </c>
      <c r="D65" s="17" t="s">
        <v>7756</v>
      </c>
      <c r="E65" s="17" t="s">
        <v>385</v>
      </c>
      <c r="F65" s="17" t="n">
        <v>15</v>
      </c>
      <c r="G65" s="17" t="s">
        <v>386</v>
      </c>
      <c r="H65" s="17" t="s">
        <v>387</v>
      </c>
      <c r="I65" s="17" t="s">
        <v>388</v>
      </c>
      <c r="J65" s="17" t="s">
        <v>389</v>
      </c>
      <c r="K65" s="17" t="s">
        <v>7869</v>
      </c>
      <c r="L65" s="17" t="s">
        <v>391</v>
      </c>
      <c r="M65" s="17" t="n">
        <v>1</v>
      </c>
      <c r="N65" s="17" t="n">
        <v>2</v>
      </c>
      <c r="O65" s="17" t="n">
        <v>3</v>
      </c>
      <c r="P65" s="17" t="n">
        <v>3</v>
      </c>
      <c r="Q65" s="17" t="n">
        <v>1</v>
      </c>
      <c r="R65" s="17" t="n">
        <v>2</v>
      </c>
      <c r="S65" s="17" t="s">
        <v>392</v>
      </c>
      <c r="T65" s="17" t="s">
        <v>393</v>
      </c>
      <c r="U65" s="17" t="s">
        <v>59</v>
      </c>
      <c r="V65" s="17" t="s">
        <v>59</v>
      </c>
      <c r="W65" s="17" t="s">
        <v>59</v>
      </c>
      <c r="X65" s="18"/>
      <c r="Y65" s="18"/>
      <c r="Z65" s="18"/>
      <c r="AA65" s="18"/>
      <c r="AB65" s="18"/>
      <c r="AC65" s="18"/>
    </row>
    <row r="66" customFormat="false" ht="51" hidden="false" customHeight="true" outlineLevel="0" collapsed="false">
      <c r="A66" s="17" t="n">
        <v>21</v>
      </c>
      <c r="B66" s="17" t="s">
        <v>83</v>
      </c>
      <c r="C66" s="17" t="s">
        <v>49</v>
      </c>
      <c r="D66" s="17" t="s">
        <v>49</v>
      </c>
      <c r="E66" s="17" t="s">
        <v>395</v>
      </c>
      <c r="F66" s="17" t="n">
        <v>20</v>
      </c>
      <c r="G66" s="17" t="s">
        <v>396</v>
      </c>
      <c r="H66" s="17" t="s">
        <v>397</v>
      </c>
      <c r="I66" s="17" t="s">
        <v>398</v>
      </c>
      <c r="J66" s="17" t="s">
        <v>399</v>
      </c>
      <c r="K66" s="17" t="s">
        <v>59</v>
      </c>
      <c r="L66" s="17" t="s">
        <v>400</v>
      </c>
      <c r="M66" s="17" t="n">
        <v>1</v>
      </c>
      <c r="N66" s="17" t="n">
        <v>2</v>
      </c>
      <c r="O66" s="17" t="n">
        <v>2</v>
      </c>
      <c r="P66" s="17" t="n">
        <v>2</v>
      </c>
      <c r="Q66" s="17" t="n">
        <v>2</v>
      </c>
      <c r="R66" s="17" t="n">
        <v>2</v>
      </c>
      <c r="S66" s="17" t="s">
        <v>401</v>
      </c>
      <c r="T66" s="17" t="s">
        <v>402</v>
      </c>
      <c r="U66" s="17" t="s">
        <v>59</v>
      </c>
      <c r="V66" s="17" t="s">
        <v>59</v>
      </c>
      <c r="W66" s="17" t="s">
        <v>59</v>
      </c>
      <c r="X66" s="18"/>
      <c r="Y66" s="18"/>
      <c r="Z66" s="18"/>
      <c r="AA66" s="18"/>
      <c r="AB66" s="18"/>
      <c r="AC66" s="18"/>
    </row>
    <row r="67" customFormat="false" ht="67.5" hidden="false" customHeight="true" outlineLevel="0" collapsed="false">
      <c r="A67" s="17" t="n">
        <v>21</v>
      </c>
      <c r="B67" s="17" t="s">
        <v>83</v>
      </c>
      <c r="C67" s="17" t="s">
        <v>7870</v>
      </c>
      <c r="D67" s="17" t="s">
        <v>49</v>
      </c>
      <c r="E67" s="17" t="s">
        <v>7871</v>
      </c>
      <c r="F67" s="17" t="n">
        <v>23</v>
      </c>
      <c r="G67" s="17" t="s">
        <v>405</v>
      </c>
      <c r="H67" s="17" t="s">
        <v>7872</v>
      </c>
      <c r="I67" s="17" t="s">
        <v>407</v>
      </c>
      <c r="J67" s="17" t="s">
        <v>408</v>
      </c>
      <c r="K67" s="17" t="s">
        <v>7873</v>
      </c>
      <c r="L67" s="17" t="s">
        <v>7874</v>
      </c>
      <c r="M67" s="17" t="n">
        <v>2</v>
      </c>
      <c r="N67" s="17" t="n">
        <v>3</v>
      </c>
      <c r="O67" s="17" t="n">
        <v>1</v>
      </c>
      <c r="P67" s="17" t="n">
        <v>2</v>
      </c>
      <c r="Q67" s="17" t="n">
        <v>3</v>
      </c>
      <c r="R67" s="17" t="n">
        <v>1</v>
      </c>
      <c r="S67" s="17" t="s">
        <v>7875</v>
      </c>
      <c r="T67" s="17" t="s">
        <v>7876</v>
      </c>
      <c r="U67" s="17" t="s">
        <v>59</v>
      </c>
      <c r="V67" s="17" t="s">
        <v>98</v>
      </c>
      <c r="W67" s="17" t="s">
        <v>59</v>
      </c>
      <c r="X67" s="18"/>
      <c r="Y67" s="18"/>
      <c r="Z67" s="18"/>
      <c r="AA67" s="18"/>
      <c r="AB67" s="18"/>
      <c r="AC67" s="18"/>
    </row>
    <row r="68" customFormat="false" ht="237.75" hidden="false" customHeight="true" outlineLevel="0" collapsed="false">
      <c r="A68" s="17" t="n">
        <v>25</v>
      </c>
      <c r="B68" s="17" t="s">
        <v>45</v>
      </c>
      <c r="C68" s="17" t="s">
        <v>49</v>
      </c>
      <c r="D68" s="17" t="s">
        <v>49</v>
      </c>
      <c r="E68" s="17" t="s">
        <v>414</v>
      </c>
      <c r="F68" s="17" t="n">
        <v>20</v>
      </c>
      <c r="G68" s="17" t="s">
        <v>415</v>
      </c>
      <c r="H68" s="17" t="s">
        <v>416</v>
      </c>
      <c r="I68" s="17" t="s">
        <v>417</v>
      </c>
      <c r="J68" s="17" t="s">
        <v>418</v>
      </c>
      <c r="K68" s="17" t="s">
        <v>419</v>
      </c>
      <c r="L68" s="17" t="s">
        <v>420</v>
      </c>
      <c r="M68" s="17" t="n">
        <v>2</v>
      </c>
      <c r="N68" s="17" t="n">
        <v>1</v>
      </c>
      <c r="O68" s="17" t="n">
        <v>3</v>
      </c>
      <c r="P68" s="17" t="n">
        <v>2</v>
      </c>
      <c r="Q68" s="17" t="n">
        <v>3</v>
      </c>
      <c r="R68" s="17" t="n">
        <v>1</v>
      </c>
      <c r="S68" s="17" t="s">
        <v>421</v>
      </c>
      <c r="T68" s="17" t="s">
        <v>422</v>
      </c>
      <c r="U68" s="17" t="s">
        <v>59</v>
      </c>
      <c r="V68" s="17" t="s">
        <v>59</v>
      </c>
      <c r="W68" s="17" t="s">
        <v>59</v>
      </c>
      <c r="X68" s="18"/>
      <c r="Y68" s="18"/>
      <c r="Z68" s="18"/>
      <c r="AA68" s="18"/>
      <c r="AB68" s="18"/>
      <c r="AC68" s="18"/>
    </row>
    <row r="69" customFormat="false" ht="118.5" hidden="false" customHeight="true" outlineLevel="0" collapsed="false">
      <c r="A69" s="17" t="n">
        <v>22</v>
      </c>
      <c r="B69" s="17" t="s">
        <v>83</v>
      </c>
      <c r="C69" s="17" t="s">
        <v>7877</v>
      </c>
      <c r="D69" s="17" t="s">
        <v>7878</v>
      </c>
      <c r="E69" s="17" t="s">
        <v>426</v>
      </c>
      <c r="F69" s="17" t="n">
        <v>25</v>
      </c>
      <c r="G69" s="17" t="s">
        <v>427</v>
      </c>
      <c r="H69" s="17" t="s">
        <v>428</v>
      </c>
      <c r="I69" s="17" t="s">
        <v>429</v>
      </c>
      <c r="J69" s="17" t="s">
        <v>430</v>
      </c>
      <c r="K69" s="17" t="s">
        <v>431</v>
      </c>
      <c r="L69" s="17" t="s">
        <v>432</v>
      </c>
      <c r="M69" s="17" t="n">
        <v>1</v>
      </c>
      <c r="N69" s="17" t="n">
        <v>2</v>
      </c>
      <c r="O69" s="17" t="n">
        <v>3</v>
      </c>
      <c r="P69" s="17" t="n">
        <v>1</v>
      </c>
      <c r="Q69" s="17" t="n">
        <v>2</v>
      </c>
      <c r="R69" s="17" t="n">
        <v>3</v>
      </c>
      <c r="S69" s="17" t="s">
        <v>433</v>
      </c>
      <c r="T69" s="17" t="s">
        <v>434</v>
      </c>
      <c r="U69" s="17" t="s">
        <v>59</v>
      </c>
      <c r="V69" s="17" t="s">
        <v>59</v>
      </c>
      <c r="W69" s="17" t="s">
        <v>59</v>
      </c>
      <c r="X69" s="18"/>
      <c r="Y69" s="18"/>
      <c r="Z69" s="18"/>
      <c r="AA69" s="18"/>
      <c r="AB69" s="18"/>
      <c r="AC69" s="18"/>
    </row>
    <row r="70" customFormat="false" ht="67.5" hidden="false" customHeight="true" outlineLevel="0" collapsed="false">
      <c r="A70" s="17" t="n">
        <v>23</v>
      </c>
      <c r="B70" s="17" t="s">
        <v>45</v>
      </c>
      <c r="C70" s="17" t="s">
        <v>436</v>
      </c>
      <c r="D70" s="17" t="s">
        <v>49</v>
      </c>
      <c r="E70" s="17" t="s">
        <v>439</v>
      </c>
      <c r="F70" s="17" t="n">
        <v>30</v>
      </c>
      <c r="G70" s="17" t="s">
        <v>440</v>
      </c>
      <c r="H70" s="17" t="s">
        <v>441</v>
      </c>
      <c r="I70" s="17" t="s">
        <v>442</v>
      </c>
      <c r="J70" s="17" t="s">
        <v>443</v>
      </c>
      <c r="K70" s="17" t="s">
        <v>444</v>
      </c>
      <c r="L70" s="17" t="s">
        <v>445</v>
      </c>
      <c r="M70" s="17" t="n">
        <v>3</v>
      </c>
      <c r="N70" s="17" t="n">
        <v>2</v>
      </c>
      <c r="O70" s="17" t="n">
        <v>1</v>
      </c>
      <c r="P70" s="17" t="n">
        <v>3</v>
      </c>
      <c r="Q70" s="17" t="n">
        <v>3</v>
      </c>
      <c r="R70" s="17" t="n">
        <v>3</v>
      </c>
      <c r="S70" s="17" t="s">
        <v>446</v>
      </c>
      <c r="T70" s="17" t="s">
        <v>447</v>
      </c>
      <c r="U70" s="17" t="s">
        <v>59</v>
      </c>
      <c r="V70" s="17" t="s">
        <v>59</v>
      </c>
      <c r="W70" s="17" t="s">
        <v>59</v>
      </c>
      <c r="X70" s="18"/>
      <c r="Y70" s="18"/>
      <c r="Z70" s="18"/>
      <c r="AA70" s="18"/>
      <c r="AB70" s="18"/>
      <c r="AC70" s="18"/>
    </row>
    <row r="71" customFormat="false" ht="135.75" hidden="false" customHeight="true" outlineLevel="0" collapsed="false">
      <c r="A71" s="17" t="n">
        <v>22</v>
      </c>
      <c r="B71" s="17" t="s">
        <v>45</v>
      </c>
      <c r="C71" s="17" t="s">
        <v>7879</v>
      </c>
      <c r="D71" s="17" t="s">
        <v>7880</v>
      </c>
      <c r="E71" s="17" t="s">
        <v>7881</v>
      </c>
      <c r="F71" s="17" t="n">
        <v>20</v>
      </c>
      <c r="G71" s="17" t="s">
        <v>456</v>
      </c>
      <c r="H71" s="17" t="s">
        <v>457</v>
      </c>
      <c r="I71" s="17" t="s">
        <v>458</v>
      </c>
      <c r="J71" s="17" t="s">
        <v>7882</v>
      </c>
      <c r="K71" s="17" t="s">
        <v>7883</v>
      </c>
      <c r="L71" s="17" t="s">
        <v>461</v>
      </c>
      <c r="M71" s="17" t="n">
        <v>3</v>
      </c>
      <c r="N71" s="17" t="n">
        <v>1</v>
      </c>
      <c r="O71" s="17" t="n">
        <v>2</v>
      </c>
      <c r="P71" s="17" t="n">
        <v>3</v>
      </c>
      <c r="Q71" s="17" t="n">
        <v>1</v>
      </c>
      <c r="R71" s="17" t="n">
        <v>2</v>
      </c>
      <c r="S71" s="17" t="s">
        <v>462</v>
      </c>
      <c r="T71" s="17" t="s">
        <v>463</v>
      </c>
      <c r="U71" s="17" t="s">
        <v>59</v>
      </c>
      <c r="V71" s="17" t="s">
        <v>59</v>
      </c>
      <c r="W71" s="17" t="s">
        <v>59</v>
      </c>
      <c r="X71" s="18"/>
      <c r="Y71" s="18"/>
      <c r="Z71" s="18"/>
      <c r="AA71" s="18"/>
      <c r="AB71" s="18"/>
      <c r="AC71" s="18"/>
    </row>
    <row r="72" customFormat="false" ht="118.5" hidden="false" customHeight="true" outlineLevel="0" collapsed="false">
      <c r="A72" s="17" t="n">
        <v>23</v>
      </c>
      <c r="B72" s="17" t="s">
        <v>45</v>
      </c>
      <c r="C72" s="17" t="s">
        <v>437</v>
      </c>
      <c r="D72" s="17" t="s">
        <v>47</v>
      </c>
      <c r="E72" s="17" t="s">
        <v>465</v>
      </c>
      <c r="F72" s="17" t="n">
        <v>15</v>
      </c>
      <c r="G72" s="17" t="s">
        <v>466</v>
      </c>
      <c r="H72" s="17" t="s">
        <v>467</v>
      </c>
      <c r="I72" s="17" t="s">
        <v>468</v>
      </c>
      <c r="J72" s="17" t="s">
        <v>7884</v>
      </c>
      <c r="K72" s="17" t="s">
        <v>470</v>
      </c>
      <c r="L72" s="17" t="s">
        <v>471</v>
      </c>
      <c r="M72" s="17" t="n">
        <v>3</v>
      </c>
      <c r="N72" s="17" t="n">
        <v>3</v>
      </c>
      <c r="O72" s="17" t="n">
        <v>3</v>
      </c>
      <c r="P72" s="17" t="n">
        <v>3</v>
      </c>
      <c r="Q72" s="17" t="n">
        <v>2</v>
      </c>
      <c r="R72" s="17" t="n">
        <v>1</v>
      </c>
      <c r="S72" s="17" t="s">
        <v>472</v>
      </c>
      <c r="T72" s="17" t="s">
        <v>473</v>
      </c>
      <c r="U72" s="17" t="s">
        <v>59</v>
      </c>
      <c r="V72" s="17" t="s">
        <v>59</v>
      </c>
      <c r="W72" s="17" t="s">
        <v>59</v>
      </c>
      <c r="X72" s="18"/>
      <c r="Y72" s="18"/>
      <c r="Z72" s="18"/>
      <c r="AA72" s="18"/>
      <c r="AB72" s="18"/>
      <c r="AC72" s="18"/>
    </row>
    <row r="73" customFormat="false" ht="220.5" hidden="false" customHeight="true" outlineLevel="0" collapsed="false">
      <c r="A73" s="17" t="n">
        <v>22</v>
      </c>
      <c r="B73" s="17" t="s">
        <v>45</v>
      </c>
      <c r="C73" s="17" t="s">
        <v>7885</v>
      </c>
      <c r="D73" s="17" t="s">
        <v>7886</v>
      </c>
      <c r="E73" s="17" t="s">
        <v>7887</v>
      </c>
      <c r="F73" s="17" t="n">
        <v>35</v>
      </c>
      <c r="G73" s="17" t="s">
        <v>7888</v>
      </c>
      <c r="H73" s="17" t="s">
        <v>7889</v>
      </c>
      <c r="I73" s="17" t="s">
        <v>7890</v>
      </c>
      <c r="J73" s="17" t="s">
        <v>481</v>
      </c>
      <c r="K73" s="17" t="s">
        <v>482</v>
      </c>
      <c r="L73" s="17" t="s">
        <v>483</v>
      </c>
      <c r="M73" s="17" t="n">
        <v>1</v>
      </c>
      <c r="N73" s="17" t="n">
        <v>3</v>
      </c>
      <c r="O73" s="17" t="n">
        <v>2</v>
      </c>
      <c r="P73" s="17" t="n">
        <v>2</v>
      </c>
      <c r="Q73" s="17" t="n">
        <v>3</v>
      </c>
      <c r="R73" s="17" t="n">
        <v>1</v>
      </c>
      <c r="S73" s="17" t="s">
        <v>7891</v>
      </c>
      <c r="T73" s="17" t="s">
        <v>485</v>
      </c>
      <c r="U73" s="17" t="s">
        <v>59</v>
      </c>
      <c r="V73" s="17" t="s">
        <v>59</v>
      </c>
      <c r="W73" s="17" t="s">
        <v>59</v>
      </c>
      <c r="X73" s="18"/>
      <c r="Y73" s="18"/>
      <c r="Z73" s="18"/>
      <c r="AA73" s="18"/>
      <c r="AB73" s="18"/>
      <c r="AC73" s="18"/>
    </row>
    <row r="74" customFormat="false" ht="84.75" hidden="false" customHeight="true" outlineLevel="0" collapsed="false">
      <c r="A74" s="19" t="n">
        <v>24</v>
      </c>
      <c r="B74" s="19" t="s">
        <v>45</v>
      </c>
      <c r="C74" s="19" t="s">
        <v>47</v>
      </c>
      <c r="D74" s="19" t="s">
        <v>47</v>
      </c>
      <c r="E74" s="19" t="s">
        <v>7892</v>
      </c>
      <c r="F74" s="19" t="n">
        <v>36</v>
      </c>
      <c r="G74" s="19" t="s">
        <v>7893</v>
      </c>
      <c r="H74" s="19" t="s">
        <v>7894</v>
      </c>
      <c r="I74" s="19" t="s">
        <v>98</v>
      </c>
      <c r="J74" s="19" t="s">
        <v>7895</v>
      </c>
      <c r="K74" s="19" t="s">
        <v>59</v>
      </c>
      <c r="L74" s="19" t="s">
        <v>7896</v>
      </c>
      <c r="M74" s="19" t="n">
        <v>2</v>
      </c>
      <c r="N74" s="19" t="n">
        <v>3</v>
      </c>
      <c r="O74" s="19" t="n">
        <v>1</v>
      </c>
      <c r="P74" s="19" t="n">
        <v>2</v>
      </c>
      <c r="Q74" s="19" t="n">
        <v>3</v>
      </c>
      <c r="R74" s="19" t="n">
        <v>1</v>
      </c>
      <c r="S74" s="19" t="s">
        <v>492</v>
      </c>
      <c r="T74" s="17" t="s">
        <v>7897</v>
      </c>
      <c r="U74" s="19" t="s">
        <v>59</v>
      </c>
      <c r="V74" s="19" t="s">
        <v>59</v>
      </c>
      <c r="W74" s="19" t="s">
        <v>59</v>
      </c>
      <c r="X74" s="20"/>
      <c r="Y74" s="20"/>
      <c r="Z74" s="20"/>
      <c r="AA74" s="20"/>
      <c r="AB74" s="20"/>
      <c r="AC74" s="20"/>
    </row>
    <row r="75" customFormat="false" ht="67.5" hidden="false" customHeight="true" outlineLevel="0" collapsed="false">
      <c r="A75" s="19"/>
      <c r="B75" s="19"/>
      <c r="C75" s="19"/>
      <c r="D75" s="19"/>
      <c r="E75" s="19"/>
      <c r="F75" s="19"/>
      <c r="G75" s="19"/>
      <c r="H75" s="19"/>
      <c r="I75" s="19"/>
      <c r="J75" s="19"/>
      <c r="K75" s="19"/>
      <c r="L75" s="19"/>
      <c r="M75" s="19"/>
      <c r="N75" s="19"/>
      <c r="O75" s="19"/>
      <c r="P75" s="19"/>
      <c r="Q75" s="19"/>
      <c r="R75" s="19"/>
      <c r="S75" s="19"/>
      <c r="T75" s="17" t="s">
        <v>7898</v>
      </c>
      <c r="U75" s="19"/>
      <c r="V75" s="19"/>
      <c r="W75" s="19"/>
      <c r="X75" s="19"/>
      <c r="Y75" s="19"/>
      <c r="Z75" s="19"/>
      <c r="AA75" s="19"/>
      <c r="AB75" s="19"/>
      <c r="AC75" s="19"/>
    </row>
    <row r="76" customFormat="false" ht="84.75" hidden="false" customHeight="true" outlineLevel="0" collapsed="false">
      <c r="A76" s="17" t="n">
        <v>27</v>
      </c>
      <c r="B76" s="17" t="s">
        <v>45</v>
      </c>
      <c r="C76" s="17" t="s">
        <v>437</v>
      </c>
      <c r="D76" s="17" t="s">
        <v>475</v>
      </c>
      <c r="E76" s="17" t="s">
        <v>495</v>
      </c>
      <c r="F76" s="17" t="n">
        <v>20</v>
      </c>
      <c r="G76" s="17" t="s">
        <v>496</v>
      </c>
      <c r="H76" s="17" t="s">
        <v>497</v>
      </c>
      <c r="I76" s="17" t="s">
        <v>59</v>
      </c>
      <c r="J76" s="17" t="s">
        <v>7899</v>
      </c>
      <c r="K76" s="17" t="s">
        <v>7900</v>
      </c>
      <c r="L76" s="17" t="s">
        <v>500</v>
      </c>
      <c r="M76" s="17" t="n">
        <v>2</v>
      </c>
      <c r="N76" s="17" t="n">
        <v>1</v>
      </c>
      <c r="O76" s="17" t="n">
        <v>3</v>
      </c>
      <c r="P76" s="17" t="n">
        <v>1</v>
      </c>
      <c r="Q76" s="17" t="n">
        <v>1</v>
      </c>
      <c r="R76" s="17" t="n">
        <v>2</v>
      </c>
      <c r="S76" s="17" t="s">
        <v>501</v>
      </c>
      <c r="T76" s="17" t="s">
        <v>7901</v>
      </c>
      <c r="U76" s="17" t="s">
        <v>59</v>
      </c>
      <c r="V76" s="17" t="s">
        <v>59</v>
      </c>
      <c r="W76" s="17" t="s">
        <v>59</v>
      </c>
      <c r="X76" s="18"/>
      <c r="Y76" s="18"/>
      <c r="Z76" s="18"/>
      <c r="AA76" s="18"/>
      <c r="AB76" s="18"/>
      <c r="AC76" s="18"/>
    </row>
    <row r="77" customFormat="false" ht="118.5" hidden="false" customHeight="true" outlineLevel="0" collapsed="false">
      <c r="A77" s="17" t="n">
        <v>22</v>
      </c>
      <c r="B77" s="17" t="s">
        <v>45</v>
      </c>
      <c r="C77" s="17" t="s">
        <v>437</v>
      </c>
      <c r="D77" s="17" t="s">
        <v>7902</v>
      </c>
      <c r="E77" s="17" t="s">
        <v>504</v>
      </c>
      <c r="F77" s="17" t="n">
        <v>15</v>
      </c>
      <c r="G77" s="17" t="s">
        <v>505</v>
      </c>
      <c r="H77" s="17" t="s">
        <v>506</v>
      </c>
      <c r="I77" s="17" t="s">
        <v>59</v>
      </c>
      <c r="J77" s="17" t="s">
        <v>507</v>
      </c>
      <c r="K77" s="17" t="s">
        <v>508</v>
      </c>
      <c r="L77" s="17" t="s">
        <v>509</v>
      </c>
      <c r="M77" s="17" t="n">
        <v>3</v>
      </c>
      <c r="N77" s="17" t="n">
        <v>1</v>
      </c>
      <c r="O77" s="17" t="n">
        <v>2</v>
      </c>
      <c r="P77" s="17" t="n">
        <v>1</v>
      </c>
      <c r="Q77" s="17" t="n">
        <v>2</v>
      </c>
      <c r="R77" s="17" t="n">
        <v>3</v>
      </c>
      <c r="S77" s="17" t="s">
        <v>510</v>
      </c>
      <c r="T77" s="17" t="s">
        <v>511</v>
      </c>
      <c r="U77" s="17" t="s">
        <v>59</v>
      </c>
      <c r="V77" s="17" t="s">
        <v>59</v>
      </c>
      <c r="W77" s="17" t="s">
        <v>59</v>
      </c>
      <c r="X77" s="18"/>
      <c r="Y77" s="18"/>
      <c r="Z77" s="18"/>
      <c r="AA77" s="18"/>
      <c r="AB77" s="18"/>
      <c r="AC77" s="18"/>
    </row>
    <row r="78" customFormat="false" ht="84.75" hidden="false" customHeight="true" outlineLevel="0" collapsed="false">
      <c r="A78" s="17" t="n">
        <v>21</v>
      </c>
      <c r="B78" s="17" t="s">
        <v>83</v>
      </c>
      <c r="C78" s="17" t="s">
        <v>437</v>
      </c>
      <c r="D78" s="17" t="s">
        <v>71</v>
      </c>
      <c r="E78" s="17" t="s">
        <v>513</v>
      </c>
      <c r="F78" s="17" t="n">
        <v>10</v>
      </c>
      <c r="G78" s="17" t="s">
        <v>514</v>
      </c>
      <c r="H78" s="17" t="s">
        <v>515</v>
      </c>
      <c r="I78" s="17" t="s">
        <v>516</v>
      </c>
      <c r="J78" s="17" t="s">
        <v>517</v>
      </c>
      <c r="K78" s="17" t="s">
        <v>518</v>
      </c>
      <c r="L78" s="17" t="s">
        <v>7903</v>
      </c>
      <c r="M78" s="17" t="n">
        <v>3</v>
      </c>
      <c r="N78" s="17" t="n">
        <v>2</v>
      </c>
      <c r="O78" s="17" t="n">
        <v>1</v>
      </c>
      <c r="P78" s="17" t="n">
        <v>1</v>
      </c>
      <c r="Q78" s="17" t="n">
        <v>3</v>
      </c>
      <c r="R78" s="17" t="n">
        <v>2</v>
      </c>
      <c r="S78" s="17" t="s">
        <v>520</v>
      </c>
      <c r="T78" s="17" t="s">
        <v>521</v>
      </c>
      <c r="U78" s="17" t="s">
        <v>59</v>
      </c>
      <c r="V78" s="17" t="s">
        <v>59</v>
      </c>
      <c r="W78" s="17" t="s">
        <v>59</v>
      </c>
      <c r="X78" s="18"/>
      <c r="Y78" s="18"/>
      <c r="Z78" s="18"/>
      <c r="AA78" s="18"/>
      <c r="AB78" s="18"/>
      <c r="AC78" s="18"/>
    </row>
    <row r="79" customFormat="false" ht="33.75" hidden="false" customHeight="true" outlineLevel="0" collapsed="false">
      <c r="A79" s="17" t="n">
        <v>49</v>
      </c>
      <c r="B79" s="17" t="s">
        <v>45</v>
      </c>
      <c r="C79" s="17" t="s">
        <v>7904</v>
      </c>
      <c r="D79" s="17" t="s">
        <v>7904</v>
      </c>
      <c r="E79" s="17" t="s">
        <v>7905</v>
      </c>
      <c r="F79" s="17" t="n">
        <v>35</v>
      </c>
      <c r="G79" s="17" t="s">
        <v>524</v>
      </c>
      <c r="H79" s="17" t="s">
        <v>7906</v>
      </c>
      <c r="I79" s="17" t="s">
        <v>59</v>
      </c>
      <c r="J79" s="17" t="s">
        <v>526</v>
      </c>
      <c r="K79" s="17" t="s">
        <v>527</v>
      </c>
      <c r="L79" s="17" t="s">
        <v>528</v>
      </c>
      <c r="M79" s="17" t="n">
        <v>1</v>
      </c>
      <c r="N79" s="17" t="n">
        <v>1</v>
      </c>
      <c r="O79" s="17" t="n">
        <v>3</v>
      </c>
      <c r="P79" s="17" t="n">
        <v>1</v>
      </c>
      <c r="Q79" s="17" t="n">
        <v>1</v>
      </c>
      <c r="R79" s="17" t="n">
        <v>1</v>
      </c>
      <c r="S79" s="17" t="s">
        <v>529</v>
      </c>
      <c r="T79" s="17" t="s">
        <v>7907</v>
      </c>
      <c r="U79" s="17" t="s">
        <v>59</v>
      </c>
      <c r="V79" s="17" t="s">
        <v>59</v>
      </c>
      <c r="W79" s="17" t="s">
        <v>59</v>
      </c>
      <c r="X79" s="18"/>
      <c r="Y79" s="18"/>
      <c r="Z79" s="18"/>
      <c r="AA79" s="18"/>
      <c r="AB79" s="18"/>
      <c r="AC79" s="18"/>
    </row>
    <row r="80" customFormat="false" ht="33.75" hidden="false" customHeight="true" outlineLevel="0" collapsed="false">
      <c r="A80" s="17" t="n">
        <v>28</v>
      </c>
      <c r="B80" s="17" t="s">
        <v>83</v>
      </c>
      <c r="C80" s="17" t="s">
        <v>532</v>
      </c>
      <c r="D80" s="17" t="s">
        <v>49</v>
      </c>
      <c r="E80" s="17" t="s">
        <v>534</v>
      </c>
      <c r="F80" s="17" t="n">
        <v>20</v>
      </c>
      <c r="G80" s="17" t="s">
        <v>535</v>
      </c>
      <c r="H80" s="17" t="s">
        <v>536</v>
      </c>
      <c r="I80" s="17" t="s">
        <v>537</v>
      </c>
      <c r="J80" s="17" t="s">
        <v>538</v>
      </c>
      <c r="K80" s="17" t="s">
        <v>539</v>
      </c>
      <c r="L80" s="17" t="s">
        <v>540</v>
      </c>
      <c r="M80" s="17" t="n">
        <v>2</v>
      </c>
      <c r="N80" s="17" t="n">
        <v>3</v>
      </c>
      <c r="O80" s="17" t="n">
        <v>1</v>
      </c>
      <c r="P80" s="17" t="n">
        <v>2</v>
      </c>
      <c r="Q80" s="17" t="n">
        <v>1</v>
      </c>
      <c r="R80" s="17" t="n">
        <v>3</v>
      </c>
      <c r="S80" s="17" t="s">
        <v>541</v>
      </c>
      <c r="T80" s="17" t="s">
        <v>542</v>
      </c>
      <c r="U80" s="17" t="s">
        <v>98</v>
      </c>
      <c r="V80" s="17" t="s">
        <v>59</v>
      </c>
      <c r="W80" s="17" t="s">
        <v>59</v>
      </c>
      <c r="X80" s="18"/>
      <c r="Y80" s="18"/>
      <c r="Z80" s="18"/>
      <c r="AA80" s="18"/>
      <c r="AB80" s="18"/>
      <c r="AC80" s="18"/>
    </row>
    <row r="81" customFormat="false" ht="118.5" hidden="false" customHeight="true" outlineLevel="0" collapsed="false">
      <c r="A81" s="17" t="n">
        <v>56</v>
      </c>
      <c r="B81" s="17" t="s">
        <v>45</v>
      </c>
      <c r="C81" s="17" t="s">
        <v>7908</v>
      </c>
      <c r="D81" s="17" t="s">
        <v>7909</v>
      </c>
      <c r="E81" s="17" t="s">
        <v>546</v>
      </c>
      <c r="F81" s="17" t="n">
        <v>40</v>
      </c>
      <c r="G81" s="17" t="s">
        <v>547</v>
      </c>
      <c r="H81" s="17" t="s">
        <v>548</v>
      </c>
      <c r="I81" s="17" t="s">
        <v>549</v>
      </c>
      <c r="J81" s="17" t="s">
        <v>550</v>
      </c>
      <c r="K81" s="17" t="s">
        <v>551</v>
      </c>
      <c r="L81" s="17" t="s">
        <v>552</v>
      </c>
      <c r="M81" s="17" t="n">
        <v>2</v>
      </c>
      <c r="N81" s="17" t="n">
        <v>1</v>
      </c>
      <c r="O81" s="17" t="n">
        <v>3</v>
      </c>
      <c r="P81" s="17" t="n">
        <v>1</v>
      </c>
      <c r="Q81" s="17" t="n">
        <v>2</v>
      </c>
      <c r="R81" s="17" t="n">
        <v>3</v>
      </c>
      <c r="S81" s="17" t="s">
        <v>553</v>
      </c>
      <c r="T81" s="17" t="s">
        <v>554</v>
      </c>
      <c r="U81" s="17" t="s">
        <v>59</v>
      </c>
      <c r="V81" s="17" t="s">
        <v>98</v>
      </c>
      <c r="W81" s="17" t="s">
        <v>98</v>
      </c>
      <c r="X81" s="18"/>
      <c r="Y81" s="18"/>
      <c r="Z81" s="18"/>
      <c r="AA81" s="18"/>
      <c r="AB81" s="18"/>
      <c r="AC81" s="18"/>
    </row>
    <row r="82" customFormat="false" ht="204" hidden="false" customHeight="true" outlineLevel="0" collapsed="false">
      <c r="A82" s="17" t="n">
        <v>23</v>
      </c>
      <c r="B82" s="17" t="s">
        <v>45</v>
      </c>
      <c r="C82" s="17" t="s">
        <v>7910</v>
      </c>
      <c r="D82" s="17" t="s">
        <v>7910</v>
      </c>
      <c r="E82" s="17" t="s">
        <v>556</v>
      </c>
      <c r="F82" s="17" t="n">
        <v>45</v>
      </c>
      <c r="G82" s="17" t="s">
        <v>557</v>
      </c>
      <c r="H82" s="17" t="s">
        <v>558</v>
      </c>
      <c r="I82" s="17" t="s">
        <v>559</v>
      </c>
      <c r="J82" s="17" t="s">
        <v>560</v>
      </c>
      <c r="K82" s="17" t="s">
        <v>561</v>
      </c>
      <c r="L82" s="17" t="s">
        <v>562</v>
      </c>
      <c r="M82" s="17" t="n">
        <v>3</v>
      </c>
      <c r="N82" s="17" t="n">
        <v>1</v>
      </c>
      <c r="O82" s="17" t="n">
        <v>2</v>
      </c>
      <c r="P82" s="17" t="n">
        <v>3</v>
      </c>
      <c r="Q82" s="17" t="n">
        <v>1</v>
      </c>
      <c r="R82" s="17" t="n">
        <v>2</v>
      </c>
      <c r="S82" s="17" t="s">
        <v>563</v>
      </c>
      <c r="T82" s="17" t="s">
        <v>564</v>
      </c>
      <c r="U82" s="17" t="s">
        <v>59</v>
      </c>
      <c r="V82" s="17" t="s">
        <v>59</v>
      </c>
      <c r="W82" s="17" t="s">
        <v>59</v>
      </c>
      <c r="X82" s="18"/>
      <c r="Y82" s="18"/>
      <c r="Z82" s="18"/>
      <c r="AA82" s="18"/>
      <c r="AB82" s="18"/>
      <c r="AC82" s="18"/>
    </row>
    <row r="83" customFormat="false" ht="67.5" hidden="false" customHeight="true" outlineLevel="0" collapsed="false">
      <c r="A83" s="17" t="n">
        <v>24</v>
      </c>
      <c r="B83" s="17" t="s">
        <v>83</v>
      </c>
      <c r="C83" s="17" t="s">
        <v>159</v>
      </c>
      <c r="D83" s="17" t="s">
        <v>159</v>
      </c>
      <c r="E83" s="17" t="s">
        <v>566</v>
      </c>
      <c r="F83" s="17" t="n">
        <v>40</v>
      </c>
      <c r="G83" s="17" t="s">
        <v>567</v>
      </c>
      <c r="H83" s="17" t="s">
        <v>568</v>
      </c>
      <c r="I83" s="17" t="s">
        <v>569</v>
      </c>
      <c r="J83" s="17" t="s">
        <v>570</v>
      </c>
      <c r="K83" s="17" t="s">
        <v>571</v>
      </c>
      <c r="L83" s="17" t="s">
        <v>572</v>
      </c>
      <c r="M83" s="17" t="n">
        <v>1</v>
      </c>
      <c r="N83" s="17" t="n">
        <v>3</v>
      </c>
      <c r="O83" s="17" t="n">
        <v>2</v>
      </c>
      <c r="P83" s="17" t="n">
        <v>1</v>
      </c>
      <c r="Q83" s="17" t="n">
        <v>3</v>
      </c>
      <c r="R83" s="17" t="n">
        <v>2</v>
      </c>
      <c r="S83" s="17" t="s">
        <v>7911</v>
      </c>
      <c r="T83" s="17" t="s">
        <v>574</v>
      </c>
      <c r="U83" s="17" t="s">
        <v>98</v>
      </c>
      <c r="V83" s="17" t="s">
        <v>59</v>
      </c>
      <c r="W83" s="17" t="s">
        <v>59</v>
      </c>
      <c r="X83" s="18"/>
      <c r="Y83" s="18"/>
      <c r="Z83" s="18"/>
      <c r="AA83" s="18"/>
      <c r="AB83" s="18"/>
      <c r="AC83" s="18"/>
    </row>
    <row r="84" customFormat="false" ht="33.75" hidden="false" customHeight="true" outlineLevel="0" collapsed="false">
      <c r="A84" s="17" t="n">
        <v>21</v>
      </c>
      <c r="B84" s="17" t="s">
        <v>83</v>
      </c>
      <c r="C84" s="17" t="s">
        <v>7839</v>
      </c>
      <c r="D84" s="17" t="s">
        <v>7756</v>
      </c>
      <c r="E84" s="17" t="s">
        <v>576</v>
      </c>
      <c r="F84" s="17" t="n">
        <v>20</v>
      </c>
      <c r="G84" s="17" t="s">
        <v>577</v>
      </c>
      <c r="H84" s="17" t="s">
        <v>578</v>
      </c>
      <c r="I84" s="17" t="s">
        <v>579</v>
      </c>
      <c r="J84" s="17" t="s">
        <v>580</v>
      </c>
      <c r="K84" s="17" t="s">
        <v>581</v>
      </c>
      <c r="L84" s="17" t="s">
        <v>582</v>
      </c>
      <c r="M84" s="17" t="n">
        <v>2</v>
      </c>
      <c r="N84" s="17" t="n">
        <v>1</v>
      </c>
      <c r="O84" s="17" t="n">
        <v>3</v>
      </c>
      <c r="P84" s="17" t="n">
        <v>2</v>
      </c>
      <c r="Q84" s="17" t="n">
        <v>1</v>
      </c>
      <c r="R84" s="17" t="n">
        <v>3</v>
      </c>
      <c r="S84" s="17" t="s">
        <v>583</v>
      </c>
      <c r="T84" s="17" t="s">
        <v>584</v>
      </c>
      <c r="U84" s="17" t="s">
        <v>59</v>
      </c>
      <c r="V84" s="17" t="s">
        <v>59</v>
      </c>
      <c r="W84" s="17" t="s">
        <v>59</v>
      </c>
      <c r="X84" s="18"/>
      <c r="Y84" s="18"/>
      <c r="Z84" s="18"/>
      <c r="AA84" s="18"/>
      <c r="AB84" s="18"/>
      <c r="AC84" s="18"/>
    </row>
    <row r="85" customFormat="false" ht="16.5" hidden="false" customHeight="true" outlineLevel="0" collapsed="false">
      <c r="A85" s="19" t="n">
        <v>20</v>
      </c>
      <c r="B85" s="19" t="s">
        <v>83</v>
      </c>
      <c r="C85" s="19" t="s">
        <v>7756</v>
      </c>
      <c r="D85" s="19" t="s">
        <v>7756</v>
      </c>
      <c r="E85" s="19" t="s">
        <v>7912</v>
      </c>
      <c r="F85" s="19" t="n">
        <v>20</v>
      </c>
      <c r="G85" s="19" t="s">
        <v>587</v>
      </c>
      <c r="H85" s="19" t="s">
        <v>588</v>
      </c>
      <c r="I85" s="19" t="s">
        <v>589</v>
      </c>
      <c r="J85" s="17" t="s">
        <v>1859</v>
      </c>
      <c r="K85" s="19" t="s">
        <v>591</v>
      </c>
      <c r="L85" s="19" t="s">
        <v>391</v>
      </c>
      <c r="M85" s="19" t="n">
        <v>3</v>
      </c>
      <c r="N85" s="19" t="n">
        <v>2</v>
      </c>
      <c r="O85" s="19" t="n">
        <v>1</v>
      </c>
      <c r="P85" s="19" t="n">
        <v>1</v>
      </c>
      <c r="Q85" s="19" t="n">
        <v>2</v>
      </c>
      <c r="R85" s="19" t="n">
        <v>3</v>
      </c>
      <c r="S85" s="19" t="s">
        <v>592</v>
      </c>
      <c r="T85" s="19" t="s">
        <v>593</v>
      </c>
      <c r="U85" s="19" t="s">
        <v>59</v>
      </c>
      <c r="V85" s="19" t="s">
        <v>59</v>
      </c>
      <c r="W85" s="19" t="s">
        <v>59</v>
      </c>
      <c r="X85" s="20"/>
      <c r="Y85" s="20"/>
      <c r="Z85" s="20"/>
      <c r="AA85" s="20"/>
      <c r="AB85" s="20"/>
      <c r="AC85" s="20"/>
    </row>
    <row r="86" customFormat="false" ht="16.5" hidden="false" customHeight="true" outlineLevel="0" collapsed="false">
      <c r="A86" s="19"/>
      <c r="B86" s="19"/>
      <c r="C86" s="19"/>
      <c r="D86" s="19"/>
      <c r="E86" s="19"/>
      <c r="F86" s="19"/>
      <c r="G86" s="19"/>
      <c r="H86" s="19"/>
      <c r="I86" s="19"/>
      <c r="J86" s="17" t="s">
        <v>2061</v>
      </c>
      <c r="K86" s="19"/>
      <c r="L86" s="19"/>
      <c r="M86" s="19"/>
      <c r="N86" s="19"/>
      <c r="O86" s="19"/>
      <c r="P86" s="19"/>
      <c r="Q86" s="19"/>
      <c r="R86" s="19"/>
      <c r="S86" s="19"/>
      <c r="T86" s="19"/>
      <c r="U86" s="19"/>
      <c r="V86" s="19"/>
      <c r="W86" s="19"/>
      <c r="X86" s="19"/>
      <c r="Y86" s="19"/>
      <c r="Z86" s="19"/>
      <c r="AA86" s="19"/>
      <c r="AB86" s="19"/>
      <c r="AC86" s="19"/>
    </row>
    <row r="87" customFormat="false" ht="16.5" hidden="false" customHeight="true" outlineLevel="0" collapsed="false">
      <c r="A87" s="19"/>
      <c r="B87" s="19"/>
      <c r="C87" s="19"/>
      <c r="D87" s="19"/>
      <c r="E87" s="19"/>
      <c r="F87" s="19"/>
      <c r="G87" s="19"/>
      <c r="H87" s="19"/>
      <c r="I87" s="19"/>
      <c r="J87" s="17" t="s">
        <v>7913</v>
      </c>
      <c r="K87" s="19"/>
      <c r="L87" s="19"/>
      <c r="M87" s="19"/>
      <c r="N87" s="19"/>
      <c r="O87" s="19"/>
      <c r="P87" s="19"/>
      <c r="Q87" s="19"/>
      <c r="R87" s="19"/>
      <c r="S87" s="19"/>
      <c r="T87" s="19"/>
      <c r="U87" s="19"/>
      <c r="V87" s="19"/>
      <c r="W87" s="19"/>
      <c r="X87" s="19"/>
      <c r="Y87" s="19"/>
      <c r="Z87" s="19"/>
      <c r="AA87" s="19"/>
      <c r="AB87" s="19"/>
      <c r="AC87" s="19"/>
    </row>
    <row r="88" customFormat="false" ht="186.75" hidden="false" customHeight="true" outlineLevel="0" collapsed="false">
      <c r="A88" s="17" t="n">
        <v>20</v>
      </c>
      <c r="B88" s="17" t="s">
        <v>45</v>
      </c>
      <c r="C88" s="17" t="s">
        <v>7914</v>
      </c>
      <c r="D88" s="17" t="s">
        <v>7914</v>
      </c>
      <c r="E88" s="17" t="s">
        <v>595</v>
      </c>
      <c r="F88" s="17" t="n">
        <v>20</v>
      </c>
      <c r="G88" s="17" t="s">
        <v>596</v>
      </c>
      <c r="H88" s="17" t="s">
        <v>597</v>
      </c>
      <c r="I88" s="17" t="s">
        <v>598</v>
      </c>
      <c r="J88" s="17" t="s">
        <v>599</v>
      </c>
      <c r="K88" s="17" t="s">
        <v>600</v>
      </c>
      <c r="L88" s="17" t="s">
        <v>601</v>
      </c>
      <c r="M88" s="17" t="n">
        <v>3</v>
      </c>
      <c r="N88" s="17" t="n">
        <v>1</v>
      </c>
      <c r="O88" s="17" t="n">
        <v>2</v>
      </c>
      <c r="P88" s="17" t="n">
        <v>3</v>
      </c>
      <c r="Q88" s="17" t="n">
        <v>2</v>
      </c>
      <c r="R88" s="17" t="n">
        <v>1</v>
      </c>
      <c r="S88" s="17" t="s">
        <v>7915</v>
      </c>
      <c r="T88" s="17" t="s">
        <v>7916</v>
      </c>
      <c r="U88" s="17" t="s">
        <v>59</v>
      </c>
      <c r="V88" s="17" t="s">
        <v>59</v>
      </c>
      <c r="W88" s="17" t="s">
        <v>59</v>
      </c>
      <c r="X88" s="18"/>
      <c r="Y88" s="18"/>
      <c r="Z88" s="18"/>
      <c r="AA88" s="18"/>
      <c r="AB88" s="18"/>
      <c r="AC88" s="18"/>
    </row>
    <row r="89" customFormat="false" ht="153" hidden="false" customHeight="true" outlineLevel="0" collapsed="false">
      <c r="A89" s="17" t="n">
        <v>20</v>
      </c>
      <c r="B89" s="17" t="s">
        <v>83</v>
      </c>
      <c r="C89" s="17" t="s">
        <v>7902</v>
      </c>
      <c r="D89" s="17" t="s">
        <v>49</v>
      </c>
      <c r="E89" s="17" t="s">
        <v>605</v>
      </c>
      <c r="F89" s="17" t="n">
        <v>30</v>
      </c>
      <c r="G89" s="17" t="s">
        <v>606</v>
      </c>
      <c r="H89" s="17" t="s">
        <v>607</v>
      </c>
      <c r="I89" s="17" t="s">
        <v>608</v>
      </c>
      <c r="J89" s="17" t="s">
        <v>609</v>
      </c>
      <c r="K89" s="17" t="s">
        <v>610</v>
      </c>
      <c r="L89" s="17" t="s">
        <v>611</v>
      </c>
      <c r="M89" s="17" t="n">
        <v>1</v>
      </c>
      <c r="N89" s="17" t="n">
        <v>2</v>
      </c>
      <c r="O89" s="17" t="n">
        <v>3</v>
      </c>
      <c r="P89" s="17" t="n">
        <v>1</v>
      </c>
      <c r="Q89" s="17" t="n">
        <v>2</v>
      </c>
      <c r="R89" s="17" t="n">
        <v>3</v>
      </c>
      <c r="S89" s="17" t="s">
        <v>612</v>
      </c>
      <c r="T89" s="17" t="s">
        <v>7917</v>
      </c>
      <c r="U89" s="17" t="s">
        <v>59</v>
      </c>
      <c r="V89" s="17" t="s">
        <v>59</v>
      </c>
      <c r="W89" s="17" t="s">
        <v>59</v>
      </c>
      <c r="X89" s="18"/>
      <c r="Y89" s="18"/>
      <c r="Z89" s="18"/>
      <c r="AA89" s="18"/>
      <c r="AB89" s="18"/>
      <c r="AC89" s="18"/>
    </row>
    <row r="90" customFormat="false" ht="67.5" hidden="false" customHeight="true" outlineLevel="0" collapsed="false">
      <c r="A90" s="17" t="n">
        <v>59</v>
      </c>
      <c r="B90" s="17" t="s">
        <v>83</v>
      </c>
      <c r="C90" s="17" t="s">
        <v>7902</v>
      </c>
      <c r="D90" s="17" t="s">
        <v>321</v>
      </c>
      <c r="E90" s="17" t="s">
        <v>7918</v>
      </c>
      <c r="F90" s="17" t="n">
        <v>25</v>
      </c>
      <c r="G90" s="17" t="s">
        <v>616</v>
      </c>
      <c r="H90" s="17" t="s">
        <v>617</v>
      </c>
      <c r="I90" s="17" t="s">
        <v>618</v>
      </c>
      <c r="J90" s="17" t="s">
        <v>619</v>
      </c>
      <c r="K90" s="17" t="s">
        <v>620</v>
      </c>
      <c r="L90" s="17" t="s">
        <v>621</v>
      </c>
      <c r="M90" s="17" t="n">
        <v>1</v>
      </c>
      <c r="N90" s="17" t="n">
        <v>2</v>
      </c>
      <c r="O90" s="17" t="n">
        <v>3</v>
      </c>
      <c r="P90" s="17" t="n">
        <v>2</v>
      </c>
      <c r="Q90" s="17" t="n">
        <v>1</v>
      </c>
      <c r="R90" s="17" t="n">
        <v>3</v>
      </c>
      <c r="S90" s="17" t="s">
        <v>7919</v>
      </c>
      <c r="T90" s="17" t="s">
        <v>623</v>
      </c>
      <c r="U90" s="17" t="s">
        <v>59</v>
      </c>
      <c r="V90" s="17" t="s">
        <v>59</v>
      </c>
      <c r="W90" s="17" t="s">
        <v>59</v>
      </c>
      <c r="X90" s="18"/>
      <c r="Y90" s="18"/>
      <c r="Z90" s="18"/>
      <c r="AA90" s="18"/>
      <c r="AB90" s="18"/>
      <c r="AC90" s="18"/>
    </row>
    <row r="91" customFormat="false" ht="67.5" hidden="false" customHeight="true" outlineLevel="0" collapsed="false">
      <c r="A91" s="17" t="n">
        <v>54</v>
      </c>
      <c r="B91" s="17" t="s">
        <v>45</v>
      </c>
      <c r="C91" s="17" t="s">
        <v>7853</v>
      </c>
      <c r="D91" s="17" t="s">
        <v>321</v>
      </c>
      <c r="E91" s="17" t="s">
        <v>625</v>
      </c>
      <c r="F91" s="17" t="n">
        <v>20</v>
      </c>
      <c r="G91" s="17" t="s">
        <v>626</v>
      </c>
      <c r="H91" s="17" t="s">
        <v>627</v>
      </c>
      <c r="I91" s="17" t="s">
        <v>628</v>
      </c>
      <c r="J91" s="17" t="s">
        <v>629</v>
      </c>
      <c r="K91" s="17" t="s">
        <v>7920</v>
      </c>
      <c r="L91" s="17" t="s">
        <v>631</v>
      </c>
      <c r="M91" s="17" t="n">
        <v>2</v>
      </c>
      <c r="N91" s="17" t="n">
        <v>1</v>
      </c>
      <c r="O91" s="17" t="n">
        <v>3</v>
      </c>
      <c r="P91" s="17" t="n">
        <v>2</v>
      </c>
      <c r="Q91" s="17" t="n">
        <v>1</v>
      </c>
      <c r="R91" s="17" t="n">
        <v>3</v>
      </c>
      <c r="S91" s="17" t="s">
        <v>7921</v>
      </c>
      <c r="T91" s="17" t="s">
        <v>633</v>
      </c>
      <c r="U91" s="17" t="s">
        <v>59</v>
      </c>
      <c r="V91" s="17" t="s">
        <v>59</v>
      </c>
      <c r="W91" s="17" t="s">
        <v>59</v>
      </c>
      <c r="X91" s="18"/>
      <c r="Y91" s="18"/>
      <c r="Z91" s="18"/>
      <c r="AA91" s="18"/>
      <c r="AB91" s="18"/>
      <c r="AC91" s="18"/>
    </row>
    <row r="92" customFormat="false" ht="67.5" hidden="false" customHeight="true" outlineLevel="0" collapsed="false">
      <c r="A92" s="17" t="n">
        <v>21</v>
      </c>
      <c r="B92" s="17" t="s">
        <v>83</v>
      </c>
      <c r="C92" s="17" t="s">
        <v>7853</v>
      </c>
      <c r="D92" s="17" t="s">
        <v>7756</v>
      </c>
      <c r="E92" s="17" t="s">
        <v>635</v>
      </c>
      <c r="F92" s="17" t="n">
        <v>25</v>
      </c>
      <c r="G92" s="17" t="s">
        <v>636</v>
      </c>
      <c r="H92" s="17" t="s">
        <v>637</v>
      </c>
      <c r="I92" s="17" t="s">
        <v>7922</v>
      </c>
      <c r="J92" s="17" t="s">
        <v>639</v>
      </c>
      <c r="K92" s="17" t="s">
        <v>7923</v>
      </c>
      <c r="L92" s="17" t="s">
        <v>641</v>
      </c>
      <c r="M92" s="17" t="n">
        <v>1</v>
      </c>
      <c r="N92" s="17" t="n">
        <v>2</v>
      </c>
      <c r="O92" s="17" t="n">
        <v>3</v>
      </c>
      <c r="P92" s="17" t="n">
        <v>1</v>
      </c>
      <c r="Q92" s="17" t="n">
        <v>2</v>
      </c>
      <c r="R92" s="17" t="n">
        <v>3</v>
      </c>
      <c r="S92" s="17" t="s">
        <v>7924</v>
      </c>
      <c r="T92" s="17" t="s">
        <v>643</v>
      </c>
      <c r="U92" s="17" t="s">
        <v>59</v>
      </c>
      <c r="V92" s="17" t="s">
        <v>59</v>
      </c>
      <c r="W92" s="17" t="s">
        <v>59</v>
      </c>
      <c r="X92" s="18"/>
      <c r="Y92" s="18"/>
      <c r="Z92" s="18"/>
      <c r="AA92" s="18"/>
      <c r="AB92" s="18"/>
      <c r="AC92" s="18"/>
    </row>
    <row r="93" customFormat="false" ht="84.75" hidden="false" customHeight="true" outlineLevel="0" collapsed="false">
      <c r="A93" s="17" t="n">
        <v>25</v>
      </c>
      <c r="B93" s="17" t="s">
        <v>83</v>
      </c>
      <c r="C93" s="17" t="s">
        <v>7853</v>
      </c>
      <c r="D93" s="17" t="s">
        <v>71</v>
      </c>
      <c r="E93" s="17" t="s">
        <v>7925</v>
      </c>
      <c r="F93" s="17" t="n">
        <v>20</v>
      </c>
      <c r="G93" s="17" t="s">
        <v>646</v>
      </c>
      <c r="H93" s="17" t="s">
        <v>647</v>
      </c>
      <c r="I93" s="17" t="s">
        <v>648</v>
      </c>
      <c r="J93" s="17" t="s">
        <v>7926</v>
      </c>
      <c r="K93" s="17" t="s">
        <v>650</v>
      </c>
      <c r="L93" s="17" t="s">
        <v>651</v>
      </c>
      <c r="M93" s="17" t="n">
        <v>1</v>
      </c>
      <c r="N93" s="17" t="n">
        <v>2</v>
      </c>
      <c r="O93" s="17" t="n">
        <v>3</v>
      </c>
      <c r="P93" s="17" t="n">
        <v>1</v>
      </c>
      <c r="Q93" s="17" t="n">
        <v>2</v>
      </c>
      <c r="R93" s="17" t="n">
        <v>3</v>
      </c>
      <c r="S93" s="17" t="s">
        <v>7927</v>
      </c>
      <c r="T93" s="17" t="s">
        <v>653</v>
      </c>
      <c r="U93" s="17" t="s">
        <v>59</v>
      </c>
      <c r="V93" s="17" t="s">
        <v>59</v>
      </c>
      <c r="W93" s="17" t="s">
        <v>59</v>
      </c>
      <c r="X93" s="18"/>
      <c r="Y93" s="18"/>
      <c r="Z93" s="18"/>
      <c r="AA93" s="18"/>
      <c r="AB93" s="18"/>
      <c r="AC93" s="18"/>
    </row>
    <row r="94" customFormat="false" ht="67.5" hidden="false" customHeight="true" outlineLevel="0" collapsed="false">
      <c r="A94" s="17" t="n">
        <v>22</v>
      </c>
      <c r="B94" s="17" t="s">
        <v>83</v>
      </c>
      <c r="C94" s="17" t="s">
        <v>7928</v>
      </c>
      <c r="D94" s="17" t="s">
        <v>7756</v>
      </c>
      <c r="E94" s="17" t="s">
        <v>655</v>
      </c>
      <c r="F94" s="17" t="n">
        <v>30</v>
      </c>
      <c r="G94" s="17" t="s">
        <v>656</v>
      </c>
      <c r="H94" s="17" t="s">
        <v>657</v>
      </c>
      <c r="I94" s="17" t="s">
        <v>658</v>
      </c>
      <c r="J94" s="17" t="s">
        <v>659</v>
      </c>
      <c r="K94" s="17" t="s">
        <v>660</v>
      </c>
      <c r="L94" s="17" t="s">
        <v>661</v>
      </c>
      <c r="M94" s="17" t="n">
        <v>3</v>
      </c>
      <c r="N94" s="17" t="n">
        <v>2</v>
      </c>
      <c r="O94" s="17" t="n">
        <v>1</v>
      </c>
      <c r="P94" s="17" t="n">
        <v>3</v>
      </c>
      <c r="Q94" s="17" t="n">
        <v>1</v>
      </c>
      <c r="R94" s="17" t="n">
        <v>2</v>
      </c>
      <c r="S94" s="17" t="s">
        <v>662</v>
      </c>
      <c r="T94" s="17" t="s">
        <v>663</v>
      </c>
      <c r="U94" s="17" t="s">
        <v>59</v>
      </c>
      <c r="V94" s="17" t="s">
        <v>59</v>
      </c>
      <c r="W94" s="17" t="s">
        <v>59</v>
      </c>
      <c r="X94" s="18"/>
      <c r="Y94" s="18"/>
      <c r="Z94" s="18"/>
      <c r="AA94" s="18"/>
      <c r="AB94" s="18"/>
      <c r="AC94" s="18"/>
    </row>
    <row r="95" customFormat="false" ht="67.5" hidden="false" customHeight="true" outlineLevel="0" collapsed="false">
      <c r="A95" s="17" t="n">
        <v>21</v>
      </c>
      <c r="B95" s="17" t="s">
        <v>83</v>
      </c>
      <c r="C95" s="17" t="s">
        <v>7929</v>
      </c>
      <c r="D95" s="17" t="s">
        <v>7756</v>
      </c>
      <c r="E95" s="17" t="s">
        <v>665</v>
      </c>
      <c r="F95" s="17" t="n">
        <v>25</v>
      </c>
      <c r="G95" s="17" t="s">
        <v>666</v>
      </c>
      <c r="H95" s="17" t="s">
        <v>667</v>
      </c>
      <c r="I95" s="17" t="s">
        <v>668</v>
      </c>
      <c r="J95" s="17" t="s">
        <v>669</v>
      </c>
      <c r="K95" s="17" t="s">
        <v>670</v>
      </c>
      <c r="L95" s="17" t="s">
        <v>671</v>
      </c>
      <c r="M95" s="17" t="n">
        <v>3</v>
      </c>
      <c r="N95" s="17" t="n">
        <v>2</v>
      </c>
      <c r="O95" s="17" t="n">
        <v>1</v>
      </c>
      <c r="P95" s="17" t="n">
        <v>3</v>
      </c>
      <c r="Q95" s="17" t="n">
        <v>1</v>
      </c>
      <c r="R95" s="17" t="n">
        <v>2</v>
      </c>
      <c r="S95" s="17" t="s">
        <v>7930</v>
      </c>
      <c r="T95" s="17" t="s">
        <v>7931</v>
      </c>
      <c r="U95" s="17" t="s">
        <v>59</v>
      </c>
      <c r="V95" s="17" t="s">
        <v>59</v>
      </c>
      <c r="W95" s="17" t="s">
        <v>59</v>
      </c>
      <c r="X95" s="18"/>
      <c r="Y95" s="18"/>
      <c r="Z95" s="18"/>
      <c r="AA95" s="18"/>
      <c r="AB95" s="18"/>
      <c r="AC95" s="18"/>
    </row>
    <row r="96" customFormat="false" ht="84.75" hidden="false" customHeight="true" outlineLevel="0" collapsed="false">
      <c r="A96" s="17" t="n">
        <v>30</v>
      </c>
      <c r="B96" s="17" t="s">
        <v>83</v>
      </c>
      <c r="C96" s="17" t="s">
        <v>71</v>
      </c>
      <c r="D96" s="17" t="s">
        <v>92</v>
      </c>
      <c r="E96" s="17" t="s">
        <v>675</v>
      </c>
      <c r="F96" s="17" t="n">
        <v>20</v>
      </c>
      <c r="G96" s="17" t="s">
        <v>676</v>
      </c>
      <c r="H96" s="17" t="s">
        <v>677</v>
      </c>
      <c r="I96" s="17" t="s">
        <v>678</v>
      </c>
      <c r="J96" s="17" t="s">
        <v>679</v>
      </c>
      <c r="K96" s="17" t="s">
        <v>680</v>
      </c>
      <c r="L96" s="17" t="s">
        <v>681</v>
      </c>
      <c r="M96" s="17" t="n">
        <v>3</v>
      </c>
      <c r="N96" s="17" t="n">
        <v>1</v>
      </c>
      <c r="O96" s="17" t="n">
        <v>2</v>
      </c>
      <c r="P96" s="17" t="n">
        <v>3</v>
      </c>
      <c r="Q96" s="17" t="n">
        <v>1</v>
      </c>
      <c r="R96" s="17" t="n">
        <v>2</v>
      </c>
      <c r="S96" s="17" t="s">
        <v>682</v>
      </c>
      <c r="T96" s="17" t="s">
        <v>683</v>
      </c>
      <c r="U96" s="17" t="s">
        <v>59</v>
      </c>
      <c r="V96" s="17" t="s">
        <v>59</v>
      </c>
      <c r="W96" s="17" t="s">
        <v>59</v>
      </c>
      <c r="X96" s="18"/>
      <c r="Y96" s="18"/>
      <c r="Z96" s="18"/>
      <c r="AA96" s="18"/>
      <c r="AB96" s="18"/>
      <c r="AC96" s="18"/>
    </row>
    <row r="97" customFormat="false" ht="67.5" hidden="false" customHeight="true" outlineLevel="0" collapsed="false">
      <c r="A97" s="17" t="n">
        <v>22</v>
      </c>
      <c r="B97" s="17" t="s">
        <v>83</v>
      </c>
      <c r="C97" s="17" t="s">
        <v>7932</v>
      </c>
      <c r="D97" s="17" t="s">
        <v>7932</v>
      </c>
      <c r="E97" s="17" t="s">
        <v>685</v>
      </c>
      <c r="F97" s="17" t="n">
        <v>24</v>
      </c>
      <c r="G97" s="17" t="s">
        <v>686</v>
      </c>
      <c r="H97" s="17" t="s">
        <v>687</v>
      </c>
      <c r="I97" s="17" t="s">
        <v>688</v>
      </c>
      <c r="J97" s="17" t="s">
        <v>689</v>
      </c>
      <c r="K97" s="17" t="s">
        <v>690</v>
      </c>
      <c r="L97" s="17" t="s">
        <v>691</v>
      </c>
      <c r="M97" s="17" t="n">
        <v>3</v>
      </c>
      <c r="N97" s="17" t="n">
        <v>1</v>
      </c>
      <c r="O97" s="17" t="n">
        <v>2</v>
      </c>
      <c r="P97" s="17" t="n">
        <v>2</v>
      </c>
      <c r="Q97" s="17" t="n">
        <v>1</v>
      </c>
      <c r="R97" s="17" t="n">
        <v>3</v>
      </c>
      <c r="S97" s="17" t="s">
        <v>692</v>
      </c>
      <c r="T97" s="17" t="s">
        <v>693</v>
      </c>
      <c r="U97" s="17" t="s">
        <v>59</v>
      </c>
      <c r="V97" s="17" t="s">
        <v>59</v>
      </c>
      <c r="W97" s="17" t="s">
        <v>59</v>
      </c>
      <c r="X97" s="18"/>
      <c r="Y97" s="18"/>
      <c r="Z97" s="18"/>
      <c r="AA97" s="18"/>
      <c r="AB97" s="18"/>
      <c r="AC97" s="18"/>
    </row>
    <row r="98" customFormat="false" ht="84.75" hidden="false" customHeight="true" outlineLevel="0" collapsed="false">
      <c r="A98" s="17" t="n">
        <v>23</v>
      </c>
      <c r="B98" s="17" t="s">
        <v>83</v>
      </c>
      <c r="C98" s="17" t="s">
        <v>321</v>
      </c>
      <c r="D98" s="17" t="s">
        <v>321</v>
      </c>
      <c r="E98" s="17" t="s">
        <v>695</v>
      </c>
      <c r="F98" s="17" t="n">
        <v>15</v>
      </c>
      <c r="G98" s="17" t="s">
        <v>696</v>
      </c>
      <c r="H98" s="17" t="s">
        <v>697</v>
      </c>
      <c r="I98" s="17" t="s">
        <v>698</v>
      </c>
      <c r="J98" s="17" t="s">
        <v>699</v>
      </c>
      <c r="K98" s="17" t="s">
        <v>700</v>
      </c>
      <c r="L98" s="17" t="s">
        <v>701</v>
      </c>
      <c r="M98" s="17" t="n">
        <v>3</v>
      </c>
      <c r="N98" s="17" t="n">
        <v>1</v>
      </c>
      <c r="O98" s="17" t="n">
        <v>2</v>
      </c>
      <c r="P98" s="17" t="n">
        <v>3</v>
      </c>
      <c r="Q98" s="17" t="n">
        <v>1</v>
      </c>
      <c r="R98" s="17" t="n">
        <v>2</v>
      </c>
      <c r="S98" s="17" t="s">
        <v>702</v>
      </c>
      <c r="T98" s="17" t="s">
        <v>703</v>
      </c>
      <c r="U98" s="17" t="s">
        <v>59</v>
      </c>
      <c r="V98" s="17" t="s">
        <v>59</v>
      </c>
      <c r="W98" s="17" t="s">
        <v>59</v>
      </c>
      <c r="X98" s="18"/>
      <c r="Y98" s="18"/>
      <c r="Z98" s="18"/>
      <c r="AA98" s="18"/>
      <c r="AB98" s="18"/>
      <c r="AC98" s="18"/>
    </row>
    <row r="99" customFormat="false" ht="186.75" hidden="false" customHeight="true" outlineLevel="0" collapsed="false">
      <c r="A99" s="17" t="n">
        <v>20</v>
      </c>
      <c r="B99" s="17" t="s">
        <v>45</v>
      </c>
      <c r="C99" s="17" t="s">
        <v>705</v>
      </c>
      <c r="D99" s="17" t="s">
        <v>160</v>
      </c>
      <c r="E99" s="17" t="s">
        <v>706</v>
      </c>
      <c r="F99" s="17" t="n">
        <v>70</v>
      </c>
      <c r="G99" s="17" t="s">
        <v>707</v>
      </c>
      <c r="H99" s="17" t="s">
        <v>708</v>
      </c>
      <c r="I99" s="17" t="s">
        <v>709</v>
      </c>
      <c r="J99" s="17" t="s">
        <v>710</v>
      </c>
      <c r="K99" s="17" t="s">
        <v>711</v>
      </c>
      <c r="L99" s="17" t="s">
        <v>712</v>
      </c>
      <c r="M99" s="17" t="n">
        <v>1</v>
      </c>
      <c r="N99" s="17" t="n">
        <v>2</v>
      </c>
      <c r="O99" s="17" t="n">
        <v>3</v>
      </c>
      <c r="P99" s="17" t="n">
        <v>2</v>
      </c>
      <c r="Q99" s="17" t="n">
        <v>1</v>
      </c>
      <c r="R99" s="17" t="n">
        <v>3</v>
      </c>
      <c r="S99" s="17" t="s">
        <v>713</v>
      </c>
      <c r="T99" s="17" t="s">
        <v>714</v>
      </c>
      <c r="U99" s="17" t="s">
        <v>59</v>
      </c>
      <c r="V99" s="17" t="s">
        <v>59</v>
      </c>
      <c r="W99" s="17" t="s">
        <v>59</v>
      </c>
      <c r="X99" s="18"/>
      <c r="Y99" s="18"/>
      <c r="Z99" s="18"/>
      <c r="AA99" s="18"/>
      <c r="AB99" s="18"/>
      <c r="AC99" s="18"/>
    </row>
    <row r="100" customFormat="false" ht="16.5" hidden="false" customHeight="true" outlineLevel="0" collapsed="false">
      <c r="A100" s="19" t="n">
        <v>22</v>
      </c>
      <c r="B100" s="19" t="s">
        <v>83</v>
      </c>
      <c r="C100" s="19" t="s">
        <v>7933</v>
      </c>
      <c r="D100" s="19" t="s">
        <v>7750</v>
      </c>
      <c r="E100" s="19" t="s">
        <v>716</v>
      </c>
      <c r="F100" s="19" t="n">
        <v>35</v>
      </c>
      <c r="G100" s="19" t="s">
        <v>717</v>
      </c>
      <c r="H100" s="19" t="s">
        <v>718</v>
      </c>
      <c r="I100" s="19" t="s">
        <v>719</v>
      </c>
      <c r="J100" s="19" t="s">
        <v>720</v>
      </c>
      <c r="K100" s="19" t="s">
        <v>721</v>
      </c>
      <c r="L100" s="19" t="s">
        <v>722</v>
      </c>
      <c r="M100" s="19" t="n">
        <v>1</v>
      </c>
      <c r="N100" s="19" t="n">
        <v>2</v>
      </c>
      <c r="O100" s="19" t="n">
        <v>3</v>
      </c>
      <c r="P100" s="19" t="n">
        <v>1</v>
      </c>
      <c r="Q100" s="19" t="n">
        <v>2</v>
      </c>
      <c r="R100" s="19" t="n">
        <v>3</v>
      </c>
      <c r="S100" s="19" t="s">
        <v>723</v>
      </c>
      <c r="T100" s="17" t="s">
        <v>7934</v>
      </c>
      <c r="U100" s="19" t="s">
        <v>59</v>
      </c>
      <c r="V100" s="19" t="s">
        <v>59</v>
      </c>
      <c r="W100" s="19" t="s">
        <v>59</v>
      </c>
      <c r="X100" s="20"/>
      <c r="Y100" s="20"/>
      <c r="Z100" s="20"/>
      <c r="AA100" s="20"/>
      <c r="AB100" s="20"/>
      <c r="AC100" s="20"/>
    </row>
    <row r="101" customFormat="false" ht="51"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7" t="s">
        <v>7935</v>
      </c>
      <c r="U101" s="19"/>
      <c r="V101" s="19"/>
      <c r="W101" s="19"/>
      <c r="X101" s="19"/>
      <c r="Y101" s="19"/>
      <c r="Z101" s="19"/>
      <c r="AA101" s="19"/>
      <c r="AB101" s="19"/>
      <c r="AC101" s="19"/>
    </row>
    <row r="102" customFormat="false" ht="67.5" hidden="false" customHeight="true" outlineLevel="0" collapsed="false">
      <c r="A102" s="17" t="n">
        <v>27</v>
      </c>
      <c r="B102" s="17" t="s">
        <v>83</v>
      </c>
      <c r="C102" s="17" t="s">
        <v>7932</v>
      </c>
      <c r="D102" s="17" t="s">
        <v>7932</v>
      </c>
      <c r="E102" s="17" t="s">
        <v>726</v>
      </c>
      <c r="F102" s="17" t="n">
        <v>18</v>
      </c>
      <c r="G102" s="17" t="s">
        <v>727</v>
      </c>
      <c r="H102" s="17" t="s">
        <v>728</v>
      </c>
      <c r="I102" s="17" t="s">
        <v>729</v>
      </c>
      <c r="J102" s="17" t="s">
        <v>730</v>
      </c>
      <c r="K102" s="17" t="s">
        <v>731</v>
      </c>
      <c r="L102" s="17" t="s">
        <v>732</v>
      </c>
      <c r="M102" s="17" t="n">
        <v>3</v>
      </c>
      <c r="N102" s="17" t="n">
        <v>2</v>
      </c>
      <c r="O102" s="17" t="n">
        <v>1</v>
      </c>
      <c r="P102" s="17" t="n">
        <v>3</v>
      </c>
      <c r="Q102" s="17" t="n">
        <v>1</v>
      </c>
      <c r="R102" s="17" t="n">
        <v>2</v>
      </c>
      <c r="S102" s="17" t="s">
        <v>733</v>
      </c>
      <c r="T102" s="17" t="s">
        <v>734</v>
      </c>
      <c r="U102" s="17" t="s">
        <v>59</v>
      </c>
      <c r="V102" s="17" t="s">
        <v>59</v>
      </c>
      <c r="W102" s="17" t="s">
        <v>59</v>
      </c>
      <c r="X102" s="18"/>
      <c r="Y102" s="18"/>
      <c r="Z102" s="18"/>
      <c r="AA102" s="18"/>
      <c r="AB102" s="18"/>
      <c r="AC102" s="18"/>
    </row>
    <row r="103" customFormat="false" ht="84.75" hidden="false" customHeight="true" outlineLevel="0" collapsed="false">
      <c r="A103" s="17" t="n">
        <v>24</v>
      </c>
      <c r="B103" s="17" t="s">
        <v>83</v>
      </c>
      <c r="C103" s="17" t="s">
        <v>7932</v>
      </c>
      <c r="D103" s="17" t="s">
        <v>7932</v>
      </c>
      <c r="E103" s="17" t="s">
        <v>736</v>
      </c>
      <c r="F103" s="17" t="n">
        <v>23</v>
      </c>
      <c r="G103" s="17" t="s">
        <v>737</v>
      </c>
      <c r="H103" s="17" t="s">
        <v>738</v>
      </c>
      <c r="I103" s="17" t="s">
        <v>739</v>
      </c>
      <c r="J103" s="17" t="s">
        <v>740</v>
      </c>
      <c r="K103" s="17" t="s">
        <v>741</v>
      </c>
      <c r="L103" s="17" t="s">
        <v>742</v>
      </c>
      <c r="M103" s="17" t="n">
        <v>3</v>
      </c>
      <c r="N103" s="17" t="n">
        <v>2</v>
      </c>
      <c r="O103" s="17" t="n">
        <v>1</v>
      </c>
      <c r="P103" s="17" t="n">
        <v>3</v>
      </c>
      <c r="Q103" s="17" t="n">
        <v>1</v>
      </c>
      <c r="R103" s="17" t="n">
        <v>2</v>
      </c>
      <c r="S103" s="17" t="s">
        <v>743</v>
      </c>
      <c r="T103" s="17" t="s">
        <v>744</v>
      </c>
      <c r="U103" s="17" t="s">
        <v>59</v>
      </c>
      <c r="V103" s="17" t="s">
        <v>59</v>
      </c>
      <c r="W103" s="17" t="s">
        <v>59</v>
      </c>
      <c r="X103" s="18"/>
      <c r="Y103" s="18"/>
      <c r="Z103" s="18"/>
      <c r="AA103" s="18"/>
      <c r="AB103" s="18"/>
      <c r="AC103" s="18"/>
    </row>
    <row r="104" customFormat="false" ht="67.5" hidden="false" customHeight="true" outlineLevel="0" collapsed="false">
      <c r="A104" s="17" t="n">
        <v>22</v>
      </c>
      <c r="B104" s="17" t="s">
        <v>83</v>
      </c>
      <c r="C104" s="17" t="s">
        <v>7933</v>
      </c>
      <c r="D104" s="17" t="s">
        <v>7933</v>
      </c>
      <c r="E104" s="17" t="s">
        <v>746</v>
      </c>
      <c r="F104" s="17" t="n">
        <v>22</v>
      </c>
      <c r="G104" s="17" t="s">
        <v>747</v>
      </c>
      <c r="H104" s="17" t="s">
        <v>748</v>
      </c>
      <c r="I104" s="17" t="s">
        <v>749</v>
      </c>
      <c r="J104" s="17" t="s">
        <v>750</v>
      </c>
      <c r="K104" s="17" t="s">
        <v>751</v>
      </c>
      <c r="L104" s="17" t="s">
        <v>752</v>
      </c>
      <c r="M104" s="17" t="n">
        <v>3</v>
      </c>
      <c r="N104" s="17" t="n">
        <v>1</v>
      </c>
      <c r="O104" s="17" t="n">
        <v>2</v>
      </c>
      <c r="P104" s="17" t="n">
        <v>3</v>
      </c>
      <c r="Q104" s="17" t="n">
        <v>1</v>
      </c>
      <c r="R104" s="17" t="n">
        <v>2</v>
      </c>
      <c r="S104" s="17" t="s">
        <v>753</v>
      </c>
      <c r="T104" s="17" t="s">
        <v>754</v>
      </c>
      <c r="U104" s="17" t="s">
        <v>59</v>
      </c>
      <c r="V104" s="17" t="s">
        <v>59</v>
      </c>
      <c r="W104" s="17" t="s">
        <v>59</v>
      </c>
      <c r="X104" s="18"/>
      <c r="Y104" s="18"/>
      <c r="Z104" s="18"/>
      <c r="AA104" s="18"/>
      <c r="AB104" s="18"/>
      <c r="AC104" s="18"/>
    </row>
    <row r="105" customFormat="false" ht="67.5" hidden="false" customHeight="true" outlineLevel="0" collapsed="false">
      <c r="A105" s="17" t="n">
        <v>23</v>
      </c>
      <c r="B105" s="17" t="s">
        <v>45</v>
      </c>
      <c r="C105" s="17" t="s">
        <v>7933</v>
      </c>
      <c r="D105" s="17" t="s">
        <v>7750</v>
      </c>
      <c r="E105" s="17" t="s">
        <v>756</v>
      </c>
      <c r="F105" s="17" t="n">
        <v>15</v>
      </c>
      <c r="G105" s="17" t="s">
        <v>757</v>
      </c>
      <c r="H105" s="17" t="s">
        <v>758</v>
      </c>
      <c r="I105" s="17" t="s">
        <v>759</v>
      </c>
      <c r="J105" s="17" t="s">
        <v>760</v>
      </c>
      <c r="K105" s="17" t="s">
        <v>761</v>
      </c>
      <c r="L105" s="17" t="s">
        <v>762</v>
      </c>
      <c r="M105" s="17" t="n">
        <v>2</v>
      </c>
      <c r="N105" s="17" t="n">
        <v>1</v>
      </c>
      <c r="O105" s="17" t="n">
        <v>3</v>
      </c>
      <c r="P105" s="17" t="n">
        <v>3</v>
      </c>
      <c r="Q105" s="17" t="n">
        <v>1</v>
      </c>
      <c r="R105" s="17" t="n">
        <v>2</v>
      </c>
      <c r="S105" s="17" t="s">
        <v>763</v>
      </c>
      <c r="T105" s="17" t="s">
        <v>764</v>
      </c>
      <c r="U105" s="17" t="s">
        <v>59</v>
      </c>
      <c r="V105" s="17" t="s">
        <v>59</v>
      </c>
      <c r="W105" s="17" t="s">
        <v>59</v>
      </c>
      <c r="X105" s="18"/>
      <c r="Y105" s="18"/>
      <c r="Z105" s="18"/>
      <c r="AA105" s="18"/>
      <c r="AB105" s="18"/>
      <c r="AC105" s="18"/>
    </row>
    <row r="106" customFormat="false" ht="84.75" hidden="false" customHeight="true" outlineLevel="0" collapsed="false">
      <c r="A106" s="17" t="n">
        <v>48</v>
      </c>
      <c r="B106" s="17" t="s">
        <v>83</v>
      </c>
      <c r="C106" s="17" t="s">
        <v>321</v>
      </c>
      <c r="D106" s="17" t="s">
        <v>321</v>
      </c>
      <c r="E106" s="17" t="s">
        <v>766</v>
      </c>
      <c r="F106" s="17" t="n">
        <v>20</v>
      </c>
      <c r="G106" s="17" t="s">
        <v>767</v>
      </c>
      <c r="H106" s="17" t="s">
        <v>768</v>
      </c>
      <c r="I106" s="17" t="s">
        <v>769</v>
      </c>
      <c r="J106" s="17" t="s">
        <v>770</v>
      </c>
      <c r="K106" s="17" t="s">
        <v>771</v>
      </c>
      <c r="L106" s="17" t="s">
        <v>772</v>
      </c>
      <c r="M106" s="17" t="n">
        <v>3</v>
      </c>
      <c r="N106" s="17" t="n">
        <v>1</v>
      </c>
      <c r="O106" s="17" t="n">
        <v>2</v>
      </c>
      <c r="P106" s="17" t="n">
        <v>3</v>
      </c>
      <c r="Q106" s="17" t="n">
        <v>1</v>
      </c>
      <c r="R106" s="17" t="n">
        <v>2</v>
      </c>
      <c r="S106" s="17" t="s">
        <v>773</v>
      </c>
      <c r="T106" s="17" t="s">
        <v>774</v>
      </c>
      <c r="U106" s="17" t="s">
        <v>59</v>
      </c>
      <c r="V106" s="17" t="s">
        <v>59</v>
      </c>
      <c r="W106" s="17" t="s">
        <v>59</v>
      </c>
      <c r="X106" s="18"/>
      <c r="Y106" s="18"/>
      <c r="Z106" s="18"/>
      <c r="AA106" s="18"/>
      <c r="AB106" s="18"/>
      <c r="AC106" s="18"/>
    </row>
    <row r="107" customFormat="false" ht="33.75" hidden="false" customHeight="true" outlineLevel="0" collapsed="false">
      <c r="A107" s="17" t="n">
        <v>45</v>
      </c>
      <c r="B107" s="17" t="s">
        <v>45</v>
      </c>
      <c r="C107" s="17" t="s">
        <v>92</v>
      </c>
      <c r="D107" s="17" t="s">
        <v>321</v>
      </c>
      <c r="E107" s="17" t="s">
        <v>776</v>
      </c>
      <c r="F107" s="17" t="n">
        <v>20</v>
      </c>
      <c r="G107" s="17" t="s">
        <v>777</v>
      </c>
      <c r="H107" s="17" t="s">
        <v>778</v>
      </c>
      <c r="I107" s="17" t="s">
        <v>779</v>
      </c>
      <c r="J107" s="17" t="s">
        <v>780</v>
      </c>
      <c r="K107" s="17" t="s">
        <v>781</v>
      </c>
      <c r="L107" s="17" t="s">
        <v>782</v>
      </c>
      <c r="M107" s="17" t="n">
        <v>3</v>
      </c>
      <c r="N107" s="17" t="n">
        <v>1</v>
      </c>
      <c r="O107" s="17" t="n">
        <v>2</v>
      </c>
      <c r="P107" s="17" t="n">
        <v>3</v>
      </c>
      <c r="Q107" s="17" t="n">
        <v>1</v>
      </c>
      <c r="R107" s="17" t="n">
        <v>2</v>
      </c>
      <c r="S107" s="17" t="s">
        <v>783</v>
      </c>
      <c r="T107" s="17" t="s">
        <v>784</v>
      </c>
      <c r="U107" s="17" t="s">
        <v>59</v>
      </c>
      <c r="V107" s="17" t="s">
        <v>59</v>
      </c>
      <c r="W107" s="17" t="s">
        <v>59</v>
      </c>
      <c r="X107" s="18"/>
      <c r="Y107" s="18"/>
      <c r="Z107" s="18"/>
      <c r="AA107" s="18"/>
      <c r="AB107" s="18"/>
      <c r="AC107" s="18"/>
    </row>
    <row r="108" customFormat="false" ht="16.5" hidden="false" customHeight="true" outlineLevel="0" collapsed="false">
      <c r="A108" s="17" t="n">
        <v>50</v>
      </c>
      <c r="B108" s="17" t="s">
        <v>45</v>
      </c>
      <c r="C108" s="17" t="s">
        <v>321</v>
      </c>
      <c r="D108" s="17" t="s">
        <v>321</v>
      </c>
      <c r="E108" s="17" t="s">
        <v>786</v>
      </c>
      <c r="F108" s="17" t="n">
        <v>20</v>
      </c>
      <c r="G108" s="17" t="s">
        <v>787</v>
      </c>
      <c r="H108" s="17" t="s">
        <v>788</v>
      </c>
      <c r="I108" s="17" t="s">
        <v>789</v>
      </c>
      <c r="J108" s="17" t="s">
        <v>790</v>
      </c>
      <c r="K108" s="17" t="s">
        <v>791</v>
      </c>
      <c r="L108" s="17" t="s">
        <v>792</v>
      </c>
      <c r="M108" s="17" t="n">
        <v>3</v>
      </c>
      <c r="N108" s="17" t="n">
        <v>2</v>
      </c>
      <c r="O108" s="17" t="n">
        <v>1</v>
      </c>
      <c r="P108" s="17" t="n">
        <v>3</v>
      </c>
      <c r="Q108" s="17" t="n">
        <v>1</v>
      </c>
      <c r="R108" s="17" t="n">
        <v>2</v>
      </c>
      <c r="S108" s="17" t="s">
        <v>793</v>
      </c>
      <c r="T108" s="17" t="s">
        <v>794</v>
      </c>
      <c r="U108" s="17" t="s">
        <v>59</v>
      </c>
      <c r="V108" s="17" t="s">
        <v>59</v>
      </c>
      <c r="W108" s="17" t="s">
        <v>59</v>
      </c>
      <c r="X108" s="18"/>
      <c r="Y108" s="18"/>
      <c r="Z108" s="18"/>
      <c r="AA108" s="18"/>
      <c r="AB108" s="18"/>
      <c r="AC108" s="18"/>
    </row>
    <row r="109" customFormat="false" ht="33.75" hidden="false" customHeight="true" outlineLevel="0" collapsed="false">
      <c r="A109" s="17" t="n">
        <v>22</v>
      </c>
      <c r="B109" s="17" t="s">
        <v>83</v>
      </c>
      <c r="C109" s="17" t="s">
        <v>321</v>
      </c>
      <c r="D109" s="17" t="s">
        <v>321</v>
      </c>
      <c r="E109" s="17" t="s">
        <v>796</v>
      </c>
      <c r="F109" s="17" t="n">
        <v>20</v>
      </c>
      <c r="G109" s="17" t="s">
        <v>797</v>
      </c>
      <c r="H109" s="17" t="s">
        <v>798</v>
      </c>
      <c r="I109" s="17" t="s">
        <v>799</v>
      </c>
      <c r="J109" s="17" t="s">
        <v>800</v>
      </c>
      <c r="K109" s="17" t="s">
        <v>801</v>
      </c>
      <c r="L109" s="17" t="s">
        <v>802</v>
      </c>
      <c r="M109" s="17" t="n">
        <v>3</v>
      </c>
      <c r="N109" s="17" t="n">
        <v>1</v>
      </c>
      <c r="O109" s="17" t="n">
        <v>2</v>
      </c>
      <c r="P109" s="17" t="n">
        <v>2</v>
      </c>
      <c r="Q109" s="17" t="n">
        <v>1</v>
      </c>
      <c r="R109" s="17" t="n">
        <v>3</v>
      </c>
      <c r="S109" s="17" t="s">
        <v>803</v>
      </c>
      <c r="T109" s="17" t="s">
        <v>804</v>
      </c>
      <c r="U109" s="17" t="s">
        <v>59</v>
      </c>
      <c r="V109" s="17" t="s">
        <v>59</v>
      </c>
      <c r="W109" s="17" t="s">
        <v>59</v>
      </c>
      <c r="X109" s="18"/>
      <c r="Y109" s="18"/>
      <c r="Z109" s="18"/>
      <c r="AA109" s="18"/>
      <c r="AB109" s="18"/>
      <c r="AC109" s="18"/>
    </row>
    <row r="110" customFormat="false" ht="67.5" hidden="false" customHeight="true" outlineLevel="0" collapsed="false">
      <c r="A110" s="17" t="n">
        <v>23</v>
      </c>
      <c r="B110" s="17" t="s">
        <v>83</v>
      </c>
      <c r="C110" s="17" t="s">
        <v>321</v>
      </c>
      <c r="D110" s="17" t="s">
        <v>321</v>
      </c>
      <c r="E110" s="17" t="s">
        <v>806</v>
      </c>
      <c r="F110" s="17" t="n">
        <v>20</v>
      </c>
      <c r="G110" s="17" t="s">
        <v>807</v>
      </c>
      <c r="H110" s="17" t="s">
        <v>808</v>
      </c>
      <c r="I110" s="17" t="s">
        <v>809</v>
      </c>
      <c r="J110" s="17" t="s">
        <v>770</v>
      </c>
      <c r="K110" s="17" t="s">
        <v>810</v>
      </c>
      <c r="L110" s="17" t="s">
        <v>811</v>
      </c>
      <c r="M110" s="17" t="n">
        <v>3</v>
      </c>
      <c r="N110" s="17" t="n">
        <v>1</v>
      </c>
      <c r="O110" s="17" t="n">
        <v>2</v>
      </c>
      <c r="P110" s="17" t="n">
        <v>3</v>
      </c>
      <c r="Q110" s="17" t="n">
        <v>1</v>
      </c>
      <c r="R110" s="17" t="n">
        <v>2</v>
      </c>
      <c r="S110" s="17" t="s">
        <v>812</v>
      </c>
      <c r="T110" s="17" t="s">
        <v>813</v>
      </c>
      <c r="U110" s="17" t="s">
        <v>59</v>
      </c>
      <c r="V110" s="17" t="s">
        <v>59</v>
      </c>
      <c r="W110" s="17" t="s">
        <v>59</v>
      </c>
      <c r="X110" s="18"/>
      <c r="Y110" s="18"/>
      <c r="Z110" s="18"/>
      <c r="AA110" s="18"/>
      <c r="AB110" s="18"/>
      <c r="AC110" s="18"/>
    </row>
    <row r="111" customFormat="false" ht="33.75" hidden="false" customHeight="true" outlineLevel="0" collapsed="false">
      <c r="A111" s="17" t="n">
        <v>22</v>
      </c>
      <c r="B111" s="17" t="s">
        <v>83</v>
      </c>
      <c r="C111" s="17" t="s">
        <v>321</v>
      </c>
      <c r="D111" s="17" t="s">
        <v>321</v>
      </c>
      <c r="E111" s="17" t="s">
        <v>815</v>
      </c>
      <c r="F111" s="17" t="n">
        <v>25</v>
      </c>
      <c r="G111" s="17" t="s">
        <v>816</v>
      </c>
      <c r="H111" s="17" t="s">
        <v>817</v>
      </c>
      <c r="I111" s="17" t="s">
        <v>818</v>
      </c>
      <c r="J111" s="17" t="s">
        <v>819</v>
      </c>
      <c r="K111" s="17" t="s">
        <v>820</v>
      </c>
      <c r="L111" s="17" t="s">
        <v>821</v>
      </c>
      <c r="M111" s="17" t="n">
        <v>3</v>
      </c>
      <c r="N111" s="17" t="n">
        <v>1</v>
      </c>
      <c r="O111" s="17" t="n">
        <v>2</v>
      </c>
      <c r="P111" s="17" t="n">
        <v>2</v>
      </c>
      <c r="Q111" s="17" t="n">
        <v>1</v>
      </c>
      <c r="R111" s="17" t="n">
        <v>3</v>
      </c>
      <c r="S111" s="17" t="s">
        <v>822</v>
      </c>
      <c r="T111" s="17" t="s">
        <v>823</v>
      </c>
      <c r="U111" s="17" t="s">
        <v>59</v>
      </c>
      <c r="V111" s="17" t="s">
        <v>59</v>
      </c>
      <c r="W111" s="17" t="s">
        <v>59</v>
      </c>
      <c r="X111" s="18"/>
      <c r="Y111" s="18"/>
      <c r="Z111" s="18"/>
      <c r="AA111" s="18"/>
      <c r="AB111" s="18"/>
      <c r="AC111" s="18"/>
    </row>
    <row r="112" customFormat="false" ht="102" hidden="false" customHeight="true" outlineLevel="0" collapsed="false">
      <c r="A112" s="17" t="n">
        <v>23</v>
      </c>
      <c r="B112" s="17" t="s">
        <v>45</v>
      </c>
      <c r="C112" s="17" t="s">
        <v>825</v>
      </c>
      <c r="D112" s="17" t="s">
        <v>825</v>
      </c>
      <c r="E112" s="17" t="s">
        <v>827</v>
      </c>
      <c r="F112" s="17" t="n">
        <v>20</v>
      </c>
      <c r="G112" s="17" t="s">
        <v>828</v>
      </c>
      <c r="H112" s="17" t="s">
        <v>829</v>
      </c>
      <c r="I112" s="17" t="s">
        <v>830</v>
      </c>
      <c r="J112" s="17" t="s">
        <v>831</v>
      </c>
      <c r="K112" s="17" t="s">
        <v>832</v>
      </c>
      <c r="L112" s="17" t="s">
        <v>833</v>
      </c>
      <c r="M112" s="17" t="n">
        <v>2</v>
      </c>
      <c r="N112" s="17" t="n">
        <v>1</v>
      </c>
      <c r="O112" s="17" t="n">
        <v>3</v>
      </c>
      <c r="P112" s="17" t="n">
        <v>2</v>
      </c>
      <c r="Q112" s="17" t="n">
        <v>1</v>
      </c>
      <c r="R112" s="17" t="n">
        <v>3</v>
      </c>
      <c r="S112" s="17" t="s">
        <v>834</v>
      </c>
      <c r="T112" s="17" t="s">
        <v>835</v>
      </c>
      <c r="U112" s="17" t="s">
        <v>59</v>
      </c>
      <c r="V112" s="17" t="s">
        <v>59</v>
      </c>
      <c r="W112" s="17" t="s">
        <v>59</v>
      </c>
      <c r="X112" s="18"/>
      <c r="Y112" s="18"/>
      <c r="Z112" s="18"/>
      <c r="AA112" s="18"/>
      <c r="AB112" s="18"/>
      <c r="AC112" s="18"/>
    </row>
    <row r="113" customFormat="false" ht="15.75" hidden="false" customHeight="true" outlineLevel="0" collapsed="false">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ustomFormat="false" ht="15.75" hidden="false" customHeight="true" outlineLevel="0" collapsed="false">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ustomFormat="false" ht="15.75" hidden="false" customHeight="true" outlineLevel="0" collapsed="false">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ustomFormat="false" ht="15.75" hidden="false" customHeight="true" outlineLevel="0" collapsed="false">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ustomFormat="false" ht="15.75" hidden="false" customHeight="true" outlineLevel="0" collapsed="false">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ustomFormat="false" ht="15.75" hidden="false" customHeight="true" outlineLevel="0" collapsed="false">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ustomFormat="false" ht="15.75" hidden="false" customHeight="true" outlineLevel="0" collapsed="false">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ustomFormat="false" ht="15.75" hidden="false" customHeight="true" outlineLevel="0" collapsed="false">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ustomFormat="false" ht="15.75" hidden="false" customHeight="true" outlineLevel="0" collapsed="false">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ustomFormat="false" ht="15.75" hidden="false" customHeight="true" outlineLevel="0" collapsed="false">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ustomFormat="false" ht="15.75" hidden="false" customHeight="true" outlineLevel="0" collapsed="false">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ustomFormat="false" ht="15.75" hidden="false" customHeight="true" outlineLevel="0" collapsed="false">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ustomFormat="false" ht="15.75" hidden="false" customHeight="true" outlineLevel="0" collapsed="false">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ustomFormat="false" ht="15.75" hidden="false" customHeight="true" outlineLevel="0" collapsed="false">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ustomFormat="false" ht="15.75" hidden="false" customHeight="true" outlineLevel="0" collapsed="false">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ustomFormat="false" ht="15.75" hidden="false" customHeight="true" outlineLevel="0" collapsed="false">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ustomFormat="false" ht="15.75" hidden="false" customHeight="true" outlineLevel="0" collapsed="false">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ustomFormat="false" ht="15.75" hidden="false" customHeight="true" outlineLevel="0" collapsed="false">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ustomFormat="false" ht="15.75" hidden="false" customHeight="true" outlineLevel="0" collapsed="false">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ustomFormat="false" ht="15.75" hidden="false" customHeight="true" outlineLevel="0" collapsed="false">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ustomFormat="false" ht="15.75" hidden="false" customHeight="true" outlineLevel="0" collapsed="false">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ustomFormat="false" ht="15.75" hidden="false" customHeight="true" outlineLevel="0" collapsed="false">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ustomFormat="false" ht="15.75" hidden="false" customHeight="true" outlineLevel="0" collapsed="false">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ustomFormat="false" ht="15.75" hidden="false" customHeight="true" outlineLevel="0" collapsed="false">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ustomFormat="false" ht="15.75" hidden="false" customHeight="true" outlineLevel="0" collapsed="false">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ustomFormat="false" ht="15.75" hidden="false" customHeight="true" outlineLevel="0" collapsed="false">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ustomFormat="false" ht="15.75" hidden="false" customHeight="true" outlineLevel="0" collapsed="false">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ustomFormat="false" ht="15.75" hidden="false" customHeight="true" outlineLevel="0" collapsed="false">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ustomFormat="false" ht="15.75" hidden="false" customHeight="true" outlineLevel="0" collapsed="false">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ustomFormat="false" ht="15.75" hidden="false" customHeight="true" outlineLevel="0" collapsed="false">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ustomFormat="false" ht="15.75" hidden="false" customHeight="true" outlineLevel="0" collapsed="false">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ustomFormat="false" ht="15.75" hidden="false" customHeight="true" outlineLevel="0" collapsed="false">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ustomFormat="false" ht="15.75" hidden="false" customHeight="true" outlineLevel="0" collapsed="false">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ustomFormat="false" ht="15.75" hidden="false" customHeight="true" outlineLevel="0" collapsed="false">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ustomFormat="false" ht="15.75" hidden="false" customHeight="true" outlineLevel="0" collapsed="false">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ustomFormat="false" ht="15.75" hidden="false" customHeight="true" outlineLevel="0" collapsed="false">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ustomFormat="false" ht="15.75" hidden="false" customHeight="true" outlineLevel="0" collapsed="false">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ustomFormat="false" ht="15.75" hidden="false" customHeight="true" outlineLevel="0" collapsed="false">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ustomFormat="false" ht="15.75" hidden="false" customHeight="true" outlineLevel="0" collapsed="false">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ustomFormat="false" ht="15.75" hidden="false" customHeight="true" outlineLevel="0" collapsed="false">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ustomFormat="false" ht="15.75" hidden="false" customHeight="true" outlineLevel="0" collapsed="false">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ustomFormat="false" ht="15.75" hidden="false" customHeight="true" outlineLevel="0" collapsed="false">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ustomFormat="false" ht="15.75" hidden="false" customHeight="true" outlineLevel="0" collapsed="false">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ustomFormat="false" ht="15.75" hidden="false" customHeight="true" outlineLevel="0" collapsed="false">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ustomFormat="false" ht="15.75" hidden="false" customHeight="true" outlineLevel="0" collapsed="false">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ustomFormat="false" ht="15.75" hidden="false" customHeight="true" outlineLevel="0" collapsed="false">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ustomFormat="false" ht="15.75" hidden="false" customHeight="true" outlineLevel="0" collapsed="false">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ustomFormat="false" ht="15.75" hidden="false" customHeight="true" outlineLevel="0" collapsed="false">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ustomFormat="false" ht="15.75" hidden="false" customHeight="true" outlineLevel="0" collapsed="false">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ustomFormat="false" ht="15.75" hidden="false" customHeight="true" outlineLevel="0" collapsed="false">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ustomFormat="false" ht="15.75" hidden="false" customHeight="true" outlineLevel="0" collapsed="false">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ustomFormat="false" ht="15.75" hidden="false" customHeight="true" outlineLevel="0" collapsed="false">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ustomFormat="false" ht="15.75" hidden="false" customHeight="true" outlineLevel="0" collapsed="false">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ustomFormat="false" ht="15.75" hidden="false" customHeight="true" outlineLevel="0" collapsed="false">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ustomFormat="false" ht="15.75" hidden="false" customHeight="true" outlineLevel="0" collapsed="false">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ustomFormat="false" ht="15.75" hidden="false" customHeight="true" outlineLevel="0" collapsed="false">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ustomFormat="false" ht="15.75" hidden="false" customHeight="true" outlineLevel="0" collapsed="false">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ustomFormat="false" ht="15.75" hidden="false" customHeight="true" outlineLevel="0" collapsed="false">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ustomFormat="false" ht="15.75" hidden="false" customHeight="true" outlineLevel="0" collapsed="false">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ustomFormat="false" ht="15.75" hidden="false" customHeight="true" outlineLevel="0" collapsed="false">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ustomFormat="false" ht="15.75" hidden="false" customHeight="true" outlineLevel="0" collapsed="false">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ustomFormat="false" ht="15.75" hidden="false" customHeight="true" outlineLevel="0" collapsed="false">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ustomFormat="false" ht="15.75" hidden="false" customHeight="true" outlineLevel="0" collapsed="false">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ustomFormat="false" ht="15.75" hidden="false" customHeight="true" outlineLevel="0" collapsed="false">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ustomFormat="false" ht="15.75" hidden="false" customHeight="true" outlineLevel="0" collapsed="false">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ustomFormat="false" ht="15.75" hidden="false" customHeight="true" outlineLevel="0" collapsed="false">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ustomFormat="false" ht="15.75" hidden="false" customHeight="true" outlineLevel="0" collapsed="false">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ustomFormat="false" ht="15.75" hidden="false" customHeight="true" outlineLevel="0" collapsed="false">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ustomFormat="false" ht="15.75" hidden="false" customHeight="true" outlineLevel="0" collapsed="false">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ustomFormat="false" ht="15.75" hidden="false" customHeight="true" outlineLevel="0" collapsed="false">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ustomFormat="false" ht="15.75" hidden="false" customHeight="true" outlineLevel="0" collapsed="false">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ustomFormat="false" ht="15.75" hidden="false" customHeight="true" outlineLevel="0" collapsed="false">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ustomFormat="false" ht="15.75" hidden="false" customHeight="true" outlineLevel="0" collapsed="false">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ustomFormat="false" ht="15.75" hidden="false" customHeight="true" outlineLevel="0" collapsed="false">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ustomFormat="false" ht="15.75" hidden="false" customHeight="true" outlineLevel="0" collapsed="false">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ustomFormat="false" ht="15.75" hidden="false" customHeight="true" outlineLevel="0" collapsed="false">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ustomFormat="false" ht="15.75" hidden="false" customHeight="true" outlineLevel="0" collapsed="false">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ustomFormat="false" ht="15.75" hidden="false" customHeight="true" outlineLevel="0" collapsed="false">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ustomFormat="false" ht="15.75" hidden="false" customHeight="true" outlineLevel="0" collapsed="false">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ustomFormat="false" ht="15.75" hidden="false" customHeight="true" outlineLevel="0" collapsed="false">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ustomFormat="false" ht="15.75" hidden="false" customHeight="true" outlineLevel="0" collapsed="false">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ustomFormat="false" ht="15.75" hidden="false" customHeight="true" outlineLevel="0" collapsed="false">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ustomFormat="false" ht="15.75" hidden="false" customHeight="true" outlineLevel="0" collapsed="false">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ustomFormat="false" ht="15.75" hidden="false" customHeight="true" outlineLevel="0" collapsed="false">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ustomFormat="false" ht="15.75" hidden="false" customHeight="true" outlineLevel="0" collapsed="false">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ustomFormat="false" ht="15.75" hidden="false" customHeight="true" outlineLevel="0" collapsed="false">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ustomFormat="false" ht="15.75" hidden="false" customHeight="true" outlineLevel="0" collapsed="false">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ustomFormat="false" ht="15.75" hidden="false" customHeight="true" outlineLevel="0" collapsed="false">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ustomFormat="false" ht="15.75" hidden="false" customHeight="true" outlineLevel="0" collapsed="false">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ustomFormat="false" ht="15.75" hidden="false" customHeight="true" outlineLevel="0" collapsed="false">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ustomFormat="false" ht="15.75" hidden="false" customHeight="true" outlineLevel="0" collapsed="false">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ustomFormat="false" ht="15.75" hidden="false" customHeight="true" outlineLevel="0" collapsed="false">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ustomFormat="false" ht="15.75" hidden="false" customHeight="true" outlineLevel="0" collapsed="false">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ustomFormat="false" ht="15.75" hidden="false" customHeight="true" outlineLevel="0" collapsed="false">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ustomFormat="false" ht="15.75" hidden="false" customHeight="true" outlineLevel="0" collapsed="false">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ustomFormat="false" ht="15.75" hidden="false" customHeight="true" outlineLevel="0" collapsed="false">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ustomFormat="false" ht="15.75" hidden="false" customHeight="true" outlineLevel="0" collapsed="false">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ustomFormat="false" ht="15.75" hidden="false" customHeight="true" outlineLevel="0" collapsed="false">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ustomFormat="false" ht="15.75" hidden="false" customHeight="true" outlineLevel="0" collapsed="false">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ustomFormat="false" ht="15.75" hidden="false" customHeight="true" outlineLevel="0" collapsed="false">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sheetData>
  <mergeCells count="330">
    <mergeCell ref="A7:A9"/>
    <mergeCell ref="B7:B9"/>
    <mergeCell ref="C7:C9"/>
    <mergeCell ref="D7:D9"/>
    <mergeCell ref="E7:E9"/>
    <mergeCell ref="F7:F9"/>
    <mergeCell ref="G7:G9"/>
    <mergeCell ref="H7:H9"/>
    <mergeCell ref="I7:I9"/>
    <mergeCell ref="L7:L9"/>
    <mergeCell ref="M7:M9"/>
    <mergeCell ref="N7:N9"/>
    <mergeCell ref="O7:O9"/>
    <mergeCell ref="P7:P9"/>
    <mergeCell ref="Q7:Q9"/>
    <mergeCell ref="R7:R9"/>
    <mergeCell ref="S7:S9"/>
    <mergeCell ref="U7:U9"/>
    <mergeCell ref="V7:V9"/>
    <mergeCell ref="W7:W9"/>
    <mergeCell ref="X7:X9"/>
    <mergeCell ref="Y7:Y9"/>
    <mergeCell ref="Z7:Z9"/>
    <mergeCell ref="AA7:AA9"/>
    <mergeCell ref="AB7:AB9"/>
    <mergeCell ref="AC7:AC9"/>
    <mergeCell ref="A12:A14"/>
    <mergeCell ref="B12:B14"/>
    <mergeCell ref="C12:C14"/>
    <mergeCell ref="D12:D14"/>
    <mergeCell ref="E12:E14"/>
    <mergeCell ref="F12:F14"/>
    <mergeCell ref="G12:G14"/>
    <mergeCell ref="H12:H14"/>
    <mergeCell ref="I12:I14"/>
    <mergeCell ref="J12:J14"/>
    <mergeCell ref="K12:K14"/>
    <mergeCell ref="M12:M14"/>
    <mergeCell ref="N12:N14"/>
    <mergeCell ref="O12:O14"/>
    <mergeCell ref="P12:P14"/>
    <mergeCell ref="Q12:Q14"/>
    <mergeCell ref="R12:R14"/>
    <mergeCell ref="S12:S14"/>
    <mergeCell ref="T12:T14"/>
    <mergeCell ref="U12:U14"/>
    <mergeCell ref="V12:V14"/>
    <mergeCell ref="W12:W14"/>
    <mergeCell ref="X12:X14"/>
    <mergeCell ref="Y12:Y14"/>
    <mergeCell ref="Z12:Z14"/>
    <mergeCell ref="AA12:AA14"/>
    <mergeCell ref="AB12:AB14"/>
    <mergeCell ref="AC12:AC14"/>
    <mergeCell ref="A15:A17"/>
    <mergeCell ref="B15:B17"/>
    <mergeCell ref="C15:C17"/>
    <mergeCell ref="D15:D17"/>
    <mergeCell ref="E15:E17"/>
    <mergeCell ref="F15:F17"/>
    <mergeCell ref="G15:G17"/>
    <mergeCell ref="H15:H17"/>
    <mergeCell ref="I15:I17"/>
    <mergeCell ref="K15:K17"/>
    <mergeCell ref="L15:L17"/>
    <mergeCell ref="M15:M17"/>
    <mergeCell ref="N15:N17"/>
    <mergeCell ref="O15:O17"/>
    <mergeCell ref="P15:P17"/>
    <mergeCell ref="Q15:Q17"/>
    <mergeCell ref="R15:R17"/>
    <mergeCell ref="S15:S17"/>
    <mergeCell ref="T15:T17"/>
    <mergeCell ref="U15:U17"/>
    <mergeCell ref="V15:V17"/>
    <mergeCell ref="W15:W17"/>
    <mergeCell ref="X15:X17"/>
    <mergeCell ref="Y15:Y17"/>
    <mergeCell ref="Z15:Z17"/>
    <mergeCell ref="AA15:AA17"/>
    <mergeCell ref="AB15:AB17"/>
    <mergeCell ref="AC15:AC17"/>
    <mergeCell ref="A20:A32"/>
    <mergeCell ref="B20:B32"/>
    <mergeCell ref="C20:C32"/>
    <mergeCell ref="D20:D32"/>
    <mergeCell ref="E20:E32"/>
    <mergeCell ref="F20:F32"/>
    <mergeCell ref="G20:G32"/>
    <mergeCell ref="H20:H32"/>
    <mergeCell ref="J20:J32"/>
    <mergeCell ref="K20:K32"/>
    <mergeCell ref="L20:L32"/>
    <mergeCell ref="M20:M32"/>
    <mergeCell ref="N20:N32"/>
    <mergeCell ref="O20:O32"/>
    <mergeCell ref="P20:P32"/>
    <mergeCell ref="Q20:Q32"/>
    <mergeCell ref="R20:R32"/>
    <mergeCell ref="T20:T32"/>
    <mergeCell ref="U20:U32"/>
    <mergeCell ref="V20:V32"/>
    <mergeCell ref="W20:W32"/>
    <mergeCell ref="X20:X32"/>
    <mergeCell ref="Y20:Y32"/>
    <mergeCell ref="Z20:Z32"/>
    <mergeCell ref="AA20:AA32"/>
    <mergeCell ref="AB20:AB32"/>
    <mergeCell ref="AC20:AC32"/>
    <mergeCell ref="A34:A36"/>
    <mergeCell ref="B34:B36"/>
    <mergeCell ref="C34:C36"/>
    <mergeCell ref="D34:D36"/>
    <mergeCell ref="E34:E36"/>
    <mergeCell ref="F34:F36"/>
    <mergeCell ref="G34:G36"/>
    <mergeCell ref="H34:H36"/>
    <mergeCell ref="I34:I36"/>
    <mergeCell ref="K34:K36"/>
    <mergeCell ref="L34:L36"/>
    <mergeCell ref="M34:M36"/>
    <mergeCell ref="N34:N36"/>
    <mergeCell ref="O34:O36"/>
    <mergeCell ref="P34:P36"/>
    <mergeCell ref="Q34:Q36"/>
    <mergeCell ref="R34:R36"/>
    <mergeCell ref="S34:S36"/>
    <mergeCell ref="T34:T36"/>
    <mergeCell ref="U34:U36"/>
    <mergeCell ref="V34:V36"/>
    <mergeCell ref="W34:W36"/>
    <mergeCell ref="X34:X36"/>
    <mergeCell ref="Y34:Y36"/>
    <mergeCell ref="Z34:Z36"/>
    <mergeCell ref="AA34:AA36"/>
    <mergeCell ref="AB34:AB36"/>
    <mergeCell ref="AC34:AC36"/>
    <mergeCell ref="A39:A46"/>
    <mergeCell ref="B39:B46"/>
    <mergeCell ref="C39:C46"/>
    <mergeCell ref="D39:D46"/>
    <mergeCell ref="E39:E46"/>
    <mergeCell ref="F39:F46"/>
    <mergeCell ref="H39:H46"/>
    <mergeCell ref="I39:I46"/>
    <mergeCell ref="K39:K46"/>
    <mergeCell ref="L39:L46"/>
    <mergeCell ref="M39:M46"/>
    <mergeCell ref="N39:N46"/>
    <mergeCell ref="O39:O46"/>
    <mergeCell ref="P39:P46"/>
    <mergeCell ref="Q39:Q46"/>
    <mergeCell ref="R39:R46"/>
    <mergeCell ref="S39:S46"/>
    <mergeCell ref="U39:U46"/>
    <mergeCell ref="V39:V46"/>
    <mergeCell ref="W39:W46"/>
    <mergeCell ref="X39:X46"/>
    <mergeCell ref="Y39:Y46"/>
    <mergeCell ref="Z39:Z46"/>
    <mergeCell ref="AA39:AA46"/>
    <mergeCell ref="AB39:AB46"/>
    <mergeCell ref="AC39:AC46"/>
    <mergeCell ref="A47:A49"/>
    <mergeCell ref="B47:B49"/>
    <mergeCell ref="C47:C49"/>
    <mergeCell ref="D47:D49"/>
    <mergeCell ref="E47:E49"/>
    <mergeCell ref="F47:F49"/>
    <mergeCell ref="G47:G49"/>
    <mergeCell ref="H47:H49"/>
    <mergeCell ref="I47:I49"/>
    <mergeCell ref="K47:K49"/>
    <mergeCell ref="L47:L49"/>
    <mergeCell ref="M47:M49"/>
    <mergeCell ref="N47:N49"/>
    <mergeCell ref="O47:O49"/>
    <mergeCell ref="P47:P49"/>
    <mergeCell ref="Q47:Q49"/>
    <mergeCell ref="R47:R49"/>
    <mergeCell ref="S47:S49"/>
    <mergeCell ref="T47:T49"/>
    <mergeCell ref="U47:U49"/>
    <mergeCell ref="V47:V49"/>
    <mergeCell ref="W47:W49"/>
    <mergeCell ref="X47:X49"/>
    <mergeCell ref="Y47:Y49"/>
    <mergeCell ref="Z47:Z49"/>
    <mergeCell ref="AA47:AA49"/>
    <mergeCell ref="AB47:AB49"/>
    <mergeCell ref="AC47:AC49"/>
    <mergeCell ref="A50:A52"/>
    <mergeCell ref="B50:B52"/>
    <mergeCell ref="C50:C52"/>
    <mergeCell ref="D50:D52"/>
    <mergeCell ref="E50:E52"/>
    <mergeCell ref="F50:F52"/>
    <mergeCell ref="G50:G52"/>
    <mergeCell ref="H50:H52"/>
    <mergeCell ref="I50:I52"/>
    <mergeCell ref="K50:K52"/>
    <mergeCell ref="L50:L52"/>
    <mergeCell ref="M50:M52"/>
    <mergeCell ref="N50:N52"/>
    <mergeCell ref="O50:O52"/>
    <mergeCell ref="P50:P52"/>
    <mergeCell ref="Q50:Q52"/>
    <mergeCell ref="R50:R52"/>
    <mergeCell ref="S50:S52"/>
    <mergeCell ref="U50:U52"/>
    <mergeCell ref="V50:V52"/>
    <mergeCell ref="W50:W52"/>
    <mergeCell ref="X50:X52"/>
    <mergeCell ref="Y50:Y52"/>
    <mergeCell ref="Z50:Z52"/>
    <mergeCell ref="AA50:AA52"/>
    <mergeCell ref="AB50:AB52"/>
    <mergeCell ref="AC50:AC52"/>
    <mergeCell ref="A63:A64"/>
    <mergeCell ref="B63:B64"/>
    <mergeCell ref="C63:C64"/>
    <mergeCell ref="D63:D64"/>
    <mergeCell ref="E63:E64"/>
    <mergeCell ref="F63:F64"/>
    <mergeCell ref="G63:G64"/>
    <mergeCell ref="H63:H64"/>
    <mergeCell ref="I63:I64"/>
    <mergeCell ref="J63:J64"/>
    <mergeCell ref="K63:K64"/>
    <mergeCell ref="L63:L64"/>
    <mergeCell ref="M63:M64"/>
    <mergeCell ref="N63:N64"/>
    <mergeCell ref="O63:O64"/>
    <mergeCell ref="P63:P64"/>
    <mergeCell ref="Q63:Q64"/>
    <mergeCell ref="R63:R64"/>
    <mergeCell ref="S63:S64"/>
    <mergeCell ref="U63:U64"/>
    <mergeCell ref="V63:V64"/>
    <mergeCell ref="W63:W64"/>
    <mergeCell ref="X63:X64"/>
    <mergeCell ref="Y63:Y64"/>
    <mergeCell ref="Z63:Z64"/>
    <mergeCell ref="AA63:AA64"/>
    <mergeCell ref="AB63:AB64"/>
    <mergeCell ref="AC63:AC64"/>
    <mergeCell ref="A74:A75"/>
    <mergeCell ref="B74:B75"/>
    <mergeCell ref="C74:C75"/>
    <mergeCell ref="D74:D75"/>
    <mergeCell ref="E74:E75"/>
    <mergeCell ref="F74:F75"/>
    <mergeCell ref="G74:G75"/>
    <mergeCell ref="H74:H75"/>
    <mergeCell ref="I74:I75"/>
    <mergeCell ref="J74:J75"/>
    <mergeCell ref="K74:K75"/>
    <mergeCell ref="L74:L75"/>
    <mergeCell ref="M74:M75"/>
    <mergeCell ref="N74:N75"/>
    <mergeCell ref="O74:O75"/>
    <mergeCell ref="P74:P75"/>
    <mergeCell ref="Q74:Q75"/>
    <mergeCell ref="R74:R75"/>
    <mergeCell ref="S74:S75"/>
    <mergeCell ref="U74:U75"/>
    <mergeCell ref="V74:V75"/>
    <mergeCell ref="W74:W75"/>
    <mergeCell ref="X74:X75"/>
    <mergeCell ref="Y74:Y75"/>
    <mergeCell ref="Z74:Z75"/>
    <mergeCell ref="AA74:AA75"/>
    <mergeCell ref="AB74:AB75"/>
    <mergeCell ref="AC74:AC75"/>
    <mergeCell ref="A85:A87"/>
    <mergeCell ref="B85:B87"/>
    <mergeCell ref="C85:C87"/>
    <mergeCell ref="D85:D87"/>
    <mergeCell ref="E85:E87"/>
    <mergeCell ref="F85:F87"/>
    <mergeCell ref="G85:G87"/>
    <mergeCell ref="H85:H87"/>
    <mergeCell ref="I85:I87"/>
    <mergeCell ref="K85:K87"/>
    <mergeCell ref="L85:L87"/>
    <mergeCell ref="M85:M87"/>
    <mergeCell ref="N85:N87"/>
    <mergeCell ref="O85:O87"/>
    <mergeCell ref="P85:P87"/>
    <mergeCell ref="Q85:Q87"/>
    <mergeCell ref="R85:R87"/>
    <mergeCell ref="S85:S87"/>
    <mergeCell ref="T85:T87"/>
    <mergeCell ref="U85:U87"/>
    <mergeCell ref="V85:V87"/>
    <mergeCell ref="W85:W87"/>
    <mergeCell ref="X85:X87"/>
    <mergeCell ref="Y85:Y87"/>
    <mergeCell ref="Z85:Z87"/>
    <mergeCell ref="AA85:AA87"/>
    <mergeCell ref="AB85:AB87"/>
    <mergeCell ref="AC85:AC87"/>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N100:N101"/>
    <mergeCell ref="O100:O101"/>
    <mergeCell ref="P100:P101"/>
    <mergeCell ref="Q100:Q101"/>
    <mergeCell ref="R100:R101"/>
    <mergeCell ref="S100:S101"/>
    <mergeCell ref="U100:U101"/>
    <mergeCell ref="V100:V101"/>
    <mergeCell ref="W100:W101"/>
    <mergeCell ref="X100:X101"/>
    <mergeCell ref="Y100:Y101"/>
    <mergeCell ref="Z100:Z101"/>
    <mergeCell ref="AA100:AA101"/>
    <mergeCell ref="AB100:AB101"/>
    <mergeCell ref="AC100:AC10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0"/>
  <sheetViews>
    <sheetView showFormulas="false" showGridLines="true" showRowColHeaders="true" showZeros="true" rightToLeft="false" tabSelected="false" showOutlineSymbols="true" defaultGridColor="true" view="normal" topLeftCell="A112" colorId="64" zoomScale="100" zoomScaleNormal="100" zoomScalePageLayoutView="100" workbookViewId="0">
      <selection pane="topLeft" activeCell="C146" activeCellId="0" sqref="C146"/>
    </sheetView>
  </sheetViews>
  <sheetFormatPr defaultColWidth="22.17578125" defaultRowHeight="18" zeroHeight="false" outlineLevelRow="0" outlineLevelCol="0"/>
  <cols>
    <col collapsed="false" customWidth="false" hidden="false" outlineLevel="0" max="5" min="1" style="21" width="22.18"/>
    <col collapsed="false" customWidth="true" hidden="false" outlineLevel="0" max="6" min="6" style="21" width="37.82"/>
    <col collapsed="false" customWidth="false" hidden="false" outlineLevel="0" max="16384" min="7" style="21" width="22.18"/>
  </cols>
  <sheetData>
    <row r="1" s="25" customFormat="true" ht="18" hidden="false" customHeight="true" outlineLevel="0" collapsed="false">
      <c r="A1" s="22" t="s">
        <v>7936</v>
      </c>
      <c r="B1" s="22" t="s">
        <v>7937</v>
      </c>
      <c r="C1" s="22" t="s">
        <v>7938</v>
      </c>
      <c r="D1" s="22" t="s">
        <v>7939</v>
      </c>
      <c r="E1" s="22" t="s">
        <v>7940</v>
      </c>
      <c r="F1" s="22" t="s">
        <v>7941</v>
      </c>
      <c r="G1" s="22" t="s">
        <v>7942</v>
      </c>
      <c r="H1" s="22" t="s">
        <v>7943</v>
      </c>
      <c r="I1" s="22" t="s">
        <v>7944</v>
      </c>
      <c r="J1" s="22" t="s">
        <v>7945</v>
      </c>
      <c r="K1" s="22" t="s">
        <v>7946</v>
      </c>
      <c r="L1" s="23" t="s">
        <v>7947</v>
      </c>
      <c r="M1" s="23" t="s">
        <v>7948</v>
      </c>
      <c r="N1" s="23" t="s">
        <v>7949</v>
      </c>
      <c r="O1" s="22" t="s">
        <v>7950</v>
      </c>
      <c r="P1" s="22" t="s">
        <v>7951</v>
      </c>
      <c r="Q1" s="22" t="s">
        <v>7952</v>
      </c>
      <c r="R1" s="22" t="s">
        <v>7953</v>
      </c>
      <c r="S1" s="22" t="s">
        <v>7954</v>
      </c>
      <c r="T1" s="22" t="s">
        <v>7955</v>
      </c>
      <c r="U1" s="22" t="s">
        <v>7956</v>
      </c>
      <c r="V1" s="24"/>
      <c r="W1" s="24"/>
      <c r="X1" s="24"/>
      <c r="Y1" s="24"/>
      <c r="Z1" s="24"/>
      <c r="AA1" s="24"/>
    </row>
    <row r="2" s="25" customFormat="true" ht="18" hidden="false" customHeight="true" outlineLevel="0" collapsed="false">
      <c r="A2" s="22"/>
      <c r="B2" s="22"/>
      <c r="C2" s="22"/>
      <c r="D2" s="22"/>
      <c r="E2" s="22"/>
      <c r="F2" s="22"/>
      <c r="G2" s="22"/>
      <c r="H2" s="22"/>
      <c r="I2" s="22"/>
      <c r="J2" s="22"/>
      <c r="K2" s="22"/>
      <c r="L2" s="23" t="s">
        <v>7957</v>
      </c>
      <c r="M2" s="23"/>
      <c r="N2" s="23"/>
      <c r="O2" s="22"/>
      <c r="P2" s="22"/>
      <c r="Q2" s="22"/>
      <c r="R2" s="22"/>
      <c r="S2" s="22"/>
      <c r="T2" s="22"/>
      <c r="U2" s="22"/>
      <c r="V2" s="24"/>
      <c r="W2" s="24"/>
      <c r="X2" s="24"/>
      <c r="Y2" s="24"/>
      <c r="Z2" s="24"/>
      <c r="AA2" s="24"/>
    </row>
    <row r="3" s="25" customFormat="true" ht="18" hidden="false" customHeight="true" outlineLevel="0" collapsed="false">
      <c r="A3" s="22"/>
      <c r="B3" s="22"/>
      <c r="C3" s="22"/>
      <c r="D3" s="22"/>
      <c r="E3" s="22"/>
      <c r="F3" s="22"/>
      <c r="G3" s="22"/>
      <c r="H3" s="22"/>
      <c r="I3" s="22"/>
      <c r="J3" s="22"/>
      <c r="K3" s="22"/>
      <c r="L3" s="23" t="s">
        <v>7958</v>
      </c>
      <c r="M3" s="23" t="s">
        <v>7959</v>
      </c>
      <c r="N3" s="23" t="s">
        <v>7959</v>
      </c>
      <c r="O3" s="22"/>
      <c r="P3" s="22"/>
      <c r="Q3" s="22"/>
      <c r="R3" s="22"/>
      <c r="S3" s="22"/>
      <c r="T3" s="22"/>
      <c r="U3" s="22"/>
      <c r="V3" s="24"/>
      <c r="W3" s="24"/>
      <c r="X3" s="24"/>
      <c r="Y3" s="24"/>
      <c r="Z3" s="24"/>
      <c r="AA3" s="24"/>
    </row>
    <row r="4" s="25" customFormat="true" ht="18" hidden="false" customHeight="true" outlineLevel="0" collapsed="false">
      <c r="A4" s="22"/>
      <c r="B4" s="22"/>
      <c r="C4" s="22"/>
      <c r="D4" s="22"/>
      <c r="E4" s="22"/>
      <c r="F4" s="22"/>
      <c r="G4" s="22"/>
      <c r="H4" s="22"/>
      <c r="I4" s="22"/>
      <c r="J4" s="22"/>
      <c r="K4" s="22"/>
      <c r="L4" s="23" t="s">
        <v>7960</v>
      </c>
      <c r="M4" s="23" t="s">
        <v>7957</v>
      </c>
      <c r="N4" s="23" t="s">
        <v>7957</v>
      </c>
      <c r="O4" s="22"/>
      <c r="P4" s="22"/>
      <c r="Q4" s="22"/>
      <c r="R4" s="22"/>
      <c r="S4" s="22"/>
      <c r="T4" s="22"/>
      <c r="U4" s="22"/>
      <c r="V4" s="24"/>
      <c r="W4" s="24"/>
      <c r="X4" s="24"/>
      <c r="Y4" s="24"/>
      <c r="Z4" s="24"/>
      <c r="AA4" s="24"/>
    </row>
    <row r="5" s="25" customFormat="true" ht="18" hidden="false" customHeight="true" outlineLevel="0" collapsed="false">
      <c r="A5" s="22"/>
      <c r="B5" s="22"/>
      <c r="C5" s="22"/>
      <c r="D5" s="22"/>
      <c r="E5" s="22"/>
      <c r="F5" s="22"/>
      <c r="G5" s="22"/>
      <c r="H5" s="22"/>
      <c r="I5" s="22"/>
      <c r="J5" s="22"/>
      <c r="K5" s="22"/>
      <c r="L5" s="23"/>
      <c r="M5" s="23" t="s">
        <v>7958</v>
      </c>
      <c r="N5" s="23" t="s">
        <v>7958</v>
      </c>
      <c r="O5" s="22"/>
      <c r="P5" s="22"/>
      <c r="Q5" s="22"/>
      <c r="R5" s="22"/>
      <c r="S5" s="22"/>
      <c r="T5" s="22"/>
      <c r="U5" s="22"/>
      <c r="V5" s="24"/>
      <c r="W5" s="24"/>
      <c r="X5" s="24"/>
      <c r="Y5" s="24"/>
      <c r="Z5" s="24"/>
      <c r="AA5" s="24"/>
    </row>
    <row r="6" s="25" customFormat="true" ht="18" hidden="false" customHeight="true" outlineLevel="0" collapsed="false">
      <c r="A6" s="22"/>
      <c r="B6" s="22"/>
      <c r="C6" s="22"/>
      <c r="D6" s="22"/>
      <c r="E6" s="22"/>
      <c r="F6" s="22"/>
      <c r="G6" s="22"/>
      <c r="H6" s="22"/>
      <c r="I6" s="22"/>
      <c r="J6" s="22"/>
      <c r="K6" s="22"/>
      <c r="L6" s="23" t="s">
        <v>7961</v>
      </c>
      <c r="M6" s="23" t="s">
        <v>7960</v>
      </c>
      <c r="N6" s="23" t="s">
        <v>7960</v>
      </c>
      <c r="O6" s="22"/>
      <c r="P6" s="22"/>
      <c r="Q6" s="22"/>
      <c r="R6" s="22"/>
      <c r="S6" s="22"/>
      <c r="T6" s="22"/>
      <c r="U6" s="22"/>
      <c r="V6" s="24"/>
      <c r="W6" s="24"/>
      <c r="X6" s="24"/>
      <c r="Y6" s="24"/>
      <c r="Z6" s="24"/>
      <c r="AA6" s="24"/>
    </row>
    <row r="7" s="25" customFormat="true" ht="18" hidden="false" customHeight="true" outlineLevel="0" collapsed="false">
      <c r="A7" s="22"/>
      <c r="B7" s="22"/>
      <c r="C7" s="22"/>
      <c r="D7" s="22"/>
      <c r="E7" s="22"/>
      <c r="F7" s="22"/>
      <c r="G7" s="22"/>
      <c r="H7" s="22"/>
      <c r="I7" s="22"/>
      <c r="J7" s="22"/>
      <c r="K7" s="22"/>
      <c r="L7" s="23"/>
      <c r="M7" s="23"/>
      <c r="N7" s="23"/>
      <c r="O7" s="22"/>
      <c r="P7" s="22"/>
      <c r="Q7" s="22"/>
      <c r="R7" s="22"/>
      <c r="S7" s="22"/>
      <c r="T7" s="22"/>
      <c r="U7" s="22"/>
      <c r="V7" s="24"/>
      <c r="W7" s="24"/>
      <c r="X7" s="24"/>
      <c r="Y7" s="24"/>
      <c r="Z7" s="24"/>
      <c r="AA7" s="24"/>
    </row>
    <row r="8" s="25" customFormat="true" ht="66.75" hidden="false" customHeight="true" outlineLevel="0" collapsed="false">
      <c r="A8" s="22"/>
      <c r="B8" s="22"/>
      <c r="C8" s="22"/>
      <c r="D8" s="22"/>
      <c r="E8" s="22"/>
      <c r="F8" s="22"/>
      <c r="G8" s="22"/>
      <c r="H8" s="22"/>
      <c r="I8" s="22"/>
      <c r="J8" s="22"/>
      <c r="K8" s="22"/>
      <c r="L8" s="23"/>
      <c r="M8" s="23" t="s">
        <v>7962</v>
      </c>
      <c r="N8" s="23" t="s">
        <v>7962</v>
      </c>
      <c r="O8" s="22"/>
      <c r="P8" s="22"/>
      <c r="Q8" s="22"/>
      <c r="R8" s="22"/>
      <c r="S8" s="22"/>
      <c r="T8" s="22"/>
      <c r="U8" s="22"/>
      <c r="V8" s="24"/>
      <c r="W8" s="24"/>
      <c r="X8" s="24"/>
      <c r="Y8" s="24"/>
      <c r="Z8" s="24"/>
      <c r="AA8" s="24"/>
    </row>
    <row r="9" customFormat="false" ht="18" hidden="false" customHeight="true" outlineLevel="0" collapsed="false">
      <c r="A9" s="26" t="n">
        <v>20</v>
      </c>
      <c r="B9" s="26" t="s">
        <v>83</v>
      </c>
      <c r="C9" s="26" t="s">
        <v>837</v>
      </c>
      <c r="D9" s="26" t="s">
        <v>837</v>
      </c>
      <c r="E9" s="26" t="s">
        <v>7963</v>
      </c>
      <c r="F9" s="26" t="n">
        <v>40</v>
      </c>
      <c r="G9" s="26" t="s">
        <v>840</v>
      </c>
      <c r="H9" s="26" t="s">
        <v>841</v>
      </c>
      <c r="I9" s="26" t="s">
        <v>98</v>
      </c>
      <c r="J9" s="26" t="s">
        <v>7964</v>
      </c>
      <c r="K9" s="26" t="s">
        <v>843</v>
      </c>
      <c r="L9" s="26" t="s">
        <v>844</v>
      </c>
      <c r="M9" s="26" t="s">
        <v>7965</v>
      </c>
      <c r="N9" s="26" t="s">
        <v>7966</v>
      </c>
      <c r="O9" s="26" t="s">
        <v>845</v>
      </c>
      <c r="P9" s="26" t="s">
        <v>7967</v>
      </c>
      <c r="Q9" s="26" t="s">
        <v>7968</v>
      </c>
      <c r="R9" s="26" t="s">
        <v>59</v>
      </c>
      <c r="S9" s="26" t="s">
        <v>848</v>
      </c>
      <c r="T9" s="26" t="s">
        <v>59</v>
      </c>
      <c r="U9" s="26" t="s">
        <v>59</v>
      </c>
    </row>
    <row r="10" customFormat="false" ht="18" hidden="false" customHeight="true" outlineLevel="0" collapsed="false">
      <c r="A10" s="26" t="n">
        <v>19</v>
      </c>
      <c r="B10" s="26" t="s">
        <v>83</v>
      </c>
      <c r="C10" s="26" t="s">
        <v>850</v>
      </c>
      <c r="D10" s="26" t="s">
        <v>49</v>
      </c>
      <c r="E10" s="26" t="s">
        <v>7969</v>
      </c>
      <c r="F10" s="27" t="n">
        <v>0.15</v>
      </c>
      <c r="G10" s="26" t="s">
        <v>853</v>
      </c>
      <c r="H10" s="26" t="s">
        <v>854</v>
      </c>
      <c r="I10" s="26" t="s">
        <v>855</v>
      </c>
      <c r="J10" s="26" t="s">
        <v>856</v>
      </c>
      <c r="K10" s="26" t="s">
        <v>7970</v>
      </c>
      <c r="L10" s="26" t="s">
        <v>858</v>
      </c>
      <c r="M10" s="26" t="s">
        <v>7971</v>
      </c>
      <c r="N10" s="26" t="s">
        <v>7971</v>
      </c>
      <c r="O10" s="26" t="s">
        <v>859</v>
      </c>
      <c r="P10" s="26" t="s">
        <v>7967</v>
      </c>
      <c r="Q10" s="26" t="s">
        <v>7957</v>
      </c>
      <c r="R10" s="26" t="s">
        <v>59</v>
      </c>
      <c r="S10" s="26" t="s">
        <v>861</v>
      </c>
      <c r="T10" s="26" t="s">
        <v>59</v>
      </c>
      <c r="U10" s="26" t="s">
        <v>59</v>
      </c>
    </row>
    <row r="11" customFormat="false" ht="18" hidden="false" customHeight="true" outlineLevel="0" collapsed="false">
      <c r="A11" s="28" t="n">
        <v>19</v>
      </c>
      <c r="B11" s="28" t="s">
        <v>45</v>
      </c>
      <c r="C11" s="28" t="s">
        <v>7972</v>
      </c>
      <c r="D11" s="28" t="s">
        <v>7756</v>
      </c>
      <c r="E11" s="28" t="s">
        <v>863</v>
      </c>
      <c r="F11" s="28" t="n">
        <v>20</v>
      </c>
      <c r="G11" s="28" t="s">
        <v>864</v>
      </c>
      <c r="H11" s="28" t="s">
        <v>865</v>
      </c>
      <c r="I11" s="28" t="s">
        <v>98</v>
      </c>
      <c r="J11" s="28" t="s">
        <v>866</v>
      </c>
      <c r="K11" s="28" t="s">
        <v>7973</v>
      </c>
      <c r="L11" s="26" t="s">
        <v>7974</v>
      </c>
      <c r="M11" s="28" t="s">
        <v>7975</v>
      </c>
      <c r="N11" s="28" t="s">
        <v>7975</v>
      </c>
      <c r="O11" s="28" t="s">
        <v>7976</v>
      </c>
      <c r="P11" s="28" t="s">
        <v>7968</v>
      </c>
      <c r="Q11" s="28" t="s">
        <v>7967</v>
      </c>
      <c r="R11" s="28" t="s">
        <v>59</v>
      </c>
      <c r="S11" s="28" t="s">
        <v>870</v>
      </c>
      <c r="T11" s="28" t="s">
        <v>59</v>
      </c>
      <c r="U11" s="28" t="s">
        <v>59</v>
      </c>
      <c r="V11" s="29"/>
      <c r="W11" s="29"/>
      <c r="X11" s="29"/>
      <c r="Y11" s="29"/>
      <c r="Z11" s="29"/>
      <c r="AA11" s="29"/>
    </row>
    <row r="12" customFormat="false" ht="18" hidden="false" customHeight="true" outlineLevel="0" collapsed="false">
      <c r="A12" s="28"/>
      <c r="B12" s="28"/>
      <c r="C12" s="28"/>
      <c r="D12" s="28"/>
      <c r="E12" s="28"/>
      <c r="F12" s="28"/>
      <c r="G12" s="28"/>
      <c r="H12" s="28"/>
      <c r="I12" s="28"/>
      <c r="J12" s="28"/>
      <c r="K12" s="28"/>
      <c r="L12" s="26" t="s">
        <v>7977</v>
      </c>
      <c r="M12" s="28"/>
      <c r="N12" s="28"/>
      <c r="O12" s="28"/>
      <c r="P12" s="28"/>
      <c r="Q12" s="28"/>
      <c r="R12" s="28"/>
      <c r="S12" s="28"/>
      <c r="T12" s="28"/>
      <c r="U12" s="28"/>
      <c r="V12" s="28"/>
      <c r="W12" s="28"/>
      <c r="X12" s="28"/>
      <c r="Y12" s="28"/>
      <c r="Z12" s="28"/>
      <c r="AA12" s="28"/>
    </row>
    <row r="13" customFormat="false" ht="18" hidden="false" customHeight="true" outlineLevel="0" collapsed="false">
      <c r="A13" s="28"/>
      <c r="B13" s="28"/>
      <c r="C13" s="28"/>
      <c r="D13" s="28"/>
      <c r="E13" s="28"/>
      <c r="F13" s="28"/>
      <c r="G13" s="28"/>
      <c r="H13" s="28"/>
      <c r="I13" s="28"/>
      <c r="J13" s="28"/>
      <c r="K13" s="28"/>
      <c r="L13" s="26" t="s">
        <v>7978</v>
      </c>
      <c r="M13" s="28"/>
      <c r="N13" s="28"/>
      <c r="O13" s="28"/>
      <c r="P13" s="28"/>
      <c r="Q13" s="28"/>
      <c r="R13" s="28"/>
      <c r="S13" s="28"/>
      <c r="T13" s="28"/>
      <c r="U13" s="28"/>
      <c r="V13" s="28"/>
      <c r="W13" s="28"/>
      <c r="X13" s="28"/>
      <c r="Y13" s="28"/>
      <c r="Z13" s="28"/>
      <c r="AA13" s="28"/>
    </row>
    <row r="14" customFormat="false" ht="18" hidden="false" customHeight="true" outlineLevel="0" collapsed="false">
      <c r="A14" s="28" t="n">
        <v>21</v>
      </c>
      <c r="B14" s="28" t="s">
        <v>45</v>
      </c>
      <c r="C14" s="28" t="s">
        <v>289</v>
      </c>
      <c r="D14" s="28" t="s">
        <v>49</v>
      </c>
      <c r="E14" s="28" t="s">
        <v>872</v>
      </c>
      <c r="F14" s="28" t="n">
        <v>20</v>
      </c>
      <c r="G14" s="28" t="s">
        <v>873</v>
      </c>
      <c r="H14" s="28" t="s">
        <v>874</v>
      </c>
      <c r="I14" s="28" t="s">
        <v>875</v>
      </c>
      <c r="J14" s="28" t="s">
        <v>876</v>
      </c>
      <c r="K14" s="28" t="s">
        <v>877</v>
      </c>
      <c r="L14" s="26" t="s">
        <v>7979</v>
      </c>
      <c r="M14" s="28" t="s">
        <v>7975</v>
      </c>
      <c r="N14" s="28" t="s">
        <v>7971</v>
      </c>
      <c r="O14" s="28" t="s">
        <v>879</v>
      </c>
      <c r="P14" s="28" t="s">
        <v>7967</v>
      </c>
      <c r="Q14" s="28" t="s">
        <v>7968</v>
      </c>
      <c r="R14" s="28" t="s">
        <v>59</v>
      </c>
      <c r="S14" s="28" t="s">
        <v>880</v>
      </c>
      <c r="T14" s="28" t="s">
        <v>59</v>
      </c>
      <c r="U14" s="28" t="s">
        <v>59</v>
      </c>
      <c r="V14" s="29"/>
      <c r="W14" s="29"/>
      <c r="X14" s="29"/>
      <c r="Y14" s="29"/>
      <c r="Z14" s="29"/>
      <c r="AA14" s="29"/>
    </row>
    <row r="15" customFormat="false" ht="18" hidden="false" customHeight="true" outlineLevel="0" collapsed="false">
      <c r="A15" s="28"/>
      <c r="B15" s="28"/>
      <c r="C15" s="28"/>
      <c r="D15" s="28"/>
      <c r="E15" s="28"/>
      <c r="F15" s="28"/>
      <c r="G15" s="28"/>
      <c r="H15" s="28"/>
      <c r="I15" s="28"/>
      <c r="J15" s="28"/>
      <c r="K15" s="28"/>
      <c r="L15" s="26" t="s">
        <v>7980</v>
      </c>
      <c r="M15" s="28"/>
      <c r="N15" s="28"/>
      <c r="O15" s="28"/>
      <c r="P15" s="28"/>
      <c r="Q15" s="28"/>
      <c r="R15" s="28"/>
      <c r="S15" s="28"/>
      <c r="T15" s="28"/>
      <c r="U15" s="28"/>
      <c r="V15" s="28"/>
      <c r="W15" s="28"/>
      <c r="X15" s="28"/>
      <c r="Y15" s="28"/>
      <c r="Z15" s="28"/>
      <c r="AA15" s="28"/>
    </row>
    <row r="16" customFormat="false" ht="18" hidden="false" customHeight="true" outlineLevel="0" collapsed="false">
      <c r="A16" s="28"/>
      <c r="B16" s="28"/>
      <c r="C16" s="28"/>
      <c r="D16" s="28"/>
      <c r="E16" s="28"/>
      <c r="F16" s="28"/>
      <c r="G16" s="28"/>
      <c r="H16" s="28"/>
      <c r="I16" s="28"/>
      <c r="J16" s="28"/>
      <c r="K16" s="28"/>
      <c r="L16" s="26" t="s">
        <v>7981</v>
      </c>
      <c r="M16" s="28"/>
      <c r="N16" s="28"/>
      <c r="O16" s="28"/>
      <c r="P16" s="28"/>
      <c r="Q16" s="28"/>
      <c r="R16" s="28"/>
      <c r="S16" s="28"/>
      <c r="T16" s="28"/>
      <c r="U16" s="28"/>
      <c r="V16" s="28"/>
      <c r="W16" s="28"/>
      <c r="X16" s="28"/>
      <c r="Y16" s="28"/>
      <c r="Z16" s="28"/>
      <c r="AA16" s="28"/>
    </row>
    <row r="17" customFormat="false" ht="18" hidden="false" customHeight="true" outlineLevel="0" collapsed="false">
      <c r="A17" s="28" t="n">
        <v>21</v>
      </c>
      <c r="B17" s="28" t="s">
        <v>45</v>
      </c>
      <c r="C17" s="28" t="s">
        <v>49</v>
      </c>
      <c r="D17" s="28" t="s">
        <v>49</v>
      </c>
      <c r="E17" s="28" t="s">
        <v>7982</v>
      </c>
      <c r="F17" s="28" t="n">
        <v>30</v>
      </c>
      <c r="G17" s="28" t="s">
        <v>883</v>
      </c>
      <c r="H17" s="28" t="s">
        <v>884</v>
      </c>
      <c r="I17" s="28" t="s">
        <v>885</v>
      </c>
      <c r="J17" s="28" t="s">
        <v>886</v>
      </c>
      <c r="K17" s="28" t="s">
        <v>887</v>
      </c>
      <c r="L17" s="26" t="s">
        <v>7983</v>
      </c>
      <c r="M17" s="28" t="s">
        <v>7984</v>
      </c>
      <c r="N17" s="28" t="s">
        <v>7971</v>
      </c>
      <c r="O17" s="28" t="s">
        <v>889</v>
      </c>
      <c r="P17" s="28" t="s">
        <v>7957</v>
      </c>
      <c r="Q17" s="28" t="s">
        <v>7968</v>
      </c>
      <c r="R17" s="28" t="s">
        <v>59</v>
      </c>
      <c r="S17" s="28" t="s">
        <v>890</v>
      </c>
      <c r="T17" s="28" t="s">
        <v>59</v>
      </c>
      <c r="U17" s="28" t="s">
        <v>59</v>
      </c>
      <c r="V17" s="29"/>
      <c r="W17" s="29"/>
      <c r="X17" s="29"/>
      <c r="Y17" s="29"/>
      <c r="Z17" s="29"/>
      <c r="AA17" s="29"/>
    </row>
    <row r="18" customFormat="false" ht="18" hidden="false" customHeight="true" outlineLevel="0" collapsed="false">
      <c r="A18" s="28"/>
      <c r="B18" s="28"/>
      <c r="C18" s="28"/>
      <c r="D18" s="28"/>
      <c r="E18" s="28"/>
      <c r="F18" s="28"/>
      <c r="G18" s="28"/>
      <c r="H18" s="28"/>
      <c r="I18" s="28"/>
      <c r="J18" s="28"/>
      <c r="K18" s="28"/>
      <c r="L18" s="26" t="s">
        <v>7985</v>
      </c>
      <c r="M18" s="28"/>
      <c r="N18" s="28"/>
      <c r="O18" s="28"/>
      <c r="P18" s="28"/>
      <c r="Q18" s="28"/>
      <c r="R18" s="28"/>
      <c r="S18" s="28"/>
      <c r="T18" s="28"/>
      <c r="U18" s="28"/>
      <c r="V18" s="28"/>
      <c r="W18" s="28"/>
      <c r="X18" s="28"/>
      <c r="Y18" s="28"/>
      <c r="Z18" s="28"/>
      <c r="AA18" s="28"/>
    </row>
    <row r="19" customFormat="false" ht="18" hidden="false" customHeight="true" outlineLevel="0" collapsed="false">
      <c r="A19" s="28"/>
      <c r="B19" s="28"/>
      <c r="C19" s="28"/>
      <c r="D19" s="28"/>
      <c r="E19" s="28"/>
      <c r="F19" s="28"/>
      <c r="G19" s="28"/>
      <c r="H19" s="28"/>
      <c r="I19" s="28"/>
      <c r="J19" s="28"/>
      <c r="K19" s="28"/>
      <c r="L19" s="26" t="s">
        <v>7986</v>
      </c>
      <c r="M19" s="28"/>
      <c r="N19" s="28"/>
      <c r="O19" s="28"/>
      <c r="P19" s="28"/>
      <c r="Q19" s="28"/>
      <c r="R19" s="28"/>
      <c r="S19" s="28"/>
      <c r="T19" s="28"/>
      <c r="U19" s="28"/>
      <c r="V19" s="28"/>
      <c r="W19" s="28"/>
      <c r="X19" s="28"/>
      <c r="Y19" s="28"/>
      <c r="Z19" s="28"/>
      <c r="AA19" s="28"/>
    </row>
    <row r="20" customFormat="false" ht="18" hidden="false" customHeight="true" outlineLevel="0" collapsed="false">
      <c r="A20" s="26" t="n">
        <v>21</v>
      </c>
      <c r="B20" s="26" t="s">
        <v>45</v>
      </c>
      <c r="C20" s="26" t="s">
        <v>7987</v>
      </c>
      <c r="D20" s="26" t="s">
        <v>7988</v>
      </c>
      <c r="E20" s="26" t="s">
        <v>892</v>
      </c>
      <c r="F20" s="26" t="n">
        <v>20</v>
      </c>
      <c r="G20" s="26" t="s">
        <v>893</v>
      </c>
      <c r="H20" s="26" t="s">
        <v>894</v>
      </c>
      <c r="I20" s="26" t="s">
        <v>895</v>
      </c>
      <c r="J20" s="26" t="s">
        <v>896</v>
      </c>
      <c r="K20" s="26" t="s">
        <v>897</v>
      </c>
      <c r="L20" s="26" t="s">
        <v>898</v>
      </c>
      <c r="M20" s="26" t="s">
        <v>7971</v>
      </c>
      <c r="N20" s="26" t="s">
        <v>7971</v>
      </c>
      <c r="O20" s="26" t="s">
        <v>899</v>
      </c>
      <c r="P20" s="26" t="s">
        <v>7968</v>
      </c>
      <c r="Q20" s="26" t="s">
        <v>7967</v>
      </c>
      <c r="R20" s="26" t="s">
        <v>59</v>
      </c>
      <c r="S20" s="26" t="s">
        <v>900</v>
      </c>
      <c r="T20" s="26" t="s">
        <v>59</v>
      </c>
      <c r="U20" s="26" t="s">
        <v>59</v>
      </c>
    </row>
    <row r="21" customFormat="false" ht="18" hidden="false" customHeight="true" outlineLevel="0" collapsed="false">
      <c r="A21" s="28" t="n">
        <v>20</v>
      </c>
      <c r="B21" s="28" t="s">
        <v>45</v>
      </c>
      <c r="C21" s="28" t="s">
        <v>902</v>
      </c>
      <c r="D21" s="28" t="s">
        <v>49</v>
      </c>
      <c r="E21" s="28" t="s">
        <v>904</v>
      </c>
      <c r="F21" s="28" t="n">
        <v>15</v>
      </c>
      <c r="G21" s="28" t="s">
        <v>905</v>
      </c>
      <c r="H21" s="28" t="s">
        <v>906</v>
      </c>
      <c r="I21" s="28" t="s">
        <v>907</v>
      </c>
      <c r="J21" s="28" t="s">
        <v>7989</v>
      </c>
      <c r="K21" s="28" t="s">
        <v>909</v>
      </c>
      <c r="L21" s="26" t="s">
        <v>7990</v>
      </c>
      <c r="M21" s="28" t="s">
        <v>7991</v>
      </c>
      <c r="N21" s="28" t="s">
        <v>7992</v>
      </c>
      <c r="O21" s="28" t="s">
        <v>911</v>
      </c>
      <c r="P21" s="28" t="s">
        <v>7968</v>
      </c>
      <c r="Q21" s="28" t="s">
        <v>7968</v>
      </c>
      <c r="R21" s="28" t="s">
        <v>59</v>
      </c>
      <c r="S21" s="28" t="s">
        <v>912</v>
      </c>
      <c r="T21" s="28" t="s">
        <v>59</v>
      </c>
      <c r="U21" s="28" t="s">
        <v>59</v>
      </c>
      <c r="V21" s="29"/>
      <c r="W21" s="29"/>
      <c r="X21" s="29"/>
      <c r="Y21" s="29"/>
      <c r="Z21" s="29"/>
      <c r="AA21" s="29"/>
    </row>
    <row r="22" customFormat="false" ht="18" hidden="false" customHeight="true" outlineLevel="0" collapsed="false">
      <c r="A22" s="28"/>
      <c r="B22" s="28"/>
      <c r="C22" s="28"/>
      <c r="D22" s="28"/>
      <c r="E22" s="28"/>
      <c r="F22" s="28"/>
      <c r="G22" s="28"/>
      <c r="H22" s="28"/>
      <c r="I22" s="28"/>
      <c r="J22" s="28"/>
      <c r="K22" s="28"/>
      <c r="L22" s="26" t="s">
        <v>7993</v>
      </c>
      <c r="M22" s="28"/>
      <c r="N22" s="28"/>
      <c r="O22" s="28"/>
      <c r="P22" s="28"/>
      <c r="Q22" s="28"/>
      <c r="R22" s="28"/>
      <c r="S22" s="28"/>
      <c r="T22" s="28"/>
      <c r="U22" s="28"/>
      <c r="V22" s="28"/>
      <c r="W22" s="28"/>
      <c r="X22" s="28"/>
      <c r="Y22" s="28"/>
      <c r="Z22" s="28"/>
      <c r="AA22" s="28"/>
    </row>
    <row r="23" customFormat="false" ht="18" hidden="false" customHeight="true" outlineLevel="0" collapsed="false">
      <c r="A23" s="28"/>
      <c r="B23" s="28"/>
      <c r="C23" s="28"/>
      <c r="D23" s="28"/>
      <c r="E23" s="28"/>
      <c r="F23" s="28"/>
      <c r="G23" s="28"/>
      <c r="H23" s="28"/>
      <c r="I23" s="28"/>
      <c r="J23" s="28"/>
      <c r="K23" s="28"/>
      <c r="L23" s="26" t="s">
        <v>7994</v>
      </c>
      <c r="M23" s="28"/>
      <c r="N23" s="28"/>
      <c r="O23" s="28"/>
      <c r="P23" s="28"/>
      <c r="Q23" s="28"/>
      <c r="R23" s="28"/>
      <c r="S23" s="28"/>
      <c r="T23" s="28"/>
      <c r="U23" s="28"/>
      <c r="V23" s="28"/>
      <c r="W23" s="28"/>
      <c r="X23" s="28"/>
      <c r="Y23" s="28"/>
      <c r="Z23" s="28"/>
      <c r="AA23" s="28"/>
    </row>
    <row r="24" customFormat="false" ht="18" hidden="false" customHeight="true" outlineLevel="0" collapsed="false">
      <c r="A24" s="26" t="n">
        <v>59</v>
      </c>
      <c r="B24" s="26" t="s">
        <v>83</v>
      </c>
      <c r="C24" s="26" t="s">
        <v>914</v>
      </c>
      <c r="D24" s="26" t="s">
        <v>914</v>
      </c>
      <c r="E24" s="26" t="s">
        <v>915</v>
      </c>
      <c r="F24" s="26" t="n">
        <v>45</v>
      </c>
      <c r="G24" s="26" t="s">
        <v>916</v>
      </c>
      <c r="H24" s="26" t="s">
        <v>917</v>
      </c>
      <c r="I24" s="26" t="s">
        <v>918</v>
      </c>
      <c r="J24" s="26" t="s">
        <v>919</v>
      </c>
      <c r="K24" s="26" t="s">
        <v>920</v>
      </c>
      <c r="L24" s="26" t="s">
        <v>7995</v>
      </c>
      <c r="M24" s="26" t="s">
        <v>7996</v>
      </c>
      <c r="N24" s="26" t="s">
        <v>7997</v>
      </c>
      <c r="O24" s="26" t="s">
        <v>922</v>
      </c>
      <c r="P24" s="26" t="s">
        <v>7957</v>
      </c>
      <c r="Q24" s="26" t="s">
        <v>7968</v>
      </c>
      <c r="R24" s="26" t="s">
        <v>59</v>
      </c>
      <c r="S24" s="26" t="s">
        <v>7998</v>
      </c>
      <c r="T24" s="26" t="s">
        <v>59</v>
      </c>
      <c r="U24" s="26" t="s">
        <v>59</v>
      </c>
    </row>
    <row r="25" customFormat="false" ht="18" hidden="false" customHeight="true" outlineLevel="0" collapsed="false">
      <c r="A25" s="26" t="n">
        <v>43</v>
      </c>
      <c r="B25" s="26" t="s">
        <v>83</v>
      </c>
      <c r="C25" s="26" t="s">
        <v>7999</v>
      </c>
      <c r="D25" s="26" t="s">
        <v>7999</v>
      </c>
      <c r="E25" s="26" t="s">
        <v>925</v>
      </c>
      <c r="F25" s="27" t="n">
        <v>0.25</v>
      </c>
      <c r="G25" s="26" t="s">
        <v>926</v>
      </c>
      <c r="H25" s="26" t="s">
        <v>926</v>
      </c>
      <c r="I25" s="26" t="s">
        <v>98</v>
      </c>
      <c r="J25" s="26" t="s">
        <v>927</v>
      </c>
      <c r="K25" s="26" t="s">
        <v>928</v>
      </c>
      <c r="L25" s="26" t="s">
        <v>929</v>
      </c>
      <c r="M25" s="26" t="s">
        <v>7971</v>
      </c>
      <c r="N25" s="26" t="s">
        <v>7984</v>
      </c>
      <c r="O25" s="26" t="s">
        <v>930</v>
      </c>
      <c r="P25" s="26" t="s">
        <v>7968</v>
      </c>
      <c r="Q25" s="26" t="s">
        <v>7957</v>
      </c>
      <c r="R25" s="26" t="s">
        <v>59</v>
      </c>
      <c r="S25" s="26" t="s">
        <v>931</v>
      </c>
      <c r="T25" s="26" t="s">
        <v>59</v>
      </c>
      <c r="U25" s="26" t="s">
        <v>59</v>
      </c>
    </row>
    <row r="26" customFormat="false" ht="18" hidden="false" customHeight="true" outlineLevel="0" collapsed="false">
      <c r="A26" s="28" t="n">
        <v>60</v>
      </c>
      <c r="B26" s="28" t="s">
        <v>83</v>
      </c>
      <c r="C26" s="28" t="s">
        <v>914</v>
      </c>
      <c r="D26" s="28" t="s">
        <v>8000</v>
      </c>
      <c r="E26" s="28" t="s">
        <v>935</v>
      </c>
      <c r="F26" s="28" t="n">
        <v>25</v>
      </c>
      <c r="G26" s="28" t="s">
        <v>936</v>
      </c>
      <c r="H26" s="28" t="s">
        <v>937</v>
      </c>
      <c r="I26" s="28" t="s">
        <v>938</v>
      </c>
      <c r="J26" s="28" t="s">
        <v>939</v>
      </c>
      <c r="K26" s="28" t="s">
        <v>940</v>
      </c>
      <c r="L26" s="26" t="s">
        <v>8001</v>
      </c>
      <c r="M26" s="28" t="s">
        <v>8002</v>
      </c>
      <c r="N26" s="28" t="s">
        <v>8003</v>
      </c>
      <c r="O26" s="28" t="s">
        <v>942</v>
      </c>
      <c r="P26" s="28" t="s">
        <v>7968</v>
      </c>
      <c r="Q26" s="28" t="s">
        <v>7968</v>
      </c>
      <c r="R26" s="28" t="s">
        <v>59</v>
      </c>
      <c r="S26" s="28" t="s">
        <v>943</v>
      </c>
      <c r="T26" s="28" t="s">
        <v>59</v>
      </c>
      <c r="U26" s="28" t="s">
        <v>59</v>
      </c>
      <c r="V26" s="29"/>
      <c r="W26" s="29"/>
      <c r="X26" s="29"/>
      <c r="Y26" s="29"/>
      <c r="Z26" s="29"/>
      <c r="AA26" s="29"/>
    </row>
    <row r="27" customFormat="false" ht="18" hidden="false" customHeight="true" outlineLevel="0" collapsed="false">
      <c r="A27" s="28"/>
      <c r="B27" s="28"/>
      <c r="C27" s="28"/>
      <c r="D27" s="28"/>
      <c r="E27" s="28"/>
      <c r="F27" s="28"/>
      <c r="G27" s="28"/>
      <c r="H27" s="28"/>
      <c r="I27" s="28"/>
      <c r="J27" s="28"/>
      <c r="K27" s="28"/>
      <c r="L27" s="26" t="s">
        <v>8004</v>
      </c>
      <c r="M27" s="28"/>
      <c r="N27" s="28"/>
      <c r="O27" s="28"/>
      <c r="P27" s="28"/>
      <c r="Q27" s="28"/>
      <c r="R27" s="28"/>
      <c r="S27" s="28"/>
      <c r="T27" s="28"/>
      <c r="U27" s="28"/>
      <c r="V27" s="28"/>
      <c r="W27" s="28"/>
      <c r="X27" s="28"/>
      <c r="Y27" s="28"/>
      <c r="Z27" s="28"/>
      <c r="AA27" s="28"/>
    </row>
    <row r="28" customFormat="false" ht="18" hidden="false" customHeight="true" outlineLevel="0" collapsed="false">
      <c r="A28" s="28"/>
      <c r="B28" s="28"/>
      <c r="C28" s="28"/>
      <c r="D28" s="28"/>
      <c r="E28" s="28"/>
      <c r="F28" s="28"/>
      <c r="G28" s="28"/>
      <c r="H28" s="28"/>
      <c r="I28" s="28"/>
      <c r="J28" s="28"/>
      <c r="K28" s="28"/>
      <c r="L28" s="26" t="s">
        <v>8005</v>
      </c>
      <c r="M28" s="28"/>
      <c r="N28" s="28"/>
      <c r="O28" s="28"/>
      <c r="P28" s="28"/>
      <c r="Q28" s="28"/>
      <c r="R28" s="28"/>
      <c r="S28" s="28"/>
      <c r="T28" s="28"/>
      <c r="U28" s="28"/>
      <c r="V28" s="28"/>
      <c r="W28" s="28"/>
      <c r="X28" s="28"/>
      <c r="Y28" s="28"/>
      <c r="Z28" s="28"/>
      <c r="AA28" s="28"/>
    </row>
    <row r="29" customFormat="false" ht="18" hidden="false" customHeight="true" outlineLevel="0" collapsed="false">
      <c r="A29" s="26" t="n">
        <v>70</v>
      </c>
      <c r="B29" s="26" t="s">
        <v>83</v>
      </c>
      <c r="C29" s="26" t="s">
        <v>8006</v>
      </c>
      <c r="D29" s="26" t="s">
        <v>8007</v>
      </c>
      <c r="E29" s="26" t="s">
        <v>945</v>
      </c>
      <c r="F29" s="26" t="n">
        <v>60</v>
      </c>
      <c r="G29" s="26" t="s">
        <v>8008</v>
      </c>
      <c r="H29" s="26" t="s">
        <v>8009</v>
      </c>
      <c r="I29" s="26" t="s">
        <v>948</v>
      </c>
      <c r="J29" s="26" t="s">
        <v>8010</v>
      </c>
      <c r="K29" s="26" t="s">
        <v>8011</v>
      </c>
      <c r="L29" s="26" t="s">
        <v>951</v>
      </c>
      <c r="M29" s="26" t="s">
        <v>8012</v>
      </c>
      <c r="N29" s="26" t="s">
        <v>8013</v>
      </c>
      <c r="O29" s="26" t="s">
        <v>8014</v>
      </c>
      <c r="P29" s="26" t="s">
        <v>7957</v>
      </c>
      <c r="Q29" s="26" t="s">
        <v>7967</v>
      </c>
      <c r="R29" s="26" t="s">
        <v>59</v>
      </c>
      <c r="S29" s="26" t="s">
        <v>8015</v>
      </c>
      <c r="T29" s="26" t="s">
        <v>954</v>
      </c>
      <c r="U29" s="26" t="s">
        <v>59</v>
      </c>
    </row>
    <row r="30" customFormat="false" ht="18" hidden="false" customHeight="true" outlineLevel="0" collapsed="false">
      <c r="A30" s="28" t="n">
        <v>20</v>
      </c>
      <c r="B30" s="28" t="s">
        <v>45</v>
      </c>
      <c r="C30" s="28" t="s">
        <v>7762</v>
      </c>
      <c r="D30" s="28" t="s">
        <v>49</v>
      </c>
      <c r="E30" s="28" t="s">
        <v>8016</v>
      </c>
      <c r="F30" s="28" t="n">
        <v>35</v>
      </c>
      <c r="G30" s="28" t="s">
        <v>957</v>
      </c>
      <c r="H30" s="28" t="s">
        <v>958</v>
      </c>
      <c r="I30" s="28" t="s">
        <v>8017</v>
      </c>
      <c r="J30" s="28" t="s">
        <v>960</v>
      </c>
      <c r="K30" s="28" t="s">
        <v>961</v>
      </c>
      <c r="L30" s="26" t="s">
        <v>8018</v>
      </c>
      <c r="M30" s="28" t="s">
        <v>8019</v>
      </c>
      <c r="N30" s="28" t="s">
        <v>8020</v>
      </c>
      <c r="O30" s="28" t="s">
        <v>8021</v>
      </c>
      <c r="P30" s="28" t="s">
        <v>7968</v>
      </c>
      <c r="Q30" s="28" t="s">
        <v>7968</v>
      </c>
      <c r="R30" s="28" t="s">
        <v>59</v>
      </c>
      <c r="S30" s="28" t="s">
        <v>964</v>
      </c>
      <c r="T30" s="28" t="s">
        <v>59</v>
      </c>
      <c r="U30" s="28" t="s">
        <v>59</v>
      </c>
      <c r="V30" s="29"/>
      <c r="W30" s="29"/>
      <c r="X30" s="29"/>
      <c r="Y30" s="29"/>
      <c r="Z30" s="29"/>
      <c r="AA30" s="29"/>
    </row>
    <row r="31" customFormat="false" ht="18" hidden="false" customHeight="true" outlineLevel="0" collapsed="false">
      <c r="A31" s="28"/>
      <c r="B31" s="28"/>
      <c r="C31" s="28"/>
      <c r="D31" s="28"/>
      <c r="E31" s="28"/>
      <c r="F31" s="28"/>
      <c r="G31" s="28"/>
      <c r="H31" s="28"/>
      <c r="I31" s="28"/>
      <c r="J31" s="28"/>
      <c r="K31" s="28"/>
      <c r="L31" s="26" t="s">
        <v>8022</v>
      </c>
      <c r="M31" s="28"/>
      <c r="N31" s="28"/>
      <c r="O31" s="28"/>
      <c r="P31" s="28"/>
      <c r="Q31" s="28"/>
      <c r="R31" s="28"/>
      <c r="S31" s="28"/>
      <c r="T31" s="28"/>
      <c r="U31" s="28"/>
      <c r="V31" s="28"/>
      <c r="W31" s="28"/>
      <c r="X31" s="28"/>
      <c r="Y31" s="28"/>
      <c r="Z31" s="28"/>
      <c r="AA31" s="28"/>
    </row>
    <row r="32" customFormat="false" ht="18" hidden="false" customHeight="true" outlineLevel="0" collapsed="false">
      <c r="A32" s="28"/>
      <c r="B32" s="28"/>
      <c r="C32" s="28"/>
      <c r="D32" s="28"/>
      <c r="E32" s="28"/>
      <c r="F32" s="28"/>
      <c r="G32" s="28"/>
      <c r="H32" s="28"/>
      <c r="I32" s="28"/>
      <c r="J32" s="28"/>
      <c r="K32" s="28"/>
      <c r="L32" s="26" t="s">
        <v>8023</v>
      </c>
      <c r="M32" s="28"/>
      <c r="N32" s="28"/>
      <c r="O32" s="28"/>
      <c r="P32" s="28"/>
      <c r="Q32" s="28"/>
      <c r="R32" s="28"/>
      <c r="S32" s="28"/>
      <c r="T32" s="28"/>
      <c r="U32" s="28"/>
      <c r="V32" s="28"/>
      <c r="W32" s="28"/>
      <c r="X32" s="28"/>
      <c r="Y32" s="28"/>
      <c r="Z32" s="28"/>
      <c r="AA32" s="28"/>
    </row>
    <row r="33" customFormat="false" ht="18" hidden="false" customHeight="true" outlineLevel="0" collapsed="false">
      <c r="A33" s="26" t="n">
        <v>20</v>
      </c>
      <c r="B33" s="26" t="s">
        <v>45</v>
      </c>
      <c r="C33" s="26" t="s">
        <v>61</v>
      </c>
      <c r="D33" s="26" t="s">
        <v>49</v>
      </c>
      <c r="E33" s="26" t="s">
        <v>966</v>
      </c>
      <c r="F33" s="26" t="n">
        <v>25</v>
      </c>
      <c r="G33" s="26" t="s">
        <v>967</v>
      </c>
      <c r="H33" s="26" t="s">
        <v>968</v>
      </c>
      <c r="I33" s="26" t="s">
        <v>98</v>
      </c>
      <c r="J33" s="26" t="s">
        <v>969</v>
      </c>
      <c r="K33" s="26" t="s">
        <v>970</v>
      </c>
      <c r="L33" s="26" t="s">
        <v>971</v>
      </c>
      <c r="M33" s="26" t="s">
        <v>7965</v>
      </c>
      <c r="N33" s="26" t="s">
        <v>7965</v>
      </c>
      <c r="O33" s="26" t="s">
        <v>972</v>
      </c>
      <c r="P33" s="26" t="s">
        <v>7957</v>
      </c>
      <c r="Q33" s="26" t="s">
        <v>7967</v>
      </c>
      <c r="R33" s="26" t="s">
        <v>59</v>
      </c>
      <c r="S33" s="26" t="s">
        <v>8024</v>
      </c>
      <c r="T33" s="26" t="s">
        <v>59</v>
      </c>
      <c r="U33" s="26" t="s">
        <v>59</v>
      </c>
    </row>
    <row r="34" customFormat="false" ht="18" hidden="false" customHeight="true" outlineLevel="0" collapsed="false">
      <c r="A34" s="28" t="n">
        <v>22</v>
      </c>
      <c r="B34" s="28" t="s">
        <v>45</v>
      </c>
      <c r="C34" s="28" t="s">
        <v>321</v>
      </c>
      <c r="D34" s="28" t="s">
        <v>49</v>
      </c>
      <c r="E34" s="28" t="s">
        <v>975</v>
      </c>
      <c r="F34" s="28" t="n">
        <v>70</v>
      </c>
      <c r="G34" s="28" t="s">
        <v>976</v>
      </c>
      <c r="H34" s="28" t="s">
        <v>977</v>
      </c>
      <c r="I34" s="28" t="s">
        <v>978</v>
      </c>
      <c r="J34" s="28" t="s">
        <v>979</v>
      </c>
      <c r="K34" s="28" t="s">
        <v>980</v>
      </c>
      <c r="L34" s="26" t="s">
        <v>8025</v>
      </c>
      <c r="M34" s="28" t="s">
        <v>8019</v>
      </c>
      <c r="N34" s="28" t="s">
        <v>8003</v>
      </c>
      <c r="O34" s="28" t="s">
        <v>982</v>
      </c>
      <c r="P34" s="28" t="s">
        <v>7968</v>
      </c>
      <c r="Q34" s="28" t="s">
        <v>7967</v>
      </c>
      <c r="R34" s="28" t="s">
        <v>59</v>
      </c>
      <c r="S34" s="28" t="s">
        <v>983</v>
      </c>
      <c r="T34" s="28" t="s">
        <v>59</v>
      </c>
      <c r="U34" s="28" t="s">
        <v>59</v>
      </c>
      <c r="V34" s="29"/>
      <c r="W34" s="29"/>
      <c r="X34" s="29"/>
      <c r="Y34" s="29"/>
      <c r="Z34" s="29"/>
      <c r="AA34" s="29"/>
    </row>
    <row r="35" customFormat="false" ht="18" hidden="false" customHeight="true" outlineLevel="0" collapsed="false">
      <c r="A35" s="28"/>
      <c r="B35" s="28"/>
      <c r="C35" s="28"/>
      <c r="D35" s="28"/>
      <c r="E35" s="28"/>
      <c r="F35" s="28"/>
      <c r="G35" s="28"/>
      <c r="H35" s="28"/>
      <c r="I35" s="28"/>
      <c r="J35" s="28"/>
      <c r="K35" s="28"/>
      <c r="L35" s="26" t="s">
        <v>8026</v>
      </c>
      <c r="M35" s="28"/>
      <c r="N35" s="28"/>
      <c r="O35" s="28"/>
      <c r="P35" s="28"/>
      <c r="Q35" s="28"/>
      <c r="R35" s="28"/>
      <c r="S35" s="28"/>
      <c r="T35" s="28"/>
      <c r="U35" s="28"/>
      <c r="V35" s="28"/>
      <c r="W35" s="28"/>
      <c r="X35" s="28"/>
      <c r="Y35" s="28"/>
      <c r="Z35" s="28"/>
      <c r="AA35" s="28"/>
    </row>
    <row r="36" customFormat="false" ht="18" hidden="false" customHeight="true" outlineLevel="0" collapsed="false">
      <c r="A36" s="28"/>
      <c r="B36" s="28"/>
      <c r="C36" s="28"/>
      <c r="D36" s="28"/>
      <c r="E36" s="28"/>
      <c r="F36" s="28"/>
      <c r="G36" s="28"/>
      <c r="H36" s="28"/>
      <c r="I36" s="28"/>
      <c r="J36" s="28"/>
      <c r="K36" s="28"/>
      <c r="L36" s="26" t="s">
        <v>8027</v>
      </c>
      <c r="M36" s="28"/>
      <c r="N36" s="28"/>
      <c r="O36" s="28"/>
      <c r="P36" s="28"/>
      <c r="Q36" s="28"/>
      <c r="R36" s="28"/>
      <c r="S36" s="28"/>
      <c r="T36" s="28"/>
      <c r="U36" s="28"/>
      <c r="V36" s="28"/>
      <c r="W36" s="28"/>
      <c r="X36" s="28"/>
      <c r="Y36" s="28"/>
      <c r="Z36" s="28"/>
      <c r="AA36" s="28"/>
    </row>
    <row r="37" customFormat="false" ht="18" hidden="false" customHeight="true" outlineLevel="0" collapsed="false">
      <c r="A37" s="28" t="n">
        <v>14</v>
      </c>
      <c r="B37" s="28" t="s">
        <v>83</v>
      </c>
      <c r="C37" s="28" t="s">
        <v>321</v>
      </c>
      <c r="D37" s="28" t="s">
        <v>321</v>
      </c>
      <c r="E37" s="28" t="s">
        <v>985</v>
      </c>
      <c r="F37" s="28" t="n">
        <v>40</v>
      </c>
      <c r="G37" s="28" t="s">
        <v>986</v>
      </c>
      <c r="H37" s="28" t="s">
        <v>987</v>
      </c>
      <c r="I37" s="28" t="s">
        <v>988</v>
      </c>
      <c r="J37" s="28" t="s">
        <v>8028</v>
      </c>
      <c r="K37" s="28" t="s">
        <v>990</v>
      </c>
      <c r="L37" s="26" t="s">
        <v>8029</v>
      </c>
      <c r="M37" s="28" t="s">
        <v>8030</v>
      </c>
      <c r="N37" s="28" t="s">
        <v>8031</v>
      </c>
      <c r="O37" s="28" t="s">
        <v>992</v>
      </c>
      <c r="P37" s="28" t="s">
        <v>7968</v>
      </c>
      <c r="Q37" s="28" t="s">
        <v>7967</v>
      </c>
      <c r="R37" s="28" t="s">
        <v>59</v>
      </c>
      <c r="S37" s="28" t="s">
        <v>993</v>
      </c>
      <c r="T37" s="28" t="s">
        <v>98</v>
      </c>
      <c r="U37" s="28" t="s">
        <v>59</v>
      </c>
      <c r="V37" s="29"/>
      <c r="W37" s="29"/>
      <c r="X37" s="29"/>
      <c r="Y37" s="29"/>
      <c r="Z37" s="29"/>
      <c r="AA37" s="29"/>
    </row>
    <row r="38" customFormat="false" ht="18" hidden="false" customHeight="true" outlineLevel="0" collapsed="false">
      <c r="A38" s="28"/>
      <c r="B38" s="28"/>
      <c r="C38" s="28"/>
      <c r="D38" s="28"/>
      <c r="E38" s="28"/>
      <c r="F38" s="28"/>
      <c r="G38" s="28"/>
      <c r="H38" s="28"/>
      <c r="I38" s="28"/>
      <c r="J38" s="28"/>
      <c r="K38" s="28"/>
      <c r="L38" s="26" t="s">
        <v>8032</v>
      </c>
      <c r="M38" s="28"/>
      <c r="N38" s="28"/>
      <c r="O38" s="28"/>
      <c r="P38" s="28"/>
      <c r="Q38" s="28"/>
      <c r="R38" s="28"/>
      <c r="S38" s="28"/>
      <c r="T38" s="28"/>
      <c r="U38" s="28"/>
      <c r="V38" s="28"/>
      <c r="W38" s="28"/>
      <c r="X38" s="28"/>
      <c r="Y38" s="28"/>
      <c r="Z38" s="28"/>
      <c r="AA38" s="28"/>
    </row>
    <row r="39" customFormat="false" ht="18" hidden="false" customHeight="true" outlineLevel="0" collapsed="false">
      <c r="A39" s="28"/>
      <c r="B39" s="28"/>
      <c r="C39" s="28"/>
      <c r="D39" s="28"/>
      <c r="E39" s="28"/>
      <c r="F39" s="28"/>
      <c r="G39" s="28"/>
      <c r="H39" s="28"/>
      <c r="I39" s="28"/>
      <c r="J39" s="28"/>
      <c r="K39" s="28"/>
      <c r="L39" s="26" t="s">
        <v>8033</v>
      </c>
      <c r="M39" s="28"/>
      <c r="N39" s="28"/>
      <c r="O39" s="28"/>
      <c r="P39" s="28"/>
      <c r="Q39" s="28"/>
      <c r="R39" s="28"/>
      <c r="S39" s="28"/>
      <c r="T39" s="28"/>
      <c r="U39" s="28"/>
      <c r="V39" s="28"/>
      <c r="W39" s="28"/>
      <c r="X39" s="28"/>
      <c r="Y39" s="28"/>
      <c r="Z39" s="28"/>
      <c r="AA39" s="28"/>
    </row>
    <row r="40" customFormat="false" ht="18" hidden="false" customHeight="true" outlineLevel="0" collapsed="false">
      <c r="A40" s="28" t="n">
        <v>14</v>
      </c>
      <c r="B40" s="28" t="s">
        <v>45</v>
      </c>
      <c r="C40" s="28" t="s">
        <v>7847</v>
      </c>
      <c r="D40" s="28" t="s">
        <v>7847</v>
      </c>
      <c r="E40" s="28" t="s">
        <v>8034</v>
      </c>
      <c r="F40" s="30" t="n">
        <v>0.25</v>
      </c>
      <c r="G40" s="28" t="s">
        <v>996</v>
      </c>
      <c r="H40" s="28" t="s">
        <v>997</v>
      </c>
      <c r="I40" s="28" t="s">
        <v>998</v>
      </c>
      <c r="J40" s="28" t="s">
        <v>999</v>
      </c>
      <c r="K40" s="28" t="s">
        <v>1000</v>
      </c>
      <c r="L40" s="26" t="s">
        <v>8035</v>
      </c>
      <c r="M40" s="28" t="s">
        <v>8003</v>
      </c>
      <c r="N40" s="28" t="s">
        <v>8036</v>
      </c>
      <c r="O40" s="28" t="s">
        <v>1002</v>
      </c>
      <c r="P40" s="28" t="s">
        <v>7968</v>
      </c>
      <c r="Q40" s="28" t="s">
        <v>7967</v>
      </c>
      <c r="R40" s="28" t="s">
        <v>59</v>
      </c>
      <c r="S40" s="28" t="s">
        <v>1003</v>
      </c>
      <c r="T40" s="28" t="s">
        <v>59</v>
      </c>
      <c r="U40" s="28" t="s">
        <v>59</v>
      </c>
      <c r="V40" s="29"/>
      <c r="W40" s="29"/>
      <c r="X40" s="29"/>
      <c r="Y40" s="29"/>
      <c r="Z40" s="29"/>
      <c r="AA40" s="29"/>
    </row>
    <row r="41" customFormat="false" ht="18" hidden="false" customHeight="true" outlineLevel="0" collapsed="false">
      <c r="A41" s="28"/>
      <c r="B41" s="28"/>
      <c r="C41" s="28"/>
      <c r="D41" s="28"/>
      <c r="E41" s="28"/>
      <c r="F41" s="28"/>
      <c r="G41" s="28"/>
      <c r="H41" s="28"/>
      <c r="I41" s="28"/>
      <c r="J41" s="28"/>
      <c r="K41" s="28"/>
      <c r="L41" s="26" t="s">
        <v>8037</v>
      </c>
      <c r="M41" s="28"/>
      <c r="N41" s="28"/>
      <c r="O41" s="28"/>
      <c r="P41" s="28"/>
      <c r="Q41" s="28"/>
      <c r="R41" s="28"/>
      <c r="S41" s="28"/>
      <c r="T41" s="28"/>
      <c r="U41" s="28"/>
      <c r="V41" s="28"/>
      <c r="W41" s="28"/>
      <c r="X41" s="28"/>
      <c r="Y41" s="28"/>
      <c r="Z41" s="28"/>
      <c r="AA41" s="28"/>
    </row>
    <row r="42" customFormat="false" ht="18" hidden="false" customHeight="true" outlineLevel="0" collapsed="false">
      <c r="A42" s="28"/>
      <c r="B42" s="28"/>
      <c r="C42" s="28"/>
      <c r="D42" s="28"/>
      <c r="E42" s="28"/>
      <c r="F42" s="28"/>
      <c r="G42" s="28"/>
      <c r="H42" s="28"/>
      <c r="I42" s="28"/>
      <c r="J42" s="28"/>
      <c r="K42" s="28"/>
      <c r="L42" s="26" t="s">
        <v>8038</v>
      </c>
      <c r="M42" s="28"/>
      <c r="N42" s="28"/>
      <c r="O42" s="28"/>
      <c r="P42" s="28"/>
      <c r="Q42" s="28"/>
      <c r="R42" s="28"/>
      <c r="S42" s="28"/>
      <c r="T42" s="28"/>
      <c r="U42" s="28"/>
      <c r="V42" s="28"/>
      <c r="W42" s="28"/>
      <c r="X42" s="28"/>
      <c r="Y42" s="28"/>
      <c r="Z42" s="28"/>
      <c r="AA42" s="28"/>
    </row>
    <row r="43" customFormat="false" ht="18" hidden="false" customHeight="true" outlineLevel="0" collapsed="false">
      <c r="A43" s="26" t="n">
        <v>22</v>
      </c>
      <c r="B43" s="26" t="s">
        <v>45</v>
      </c>
      <c r="C43" s="26" t="s">
        <v>8039</v>
      </c>
      <c r="D43" s="26" t="s">
        <v>8039</v>
      </c>
      <c r="E43" s="26" t="s">
        <v>8040</v>
      </c>
      <c r="F43" s="26" t="n">
        <v>15</v>
      </c>
      <c r="G43" s="26" t="s">
        <v>1006</v>
      </c>
      <c r="H43" s="26" t="s">
        <v>1007</v>
      </c>
      <c r="I43" s="26" t="s">
        <v>1008</v>
      </c>
      <c r="J43" s="26" t="s">
        <v>1009</v>
      </c>
      <c r="K43" s="26" t="s">
        <v>8041</v>
      </c>
      <c r="L43" s="26" t="s">
        <v>1011</v>
      </c>
      <c r="M43" s="26" t="s">
        <v>8042</v>
      </c>
      <c r="N43" s="26" t="s">
        <v>8043</v>
      </c>
      <c r="O43" s="26" t="s">
        <v>8044</v>
      </c>
      <c r="P43" s="26" t="s">
        <v>7957</v>
      </c>
      <c r="Q43" s="26" t="s">
        <v>7967</v>
      </c>
      <c r="R43" s="26" t="s">
        <v>59</v>
      </c>
      <c r="S43" s="26" t="s">
        <v>1013</v>
      </c>
      <c r="T43" s="26" t="s">
        <v>59</v>
      </c>
      <c r="U43" s="26" t="s">
        <v>59</v>
      </c>
    </row>
    <row r="44" customFormat="false" ht="18" hidden="false" customHeight="true" outlineLevel="0" collapsed="false">
      <c r="A44" s="26" t="n">
        <v>21</v>
      </c>
      <c r="B44" s="26" t="s">
        <v>45</v>
      </c>
      <c r="C44" s="26" t="s">
        <v>475</v>
      </c>
      <c r="D44" s="26" t="s">
        <v>49</v>
      </c>
      <c r="E44" s="26" t="s">
        <v>8045</v>
      </c>
      <c r="F44" s="26" t="n">
        <v>20</v>
      </c>
      <c r="G44" s="26" t="s">
        <v>8046</v>
      </c>
      <c r="H44" s="26" t="s">
        <v>8047</v>
      </c>
      <c r="I44" s="26" t="s">
        <v>8048</v>
      </c>
      <c r="J44" s="26" t="s">
        <v>8049</v>
      </c>
      <c r="K44" s="26" t="s">
        <v>8050</v>
      </c>
      <c r="L44" s="26" t="s">
        <v>8051</v>
      </c>
      <c r="M44" s="26" t="s">
        <v>7971</v>
      </c>
      <c r="N44" s="26" t="s">
        <v>7971</v>
      </c>
      <c r="O44" s="26" t="s">
        <v>8052</v>
      </c>
      <c r="P44" s="26" t="s">
        <v>7957</v>
      </c>
      <c r="Q44" s="26" t="s">
        <v>7967</v>
      </c>
      <c r="R44" s="26" t="s">
        <v>59</v>
      </c>
      <c r="S44" s="26" t="s">
        <v>8053</v>
      </c>
      <c r="T44" s="26" t="s">
        <v>59</v>
      </c>
      <c r="U44" s="26" t="s">
        <v>59</v>
      </c>
    </row>
    <row r="45" customFormat="false" ht="18" hidden="false" customHeight="true" outlineLevel="0" collapsed="false">
      <c r="A45" s="28" t="n">
        <v>48</v>
      </c>
      <c r="B45" s="28" t="s">
        <v>45</v>
      </c>
      <c r="C45" s="28" t="s">
        <v>1025</v>
      </c>
      <c r="D45" s="28" t="s">
        <v>8039</v>
      </c>
      <c r="E45" s="28" t="s">
        <v>8054</v>
      </c>
      <c r="F45" s="28" t="n">
        <v>60</v>
      </c>
      <c r="G45" s="28" t="s">
        <v>1027</v>
      </c>
      <c r="H45" s="28" t="s">
        <v>8055</v>
      </c>
      <c r="I45" s="28" t="s">
        <v>8056</v>
      </c>
      <c r="J45" s="28" t="s">
        <v>1030</v>
      </c>
      <c r="K45" s="28" t="s">
        <v>8057</v>
      </c>
      <c r="L45" s="26" t="s">
        <v>8058</v>
      </c>
      <c r="M45" s="28" t="s">
        <v>7975</v>
      </c>
      <c r="N45" s="28" t="s">
        <v>7971</v>
      </c>
      <c r="O45" s="28" t="s">
        <v>8059</v>
      </c>
      <c r="P45" s="28" t="s">
        <v>7967</v>
      </c>
      <c r="Q45" s="28" t="s">
        <v>7968</v>
      </c>
      <c r="R45" s="28" t="s">
        <v>59</v>
      </c>
      <c r="S45" s="28" t="s">
        <v>8060</v>
      </c>
      <c r="T45" s="28" t="s">
        <v>59</v>
      </c>
      <c r="U45" s="28" t="s">
        <v>59</v>
      </c>
      <c r="V45" s="29"/>
      <c r="W45" s="29"/>
      <c r="X45" s="29"/>
      <c r="Y45" s="29"/>
      <c r="Z45" s="29"/>
      <c r="AA45" s="29"/>
    </row>
    <row r="46" customFormat="false" ht="18" hidden="false" customHeight="true" outlineLevel="0" collapsed="false">
      <c r="A46" s="28"/>
      <c r="B46" s="28"/>
      <c r="C46" s="28"/>
      <c r="D46" s="28"/>
      <c r="E46" s="28"/>
      <c r="F46" s="28"/>
      <c r="G46" s="28"/>
      <c r="H46" s="28"/>
      <c r="I46" s="28"/>
      <c r="J46" s="28"/>
      <c r="K46" s="28"/>
      <c r="L46" s="26" t="s">
        <v>8061</v>
      </c>
      <c r="M46" s="28"/>
      <c r="N46" s="28"/>
      <c r="O46" s="28"/>
      <c r="P46" s="28"/>
      <c r="Q46" s="28"/>
      <c r="R46" s="28"/>
      <c r="S46" s="28"/>
      <c r="T46" s="28"/>
      <c r="U46" s="28"/>
      <c r="V46" s="28"/>
      <c r="W46" s="28"/>
      <c r="X46" s="28"/>
      <c r="Y46" s="28"/>
      <c r="Z46" s="28"/>
      <c r="AA46" s="28"/>
    </row>
    <row r="47" customFormat="false" ht="18" hidden="false" customHeight="true" outlineLevel="0" collapsed="false">
      <c r="A47" s="28"/>
      <c r="B47" s="28"/>
      <c r="C47" s="28"/>
      <c r="D47" s="28"/>
      <c r="E47" s="28"/>
      <c r="F47" s="28"/>
      <c r="G47" s="28"/>
      <c r="H47" s="28"/>
      <c r="I47" s="28"/>
      <c r="J47" s="28"/>
      <c r="K47" s="28"/>
      <c r="L47" s="26" t="s">
        <v>8062</v>
      </c>
      <c r="M47" s="28"/>
      <c r="N47" s="28"/>
      <c r="O47" s="28"/>
      <c r="P47" s="28"/>
      <c r="Q47" s="28"/>
      <c r="R47" s="28"/>
      <c r="S47" s="28"/>
      <c r="T47" s="28"/>
      <c r="U47" s="28"/>
      <c r="V47" s="28"/>
      <c r="W47" s="28"/>
      <c r="X47" s="28"/>
      <c r="Y47" s="28"/>
      <c r="Z47" s="28"/>
      <c r="AA47" s="28"/>
    </row>
    <row r="48" customFormat="false" ht="18" hidden="false" customHeight="true" outlineLevel="0" collapsed="false">
      <c r="A48" s="26" t="n">
        <v>22</v>
      </c>
      <c r="B48" s="26" t="s">
        <v>45</v>
      </c>
      <c r="C48" s="26" t="s">
        <v>71</v>
      </c>
      <c r="D48" s="26" t="s">
        <v>127</v>
      </c>
      <c r="E48" s="26" t="s">
        <v>1036</v>
      </c>
      <c r="F48" s="27" t="n">
        <v>0.4</v>
      </c>
      <c r="G48" s="26" t="s">
        <v>1037</v>
      </c>
      <c r="H48" s="26" t="s">
        <v>8063</v>
      </c>
      <c r="I48" s="26" t="s">
        <v>1039</v>
      </c>
      <c r="J48" s="26" t="s">
        <v>1040</v>
      </c>
      <c r="K48" s="26" t="s">
        <v>8064</v>
      </c>
      <c r="L48" s="26" t="s">
        <v>8065</v>
      </c>
      <c r="M48" s="26" t="s">
        <v>8066</v>
      </c>
      <c r="N48" s="26" t="s">
        <v>8036</v>
      </c>
      <c r="O48" s="26" t="s">
        <v>1043</v>
      </c>
      <c r="P48" s="26" t="s">
        <v>7957</v>
      </c>
      <c r="Q48" s="26" t="s">
        <v>7957</v>
      </c>
      <c r="R48" s="26" t="s">
        <v>59</v>
      </c>
      <c r="S48" s="26" t="s">
        <v>1044</v>
      </c>
      <c r="T48" s="26" t="s">
        <v>59</v>
      </c>
      <c r="U48" s="26" t="s">
        <v>59</v>
      </c>
    </row>
    <row r="49" customFormat="false" ht="18" hidden="false" customHeight="true" outlineLevel="0" collapsed="false">
      <c r="A49" s="28" t="n">
        <v>21</v>
      </c>
      <c r="B49" s="28" t="s">
        <v>83</v>
      </c>
      <c r="C49" s="28" t="s">
        <v>8067</v>
      </c>
      <c r="D49" s="28" t="s">
        <v>7756</v>
      </c>
      <c r="E49" s="28" t="s">
        <v>1046</v>
      </c>
      <c r="F49" s="28" t="n">
        <v>25</v>
      </c>
      <c r="G49" s="28" t="s">
        <v>1047</v>
      </c>
      <c r="H49" s="28" t="s">
        <v>1048</v>
      </c>
      <c r="I49" s="28" t="s">
        <v>571</v>
      </c>
      <c r="J49" s="28" t="s">
        <v>1049</v>
      </c>
      <c r="K49" s="28" t="s">
        <v>1050</v>
      </c>
      <c r="L49" s="26" t="s">
        <v>8068</v>
      </c>
      <c r="M49" s="28" t="s">
        <v>7984</v>
      </c>
      <c r="N49" s="28" t="s">
        <v>7996</v>
      </c>
      <c r="O49" s="28" t="s">
        <v>8069</v>
      </c>
      <c r="P49" s="28" t="s">
        <v>7967</v>
      </c>
      <c r="Q49" s="28" t="s">
        <v>7957</v>
      </c>
      <c r="R49" s="28" t="s">
        <v>59</v>
      </c>
      <c r="S49" s="28" t="s">
        <v>1053</v>
      </c>
      <c r="T49" s="28" t="s">
        <v>59</v>
      </c>
      <c r="U49" s="28" t="s">
        <v>59</v>
      </c>
      <c r="V49" s="29"/>
      <c r="W49" s="29"/>
      <c r="X49" s="29"/>
      <c r="Y49" s="29"/>
      <c r="Z49" s="29"/>
      <c r="AA49" s="29"/>
    </row>
    <row r="50" customFormat="false" ht="18" hidden="false" customHeight="true" outlineLevel="0" collapsed="false">
      <c r="A50" s="28"/>
      <c r="B50" s="28"/>
      <c r="C50" s="28"/>
      <c r="D50" s="28"/>
      <c r="E50" s="28"/>
      <c r="F50" s="28"/>
      <c r="G50" s="28"/>
      <c r="H50" s="28"/>
      <c r="I50" s="28"/>
      <c r="J50" s="28"/>
      <c r="K50" s="28"/>
      <c r="L50" s="26" t="s">
        <v>8070</v>
      </c>
      <c r="M50" s="28"/>
      <c r="N50" s="28"/>
      <c r="O50" s="28"/>
      <c r="P50" s="28"/>
      <c r="Q50" s="28"/>
      <c r="R50" s="28"/>
      <c r="S50" s="28"/>
      <c r="T50" s="28"/>
      <c r="U50" s="28"/>
      <c r="V50" s="28"/>
      <c r="W50" s="28"/>
      <c r="X50" s="28"/>
      <c r="Y50" s="28"/>
      <c r="Z50" s="28"/>
      <c r="AA50" s="28"/>
    </row>
    <row r="51" customFormat="false" ht="18" hidden="false" customHeight="true" outlineLevel="0" collapsed="false">
      <c r="A51" s="28"/>
      <c r="B51" s="28"/>
      <c r="C51" s="28"/>
      <c r="D51" s="28"/>
      <c r="E51" s="28"/>
      <c r="F51" s="28"/>
      <c r="G51" s="28"/>
      <c r="H51" s="28"/>
      <c r="I51" s="28"/>
      <c r="J51" s="28"/>
      <c r="K51" s="28"/>
      <c r="L51" s="26" t="s">
        <v>8071</v>
      </c>
      <c r="M51" s="28"/>
      <c r="N51" s="28"/>
      <c r="O51" s="28"/>
      <c r="P51" s="28"/>
      <c r="Q51" s="28"/>
      <c r="R51" s="28"/>
      <c r="S51" s="28"/>
      <c r="T51" s="28"/>
      <c r="U51" s="28"/>
      <c r="V51" s="28"/>
      <c r="W51" s="28"/>
      <c r="X51" s="28"/>
      <c r="Y51" s="28"/>
      <c r="Z51" s="28"/>
      <c r="AA51" s="28"/>
    </row>
    <row r="52" customFormat="false" ht="18" hidden="false" customHeight="true" outlineLevel="0" collapsed="false">
      <c r="A52" s="28" t="n">
        <v>21</v>
      </c>
      <c r="B52" s="28" t="s">
        <v>45</v>
      </c>
      <c r="C52" s="28" t="s">
        <v>159</v>
      </c>
      <c r="D52" s="28" t="s">
        <v>49</v>
      </c>
      <c r="E52" s="28" t="s">
        <v>1055</v>
      </c>
      <c r="F52" s="28" t="n">
        <v>30</v>
      </c>
      <c r="G52" s="28" t="s">
        <v>1056</v>
      </c>
      <c r="H52" s="28" t="s">
        <v>1057</v>
      </c>
      <c r="I52" s="28" t="s">
        <v>8072</v>
      </c>
      <c r="J52" s="28" t="s">
        <v>1059</v>
      </c>
      <c r="K52" s="28" t="s">
        <v>1060</v>
      </c>
      <c r="L52" s="26" t="s">
        <v>8073</v>
      </c>
      <c r="M52" s="28" t="s">
        <v>7984</v>
      </c>
      <c r="N52" s="28" t="s">
        <v>8074</v>
      </c>
      <c r="O52" s="28" t="s">
        <v>1062</v>
      </c>
      <c r="P52" s="28" t="s">
        <v>7957</v>
      </c>
      <c r="Q52" s="28" t="s">
        <v>7967</v>
      </c>
      <c r="R52" s="28" t="s">
        <v>59</v>
      </c>
      <c r="S52" s="28" t="s">
        <v>1063</v>
      </c>
      <c r="T52" s="28" t="s">
        <v>59</v>
      </c>
      <c r="U52" s="28" t="s">
        <v>59</v>
      </c>
      <c r="V52" s="29"/>
      <c r="W52" s="29"/>
      <c r="X52" s="29"/>
      <c r="Y52" s="29"/>
      <c r="Z52" s="29"/>
      <c r="AA52" s="29"/>
    </row>
    <row r="53" customFormat="false" ht="18" hidden="false" customHeight="true" outlineLevel="0" collapsed="false">
      <c r="A53" s="28"/>
      <c r="B53" s="28"/>
      <c r="C53" s="28"/>
      <c r="D53" s="28"/>
      <c r="E53" s="28"/>
      <c r="F53" s="28"/>
      <c r="G53" s="28"/>
      <c r="H53" s="28"/>
      <c r="I53" s="28"/>
      <c r="J53" s="28"/>
      <c r="K53" s="28"/>
      <c r="L53" s="26" t="s">
        <v>8075</v>
      </c>
      <c r="M53" s="28"/>
      <c r="N53" s="28"/>
      <c r="O53" s="28"/>
      <c r="P53" s="28"/>
      <c r="Q53" s="28"/>
      <c r="R53" s="28"/>
      <c r="S53" s="28"/>
      <c r="T53" s="28"/>
      <c r="U53" s="28"/>
      <c r="V53" s="28"/>
      <c r="W53" s="28"/>
      <c r="X53" s="28"/>
      <c r="Y53" s="28"/>
      <c r="Z53" s="28"/>
      <c r="AA53" s="28"/>
    </row>
    <row r="54" customFormat="false" ht="18" hidden="false" customHeight="true" outlineLevel="0" collapsed="false">
      <c r="A54" s="28"/>
      <c r="B54" s="28"/>
      <c r="C54" s="28"/>
      <c r="D54" s="28"/>
      <c r="E54" s="28"/>
      <c r="F54" s="28"/>
      <c r="G54" s="28"/>
      <c r="H54" s="28"/>
      <c r="I54" s="28"/>
      <c r="J54" s="28"/>
      <c r="K54" s="28"/>
      <c r="L54" s="26" t="s">
        <v>8076</v>
      </c>
      <c r="M54" s="28"/>
      <c r="N54" s="28"/>
      <c r="O54" s="28"/>
      <c r="P54" s="28"/>
      <c r="Q54" s="28"/>
      <c r="R54" s="28"/>
      <c r="S54" s="28"/>
      <c r="T54" s="28"/>
      <c r="U54" s="28"/>
      <c r="V54" s="28"/>
      <c r="W54" s="28"/>
      <c r="X54" s="28"/>
      <c r="Y54" s="28"/>
      <c r="Z54" s="28"/>
      <c r="AA54" s="28"/>
    </row>
    <row r="55" customFormat="false" ht="18" hidden="false" customHeight="true" outlineLevel="0" collapsed="false">
      <c r="A55" s="26" t="n">
        <v>21</v>
      </c>
      <c r="B55" s="26" t="s">
        <v>45</v>
      </c>
      <c r="C55" s="26" t="s">
        <v>7839</v>
      </c>
      <c r="D55" s="26" t="s">
        <v>7756</v>
      </c>
      <c r="E55" s="26" t="s">
        <v>1065</v>
      </c>
      <c r="F55" s="27" t="n">
        <v>0.2</v>
      </c>
      <c r="G55" s="26" t="s">
        <v>1066</v>
      </c>
      <c r="H55" s="26" t="s">
        <v>1067</v>
      </c>
      <c r="I55" s="26" t="s">
        <v>895</v>
      </c>
      <c r="J55" s="26" t="s">
        <v>1068</v>
      </c>
      <c r="K55" s="26" t="s">
        <v>1069</v>
      </c>
      <c r="L55" s="26" t="s">
        <v>1070</v>
      </c>
      <c r="M55" s="26" t="s">
        <v>8019</v>
      </c>
      <c r="N55" s="26" t="s">
        <v>8077</v>
      </c>
      <c r="O55" s="26" t="s">
        <v>8078</v>
      </c>
      <c r="P55" s="26" t="s">
        <v>7968</v>
      </c>
      <c r="Q55" s="26" t="s">
        <v>7967</v>
      </c>
      <c r="R55" s="26" t="s">
        <v>59</v>
      </c>
      <c r="S55" s="26" t="s">
        <v>1072</v>
      </c>
      <c r="T55" s="26" t="s">
        <v>59</v>
      </c>
      <c r="U55" s="26" t="s">
        <v>59</v>
      </c>
    </row>
    <row r="56" customFormat="false" ht="18" hidden="false" customHeight="true" outlineLevel="0" collapsed="false">
      <c r="A56" s="26" t="n">
        <v>54</v>
      </c>
      <c r="B56" s="26" t="s">
        <v>45</v>
      </c>
      <c r="C56" s="26" t="s">
        <v>532</v>
      </c>
      <c r="D56" s="26" t="s">
        <v>532</v>
      </c>
      <c r="E56" s="26" t="s">
        <v>8079</v>
      </c>
      <c r="F56" s="26" t="n">
        <v>25</v>
      </c>
      <c r="G56" s="26" t="s">
        <v>8080</v>
      </c>
      <c r="H56" s="26" t="s">
        <v>8081</v>
      </c>
      <c r="I56" s="26" t="s">
        <v>8082</v>
      </c>
      <c r="J56" s="26" t="s">
        <v>8083</v>
      </c>
      <c r="K56" s="26" t="s">
        <v>8084</v>
      </c>
      <c r="L56" s="26" t="s">
        <v>8085</v>
      </c>
      <c r="M56" s="26" t="s">
        <v>8086</v>
      </c>
      <c r="N56" s="26" t="s">
        <v>8087</v>
      </c>
      <c r="O56" s="26" t="s">
        <v>8088</v>
      </c>
      <c r="P56" s="26" t="s">
        <v>7957</v>
      </c>
      <c r="Q56" s="26" t="s">
        <v>7967</v>
      </c>
      <c r="R56" s="26" t="s">
        <v>59</v>
      </c>
      <c r="S56" s="26" t="s">
        <v>8089</v>
      </c>
      <c r="T56" s="26" t="s">
        <v>59</v>
      </c>
      <c r="U56" s="26" t="s">
        <v>59</v>
      </c>
    </row>
    <row r="57" customFormat="false" ht="18" hidden="false" customHeight="true" outlineLevel="0" collapsed="false">
      <c r="A57" s="26" t="n">
        <v>21</v>
      </c>
      <c r="B57" s="26" t="s">
        <v>83</v>
      </c>
      <c r="C57" s="26" t="s">
        <v>8090</v>
      </c>
      <c r="D57" s="26" t="s">
        <v>7782</v>
      </c>
      <c r="E57" s="26" t="s">
        <v>1085</v>
      </c>
      <c r="F57" s="26" t="n">
        <v>38</v>
      </c>
      <c r="G57" s="26" t="s">
        <v>8091</v>
      </c>
      <c r="H57" s="26" t="s">
        <v>1087</v>
      </c>
      <c r="I57" s="26" t="s">
        <v>1088</v>
      </c>
      <c r="J57" s="26" t="s">
        <v>1089</v>
      </c>
      <c r="K57" s="26" t="s">
        <v>1090</v>
      </c>
      <c r="L57" s="26" t="s">
        <v>1091</v>
      </c>
      <c r="M57" s="26" t="s">
        <v>8092</v>
      </c>
      <c r="N57" s="26" t="s">
        <v>8092</v>
      </c>
      <c r="O57" s="26" t="s">
        <v>1092</v>
      </c>
      <c r="P57" s="26" t="s">
        <v>7968</v>
      </c>
      <c r="Q57" s="26" t="s">
        <v>7968</v>
      </c>
      <c r="R57" s="26" t="s">
        <v>59</v>
      </c>
      <c r="S57" s="26" t="s">
        <v>1093</v>
      </c>
      <c r="T57" s="26" t="s">
        <v>59</v>
      </c>
      <c r="U57" s="26" t="s">
        <v>59</v>
      </c>
    </row>
    <row r="58" customFormat="false" ht="18" hidden="false" customHeight="true" outlineLevel="0" collapsed="false">
      <c r="A58" s="28" t="n">
        <v>21</v>
      </c>
      <c r="B58" s="28" t="s">
        <v>83</v>
      </c>
      <c r="C58" s="28" t="s">
        <v>532</v>
      </c>
      <c r="D58" s="28" t="s">
        <v>71</v>
      </c>
      <c r="E58" s="28" t="s">
        <v>1095</v>
      </c>
      <c r="F58" s="28" t="n">
        <v>37</v>
      </c>
      <c r="G58" s="28" t="s">
        <v>1096</v>
      </c>
      <c r="H58" s="28" t="s">
        <v>1097</v>
      </c>
      <c r="I58" s="28" t="s">
        <v>1098</v>
      </c>
      <c r="J58" s="28" t="s">
        <v>1099</v>
      </c>
      <c r="K58" s="28" t="s">
        <v>1100</v>
      </c>
      <c r="L58" s="26" t="s">
        <v>8093</v>
      </c>
      <c r="M58" s="28" t="s">
        <v>8094</v>
      </c>
      <c r="N58" s="28" t="s">
        <v>8094</v>
      </c>
      <c r="O58" s="28" t="s">
        <v>1102</v>
      </c>
      <c r="P58" s="28" t="s">
        <v>7967</v>
      </c>
      <c r="Q58" s="28" t="s">
        <v>7968</v>
      </c>
      <c r="R58" s="28" t="s">
        <v>59</v>
      </c>
      <c r="S58" s="28" t="s">
        <v>1103</v>
      </c>
      <c r="T58" s="28" t="s">
        <v>59</v>
      </c>
      <c r="U58" s="28" t="s">
        <v>59</v>
      </c>
      <c r="V58" s="29"/>
      <c r="W58" s="29"/>
      <c r="X58" s="29"/>
      <c r="Y58" s="29"/>
      <c r="Z58" s="29"/>
      <c r="AA58" s="29"/>
    </row>
    <row r="59" customFormat="false" ht="18" hidden="false" customHeight="true" outlineLevel="0" collapsed="false">
      <c r="A59" s="28"/>
      <c r="B59" s="28"/>
      <c r="C59" s="28"/>
      <c r="D59" s="28"/>
      <c r="E59" s="28"/>
      <c r="F59" s="28"/>
      <c r="G59" s="28"/>
      <c r="H59" s="28"/>
      <c r="I59" s="28"/>
      <c r="J59" s="28"/>
      <c r="K59" s="28"/>
      <c r="L59" s="26" t="s">
        <v>8095</v>
      </c>
      <c r="M59" s="28"/>
      <c r="N59" s="28"/>
      <c r="O59" s="28"/>
      <c r="P59" s="28"/>
      <c r="Q59" s="28"/>
      <c r="R59" s="28"/>
      <c r="S59" s="28"/>
      <c r="T59" s="28"/>
      <c r="U59" s="28"/>
      <c r="V59" s="28"/>
      <c r="W59" s="28"/>
      <c r="X59" s="28"/>
      <c r="Y59" s="28"/>
      <c r="Z59" s="28"/>
      <c r="AA59" s="28"/>
    </row>
    <row r="60" customFormat="false" ht="18" hidden="false" customHeight="true" outlineLevel="0" collapsed="false">
      <c r="A60" s="28"/>
      <c r="B60" s="28"/>
      <c r="C60" s="28"/>
      <c r="D60" s="28"/>
      <c r="E60" s="28"/>
      <c r="F60" s="28"/>
      <c r="G60" s="28"/>
      <c r="H60" s="28"/>
      <c r="I60" s="28"/>
      <c r="J60" s="28"/>
      <c r="K60" s="28"/>
      <c r="L60" s="26" t="s">
        <v>8096</v>
      </c>
      <c r="M60" s="28"/>
      <c r="N60" s="28"/>
      <c r="O60" s="28"/>
      <c r="P60" s="28"/>
      <c r="Q60" s="28"/>
      <c r="R60" s="28"/>
      <c r="S60" s="28"/>
      <c r="T60" s="28"/>
      <c r="U60" s="28"/>
      <c r="V60" s="28"/>
      <c r="W60" s="28"/>
      <c r="X60" s="28"/>
      <c r="Y60" s="28"/>
      <c r="Z60" s="28"/>
      <c r="AA60" s="28"/>
    </row>
    <row r="61" customFormat="false" ht="18" hidden="false" customHeight="true" outlineLevel="0" collapsed="false">
      <c r="A61" s="28" t="n">
        <v>56</v>
      </c>
      <c r="B61" s="28" t="s">
        <v>83</v>
      </c>
      <c r="C61" s="28" t="s">
        <v>8097</v>
      </c>
      <c r="D61" s="28" t="s">
        <v>8098</v>
      </c>
      <c r="E61" s="28" t="s">
        <v>1105</v>
      </c>
      <c r="F61" s="30" t="n">
        <v>0.2</v>
      </c>
      <c r="G61" s="28" t="s">
        <v>8099</v>
      </c>
      <c r="H61" s="28" t="s">
        <v>8099</v>
      </c>
      <c r="I61" s="28" t="s">
        <v>8100</v>
      </c>
      <c r="J61" s="28" t="s">
        <v>8101</v>
      </c>
      <c r="K61" s="28" t="s">
        <v>8102</v>
      </c>
      <c r="L61" s="26" t="s">
        <v>8103</v>
      </c>
      <c r="M61" s="28" t="s">
        <v>8003</v>
      </c>
      <c r="N61" s="28" t="s">
        <v>8003</v>
      </c>
      <c r="O61" s="28" t="s">
        <v>1111</v>
      </c>
      <c r="P61" s="28" t="s">
        <v>7968</v>
      </c>
      <c r="Q61" s="28" t="s">
        <v>7968</v>
      </c>
      <c r="R61" s="28" t="s">
        <v>59</v>
      </c>
      <c r="S61" s="28" t="s">
        <v>8104</v>
      </c>
      <c r="T61" s="28" t="s">
        <v>59</v>
      </c>
      <c r="U61" s="28" t="s">
        <v>59</v>
      </c>
      <c r="V61" s="29"/>
      <c r="W61" s="29"/>
      <c r="X61" s="29"/>
      <c r="Y61" s="29"/>
      <c r="Z61" s="29"/>
      <c r="AA61" s="29"/>
    </row>
    <row r="62" customFormat="false" ht="18" hidden="false" customHeight="true" outlineLevel="0" collapsed="false">
      <c r="A62" s="28"/>
      <c r="B62" s="28"/>
      <c r="C62" s="28"/>
      <c r="D62" s="28"/>
      <c r="E62" s="28"/>
      <c r="F62" s="28"/>
      <c r="G62" s="28"/>
      <c r="H62" s="28"/>
      <c r="I62" s="28"/>
      <c r="J62" s="28"/>
      <c r="K62" s="28"/>
      <c r="L62" s="26" t="s">
        <v>8105</v>
      </c>
      <c r="M62" s="28"/>
      <c r="N62" s="28"/>
      <c r="O62" s="28"/>
      <c r="P62" s="28"/>
      <c r="Q62" s="28"/>
      <c r="R62" s="28"/>
      <c r="S62" s="28"/>
      <c r="T62" s="28"/>
      <c r="U62" s="28"/>
      <c r="V62" s="28"/>
      <c r="W62" s="28"/>
      <c r="X62" s="28"/>
      <c r="Y62" s="28"/>
      <c r="Z62" s="28"/>
      <c r="AA62" s="28"/>
    </row>
    <row r="63" customFormat="false" ht="18" hidden="false" customHeight="true" outlineLevel="0" collapsed="false">
      <c r="A63" s="28"/>
      <c r="B63" s="28"/>
      <c r="C63" s="28"/>
      <c r="D63" s="28"/>
      <c r="E63" s="28"/>
      <c r="F63" s="28"/>
      <c r="G63" s="28"/>
      <c r="H63" s="28"/>
      <c r="I63" s="28"/>
      <c r="J63" s="28"/>
      <c r="K63" s="28"/>
      <c r="L63" s="26" t="s">
        <v>8106</v>
      </c>
      <c r="M63" s="28"/>
      <c r="N63" s="28"/>
      <c r="O63" s="28"/>
      <c r="P63" s="28"/>
      <c r="Q63" s="28"/>
      <c r="R63" s="28"/>
      <c r="S63" s="28"/>
      <c r="T63" s="28"/>
      <c r="U63" s="28"/>
      <c r="V63" s="28"/>
      <c r="W63" s="28"/>
      <c r="X63" s="28"/>
      <c r="Y63" s="28"/>
      <c r="Z63" s="28"/>
      <c r="AA63" s="28"/>
    </row>
    <row r="64" customFormat="false" ht="18" hidden="false" customHeight="true" outlineLevel="0" collapsed="false">
      <c r="A64" s="26" t="n">
        <v>22</v>
      </c>
      <c r="B64" s="26" t="s">
        <v>83</v>
      </c>
      <c r="C64" s="26" t="s">
        <v>71</v>
      </c>
      <c r="D64" s="26" t="s">
        <v>49</v>
      </c>
      <c r="E64" s="26" t="s">
        <v>1114</v>
      </c>
      <c r="F64" s="26" t="n">
        <v>25</v>
      </c>
      <c r="G64" s="26" t="s">
        <v>1115</v>
      </c>
      <c r="H64" s="26" t="s">
        <v>1116</v>
      </c>
      <c r="I64" s="26" t="s">
        <v>1117</v>
      </c>
      <c r="J64" s="26" t="s">
        <v>1118</v>
      </c>
      <c r="K64" s="26" t="s">
        <v>1119</v>
      </c>
      <c r="L64" s="26" t="s">
        <v>1120</v>
      </c>
      <c r="M64" s="26" t="s">
        <v>8107</v>
      </c>
      <c r="N64" s="26" t="s">
        <v>8107</v>
      </c>
      <c r="O64" s="26" t="s">
        <v>1121</v>
      </c>
      <c r="P64" s="26" t="s">
        <v>7967</v>
      </c>
      <c r="Q64" s="26" t="s">
        <v>7967</v>
      </c>
      <c r="R64" s="26" t="s">
        <v>59</v>
      </c>
      <c r="S64" s="26" t="s">
        <v>1122</v>
      </c>
      <c r="T64" s="26" t="s">
        <v>59</v>
      </c>
      <c r="U64" s="26" t="s">
        <v>59</v>
      </c>
    </row>
    <row r="65" customFormat="false" ht="18" hidden="false" customHeight="true" outlineLevel="0" collapsed="false">
      <c r="A65" s="26" t="n">
        <v>21</v>
      </c>
      <c r="B65" s="26" t="s">
        <v>83</v>
      </c>
      <c r="C65" s="26" t="s">
        <v>49</v>
      </c>
      <c r="D65" s="26" t="s">
        <v>49</v>
      </c>
      <c r="E65" s="26" t="s">
        <v>8108</v>
      </c>
      <c r="F65" s="26" t="n">
        <v>20</v>
      </c>
      <c r="G65" s="26" t="s">
        <v>1125</v>
      </c>
      <c r="H65" s="26" t="s">
        <v>1126</v>
      </c>
      <c r="I65" s="26" t="s">
        <v>59</v>
      </c>
      <c r="J65" s="26" t="s">
        <v>1127</v>
      </c>
      <c r="K65" s="26" t="s">
        <v>8109</v>
      </c>
      <c r="L65" s="26" t="s">
        <v>1129</v>
      </c>
      <c r="M65" s="26" t="s">
        <v>8110</v>
      </c>
      <c r="N65" s="26" t="s">
        <v>8110</v>
      </c>
      <c r="O65" s="26" t="s">
        <v>8111</v>
      </c>
      <c r="P65" s="26" t="s">
        <v>7967</v>
      </c>
      <c r="Q65" s="26" t="s">
        <v>7968</v>
      </c>
      <c r="R65" s="26" t="s">
        <v>59</v>
      </c>
      <c r="S65" s="26" t="s">
        <v>1131</v>
      </c>
      <c r="T65" s="26" t="s">
        <v>59</v>
      </c>
      <c r="U65" s="26" t="s">
        <v>59</v>
      </c>
    </row>
    <row r="66" customFormat="false" ht="18" hidden="false" customHeight="true" outlineLevel="0" collapsed="false">
      <c r="A66" s="28" t="n">
        <v>22</v>
      </c>
      <c r="B66" s="28" t="s">
        <v>83</v>
      </c>
      <c r="C66" s="28" t="s">
        <v>532</v>
      </c>
      <c r="D66" s="28" t="s">
        <v>7762</v>
      </c>
      <c r="E66" s="28" t="s">
        <v>1133</v>
      </c>
      <c r="F66" s="28" t="n">
        <v>20</v>
      </c>
      <c r="G66" s="28" t="s">
        <v>1134</v>
      </c>
      <c r="H66" s="28" t="s">
        <v>1135</v>
      </c>
      <c r="I66" s="28" t="s">
        <v>98</v>
      </c>
      <c r="J66" s="28" t="s">
        <v>1136</v>
      </c>
      <c r="K66" s="28" t="s">
        <v>1137</v>
      </c>
      <c r="L66" s="26" t="s">
        <v>8112</v>
      </c>
      <c r="M66" s="28" t="s">
        <v>8113</v>
      </c>
      <c r="N66" s="28" t="s">
        <v>8114</v>
      </c>
      <c r="O66" s="28" t="s">
        <v>1139</v>
      </c>
      <c r="P66" s="28" t="s">
        <v>7968</v>
      </c>
      <c r="Q66" s="28" t="s">
        <v>7967</v>
      </c>
      <c r="R66" s="28" t="s">
        <v>59</v>
      </c>
      <c r="S66" s="28" t="s">
        <v>1140</v>
      </c>
      <c r="T66" s="28" t="s">
        <v>59</v>
      </c>
      <c r="U66" s="28" t="s">
        <v>59</v>
      </c>
      <c r="V66" s="29"/>
      <c r="W66" s="29"/>
      <c r="X66" s="29"/>
      <c r="Y66" s="29"/>
      <c r="Z66" s="29"/>
      <c r="AA66" s="29"/>
    </row>
    <row r="67" customFormat="false" ht="18" hidden="false" customHeight="true" outlineLevel="0" collapsed="false">
      <c r="A67" s="28"/>
      <c r="B67" s="28"/>
      <c r="C67" s="28"/>
      <c r="D67" s="28"/>
      <c r="E67" s="28"/>
      <c r="F67" s="28"/>
      <c r="G67" s="28"/>
      <c r="H67" s="28"/>
      <c r="I67" s="28"/>
      <c r="J67" s="28"/>
      <c r="K67" s="28"/>
      <c r="L67" s="26" t="s">
        <v>8115</v>
      </c>
      <c r="M67" s="28"/>
      <c r="N67" s="28"/>
      <c r="O67" s="28"/>
      <c r="P67" s="28"/>
      <c r="Q67" s="28"/>
      <c r="R67" s="28"/>
      <c r="S67" s="28"/>
      <c r="T67" s="28"/>
      <c r="U67" s="28"/>
      <c r="V67" s="28"/>
      <c r="W67" s="28"/>
      <c r="X67" s="28"/>
      <c r="Y67" s="28"/>
      <c r="Z67" s="28"/>
      <c r="AA67" s="28"/>
    </row>
    <row r="68" customFormat="false" ht="18" hidden="false" customHeight="true" outlineLevel="0" collapsed="false">
      <c r="A68" s="28"/>
      <c r="B68" s="28"/>
      <c r="C68" s="28"/>
      <c r="D68" s="28"/>
      <c r="E68" s="28"/>
      <c r="F68" s="28"/>
      <c r="G68" s="28"/>
      <c r="H68" s="28"/>
      <c r="I68" s="28"/>
      <c r="J68" s="28"/>
      <c r="K68" s="28"/>
      <c r="L68" s="26" t="s">
        <v>8116</v>
      </c>
      <c r="M68" s="28"/>
      <c r="N68" s="28"/>
      <c r="O68" s="28"/>
      <c r="P68" s="28"/>
      <c r="Q68" s="28"/>
      <c r="R68" s="28"/>
      <c r="S68" s="28"/>
      <c r="T68" s="28"/>
      <c r="U68" s="28"/>
      <c r="V68" s="28"/>
      <c r="W68" s="28"/>
      <c r="X68" s="28"/>
      <c r="Y68" s="28"/>
      <c r="Z68" s="28"/>
      <c r="AA68" s="28"/>
    </row>
    <row r="69" customFormat="false" ht="18" hidden="false" customHeight="true" outlineLevel="0" collapsed="false">
      <c r="A69" s="26" t="n">
        <v>22</v>
      </c>
      <c r="B69" s="26" t="s">
        <v>45</v>
      </c>
      <c r="C69" s="26" t="s">
        <v>8098</v>
      </c>
      <c r="D69" s="26" t="s">
        <v>8098</v>
      </c>
      <c r="E69" s="26" t="s">
        <v>1142</v>
      </c>
      <c r="F69" s="26" t="n">
        <v>20</v>
      </c>
      <c r="G69" s="26" t="s">
        <v>8117</v>
      </c>
      <c r="H69" s="26" t="s">
        <v>8118</v>
      </c>
      <c r="I69" s="26" t="s">
        <v>8119</v>
      </c>
      <c r="J69" s="26" t="s">
        <v>8120</v>
      </c>
      <c r="K69" s="26" t="s">
        <v>8121</v>
      </c>
      <c r="L69" s="26" t="s">
        <v>8122</v>
      </c>
      <c r="M69" s="26" t="s">
        <v>8123</v>
      </c>
      <c r="N69" s="26" t="s">
        <v>8113</v>
      </c>
      <c r="O69" s="26" t="s">
        <v>8124</v>
      </c>
      <c r="P69" s="26" t="s">
        <v>7968</v>
      </c>
      <c r="Q69" s="26" t="s">
        <v>7967</v>
      </c>
      <c r="R69" s="26" t="s">
        <v>59</v>
      </c>
      <c r="S69" s="26" t="s">
        <v>8125</v>
      </c>
      <c r="T69" s="26" t="s">
        <v>59</v>
      </c>
      <c r="U69" s="26" t="s">
        <v>59</v>
      </c>
    </row>
    <row r="70" customFormat="false" ht="18" hidden="false" customHeight="true" outlineLevel="0" collapsed="false">
      <c r="A70" s="28" t="n">
        <v>21</v>
      </c>
      <c r="B70" s="28" t="s">
        <v>83</v>
      </c>
      <c r="C70" s="28" t="s">
        <v>532</v>
      </c>
      <c r="D70" s="28" t="s">
        <v>532</v>
      </c>
      <c r="E70" s="28" t="s">
        <v>1152</v>
      </c>
      <c r="F70" s="28" t="n">
        <v>30</v>
      </c>
      <c r="G70" s="28" t="s">
        <v>1153</v>
      </c>
      <c r="H70" s="28" t="s">
        <v>1154</v>
      </c>
      <c r="I70" s="28" t="s">
        <v>59</v>
      </c>
      <c r="J70" s="28" t="s">
        <v>1155</v>
      </c>
      <c r="K70" s="28" t="s">
        <v>1156</v>
      </c>
      <c r="L70" s="26" t="s">
        <v>8126</v>
      </c>
      <c r="M70" s="28" t="s">
        <v>8043</v>
      </c>
      <c r="N70" s="28" t="s">
        <v>8043</v>
      </c>
      <c r="O70" s="28" t="s">
        <v>1158</v>
      </c>
      <c r="P70" s="28" t="s">
        <v>7967</v>
      </c>
      <c r="Q70" s="28" t="s">
        <v>7968</v>
      </c>
      <c r="R70" s="28" t="s">
        <v>59</v>
      </c>
      <c r="S70" s="28" t="s">
        <v>1159</v>
      </c>
      <c r="T70" s="28" t="s">
        <v>59</v>
      </c>
      <c r="U70" s="28" t="s">
        <v>1160</v>
      </c>
      <c r="V70" s="29"/>
      <c r="W70" s="29"/>
      <c r="X70" s="29"/>
      <c r="Y70" s="29"/>
      <c r="Z70" s="29"/>
      <c r="AA70" s="29"/>
    </row>
    <row r="71" customFormat="false" ht="18" hidden="false" customHeight="true" outlineLevel="0" collapsed="false">
      <c r="A71" s="28"/>
      <c r="B71" s="28"/>
      <c r="C71" s="28"/>
      <c r="D71" s="28"/>
      <c r="E71" s="28"/>
      <c r="F71" s="28"/>
      <c r="G71" s="28"/>
      <c r="H71" s="28"/>
      <c r="I71" s="28"/>
      <c r="J71" s="28"/>
      <c r="K71" s="28"/>
      <c r="L71" s="26" t="s">
        <v>8127</v>
      </c>
      <c r="M71" s="28"/>
      <c r="N71" s="28"/>
      <c r="O71" s="28"/>
      <c r="P71" s="28"/>
      <c r="Q71" s="28"/>
      <c r="R71" s="28"/>
      <c r="S71" s="28"/>
      <c r="T71" s="28"/>
      <c r="U71" s="28"/>
      <c r="V71" s="28"/>
      <c r="W71" s="28"/>
      <c r="X71" s="28"/>
      <c r="Y71" s="28"/>
      <c r="Z71" s="28"/>
      <c r="AA71" s="28"/>
    </row>
    <row r="72" customFormat="false" ht="18" hidden="false" customHeight="true" outlineLevel="0" collapsed="false">
      <c r="A72" s="28"/>
      <c r="B72" s="28"/>
      <c r="C72" s="28"/>
      <c r="D72" s="28"/>
      <c r="E72" s="28"/>
      <c r="F72" s="28"/>
      <c r="G72" s="28"/>
      <c r="H72" s="28"/>
      <c r="I72" s="28"/>
      <c r="J72" s="28"/>
      <c r="K72" s="28"/>
      <c r="L72" s="26" t="s">
        <v>8128</v>
      </c>
      <c r="M72" s="28"/>
      <c r="N72" s="28"/>
      <c r="O72" s="28"/>
      <c r="P72" s="28"/>
      <c r="Q72" s="28"/>
      <c r="R72" s="28"/>
      <c r="S72" s="28"/>
      <c r="T72" s="28"/>
      <c r="U72" s="28"/>
      <c r="V72" s="28"/>
      <c r="W72" s="28"/>
      <c r="X72" s="28"/>
      <c r="Y72" s="28"/>
      <c r="Z72" s="28"/>
      <c r="AA72" s="28"/>
    </row>
    <row r="73" customFormat="false" ht="18" hidden="false" customHeight="true" outlineLevel="0" collapsed="false">
      <c r="A73" s="28" t="n">
        <v>22</v>
      </c>
      <c r="B73" s="28" t="s">
        <v>45</v>
      </c>
      <c r="C73" s="28" t="s">
        <v>7847</v>
      </c>
      <c r="D73" s="28" t="s">
        <v>7847</v>
      </c>
      <c r="E73" s="28" t="s">
        <v>1162</v>
      </c>
      <c r="F73" s="30" t="n">
        <v>0.2</v>
      </c>
      <c r="G73" s="28" t="s">
        <v>8129</v>
      </c>
      <c r="H73" s="28" t="s">
        <v>1164</v>
      </c>
      <c r="I73" s="28" t="s">
        <v>1165</v>
      </c>
      <c r="J73" s="26" t="s">
        <v>8130</v>
      </c>
      <c r="K73" s="28" t="s">
        <v>1167</v>
      </c>
      <c r="L73" s="26" t="s">
        <v>8131</v>
      </c>
      <c r="M73" s="28" t="s">
        <v>8132</v>
      </c>
      <c r="N73" s="28" t="s">
        <v>8133</v>
      </c>
      <c r="O73" s="28" t="s">
        <v>8134</v>
      </c>
      <c r="P73" s="28" t="s">
        <v>7968</v>
      </c>
      <c r="Q73" s="28" t="s">
        <v>7967</v>
      </c>
      <c r="R73" s="28" t="s">
        <v>59</v>
      </c>
      <c r="S73" s="28" t="s">
        <v>1170</v>
      </c>
      <c r="T73" s="28" t="s">
        <v>59</v>
      </c>
      <c r="U73" s="28" t="s">
        <v>59</v>
      </c>
      <c r="V73" s="29"/>
      <c r="W73" s="29"/>
      <c r="X73" s="29"/>
      <c r="Y73" s="29"/>
      <c r="Z73" s="29"/>
      <c r="AA73" s="29"/>
    </row>
    <row r="74" customFormat="false" ht="18" hidden="false" customHeight="true" outlineLevel="0" collapsed="false">
      <c r="A74" s="28"/>
      <c r="B74" s="28"/>
      <c r="C74" s="28"/>
      <c r="D74" s="28"/>
      <c r="E74" s="28"/>
      <c r="F74" s="28"/>
      <c r="G74" s="28"/>
      <c r="H74" s="28"/>
      <c r="I74" s="28"/>
      <c r="J74" s="26" t="s">
        <v>2886</v>
      </c>
      <c r="K74" s="28"/>
      <c r="M74" s="28"/>
      <c r="N74" s="28"/>
      <c r="O74" s="28"/>
      <c r="P74" s="28"/>
      <c r="Q74" s="28"/>
      <c r="R74" s="28"/>
      <c r="S74" s="28"/>
      <c r="T74" s="28"/>
      <c r="U74" s="28"/>
      <c r="V74" s="28"/>
      <c r="W74" s="28"/>
      <c r="X74" s="28"/>
      <c r="Y74" s="28"/>
      <c r="Z74" s="28"/>
      <c r="AA74" s="28"/>
    </row>
    <row r="75" customFormat="false" ht="18" hidden="false" customHeight="true" outlineLevel="0" collapsed="false">
      <c r="A75" s="28"/>
      <c r="B75" s="28"/>
      <c r="C75" s="28"/>
      <c r="D75" s="28"/>
      <c r="E75" s="28"/>
      <c r="F75" s="28"/>
      <c r="G75" s="28"/>
      <c r="H75" s="28"/>
      <c r="I75" s="28"/>
      <c r="J75" s="26" t="s">
        <v>8135</v>
      </c>
      <c r="K75" s="28"/>
      <c r="L75" s="26" t="s">
        <v>8136</v>
      </c>
      <c r="M75" s="28"/>
      <c r="N75" s="28"/>
      <c r="O75" s="28"/>
      <c r="P75" s="28"/>
      <c r="Q75" s="28"/>
      <c r="R75" s="28"/>
      <c r="S75" s="28"/>
      <c r="T75" s="28"/>
      <c r="U75" s="28"/>
      <c r="V75" s="28"/>
      <c r="W75" s="28"/>
      <c r="X75" s="28"/>
      <c r="Y75" s="28"/>
      <c r="Z75" s="28"/>
      <c r="AA75" s="28"/>
    </row>
    <row r="76" customFormat="false" ht="18" hidden="false" customHeight="true" outlineLevel="0" collapsed="false">
      <c r="A76" s="28"/>
      <c r="B76" s="28"/>
      <c r="C76" s="28"/>
      <c r="D76" s="28"/>
      <c r="E76" s="28"/>
      <c r="F76" s="28"/>
      <c r="G76" s="28"/>
      <c r="H76" s="28"/>
      <c r="I76" s="28"/>
      <c r="J76" s="26"/>
      <c r="K76" s="28"/>
      <c r="M76" s="28"/>
      <c r="N76" s="28"/>
      <c r="O76" s="28"/>
      <c r="P76" s="28"/>
      <c r="Q76" s="28"/>
      <c r="R76" s="28"/>
      <c r="S76" s="28"/>
      <c r="T76" s="28"/>
      <c r="U76" s="28"/>
      <c r="V76" s="28"/>
      <c r="W76" s="28"/>
      <c r="X76" s="28"/>
      <c r="Y76" s="28"/>
      <c r="Z76" s="28"/>
      <c r="AA76" s="28"/>
    </row>
    <row r="77" customFormat="false" ht="18" hidden="false" customHeight="true" outlineLevel="0" collapsed="false">
      <c r="A77" s="28"/>
      <c r="B77" s="28"/>
      <c r="C77" s="28"/>
      <c r="D77" s="28"/>
      <c r="E77" s="28"/>
      <c r="F77" s="28"/>
      <c r="G77" s="28"/>
      <c r="H77" s="28"/>
      <c r="I77" s="28"/>
      <c r="J77" s="26"/>
      <c r="K77" s="28"/>
      <c r="L77" s="26" t="s">
        <v>8137</v>
      </c>
      <c r="M77" s="28"/>
      <c r="N77" s="28"/>
      <c r="O77" s="28"/>
      <c r="P77" s="28"/>
      <c r="Q77" s="28"/>
      <c r="R77" s="28"/>
      <c r="S77" s="28"/>
      <c r="T77" s="28"/>
      <c r="U77" s="28"/>
      <c r="V77" s="28"/>
      <c r="W77" s="28"/>
      <c r="X77" s="28"/>
      <c r="Y77" s="28"/>
      <c r="Z77" s="28"/>
      <c r="AA77" s="28"/>
    </row>
    <row r="78" customFormat="false" ht="18" hidden="false" customHeight="true" outlineLevel="0" collapsed="false">
      <c r="A78" s="28" t="n">
        <v>15</v>
      </c>
      <c r="B78" s="28" t="s">
        <v>45</v>
      </c>
      <c r="C78" s="28" t="s">
        <v>1172</v>
      </c>
      <c r="D78" s="28" t="s">
        <v>256</v>
      </c>
      <c r="E78" s="28" t="s">
        <v>1174</v>
      </c>
      <c r="F78" s="28" t="n">
        <v>20</v>
      </c>
      <c r="G78" s="28" t="s">
        <v>8138</v>
      </c>
      <c r="H78" s="28" t="s">
        <v>1176</v>
      </c>
      <c r="I78" s="28" t="s">
        <v>8139</v>
      </c>
      <c r="J78" s="28" t="s">
        <v>1178</v>
      </c>
      <c r="K78" s="28" t="s">
        <v>1179</v>
      </c>
      <c r="L78" s="26" t="s">
        <v>8140</v>
      </c>
      <c r="M78" s="28" t="s">
        <v>7975</v>
      </c>
      <c r="N78" s="28" t="s">
        <v>7975</v>
      </c>
      <c r="O78" s="28" t="s">
        <v>1181</v>
      </c>
      <c r="P78" s="28" t="s">
        <v>7968</v>
      </c>
      <c r="Q78" s="28" t="s">
        <v>7967</v>
      </c>
      <c r="R78" s="28" t="s">
        <v>59</v>
      </c>
      <c r="S78" s="28" t="s">
        <v>1182</v>
      </c>
      <c r="T78" s="28" t="s">
        <v>98</v>
      </c>
      <c r="U78" s="28" t="s">
        <v>59</v>
      </c>
      <c r="V78" s="29"/>
      <c r="W78" s="29"/>
      <c r="X78" s="29"/>
      <c r="Y78" s="29"/>
      <c r="Z78" s="29"/>
      <c r="AA78" s="29"/>
    </row>
    <row r="79" customFormat="false" ht="18" hidden="false" customHeight="true" outlineLevel="0" collapsed="false">
      <c r="A79" s="28"/>
      <c r="B79" s="28"/>
      <c r="C79" s="28"/>
      <c r="D79" s="28"/>
      <c r="E79" s="28"/>
      <c r="F79" s="28"/>
      <c r="G79" s="28"/>
      <c r="H79" s="28"/>
      <c r="I79" s="28"/>
      <c r="J79" s="28"/>
      <c r="K79" s="28"/>
      <c r="L79" s="26" t="s">
        <v>8141</v>
      </c>
      <c r="M79" s="28"/>
      <c r="N79" s="28"/>
      <c r="O79" s="28"/>
      <c r="P79" s="28"/>
      <c r="Q79" s="28"/>
      <c r="R79" s="28"/>
      <c r="S79" s="28"/>
      <c r="T79" s="28"/>
      <c r="U79" s="28"/>
      <c r="V79" s="28"/>
      <c r="W79" s="28"/>
      <c r="X79" s="28"/>
      <c r="Y79" s="28"/>
      <c r="Z79" s="28"/>
      <c r="AA79" s="28"/>
    </row>
    <row r="80" customFormat="false" ht="18" hidden="false" customHeight="true" outlineLevel="0" collapsed="false">
      <c r="A80" s="28"/>
      <c r="B80" s="28"/>
      <c r="C80" s="28"/>
      <c r="D80" s="28"/>
      <c r="E80" s="28"/>
      <c r="F80" s="28"/>
      <c r="G80" s="28"/>
      <c r="H80" s="28"/>
      <c r="I80" s="28"/>
      <c r="J80" s="28"/>
      <c r="K80" s="28"/>
      <c r="L80" s="26" t="s">
        <v>8142</v>
      </c>
      <c r="M80" s="28"/>
      <c r="N80" s="28"/>
      <c r="O80" s="28"/>
      <c r="P80" s="28"/>
      <c r="Q80" s="28"/>
      <c r="R80" s="28"/>
      <c r="S80" s="28"/>
      <c r="T80" s="28"/>
      <c r="U80" s="28"/>
      <c r="V80" s="28"/>
      <c r="W80" s="28"/>
      <c r="X80" s="28"/>
      <c r="Y80" s="28"/>
      <c r="Z80" s="28"/>
      <c r="AA80" s="28"/>
    </row>
    <row r="81" customFormat="false" ht="18" hidden="false" customHeight="true" outlineLevel="0" collapsed="false">
      <c r="A81" s="26" t="n">
        <v>48</v>
      </c>
      <c r="B81" s="26" t="s">
        <v>45</v>
      </c>
      <c r="C81" s="26" t="s">
        <v>1025</v>
      </c>
      <c r="D81" s="26" t="s">
        <v>8039</v>
      </c>
      <c r="E81" s="26" t="s">
        <v>8143</v>
      </c>
      <c r="F81" s="26" t="n">
        <v>60</v>
      </c>
      <c r="G81" s="26" t="s">
        <v>8144</v>
      </c>
      <c r="H81" s="26" t="s">
        <v>8145</v>
      </c>
      <c r="I81" s="26" t="s">
        <v>8146</v>
      </c>
      <c r="J81" s="26" t="s">
        <v>8147</v>
      </c>
      <c r="K81" s="26" t="s">
        <v>8148</v>
      </c>
      <c r="L81" s="26" t="s">
        <v>8149</v>
      </c>
      <c r="M81" s="26" t="s">
        <v>8114</v>
      </c>
      <c r="N81" s="26" t="s">
        <v>8114</v>
      </c>
      <c r="O81" s="26" t="s">
        <v>8150</v>
      </c>
      <c r="P81" s="26" t="s">
        <v>7968</v>
      </c>
      <c r="Q81" s="26" t="s">
        <v>7967</v>
      </c>
      <c r="R81" s="26" t="s">
        <v>59</v>
      </c>
      <c r="S81" s="26" t="s">
        <v>1191</v>
      </c>
      <c r="T81" s="26" t="s">
        <v>59</v>
      </c>
      <c r="U81" s="26" t="s">
        <v>59</v>
      </c>
    </row>
    <row r="82" customFormat="false" ht="18" hidden="false" customHeight="true" outlineLevel="0" collapsed="false">
      <c r="A82" s="28" t="n">
        <v>20</v>
      </c>
      <c r="B82" s="28" t="s">
        <v>45</v>
      </c>
      <c r="C82" s="28" t="s">
        <v>1025</v>
      </c>
      <c r="D82" s="28" t="s">
        <v>49</v>
      </c>
      <c r="E82" s="28" t="s">
        <v>8151</v>
      </c>
      <c r="F82" s="28" t="n">
        <v>0.25</v>
      </c>
      <c r="G82" s="28" t="s">
        <v>1194</v>
      </c>
      <c r="H82" s="28" t="s">
        <v>1195</v>
      </c>
      <c r="I82" s="28" t="s">
        <v>1196</v>
      </c>
      <c r="J82" s="28" t="s">
        <v>1197</v>
      </c>
      <c r="K82" s="28" t="s">
        <v>1198</v>
      </c>
      <c r="L82" s="26" t="s">
        <v>8152</v>
      </c>
      <c r="M82" s="28" t="s">
        <v>7971</v>
      </c>
      <c r="N82" s="28" t="s">
        <v>7975</v>
      </c>
      <c r="O82" s="28" t="s">
        <v>1200</v>
      </c>
      <c r="P82" s="28" t="s">
        <v>7967</v>
      </c>
      <c r="Q82" s="28" t="s">
        <v>7968</v>
      </c>
      <c r="R82" s="28" t="s">
        <v>59</v>
      </c>
      <c r="S82" s="28" t="s">
        <v>1201</v>
      </c>
      <c r="T82" s="28" t="s">
        <v>59</v>
      </c>
      <c r="U82" s="28" t="s">
        <v>59</v>
      </c>
      <c r="V82" s="29"/>
      <c r="W82" s="29"/>
      <c r="X82" s="29"/>
      <c r="Y82" s="29"/>
      <c r="Z82" s="29"/>
      <c r="AA82" s="29"/>
    </row>
    <row r="83" customFormat="false" ht="18" hidden="false" customHeight="true" outlineLevel="0" collapsed="false">
      <c r="A83" s="28"/>
      <c r="B83" s="28"/>
      <c r="C83" s="28"/>
      <c r="D83" s="28"/>
      <c r="E83" s="28"/>
      <c r="F83" s="28"/>
      <c r="G83" s="28"/>
      <c r="H83" s="28"/>
      <c r="I83" s="28"/>
      <c r="J83" s="28"/>
      <c r="K83" s="28"/>
      <c r="L83" s="26" t="s">
        <v>8153</v>
      </c>
      <c r="M83" s="28"/>
      <c r="N83" s="28"/>
      <c r="O83" s="28"/>
      <c r="P83" s="28"/>
      <c r="Q83" s="28"/>
      <c r="R83" s="28"/>
      <c r="S83" s="28"/>
      <c r="T83" s="28"/>
      <c r="U83" s="28"/>
      <c r="V83" s="28"/>
      <c r="W83" s="28"/>
      <c r="X83" s="28"/>
      <c r="Y83" s="28"/>
      <c r="Z83" s="28"/>
      <c r="AA83" s="28"/>
    </row>
    <row r="84" customFormat="false" ht="18" hidden="false" customHeight="true" outlineLevel="0" collapsed="false">
      <c r="A84" s="28"/>
      <c r="B84" s="28"/>
      <c r="C84" s="28"/>
      <c r="D84" s="28"/>
      <c r="E84" s="28"/>
      <c r="F84" s="28"/>
      <c r="G84" s="28"/>
      <c r="H84" s="28"/>
      <c r="I84" s="28"/>
      <c r="J84" s="28"/>
      <c r="K84" s="28"/>
      <c r="L84" s="26" t="s">
        <v>8154</v>
      </c>
      <c r="M84" s="28"/>
      <c r="N84" s="28"/>
      <c r="O84" s="28"/>
      <c r="P84" s="28"/>
      <c r="Q84" s="28"/>
      <c r="R84" s="28"/>
      <c r="S84" s="28"/>
      <c r="T84" s="28"/>
      <c r="U84" s="28"/>
      <c r="V84" s="28"/>
      <c r="W84" s="28"/>
      <c r="X84" s="28"/>
      <c r="Y84" s="28"/>
      <c r="Z84" s="28"/>
      <c r="AA84" s="28"/>
    </row>
    <row r="85" customFormat="false" ht="18" hidden="false" customHeight="true" outlineLevel="0" collapsed="false">
      <c r="A85" s="28" t="n">
        <v>22</v>
      </c>
      <c r="B85" s="28" t="s">
        <v>45</v>
      </c>
      <c r="C85" s="28" t="s">
        <v>7847</v>
      </c>
      <c r="D85" s="28" t="s">
        <v>7847</v>
      </c>
      <c r="E85" s="28" t="s">
        <v>8155</v>
      </c>
      <c r="F85" s="28" t="n">
        <v>40</v>
      </c>
      <c r="G85" s="28" t="s">
        <v>1204</v>
      </c>
      <c r="H85" s="28" t="s">
        <v>8156</v>
      </c>
      <c r="I85" s="28" t="s">
        <v>8157</v>
      </c>
      <c r="J85" s="28" t="s">
        <v>8158</v>
      </c>
      <c r="K85" s="28" t="s">
        <v>8159</v>
      </c>
      <c r="L85" s="26" t="s">
        <v>8160</v>
      </c>
      <c r="M85" s="28" t="s">
        <v>8066</v>
      </c>
      <c r="N85" s="28" t="s">
        <v>8019</v>
      </c>
      <c r="O85" s="28" t="s">
        <v>8161</v>
      </c>
      <c r="P85" s="28" t="s">
        <v>7957</v>
      </c>
      <c r="Q85" s="28" t="s">
        <v>7968</v>
      </c>
      <c r="R85" s="28" t="s">
        <v>59</v>
      </c>
      <c r="S85" s="28" t="s">
        <v>1211</v>
      </c>
      <c r="T85" s="28" t="s">
        <v>59</v>
      </c>
      <c r="U85" s="28" t="s">
        <v>59</v>
      </c>
      <c r="V85" s="29"/>
      <c r="W85" s="29"/>
      <c r="X85" s="29"/>
      <c r="Y85" s="29"/>
      <c r="Z85" s="29"/>
      <c r="AA85" s="29"/>
    </row>
    <row r="86" customFormat="false" ht="18" hidden="false" customHeight="true" outlineLevel="0" collapsed="false">
      <c r="A86" s="28"/>
      <c r="B86" s="28"/>
      <c r="C86" s="28"/>
      <c r="D86" s="28"/>
      <c r="E86" s="28"/>
      <c r="F86" s="28"/>
      <c r="G86" s="28"/>
      <c r="H86" s="28"/>
      <c r="I86" s="28"/>
      <c r="J86" s="28"/>
      <c r="K86" s="28"/>
      <c r="L86" s="26" t="s">
        <v>8162</v>
      </c>
      <c r="M86" s="28"/>
      <c r="N86" s="28"/>
      <c r="O86" s="28"/>
      <c r="P86" s="28"/>
      <c r="Q86" s="28"/>
      <c r="R86" s="28"/>
      <c r="S86" s="28"/>
      <c r="T86" s="28"/>
      <c r="U86" s="28"/>
      <c r="V86" s="28"/>
      <c r="W86" s="28"/>
      <c r="X86" s="28"/>
      <c r="Y86" s="28"/>
      <c r="Z86" s="28"/>
      <c r="AA86" s="28"/>
    </row>
    <row r="87" customFormat="false" ht="18" hidden="false" customHeight="true" outlineLevel="0" collapsed="false">
      <c r="A87" s="28"/>
      <c r="B87" s="28"/>
      <c r="C87" s="28"/>
      <c r="D87" s="28"/>
      <c r="E87" s="28"/>
      <c r="F87" s="28"/>
      <c r="G87" s="28"/>
      <c r="H87" s="28"/>
      <c r="I87" s="28"/>
      <c r="J87" s="28"/>
      <c r="K87" s="28"/>
      <c r="L87" s="26" t="s">
        <v>8163</v>
      </c>
      <c r="M87" s="28"/>
      <c r="N87" s="28"/>
      <c r="O87" s="28"/>
      <c r="P87" s="28"/>
      <c r="Q87" s="28"/>
      <c r="R87" s="28"/>
      <c r="S87" s="28"/>
      <c r="T87" s="28"/>
      <c r="U87" s="28"/>
      <c r="V87" s="28"/>
      <c r="W87" s="28"/>
      <c r="X87" s="28"/>
      <c r="Y87" s="28"/>
      <c r="Z87" s="28"/>
      <c r="AA87" s="28"/>
    </row>
    <row r="88" customFormat="false" ht="18" hidden="false" customHeight="true" outlineLevel="0" collapsed="false">
      <c r="A88" s="28" t="n">
        <v>55</v>
      </c>
      <c r="B88" s="28" t="s">
        <v>83</v>
      </c>
      <c r="C88" s="28" t="s">
        <v>914</v>
      </c>
      <c r="D88" s="28" t="s">
        <v>914</v>
      </c>
      <c r="E88" s="28" t="s">
        <v>1213</v>
      </c>
      <c r="F88" s="28" t="n">
        <v>35</v>
      </c>
      <c r="G88" s="28" t="s">
        <v>1214</v>
      </c>
      <c r="H88" s="28" t="s">
        <v>1215</v>
      </c>
      <c r="I88" s="28" t="s">
        <v>1216</v>
      </c>
      <c r="J88" s="28" t="s">
        <v>1217</v>
      </c>
      <c r="K88" s="28" t="s">
        <v>1218</v>
      </c>
      <c r="L88" s="26" t="s">
        <v>8164</v>
      </c>
      <c r="M88" s="28" t="s">
        <v>7984</v>
      </c>
      <c r="N88" s="28" t="s">
        <v>7984</v>
      </c>
      <c r="O88" s="28" t="s">
        <v>1220</v>
      </c>
      <c r="P88" s="28" t="s">
        <v>7967</v>
      </c>
      <c r="Q88" s="28" t="s">
        <v>7957</v>
      </c>
      <c r="R88" s="28" t="s">
        <v>59</v>
      </c>
      <c r="S88" s="28" t="s">
        <v>1221</v>
      </c>
      <c r="T88" s="28" t="s">
        <v>59</v>
      </c>
      <c r="U88" s="28" t="s">
        <v>59</v>
      </c>
      <c r="V88" s="29"/>
      <c r="W88" s="29"/>
      <c r="X88" s="29"/>
      <c r="Y88" s="29"/>
      <c r="Z88" s="29"/>
      <c r="AA88" s="29"/>
    </row>
    <row r="89" customFormat="false" ht="18" hidden="false" customHeight="true" outlineLevel="0" collapsed="false">
      <c r="A89" s="28"/>
      <c r="B89" s="28"/>
      <c r="C89" s="28"/>
      <c r="D89" s="28"/>
      <c r="E89" s="28"/>
      <c r="F89" s="28"/>
      <c r="G89" s="28"/>
      <c r="H89" s="28"/>
      <c r="I89" s="28"/>
      <c r="J89" s="28"/>
      <c r="K89" s="28"/>
      <c r="L89" s="26" t="s">
        <v>8165</v>
      </c>
      <c r="M89" s="28"/>
      <c r="N89" s="28"/>
      <c r="O89" s="28"/>
      <c r="P89" s="28"/>
      <c r="Q89" s="28"/>
      <c r="R89" s="28"/>
      <c r="S89" s="28"/>
      <c r="T89" s="28"/>
      <c r="U89" s="28"/>
      <c r="V89" s="28"/>
      <c r="W89" s="28"/>
      <c r="X89" s="28"/>
      <c r="Y89" s="28"/>
      <c r="Z89" s="28"/>
      <c r="AA89" s="28"/>
    </row>
    <row r="90" customFormat="false" ht="18" hidden="false" customHeight="true" outlineLevel="0" collapsed="false">
      <c r="A90" s="28"/>
      <c r="B90" s="28"/>
      <c r="C90" s="28"/>
      <c r="D90" s="28"/>
      <c r="E90" s="28"/>
      <c r="F90" s="28"/>
      <c r="G90" s="28"/>
      <c r="H90" s="28"/>
      <c r="I90" s="28"/>
      <c r="J90" s="28"/>
      <c r="K90" s="28"/>
      <c r="L90" s="26" t="s">
        <v>8166</v>
      </c>
      <c r="M90" s="28"/>
      <c r="N90" s="28"/>
      <c r="O90" s="28"/>
      <c r="P90" s="28"/>
      <c r="Q90" s="28"/>
      <c r="R90" s="28"/>
      <c r="S90" s="28"/>
      <c r="T90" s="28"/>
      <c r="U90" s="28"/>
      <c r="V90" s="28"/>
      <c r="W90" s="28"/>
      <c r="X90" s="28"/>
      <c r="Y90" s="28"/>
      <c r="Z90" s="28"/>
      <c r="AA90" s="28"/>
    </row>
    <row r="91" customFormat="false" ht="18" hidden="false" customHeight="true" outlineLevel="0" collapsed="false">
      <c r="A91" s="28" t="n">
        <v>19</v>
      </c>
      <c r="B91" s="28" t="s">
        <v>45</v>
      </c>
      <c r="C91" s="28" t="s">
        <v>321</v>
      </c>
      <c r="D91" s="28" t="s">
        <v>8167</v>
      </c>
      <c r="E91" s="28" t="s">
        <v>1223</v>
      </c>
      <c r="F91" s="30" t="n">
        <v>0.35</v>
      </c>
      <c r="G91" s="28" t="s">
        <v>1224</v>
      </c>
      <c r="H91" s="28" t="s">
        <v>1225</v>
      </c>
      <c r="I91" s="28" t="s">
        <v>1226</v>
      </c>
      <c r="J91" s="28" t="s">
        <v>8168</v>
      </c>
      <c r="K91" s="28" t="s">
        <v>8169</v>
      </c>
      <c r="L91" s="26" t="s">
        <v>8170</v>
      </c>
      <c r="M91" s="28" t="s">
        <v>8003</v>
      </c>
      <c r="N91" s="28" t="s">
        <v>8036</v>
      </c>
      <c r="O91" s="28" t="s">
        <v>1230</v>
      </c>
      <c r="P91" s="28" t="s">
        <v>7967</v>
      </c>
      <c r="Q91" s="28" t="s">
        <v>7968</v>
      </c>
      <c r="R91" s="28" t="s">
        <v>59</v>
      </c>
      <c r="S91" s="28" t="s">
        <v>1231</v>
      </c>
      <c r="T91" s="28" t="s">
        <v>59</v>
      </c>
      <c r="U91" s="28" t="s">
        <v>59</v>
      </c>
      <c r="V91" s="29"/>
      <c r="W91" s="29"/>
      <c r="X91" s="29"/>
      <c r="Y91" s="29"/>
      <c r="Z91" s="29"/>
      <c r="AA91" s="29"/>
    </row>
    <row r="92" customFormat="false" ht="18" hidden="false" customHeight="true" outlineLevel="0" collapsed="false">
      <c r="A92" s="28"/>
      <c r="B92" s="28"/>
      <c r="C92" s="28"/>
      <c r="D92" s="28"/>
      <c r="E92" s="28"/>
      <c r="F92" s="28"/>
      <c r="G92" s="28"/>
      <c r="H92" s="28"/>
      <c r="I92" s="28"/>
      <c r="J92" s="28"/>
      <c r="K92" s="28"/>
      <c r="L92" s="26" t="s">
        <v>8171</v>
      </c>
      <c r="M92" s="28"/>
      <c r="N92" s="28"/>
      <c r="O92" s="28"/>
      <c r="P92" s="28"/>
      <c r="Q92" s="28"/>
      <c r="R92" s="28"/>
      <c r="S92" s="28"/>
      <c r="T92" s="28"/>
      <c r="U92" s="28"/>
      <c r="V92" s="28"/>
      <c r="W92" s="28"/>
      <c r="X92" s="28"/>
      <c r="Y92" s="28"/>
      <c r="Z92" s="28"/>
      <c r="AA92" s="28"/>
    </row>
    <row r="93" customFormat="false" ht="18" hidden="false" customHeight="true" outlineLevel="0" collapsed="false">
      <c r="A93" s="28"/>
      <c r="B93" s="28"/>
      <c r="C93" s="28"/>
      <c r="D93" s="28"/>
      <c r="E93" s="28"/>
      <c r="F93" s="28"/>
      <c r="G93" s="28"/>
      <c r="H93" s="28"/>
      <c r="I93" s="28"/>
      <c r="J93" s="28"/>
      <c r="K93" s="28"/>
      <c r="L93" s="26" t="s">
        <v>8172</v>
      </c>
      <c r="M93" s="28"/>
      <c r="N93" s="28"/>
      <c r="O93" s="28"/>
      <c r="P93" s="28"/>
      <c r="Q93" s="28"/>
      <c r="R93" s="28"/>
      <c r="S93" s="28"/>
      <c r="T93" s="28"/>
      <c r="U93" s="28"/>
      <c r="V93" s="28"/>
      <c r="W93" s="28"/>
      <c r="X93" s="28"/>
      <c r="Y93" s="28"/>
      <c r="Z93" s="28"/>
      <c r="AA93" s="28"/>
    </row>
    <row r="94" customFormat="false" ht="18" hidden="false" customHeight="true" outlineLevel="0" collapsed="false">
      <c r="A94" s="28" t="n">
        <v>46</v>
      </c>
      <c r="B94" s="28" t="s">
        <v>45</v>
      </c>
      <c r="C94" s="28" t="s">
        <v>1025</v>
      </c>
      <c r="D94" s="28" t="s">
        <v>8039</v>
      </c>
      <c r="E94" s="28" t="s">
        <v>1233</v>
      </c>
      <c r="F94" s="28" t="n">
        <v>18</v>
      </c>
      <c r="G94" s="28" t="s">
        <v>1234</v>
      </c>
      <c r="H94" s="28" t="s">
        <v>1235</v>
      </c>
      <c r="I94" s="28" t="s">
        <v>1236</v>
      </c>
      <c r="J94" s="28" t="s">
        <v>1237</v>
      </c>
      <c r="K94" s="28" t="s">
        <v>1238</v>
      </c>
      <c r="L94" s="26" t="s">
        <v>8173</v>
      </c>
      <c r="M94" s="28" t="s">
        <v>8043</v>
      </c>
      <c r="N94" s="28" t="s">
        <v>8003</v>
      </c>
      <c r="O94" s="28" t="s">
        <v>1240</v>
      </c>
      <c r="P94" s="28" t="s">
        <v>7967</v>
      </c>
      <c r="Q94" s="28" t="s">
        <v>7967</v>
      </c>
      <c r="R94" s="28" t="s">
        <v>59</v>
      </c>
      <c r="S94" s="28" t="s">
        <v>1241</v>
      </c>
      <c r="T94" s="28" t="s">
        <v>59</v>
      </c>
      <c r="U94" s="28" t="s">
        <v>59</v>
      </c>
      <c r="V94" s="29"/>
      <c r="W94" s="29"/>
      <c r="X94" s="29"/>
      <c r="Y94" s="29"/>
      <c r="Z94" s="29"/>
      <c r="AA94" s="29"/>
    </row>
    <row r="95" customFormat="false" ht="18" hidden="false" customHeight="true" outlineLevel="0" collapsed="false">
      <c r="A95" s="28"/>
      <c r="B95" s="28"/>
      <c r="C95" s="28"/>
      <c r="D95" s="28"/>
      <c r="E95" s="28"/>
      <c r="F95" s="28"/>
      <c r="G95" s="28"/>
      <c r="H95" s="28"/>
      <c r="I95" s="28"/>
      <c r="J95" s="28"/>
      <c r="K95" s="28"/>
      <c r="L95" s="26" t="s">
        <v>8174</v>
      </c>
      <c r="M95" s="28"/>
      <c r="N95" s="28"/>
      <c r="O95" s="28"/>
      <c r="P95" s="28"/>
      <c r="Q95" s="28"/>
      <c r="R95" s="28"/>
      <c r="S95" s="28"/>
      <c r="T95" s="28"/>
      <c r="U95" s="28"/>
      <c r="V95" s="28"/>
      <c r="W95" s="28"/>
      <c r="X95" s="28"/>
      <c r="Y95" s="28"/>
      <c r="Z95" s="28"/>
      <c r="AA95" s="28"/>
    </row>
    <row r="96" customFormat="false" ht="18" hidden="false" customHeight="true" outlineLevel="0" collapsed="false">
      <c r="A96" s="28"/>
      <c r="B96" s="28"/>
      <c r="C96" s="28"/>
      <c r="D96" s="28"/>
      <c r="E96" s="28"/>
      <c r="F96" s="28"/>
      <c r="G96" s="28"/>
      <c r="H96" s="28"/>
      <c r="I96" s="28"/>
      <c r="J96" s="28"/>
      <c r="K96" s="28"/>
      <c r="L96" s="26" t="s">
        <v>8175</v>
      </c>
      <c r="M96" s="28"/>
      <c r="N96" s="28"/>
      <c r="O96" s="28"/>
      <c r="P96" s="28"/>
      <c r="Q96" s="28"/>
      <c r="R96" s="28"/>
      <c r="S96" s="28"/>
      <c r="T96" s="28"/>
      <c r="U96" s="28"/>
      <c r="V96" s="28"/>
      <c r="W96" s="28"/>
      <c r="X96" s="28"/>
      <c r="Y96" s="28"/>
      <c r="Z96" s="28"/>
      <c r="AA96" s="28"/>
    </row>
    <row r="97" customFormat="false" ht="18" hidden="false" customHeight="true" outlineLevel="0" collapsed="false">
      <c r="A97" s="28" t="n">
        <v>48</v>
      </c>
      <c r="B97" s="28" t="s">
        <v>83</v>
      </c>
      <c r="C97" s="28" t="s">
        <v>1025</v>
      </c>
      <c r="D97" s="28" t="s">
        <v>321</v>
      </c>
      <c r="E97" s="28" t="s">
        <v>1243</v>
      </c>
      <c r="F97" s="28" t="n">
        <v>20</v>
      </c>
      <c r="G97" s="28" t="s">
        <v>1244</v>
      </c>
      <c r="H97" s="28" t="s">
        <v>1245</v>
      </c>
      <c r="I97" s="28" t="s">
        <v>1246</v>
      </c>
      <c r="J97" s="28" t="s">
        <v>1247</v>
      </c>
      <c r="K97" s="28" t="s">
        <v>1248</v>
      </c>
      <c r="L97" s="26" t="s">
        <v>8176</v>
      </c>
      <c r="M97" s="28" t="s">
        <v>8177</v>
      </c>
      <c r="N97" s="28" t="s">
        <v>7975</v>
      </c>
      <c r="O97" s="28" t="s">
        <v>1250</v>
      </c>
      <c r="P97" s="28" t="s">
        <v>7967</v>
      </c>
      <c r="Q97" s="28" t="s">
        <v>7967</v>
      </c>
      <c r="R97" s="28" t="s">
        <v>59</v>
      </c>
      <c r="S97" s="28" t="s">
        <v>1251</v>
      </c>
      <c r="T97" s="28" t="s">
        <v>59</v>
      </c>
      <c r="U97" s="28" t="s">
        <v>59</v>
      </c>
      <c r="V97" s="29"/>
      <c r="W97" s="29"/>
      <c r="X97" s="29"/>
      <c r="Y97" s="29"/>
      <c r="Z97" s="29"/>
      <c r="AA97" s="29"/>
    </row>
    <row r="98" customFormat="false" ht="18" hidden="false" customHeight="true" outlineLevel="0" collapsed="false">
      <c r="A98" s="28"/>
      <c r="B98" s="28"/>
      <c r="C98" s="28"/>
      <c r="D98" s="28"/>
      <c r="E98" s="28"/>
      <c r="F98" s="28"/>
      <c r="G98" s="28"/>
      <c r="H98" s="28"/>
      <c r="I98" s="28"/>
      <c r="J98" s="28"/>
      <c r="K98" s="28"/>
      <c r="L98" s="26" t="s">
        <v>8178</v>
      </c>
      <c r="M98" s="28"/>
      <c r="N98" s="28"/>
      <c r="O98" s="28"/>
      <c r="P98" s="28"/>
      <c r="Q98" s="28"/>
      <c r="R98" s="28"/>
      <c r="S98" s="28"/>
      <c r="T98" s="28"/>
      <c r="U98" s="28"/>
      <c r="V98" s="28"/>
      <c r="W98" s="28"/>
      <c r="X98" s="28"/>
      <c r="Y98" s="28"/>
      <c r="Z98" s="28"/>
      <c r="AA98" s="28"/>
    </row>
    <row r="99" customFormat="false" ht="18" hidden="false" customHeight="true" outlineLevel="0" collapsed="false">
      <c r="A99" s="28"/>
      <c r="B99" s="28"/>
      <c r="C99" s="28"/>
      <c r="D99" s="28"/>
      <c r="E99" s="28"/>
      <c r="F99" s="28"/>
      <c r="G99" s="28"/>
      <c r="H99" s="28"/>
      <c r="I99" s="28"/>
      <c r="J99" s="28"/>
      <c r="K99" s="28"/>
      <c r="L99" s="26" t="s">
        <v>8179</v>
      </c>
      <c r="M99" s="28"/>
      <c r="N99" s="28"/>
      <c r="O99" s="28"/>
      <c r="P99" s="28"/>
      <c r="Q99" s="28"/>
      <c r="R99" s="28"/>
      <c r="S99" s="28"/>
      <c r="T99" s="28"/>
      <c r="U99" s="28"/>
      <c r="V99" s="28"/>
      <c r="W99" s="28"/>
      <c r="X99" s="28"/>
      <c r="Y99" s="28"/>
      <c r="Z99" s="28"/>
      <c r="AA99" s="28"/>
    </row>
    <row r="100" customFormat="false" ht="18" hidden="false" customHeight="true" outlineLevel="0" collapsed="false">
      <c r="A100" s="28" t="n">
        <v>20</v>
      </c>
      <c r="B100" s="28" t="s">
        <v>45</v>
      </c>
      <c r="C100" s="28" t="s">
        <v>289</v>
      </c>
      <c r="D100" s="28" t="s">
        <v>289</v>
      </c>
      <c r="E100" s="28" t="s">
        <v>8180</v>
      </c>
      <c r="F100" s="30" t="n">
        <v>0.25</v>
      </c>
      <c r="G100" s="28" t="s">
        <v>1254</v>
      </c>
      <c r="H100" s="28" t="s">
        <v>1255</v>
      </c>
      <c r="I100" s="28" t="s">
        <v>1256</v>
      </c>
      <c r="J100" s="28" t="s">
        <v>1257</v>
      </c>
      <c r="K100" s="28" t="s">
        <v>857</v>
      </c>
      <c r="L100" s="26" t="s">
        <v>8181</v>
      </c>
      <c r="M100" s="28" t="s">
        <v>7971</v>
      </c>
      <c r="N100" s="28" t="s">
        <v>7975</v>
      </c>
      <c r="O100" s="28" t="s">
        <v>1259</v>
      </c>
      <c r="P100" s="28" t="s">
        <v>7968</v>
      </c>
      <c r="Q100" s="28" t="s">
        <v>7968</v>
      </c>
      <c r="R100" s="28" t="s">
        <v>98</v>
      </c>
      <c r="S100" s="29"/>
      <c r="T100" s="28" t="s">
        <v>59</v>
      </c>
      <c r="U100" s="28" t="s">
        <v>59</v>
      </c>
      <c r="V100" s="29"/>
      <c r="W100" s="29"/>
      <c r="X100" s="29"/>
      <c r="Y100" s="29"/>
      <c r="Z100" s="29"/>
      <c r="AA100" s="29"/>
    </row>
    <row r="101" customFormat="false" ht="18" hidden="false" customHeight="true" outlineLevel="0" collapsed="false">
      <c r="A101" s="28"/>
      <c r="B101" s="28"/>
      <c r="C101" s="28"/>
      <c r="D101" s="28"/>
      <c r="E101" s="28"/>
      <c r="F101" s="28"/>
      <c r="G101" s="28"/>
      <c r="H101" s="28"/>
      <c r="I101" s="28"/>
      <c r="J101" s="28"/>
      <c r="K101" s="28"/>
      <c r="L101" s="26" t="s">
        <v>8182</v>
      </c>
      <c r="M101" s="28"/>
      <c r="N101" s="28"/>
      <c r="O101" s="28"/>
      <c r="P101" s="28"/>
      <c r="Q101" s="28"/>
      <c r="R101" s="28"/>
      <c r="S101" s="28"/>
      <c r="T101" s="28"/>
      <c r="U101" s="28"/>
      <c r="V101" s="28"/>
      <c r="W101" s="28"/>
      <c r="X101" s="28"/>
      <c r="Y101" s="28"/>
      <c r="Z101" s="28"/>
      <c r="AA101" s="28"/>
    </row>
    <row r="102" customFormat="false" ht="18" hidden="false" customHeight="true" outlineLevel="0" collapsed="false">
      <c r="A102" s="28"/>
      <c r="B102" s="28"/>
      <c r="C102" s="28"/>
      <c r="D102" s="28"/>
      <c r="E102" s="28"/>
      <c r="F102" s="28"/>
      <c r="G102" s="28"/>
      <c r="H102" s="28"/>
      <c r="I102" s="28"/>
      <c r="J102" s="28"/>
      <c r="K102" s="28"/>
      <c r="L102" s="26" t="s">
        <v>8183</v>
      </c>
      <c r="M102" s="28"/>
      <c r="N102" s="28"/>
      <c r="O102" s="28"/>
      <c r="P102" s="28"/>
      <c r="Q102" s="28"/>
      <c r="R102" s="28"/>
      <c r="S102" s="28"/>
      <c r="T102" s="28"/>
      <c r="U102" s="28"/>
      <c r="V102" s="28"/>
      <c r="W102" s="28"/>
      <c r="X102" s="28"/>
      <c r="Y102" s="28"/>
      <c r="Z102" s="28"/>
      <c r="AA102" s="28"/>
    </row>
    <row r="103" customFormat="false" ht="18" hidden="false" customHeight="true" outlineLevel="0" collapsed="false">
      <c r="A103" s="28" t="n">
        <v>58</v>
      </c>
      <c r="B103" s="28" t="s">
        <v>83</v>
      </c>
      <c r="C103" s="28" t="s">
        <v>1261</v>
      </c>
      <c r="D103" s="28" t="s">
        <v>1261</v>
      </c>
      <c r="E103" s="28" t="s">
        <v>1262</v>
      </c>
      <c r="F103" s="28" t="n">
        <v>20</v>
      </c>
      <c r="G103" s="28" t="s">
        <v>1263</v>
      </c>
      <c r="H103" s="28" t="s">
        <v>8184</v>
      </c>
      <c r="I103" s="28" t="s">
        <v>895</v>
      </c>
      <c r="J103" s="28" t="s">
        <v>1265</v>
      </c>
      <c r="K103" s="28" t="s">
        <v>1266</v>
      </c>
      <c r="L103" s="26" t="s">
        <v>4634</v>
      </c>
      <c r="M103" s="28" t="s">
        <v>8177</v>
      </c>
      <c r="N103" s="28" t="s">
        <v>8177</v>
      </c>
      <c r="O103" s="28" t="s">
        <v>1268</v>
      </c>
      <c r="P103" s="28" t="s">
        <v>7967</v>
      </c>
      <c r="Q103" s="28" t="s">
        <v>7967</v>
      </c>
      <c r="R103" s="28" t="s">
        <v>59</v>
      </c>
      <c r="S103" s="28" t="s">
        <v>1269</v>
      </c>
      <c r="T103" s="28" t="s">
        <v>59</v>
      </c>
      <c r="U103" s="28" t="s">
        <v>59</v>
      </c>
      <c r="V103" s="29"/>
      <c r="W103" s="29"/>
      <c r="X103" s="29"/>
      <c r="Y103" s="29"/>
      <c r="Z103" s="29"/>
      <c r="AA103" s="29"/>
    </row>
    <row r="104" customFormat="false" ht="18" hidden="false" customHeight="true" outlineLevel="0" collapsed="false">
      <c r="A104" s="28"/>
      <c r="B104" s="28"/>
      <c r="C104" s="28"/>
      <c r="D104" s="28"/>
      <c r="E104" s="28"/>
      <c r="F104" s="28"/>
      <c r="G104" s="28"/>
      <c r="H104" s="28"/>
      <c r="I104" s="28"/>
      <c r="J104" s="28"/>
      <c r="K104" s="28"/>
      <c r="L104" s="26" t="s">
        <v>8185</v>
      </c>
      <c r="M104" s="28"/>
      <c r="N104" s="28"/>
      <c r="O104" s="28"/>
      <c r="P104" s="28"/>
      <c r="Q104" s="28"/>
      <c r="R104" s="28"/>
      <c r="S104" s="28"/>
      <c r="T104" s="28"/>
      <c r="U104" s="28"/>
      <c r="V104" s="28"/>
      <c r="W104" s="28"/>
      <c r="X104" s="28"/>
      <c r="Y104" s="28"/>
      <c r="Z104" s="28"/>
      <c r="AA104" s="28"/>
    </row>
    <row r="105" customFormat="false" ht="18" hidden="false" customHeight="true" outlineLevel="0" collapsed="false">
      <c r="A105" s="28"/>
      <c r="B105" s="28"/>
      <c r="C105" s="28"/>
      <c r="D105" s="28"/>
      <c r="E105" s="28"/>
      <c r="F105" s="28"/>
      <c r="G105" s="28"/>
      <c r="H105" s="28"/>
      <c r="I105" s="28"/>
      <c r="J105" s="28"/>
      <c r="K105" s="28"/>
      <c r="M105" s="28"/>
      <c r="N105" s="28"/>
      <c r="O105" s="28"/>
      <c r="P105" s="28"/>
      <c r="Q105" s="28"/>
      <c r="R105" s="28"/>
      <c r="S105" s="28"/>
      <c r="T105" s="28"/>
      <c r="U105" s="28"/>
      <c r="V105" s="28"/>
      <c r="W105" s="28"/>
      <c r="X105" s="28"/>
      <c r="Y105" s="28"/>
      <c r="Z105" s="28"/>
      <c r="AA105" s="28"/>
    </row>
    <row r="106" customFormat="false" ht="18" hidden="false" customHeight="true" outlineLevel="0" collapsed="false">
      <c r="A106" s="28"/>
      <c r="B106" s="28"/>
      <c r="C106" s="28"/>
      <c r="D106" s="28"/>
      <c r="E106" s="28"/>
      <c r="F106" s="28"/>
      <c r="G106" s="28"/>
      <c r="H106" s="28"/>
      <c r="I106" s="28"/>
      <c r="J106" s="28"/>
      <c r="K106" s="28"/>
      <c r="L106" s="26" t="s">
        <v>8186</v>
      </c>
      <c r="M106" s="28"/>
      <c r="N106" s="28"/>
      <c r="O106" s="28"/>
      <c r="P106" s="28"/>
      <c r="Q106" s="28"/>
      <c r="R106" s="28"/>
      <c r="S106" s="28"/>
      <c r="T106" s="28"/>
      <c r="U106" s="28"/>
      <c r="V106" s="28"/>
      <c r="W106" s="28"/>
      <c r="X106" s="28"/>
      <c r="Y106" s="28"/>
      <c r="Z106" s="28"/>
      <c r="AA106" s="28"/>
    </row>
    <row r="107" customFormat="false" ht="18" hidden="false" customHeight="true" outlineLevel="0" collapsed="false">
      <c r="A107" s="28"/>
      <c r="B107" s="28"/>
      <c r="C107" s="28"/>
      <c r="D107" s="28"/>
      <c r="E107" s="28"/>
      <c r="F107" s="28"/>
      <c r="G107" s="28"/>
      <c r="H107" s="28"/>
      <c r="I107" s="28"/>
      <c r="J107" s="28"/>
      <c r="K107" s="28"/>
      <c r="L107" s="26" t="s">
        <v>8187</v>
      </c>
      <c r="M107" s="28"/>
      <c r="N107" s="28"/>
      <c r="O107" s="28"/>
      <c r="P107" s="28"/>
      <c r="Q107" s="28"/>
      <c r="R107" s="28"/>
      <c r="S107" s="28"/>
      <c r="T107" s="28"/>
      <c r="U107" s="28"/>
      <c r="V107" s="28"/>
      <c r="W107" s="28"/>
      <c r="X107" s="28"/>
      <c r="Y107" s="28"/>
      <c r="Z107" s="28"/>
      <c r="AA107" s="28"/>
    </row>
    <row r="108" customFormat="false" ht="18" hidden="false" customHeight="true" outlineLevel="0" collapsed="false">
      <c r="A108" s="28"/>
      <c r="B108" s="28"/>
      <c r="C108" s="28"/>
      <c r="D108" s="28"/>
      <c r="E108" s="28"/>
      <c r="F108" s="28"/>
      <c r="G108" s="28"/>
      <c r="H108" s="28"/>
      <c r="I108" s="28"/>
      <c r="J108" s="28"/>
      <c r="K108" s="28"/>
      <c r="M108" s="28"/>
      <c r="N108" s="28"/>
      <c r="O108" s="28"/>
      <c r="P108" s="28"/>
      <c r="Q108" s="28"/>
      <c r="R108" s="28"/>
      <c r="S108" s="28"/>
      <c r="T108" s="28"/>
      <c r="U108" s="28"/>
      <c r="V108" s="28"/>
      <c r="W108" s="28"/>
      <c r="X108" s="28"/>
      <c r="Y108" s="28"/>
      <c r="Z108" s="28"/>
      <c r="AA108" s="28"/>
    </row>
    <row r="109" customFormat="false" ht="18" hidden="false" customHeight="true" outlineLevel="0" collapsed="false">
      <c r="A109" s="28"/>
      <c r="B109" s="28"/>
      <c r="C109" s="28"/>
      <c r="D109" s="28"/>
      <c r="E109" s="28"/>
      <c r="F109" s="28"/>
      <c r="G109" s="28"/>
      <c r="H109" s="28"/>
      <c r="I109" s="28"/>
      <c r="J109" s="28"/>
      <c r="K109" s="28"/>
      <c r="L109" s="26" t="s">
        <v>8188</v>
      </c>
      <c r="M109" s="28"/>
      <c r="N109" s="28"/>
      <c r="O109" s="28"/>
      <c r="P109" s="28"/>
      <c r="Q109" s="28"/>
      <c r="R109" s="28"/>
      <c r="S109" s="28"/>
      <c r="T109" s="28"/>
      <c r="U109" s="28"/>
      <c r="V109" s="28"/>
      <c r="W109" s="28"/>
      <c r="X109" s="28"/>
      <c r="Y109" s="28"/>
      <c r="Z109" s="28"/>
      <c r="AA109" s="28"/>
    </row>
    <row r="110" customFormat="false" ht="18" hidden="false" customHeight="true" outlineLevel="0" collapsed="false">
      <c r="A110" s="28"/>
      <c r="B110" s="28"/>
      <c r="C110" s="28"/>
      <c r="D110" s="28"/>
      <c r="E110" s="28"/>
      <c r="F110" s="28"/>
      <c r="G110" s="28"/>
      <c r="H110" s="28"/>
      <c r="I110" s="28"/>
      <c r="J110" s="28"/>
      <c r="K110" s="28"/>
      <c r="L110" s="26" t="s">
        <v>8189</v>
      </c>
      <c r="M110" s="28"/>
      <c r="N110" s="28"/>
      <c r="O110" s="28"/>
      <c r="P110" s="28"/>
      <c r="Q110" s="28"/>
      <c r="R110" s="28"/>
      <c r="S110" s="28"/>
      <c r="T110" s="28"/>
      <c r="U110" s="28"/>
      <c r="V110" s="28"/>
      <c r="W110" s="28"/>
      <c r="X110" s="28"/>
      <c r="Y110" s="28"/>
      <c r="Z110" s="28"/>
      <c r="AA110" s="28"/>
    </row>
    <row r="111" customFormat="false" ht="18" hidden="false" customHeight="true" outlineLevel="0" collapsed="false">
      <c r="A111" s="26" t="n">
        <v>76</v>
      </c>
      <c r="B111" s="26" t="s">
        <v>83</v>
      </c>
      <c r="C111" s="26" t="s">
        <v>1271</v>
      </c>
      <c r="D111" s="26" t="s">
        <v>61</v>
      </c>
      <c r="E111" s="26" t="s">
        <v>8190</v>
      </c>
      <c r="F111" s="26" t="n">
        <v>25</v>
      </c>
      <c r="G111" s="26" t="s">
        <v>1274</v>
      </c>
      <c r="H111" s="26" t="s">
        <v>1275</v>
      </c>
      <c r="I111" s="26" t="s">
        <v>98</v>
      </c>
      <c r="J111" s="26" t="s">
        <v>1276</v>
      </c>
      <c r="K111" s="26" t="s">
        <v>1277</v>
      </c>
      <c r="L111" s="26" t="s">
        <v>1278</v>
      </c>
      <c r="M111" s="26" t="s">
        <v>7971</v>
      </c>
      <c r="N111" s="26" t="s">
        <v>7971</v>
      </c>
      <c r="O111" s="26" t="s">
        <v>8191</v>
      </c>
      <c r="P111" s="26" t="s">
        <v>7967</v>
      </c>
      <c r="Q111" s="26" t="s">
        <v>7967</v>
      </c>
      <c r="R111" s="26" t="s">
        <v>59</v>
      </c>
      <c r="S111" s="26" t="s">
        <v>1280</v>
      </c>
      <c r="T111" s="26" t="s">
        <v>59</v>
      </c>
      <c r="U111" s="26" t="s">
        <v>59</v>
      </c>
    </row>
    <row r="112" customFormat="false" ht="18" hidden="false" customHeight="true" outlineLevel="0" collapsed="false">
      <c r="A112" s="28" t="n">
        <v>22</v>
      </c>
      <c r="B112" s="28" t="s">
        <v>45</v>
      </c>
      <c r="C112" s="28" t="s">
        <v>321</v>
      </c>
      <c r="D112" s="28" t="s">
        <v>321</v>
      </c>
      <c r="E112" s="28" t="s">
        <v>8192</v>
      </c>
      <c r="F112" s="28" t="n">
        <v>37</v>
      </c>
      <c r="G112" s="28" t="s">
        <v>8193</v>
      </c>
      <c r="H112" s="28" t="s">
        <v>1283</v>
      </c>
      <c r="I112" s="28" t="s">
        <v>1284</v>
      </c>
      <c r="J112" s="28" t="s">
        <v>1285</v>
      </c>
      <c r="K112" s="28" t="s">
        <v>8194</v>
      </c>
      <c r="L112" s="26" t="s">
        <v>8195</v>
      </c>
      <c r="M112" s="28" t="s">
        <v>8196</v>
      </c>
      <c r="N112" s="28" t="s">
        <v>7971</v>
      </c>
      <c r="O112" s="28" t="s">
        <v>8197</v>
      </c>
      <c r="P112" s="28" t="s">
        <v>7957</v>
      </c>
      <c r="Q112" s="28" t="s">
        <v>7968</v>
      </c>
      <c r="R112" s="28" t="s">
        <v>59</v>
      </c>
      <c r="S112" s="28" t="s">
        <v>1289</v>
      </c>
      <c r="T112" s="28" t="s">
        <v>59</v>
      </c>
      <c r="U112" s="28" t="s">
        <v>59</v>
      </c>
      <c r="V112" s="29"/>
      <c r="W112" s="29"/>
      <c r="X112" s="29"/>
      <c r="Y112" s="29"/>
      <c r="Z112" s="29"/>
      <c r="AA112" s="29"/>
    </row>
    <row r="113" customFormat="false" ht="18" hidden="false" customHeight="true" outlineLevel="0" collapsed="false">
      <c r="A113" s="28"/>
      <c r="B113" s="28"/>
      <c r="C113" s="28"/>
      <c r="D113" s="28"/>
      <c r="E113" s="28"/>
      <c r="F113" s="28"/>
      <c r="G113" s="28"/>
      <c r="H113" s="28"/>
      <c r="I113" s="28"/>
      <c r="J113" s="28"/>
      <c r="K113" s="28"/>
      <c r="M113" s="28"/>
      <c r="N113" s="28"/>
      <c r="O113" s="28"/>
      <c r="P113" s="28"/>
      <c r="Q113" s="28"/>
      <c r="R113" s="28"/>
      <c r="S113" s="28"/>
      <c r="T113" s="28"/>
      <c r="U113" s="28"/>
      <c r="V113" s="28"/>
      <c r="W113" s="28"/>
      <c r="X113" s="28"/>
      <c r="Y113" s="28"/>
      <c r="Z113" s="28"/>
      <c r="AA113" s="28"/>
    </row>
    <row r="114" customFormat="false" ht="18" hidden="false" customHeight="true" outlineLevel="0" collapsed="false">
      <c r="A114" s="28"/>
      <c r="B114" s="28"/>
      <c r="C114" s="28"/>
      <c r="D114" s="28"/>
      <c r="E114" s="28"/>
      <c r="F114" s="28"/>
      <c r="G114" s="28"/>
      <c r="H114" s="28"/>
      <c r="I114" s="28"/>
      <c r="J114" s="28"/>
      <c r="K114" s="28"/>
      <c r="L114" s="26" t="s">
        <v>8198</v>
      </c>
      <c r="M114" s="28"/>
      <c r="N114" s="28"/>
      <c r="O114" s="28"/>
      <c r="P114" s="28"/>
      <c r="Q114" s="28"/>
      <c r="R114" s="28"/>
      <c r="S114" s="28"/>
      <c r="T114" s="28"/>
      <c r="U114" s="28"/>
      <c r="V114" s="28"/>
      <c r="W114" s="28"/>
      <c r="X114" s="28"/>
      <c r="Y114" s="28"/>
      <c r="Z114" s="28"/>
      <c r="AA114" s="28"/>
    </row>
    <row r="115" customFormat="false" ht="18" hidden="false" customHeight="true" outlineLevel="0" collapsed="false">
      <c r="A115" s="28"/>
      <c r="B115" s="28"/>
      <c r="C115" s="28"/>
      <c r="D115" s="28"/>
      <c r="E115" s="28"/>
      <c r="F115" s="28"/>
      <c r="G115" s="28"/>
      <c r="H115" s="28"/>
      <c r="I115" s="28"/>
      <c r="J115" s="28"/>
      <c r="K115" s="28"/>
      <c r="L115" s="26"/>
      <c r="M115" s="28"/>
      <c r="N115" s="28"/>
      <c r="O115" s="28"/>
      <c r="P115" s="28"/>
      <c r="Q115" s="28"/>
      <c r="R115" s="28"/>
      <c r="S115" s="28"/>
      <c r="T115" s="28"/>
      <c r="U115" s="28"/>
      <c r="V115" s="28"/>
      <c r="W115" s="28"/>
      <c r="X115" s="28"/>
      <c r="Y115" s="28"/>
      <c r="Z115" s="28"/>
      <c r="AA115" s="28"/>
    </row>
    <row r="116" customFormat="false" ht="18" hidden="false" customHeight="true" outlineLevel="0" collapsed="false">
      <c r="A116" s="28"/>
      <c r="B116" s="28"/>
      <c r="C116" s="28"/>
      <c r="D116" s="28"/>
      <c r="E116" s="28"/>
      <c r="F116" s="28"/>
      <c r="G116" s="28"/>
      <c r="H116" s="28"/>
      <c r="I116" s="28"/>
      <c r="J116" s="28"/>
      <c r="K116" s="28"/>
      <c r="L116" s="26" t="s">
        <v>8199</v>
      </c>
      <c r="M116" s="28"/>
      <c r="N116" s="28"/>
      <c r="O116" s="28"/>
      <c r="P116" s="28"/>
      <c r="Q116" s="28"/>
      <c r="R116" s="28"/>
      <c r="S116" s="28"/>
      <c r="T116" s="28"/>
      <c r="U116" s="28"/>
      <c r="V116" s="28"/>
      <c r="W116" s="28"/>
      <c r="X116" s="28"/>
      <c r="Y116" s="28"/>
      <c r="Z116" s="28"/>
      <c r="AA116" s="28"/>
    </row>
    <row r="117" customFormat="false" ht="18" hidden="false" customHeight="true" outlineLevel="0" collapsed="false">
      <c r="A117" s="28" t="n">
        <v>21</v>
      </c>
      <c r="B117" s="28" t="s">
        <v>83</v>
      </c>
      <c r="C117" s="28" t="s">
        <v>49</v>
      </c>
      <c r="D117" s="28" t="s">
        <v>49</v>
      </c>
      <c r="E117" s="28" t="s">
        <v>1291</v>
      </c>
      <c r="F117" s="28" t="n">
        <v>30</v>
      </c>
      <c r="G117" s="28" t="s">
        <v>547</v>
      </c>
      <c r="H117" s="28" t="s">
        <v>1292</v>
      </c>
      <c r="I117" s="28" t="s">
        <v>8200</v>
      </c>
      <c r="J117" s="28" t="s">
        <v>1294</v>
      </c>
      <c r="K117" s="28" t="s">
        <v>1295</v>
      </c>
      <c r="L117" s="26" t="s">
        <v>8201</v>
      </c>
      <c r="M117" s="28" t="s">
        <v>8202</v>
      </c>
      <c r="N117" s="28" t="s">
        <v>8203</v>
      </c>
      <c r="O117" s="28" t="s">
        <v>1297</v>
      </c>
      <c r="P117" s="28" t="s">
        <v>7957</v>
      </c>
      <c r="Q117" s="28" t="s">
        <v>7967</v>
      </c>
      <c r="R117" s="28" t="s">
        <v>59</v>
      </c>
      <c r="S117" s="28" t="s">
        <v>1298</v>
      </c>
      <c r="T117" s="28" t="s">
        <v>59</v>
      </c>
      <c r="U117" s="28" t="s">
        <v>59</v>
      </c>
      <c r="V117" s="29"/>
      <c r="W117" s="29"/>
      <c r="X117" s="29"/>
      <c r="Y117" s="29"/>
      <c r="Z117" s="29"/>
      <c r="AA117" s="29"/>
    </row>
    <row r="118" customFormat="false" ht="18" hidden="false" customHeight="true" outlineLevel="0" collapsed="false">
      <c r="A118" s="28"/>
      <c r="B118" s="28"/>
      <c r="C118" s="28"/>
      <c r="D118" s="28"/>
      <c r="E118" s="28"/>
      <c r="F118" s="28"/>
      <c r="G118" s="28"/>
      <c r="H118" s="28"/>
      <c r="I118" s="28"/>
      <c r="J118" s="28"/>
      <c r="K118" s="28"/>
      <c r="M118" s="28"/>
      <c r="N118" s="28"/>
      <c r="O118" s="28"/>
      <c r="P118" s="28"/>
      <c r="Q118" s="28"/>
      <c r="R118" s="28"/>
      <c r="S118" s="28"/>
      <c r="T118" s="28"/>
      <c r="U118" s="28"/>
      <c r="V118" s="28"/>
      <c r="W118" s="28"/>
      <c r="X118" s="28"/>
      <c r="Y118" s="28"/>
      <c r="Z118" s="28"/>
      <c r="AA118" s="28"/>
    </row>
    <row r="119" customFormat="false" ht="18" hidden="false" customHeight="true" outlineLevel="0" collapsed="false">
      <c r="A119" s="28"/>
      <c r="B119" s="28"/>
      <c r="C119" s="28"/>
      <c r="D119" s="28"/>
      <c r="E119" s="28"/>
      <c r="F119" s="28"/>
      <c r="G119" s="28"/>
      <c r="H119" s="28"/>
      <c r="I119" s="28"/>
      <c r="J119" s="28"/>
      <c r="K119" s="28"/>
      <c r="L119" s="26" t="s">
        <v>8204</v>
      </c>
      <c r="M119" s="28"/>
      <c r="N119" s="28"/>
      <c r="O119" s="28"/>
      <c r="P119" s="28"/>
      <c r="Q119" s="28"/>
      <c r="R119" s="28"/>
      <c r="S119" s="28"/>
      <c r="T119" s="28"/>
      <c r="U119" s="28"/>
      <c r="V119" s="28"/>
      <c r="W119" s="28"/>
      <c r="X119" s="28"/>
      <c r="Y119" s="28"/>
      <c r="Z119" s="28"/>
      <c r="AA119" s="28"/>
    </row>
    <row r="120" customFormat="false" ht="18" hidden="false" customHeight="true" outlineLevel="0" collapsed="false">
      <c r="A120" s="28"/>
      <c r="B120" s="28"/>
      <c r="C120" s="28"/>
      <c r="D120" s="28"/>
      <c r="E120" s="28"/>
      <c r="F120" s="28"/>
      <c r="G120" s="28"/>
      <c r="H120" s="28"/>
      <c r="I120" s="28"/>
      <c r="J120" s="28"/>
      <c r="K120" s="28"/>
      <c r="L120" s="26"/>
      <c r="M120" s="28"/>
      <c r="N120" s="28"/>
      <c r="O120" s="28"/>
      <c r="P120" s="28"/>
      <c r="Q120" s="28"/>
      <c r="R120" s="28"/>
      <c r="S120" s="28"/>
      <c r="T120" s="28"/>
      <c r="U120" s="28"/>
      <c r="V120" s="28"/>
      <c r="W120" s="28"/>
      <c r="X120" s="28"/>
      <c r="Y120" s="28"/>
      <c r="Z120" s="28"/>
      <c r="AA120" s="28"/>
    </row>
    <row r="121" customFormat="false" ht="18" hidden="false" customHeight="true" outlineLevel="0" collapsed="false">
      <c r="A121" s="28"/>
      <c r="B121" s="28"/>
      <c r="C121" s="28"/>
      <c r="D121" s="28"/>
      <c r="E121" s="28"/>
      <c r="F121" s="28"/>
      <c r="G121" s="28"/>
      <c r="H121" s="28"/>
      <c r="I121" s="28"/>
      <c r="J121" s="28"/>
      <c r="K121" s="28"/>
      <c r="L121" s="26" t="s">
        <v>8205</v>
      </c>
      <c r="M121" s="28"/>
      <c r="N121" s="28"/>
      <c r="O121" s="28"/>
      <c r="P121" s="28"/>
      <c r="Q121" s="28"/>
      <c r="R121" s="28"/>
      <c r="S121" s="28"/>
      <c r="T121" s="28"/>
      <c r="U121" s="28"/>
      <c r="V121" s="28"/>
      <c r="W121" s="28"/>
      <c r="X121" s="28"/>
      <c r="Y121" s="28"/>
      <c r="Z121" s="28"/>
      <c r="AA121" s="28"/>
    </row>
    <row r="122" customFormat="false" ht="18" hidden="false" customHeight="true" outlineLevel="0" collapsed="false">
      <c r="A122" s="28" t="n">
        <v>26</v>
      </c>
      <c r="B122" s="28" t="s">
        <v>83</v>
      </c>
      <c r="C122" s="28" t="s">
        <v>49</v>
      </c>
      <c r="D122" s="28" t="s">
        <v>49</v>
      </c>
      <c r="E122" s="28" t="s">
        <v>1300</v>
      </c>
      <c r="F122" s="28" t="n">
        <v>20</v>
      </c>
      <c r="G122" s="28" t="s">
        <v>1301</v>
      </c>
      <c r="H122" s="28" t="s">
        <v>1302</v>
      </c>
      <c r="I122" s="28" t="s">
        <v>1303</v>
      </c>
      <c r="J122" s="28" t="s">
        <v>8206</v>
      </c>
      <c r="K122" s="28" t="s">
        <v>1305</v>
      </c>
      <c r="L122" s="26" t="s">
        <v>8207</v>
      </c>
      <c r="M122" s="28" t="s">
        <v>8132</v>
      </c>
      <c r="N122" s="28" t="s">
        <v>8133</v>
      </c>
      <c r="O122" s="28" t="s">
        <v>1307</v>
      </c>
      <c r="P122" s="28" t="s">
        <v>7957</v>
      </c>
      <c r="Q122" s="28" t="s">
        <v>7957</v>
      </c>
      <c r="R122" s="28" t="s">
        <v>59</v>
      </c>
      <c r="S122" s="28" t="s">
        <v>8208</v>
      </c>
      <c r="T122" s="28" t="s">
        <v>59</v>
      </c>
      <c r="U122" s="28" t="s">
        <v>59</v>
      </c>
      <c r="V122" s="29"/>
      <c r="W122" s="29"/>
      <c r="X122" s="29"/>
      <c r="Y122" s="29"/>
      <c r="Z122" s="29"/>
      <c r="AA122" s="29"/>
    </row>
    <row r="123" customFormat="false" ht="18" hidden="false" customHeight="true" outlineLevel="0" collapsed="false">
      <c r="A123" s="28"/>
      <c r="B123" s="28"/>
      <c r="C123" s="28"/>
      <c r="D123" s="28"/>
      <c r="E123" s="28"/>
      <c r="F123" s="28"/>
      <c r="G123" s="28"/>
      <c r="H123" s="28"/>
      <c r="I123" s="28"/>
      <c r="J123" s="28"/>
      <c r="K123" s="28"/>
      <c r="M123" s="28"/>
      <c r="N123" s="28"/>
      <c r="O123" s="28"/>
      <c r="P123" s="28"/>
      <c r="Q123" s="28"/>
      <c r="R123" s="28"/>
      <c r="S123" s="28"/>
      <c r="T123" s="28"/>
      <c r="U123" s="28"/>
      <c r="V123" s="28"/>
      <c r="W123" s="28"/>
      <c r="X123" s="28"/>
      <c r="Y123" s="28"/>
      <c r="Z123" s="28"/>
      <c r="AA123" s="28"/>
    </row>
    <row r="124" customFormat="false" ht="18" hidden="false" customHeight="true" outlineLevel="0" collapsed="false">
      <c r="A124" s="28"/>
      <c r="B124" s="28"/>
      <c r="C124" s="28"/>
      <c r="D124" s="28"/>
      <c r="E124" s="28"/>
      <c r="F124" s="28"/>
      <c r="G124" s="28"/>
      <c r="H124" s="28"/>
      <c r="I124" s="28"/>
      <c r="J124" s="28"/>
      <c r="K124" s="28"/>
      <c r="L124" s="26" t="s">
        <v>8209</v>
      </c>
      <c r="M124" s="28"/>
      <c r="N124" s="28"/>
      <c r="O124" s="28"/>
      <c r="P124" s="28"/>
      <c r="Q124" s="28"/>
      <c r="R124" s="28"/>
      <c r="S124" s="28"/>
      <c r="T124" s="28"/>
      <c r="U124" s="28"/>
      <c r="V124" s="28"/>
      <c r="W124" s="28"/>
      <c r="X124" s="28"/>
      <c r="Y124" s="28"/>
      <c r="Z124" s="28"/>
      <c r="AA124" s="28"/>
    </row>
    <row r="125" customFormat="false" ht="18" hidden="false" customHeight="true" outlineLevel="0" collapsed="false">
      <c r="A125" s="28"/>
      <c r="B125" s="28"/>
      <c r="C125" s="28"/>
      <c r="D125" s="28"/>
      <c r="E125" s="28"/>
      <c r="F125" s="28"/>
      <c r="G125" s="28"/>
      <c r="H125" s="28"/>
      <c r="I125" s="28"/>
      <c r="J125" s="28"/>
      <c r="K125" s="28"/>
      <c r="L125" s="26"/>
      <c r="M125" s="28"/>
      <c r="N125" s="28"/>
      <c r="O125" s="28"/>
      <c r="P125" s="28"/>
      <c r="Q125" s="28"/>
      <c r="R125" s="28"/>
      <c r="S125" s="28"/>
      <c r="T125" s="28"/>
      <c r="U125" s="28"/>
      <c r="V125" s="28"/>
      <c r="W125" s="28"/>
      <c r="X125" s="28"/>
      <c r="Y125" s="28"/>
      <c r="Z125" s="28"/>
      <c r="AA125" s="28"/>
    </row>
    <row r="126" customFormat="false" ht="18" hidden="false" customHeight="true" outlineLevel="0" collapsed="false">
      <c r="A126" s="28"/>
      <c r="B126" s="28"/>
      <c r="C126" s="28"/>
      <c r="D126" s="28"/>
      <c r="E126" s="28"/>
      <c r="F126" s="28"/>
      <c r="G126" s="28"/>
      <c r="H126" s="28"/>
      <c r="I126" s="28"/>
      <c r="J126" s="28"/>
      <c r="K126" s="28"/>
      <c r="L126" s="26" t="s">
        <v>8210</v>
      </c>
      <c r="M126" s="28"/>
      <c r="N126" s="28"/>
      <c r="O126" s="28"/>
      <c r="P126" s="28"/>
      <c r="Q126" s="28"/>
      <c r="R126" s="28"/>
      <c r="S126" s="28"/>
      <c r="T126" s="28"/>
      <c r="U126" s="28"/>
      <c r="V126" s="28"/>
      <c r="W126" s="28"/>
      <c r="X126" s="28"/>
      <c r="Y126" s="28"/>
      <c r="Z126" s="28"/>
      <c r="AA126" s="28"/>
    </row>
    <row r="127" customFormat="false" ht="18" hidden="false" customHeight="true" outlineLevel="0" collapsed="false">
      <c r="A127" s="28" t="n">
        <v>32</v>
      </c>
      <c r="B127" s="28" t="s">
        <v>83</v>
      </c>
      <c r="C127" s="28" t="s">
        <v>49</v>
      </c>
      <c r="D127" s="28" t="s">
        <v>825</v>
      </c>
      <c r="E127" s="28" t="s">
        <v>1310</v>
      </c>
      <c r="F127" s="28" t="n">
        <v>30</v>
      </c>
      <c r="G127" s="28" t="s">
        <v>1311</v>
      </c>
      <c r="H127" s="28" t="s">
        <v>1312</v>
      </c>
      <c r="I127" s="28" t="s">
        <v>1313</v>
      </c>
      <c r="J127" s="28" t="s">
        <v>1314</v>
      </c>
      <c r="K127" s="28" t="s">
        <v>8211</v>
      </c>
      <c r="L127" s="26" t="s">
        <v>8212</v>
      </c>
      <c r="M127" s="28" t="s">
        <v>8213</v>
      </c>
      <c r="N127" s="28" t="s">
        <v>8214</v>
      </c>
      <c r="O127" s="28" t="s">
        <v>1317</v>
      </c>
      <c r="P127" s="28" t="s">
        <v>7968</v>
      </c>
      <c r="Q127" s="28" t="s">
        <v>7967</v>
      </c>
      <c r="R127" s="28" t="s">
        <v>59</v>
      </c>
      <c r="S127" s="28" t="s">
        <v>1318</v>
      </c>
      <c r="T127" s="28" t="s">
        <v>59</v>
      </c>
      <c r="U127" s="28" t="s">
        <v>59</v>
      </c>
      <c r="V127" s="29"/>
      <c r="W127" s="29"/>
      <c r="X127" s="29"/>
      <c r="Y127" s="29"/>
      <c r="Z127" s="29"/>
      <c r="AA127" s="29"/>
    </row>
    <row r="128" customFormat="false" ht="18" hidden="false" customHeight="true" outlineLevel="0" collapsed="false">
      <c r="A128" s="28"/>
      <c r="B128" s="28"/>
      <c r="C128" s="28"/>
      <c r="D128" s="28"/>
      <c r="E128" s="28"/>
      <c r="F128" s="28"/>
      <c r="G128" s="28"/>
      <c r="H128" s="28"/>
      <c r="I128" s="28"/>
      <c r="J128" s="28"/>
      <c r="K128" s="28"/>
      <c r="L128" s="26" t="s">
        <v>8215</v>
      </c>
      <c r="M128" s="28"/>
      <c r="N128" s="28"/>
      <c r="O128" s="28"/>
      <c r="P128" s="28"/>
      <c r="Q128" s="28"/>
      <c r="R128" s="28"/>
      <c r="S128" s="28"/>
      <c r="T128" s="28"/>
      <c r="U128" s="28"/>
      <c r="V128" s="28"/>
      <c r="W128" s="28"/>
      <c r="X128" s="28"/>
      <c r="Y128" s="28"/>
      <c r="Z128" s="28"/>
      <c r="AA128" s="28"/>
    </row>
    <row r="129" customFormat="false" ht="18" hidden="false" customHeight="true" outlineLevel="0" collapsed="false">
      <c r="A129" s="28"/>
      <c r="B129" s="28"/>
      <c r="C129" s="28"/>
      <c r="D129" s="28"/>
      <c r="E129" s="28"/>
      <c r="F129" s="28"/>
      <c r="G129" s="28"/>
      <c r="H129" s="28"/>
      <c r="I129" s="28"/>
      <c r="J129" s="28"/>
      <c r="K129" s="28"/>
      <c r="L129" s="26" t="s">
        <v>8216</v>
      </c>
      <c r="M129" s="28"/>
      <c r="N129" s="28"/>
      <c r="O129" s="28"/>
      <c r="P129" s="28"/>
      <c r="Q129" s="28"/>
      <c r="R129" s="28"/>
      <c r="S129" s="28"/>
      <c r="T129" s="28"/>
      <c r="U129" s="28"/>
      <c r="V129" s="28"/>
      <c r="W129" s="28"/>
      <c r="X129" s="28"/>
      <c r="Y129" s="28"/>
      <c r="Z129" s="28"/>
      <c r="AA129" s="28"/>
    </row>
    <row r="130" customFormat="false" ht="18" hidden="false" customHeight="true" outlineLevel="0" collapsed="false">
      <c r="A130" s="26" t="n">
        <v>35</v>
      </c>
      <c r="B130" s="26" t="s">
        <v>45</v>
      </c>
      <c r="C130" s="26" t="s">
        <v>49</v>
      </c>
      <c r="D130" s="26" t="s">
        <v>825</v>
      </c>
      <c r="E130" s="26" t="s">
        <v>1320</v>
      </c>
      <c r="F130" s="26" t="n">
        <v>35</v>
      </c>
      <c r="G130" s="26" t="s">
        <v>1321</v>
      </c>
      <c r="H130" s="26" t="s">
        <v>1322</v>
      </c>
      <c r="I130" s="26" t="s">
        <v>98</v>
      </c>
      <c r="J130" s="26" t="s">
        <v>1323</v>
      </c>
      <c r="K130" s="26" t="s">
        <v>1324</v>
      </c>
      <c r="L130" s="26" t="s">
        <v>1322</v>
      </c>
      <c r="M130" s="26" t="s">
        <v>8002</v>
      </c>
      <c r="N130" s="26" t="s">
        <v>8133</v>
      </c>
      <c r="O130" s="26" t="s">
        <v>1325</v>
      </c>
      <c r="P130" s="26" t="s">
        <v>7957</v>
      </c>
      <c r="Q130" s="26" t="s">
        <v>7967</v>
      </c>
      <c r="R130" s="26" t="s">
        <v>59</v>
      </c>
      <c r="S130" s="26" t="s">
        <v>1326</v>
      </c>
      <c r="T130" s="26" t="s">
        <v>59</v>
      </c>
      <c r="U130" s="26" t="s">
        <v>59</v>
      </c>
    </row>
  </sheetData>
  <mergeCells count="803">
    <mergeCell ref="A1:A8"/>
    <mergeCell ref="B1:B8"/>
    <mergeCell ref="C1:C8"/>
    <mergeCell ref="D1:D8"/>
    <mergeCell ref="E1:E8"/>
    <mergeCell ref="F1:F8"/>
    <mergeCell ref="G1:G8"/>
    <mergeCell ref="H1:H8"/>
    <mergeCell ref="I1:I8"/>
    <mergeCell ref="J1:J8"/>
    <mergeCell ref="K1:K8"/>
    <mergeCell ref="O1:O8"/>
    <mergeCell ref="P1:P8"/>
    <mergeCell ref="Q1:Q8"/>
    <mergeCell ref="R1:R8"/>
    <mergeCell ref="S1:S8"/>
    <mergeCell ref="T1:T8"/>
    <mergeCell ref="U1:U8"/>
    <mergeCell ref="V1:V8"/>
    <mergeCell ref="W1:W8"/>
    <mergeCell ref="X1:X8"/>
    <mergeCell ref="Y1:Y8"/>
    <mergeCell ref="Z1:Z8"/>
    <mergeCell ref="AA1:AA8"/>
    <mergeCell ref="A11:A13"/>
    <mergeCell ref="B11:B13"/>
    <mergeCell ref="C11:C13"/>
    <mergeCell ref="D11:D13"/>
    <mergeCell ref="E11:E13"/>
    <mergeCell ref="F11:F13"/>
    <mergeCell ref="G11:G13"/>
    <mergeCell ref="H11:H13"/>
    <mergeCell ref="I11:I13"/>
    <mergeCell ref="J11:J13"/>
    <mergeCell ref="K11:K13"/>
    <mergeCell ref="M11:M13"/>
    <mergeCell ref="N11:N13"/>
    <mergeCell ref="O11:O13"/>
    <mergeCell ref="P11:P13"/>
    <mergeCell ref="Q11:Q13"/>
    <mergeCell ref="R11:R13"/>
    <mergeCell ref="S11:S13"/>
    <mergeCell ref="T11:T13"/>
    <mergeCell ref="U11:U13"/>
    <mergeCell ref="V11:V13"/>
    <mergeCell ref="W11:W13"/>
    <mergeCell ref="X11:X13"/>
    <mergeCell ref="Y11:Y13"/>
    <mergeCell ref="Z11:Z13"/>
    <mergeCell ref="AA11:AA13"/>
    <mergeCell ref="A14:A16"/>
    <mergeCell ref="B14:B16"/>
    <mergeCell ref="C14:C16"/>
    <mergeCell ref="D14:D16"/>
    <mergeCell ref="E14:E16"/>
    <mergeCell ref="F14:F16"/>
    <mergeCell ref="G14:G16"/>
    <mergeCell ref="H14:H16"/>
    <mergeCell ref="I14:I16"/>
    <mergeCell ref="J14:J16"/>
    <mergeCell ref="K14:K16"/>
    <mergeCell ref="M14:M16"/>
    <mergeCell ref="N14:N16"/>
    <mergeCell ref="O14:O16"/>
    <mergeCell ref="P14:P16"/>
    <mergeCell ref="Q14:Q16"/>
    <mergeCell ref="R14:R16"/>
    <mergeCell ref="S14:S16"/>
    <mergeCell ref="T14:T16"/>
    <mergeCell ref="U14:U16"/>
    <mergeCell ref="V14:V16"/>
    <mergeCell ref="W14:W16"/>
    <mergeCell ref="X14:X16"/>
    <mergeCell ref="Y14:Y16"/>
    <mergeCell ref="Z14:Z16"/>
    <mergeCell ref="AA14:AA16"/>
    <mergeCell ref="A17:A19"/>
    <mergeCell ref="B17:B19"/>
    <mergeCell ref="C17:C19"/>
    <mergeCell ref="D17:D19"/>
    <mergeCell ref="E17:E19"/>
    <mergeCell ref="F17:F19"/>
    <mergeCell ref="G17:G19"/>
    <mergeCell ref="H17:H19"/>
    <mergeCell ref="I17:I19"/>
    <mergeCell ref="J17:J19"/>
    <mergeCell ref="K17:K19"/>
    <mergeCell ref="M17:M19"/>
    <mergeCell ref="N17:N19"/>
    <mergeCell ref="O17:O19"/>
    <mergeCell ref="P17:P19"/>
    <mergeCell ref="Q17:Q19"/>
    <mergeCell ref="R17:R19"/>
    <mergeCell ref="S17:S19"/>
    <mergeCell ref="T17:T19"/>
    <mergeCell ref="U17:U19"/>
    <mergeCell ref="V17:V19"/>
    <mergeCell ref="W17:W19"/>
    <mergeCell ref="X17:X19"/>
    <mergeCell ref="Y17:Y19"/>
    <mergeCell ref="Z17:Z19"/>
    <mergeCell ref="AA17:AA19"/>
    <mergeCell ref="A21:A23"/>
    <mergeCell ref="B21:B23"/>
    <mergeCell ref="C21:C23"/>
    <mergeCell ref="D21:D23"/>
    <mergeCell ref="E21:E23"/>
    <mergeCell ref="F21:F23"/>
    <mergeCell ref="G21:G23"/>
    <mergeCell ref="H21:H23"/>
    <mergeCell ref="I21:I23"/>
    <mergeCell ref="J21:J23"/>
    <mergeCell ref="K21:K23"/>
    <mergeCell ref="M21:M23"/>
    <mergeCell ref="N21:N23"/>
    <mergeCell ref="O21:O23"/>
    <mergeCell ref="P21:P23"/>
    <mergeCell ref="Q21:Q23"/>
    <mergeCell ref="R21:R23"/>
    <mergeCell ref="S21:S23"/>
    <mergeCell ref="T21:T23"/>
    <mergeCell ref="U21:U23"/>
    <mergeCell ref="V21:V23"/>
    <mergeCell ref="W21:W23"/>
    <mergeCell ref="X21:X23"/>
    <mergeCell ref="Y21:Y23"/>
    <mergeCell ref="Z21:Z23"/>
    <mergeCell ref="AA21:AA23"/>
    <mergeCell ref="A26:A28"/>
    <mergeCell ref="B26:B28"/>
    <mergeCell ref="C26:C28"/>
    <mergeCell ref="D26:D28"/>
    <mergeCell ref="E26:E28"/>
    <mergeCell ref="F26:F28"/>
    <mergeCell ref="G26:G28"/>
    <mergeCell ref="H26:H28"/>
    <mergeCell ref="I26:I28"/>
    <mergeCell ref="J26:J28"/>
    <mergeCell ref="K26:K28"/>
    <mergeCell ref="M26:M28"/>
    <mergeCell ref="N26:N28"/>
    <mergeCell ref="O26:O28"/>
    <mergeCell ref="P26:P28"/>
    <mergeCell ref="Q26:Q28"/>
    <mergeCell ref="R26:R28"/>
    <mergeCell ref="S26:S28"/>
    <mergeCell ref="T26:T28"/>
    <mergeCell ref="U26:U28"/>
    <mergeCell ref="V26:V28"/>
    <mergeCell ref="W26:W28"/>
    <mergeCell ref="X26:X28"/>
    <mergeCell ref="Y26:Y28"/>
    <mergeCell ref="Z26:Z28"/>
    <mergeCell ref="AA26:AA28"/>
    <mergeCell ref="A30:A32"/>
    <mergeCell ref="B30:B32"/>
    <mergeCell ref="C30:C32"/>
    <mergeCell ref="D30:D32"/>
    <mergeCell ref="E30:E32"/>
    <mergeCell ref="F30:F32"/>
    <mergeCell ref="G30:G32"/>
    <mergeCell ref="H30:H32"/>
    <mergeCell ref="I30:I32"/>
    <mergeCell ref="J30:J32"/>
    <mergeCell ref="K30:K32"/>
    <mergeCell ref="M30:M32"/>
    <mergeCell ref="N30:N32"/>
    <mergeCell ref="O30:O32"/>
    <mergeCell ref="P30:P32"/>
    <mergeCell ref="Q30:Q32"/>
    <mergeCell ref="R30:R32"/>
    <mergeCell ref="S30:S32"/>
    <mergeCell ref="T30:T32"/>
    <mergeCell ref="U30:U32"/>
    <mergeCell ref="V30:V32"/>
    <mergeCell ref="W30:W32"/>
    <mergeCell ref="X30:X32"/>
    <mergeCell ref="Y30:Y32"/>
    <mergeCell ref="Z30:Z32"/>
    <mergeCell ref="AA30:AA32"/>
    <mergeCell ref="A34:A36"/>
    <mergeCell ref="B34:B36"/>
    <mergeCell ref="C34:C36"/>
    <mergeCell ref="D34:D36"/>
    <mergeCell ref="E34:E36"/>
    <mergeCell ref="F34:F36"/>
    <mergeCell ref="G34:G36"/>
    <mergeCell ref="H34:H36"/>
    <mergeCell ref="I34:I36"/>
    <mergeCell ref="J34:J36"/>
    <mergeCell ref="K34:K36"/>
    <mergeCell ref="M34:M36"/>
    <mergeCell ref="N34:N36"/>
    <mergeCell ref="O34:O36"/>
    <mergeCell ref="P34:P36"/>
    <mergeCell ref="Q34:Q36"/>
    <mergeCell ref="R34:R36"/>
    <mergeCell ref="S34:S36"/>
    <mergeCell ref="T34:T36"/>
    <mergeCell ref="U34:U36"/>
    <mergeCell ref="V34:V36"/>
    <mergeCell ref="W34:W36"/>
    <mergeCell ref="X34:X36"/>
    <mergeCell ref="Y34:Y36"/>
    <mergeCell ref="Z34:Z36"/>
    <mergeCell ref="AA34:AA36"/>
    <mergeCell ref="A37:A39"/>
    <mergeCell ref="B37:B39"/>
    <mergeCell ref="C37:C39"/>
    <mergeCell ref="D37:D39"/>
    <mergeCell ref="E37:E39"/>
    <mergeCell ref="F37:F39"/>
    <mergeCell ref="G37:G39"/>
    <mergeCell ref="H37:H39"/>
    <mergeCell ref="I37:I39"/>
    <mergeCell ref="J37:J39"/>
    <mergeCell ref="K37:K39"/>
    <mergeCell ref="M37:M39"/>
    <mergeCell ref="N37:N39"/>
    <mergeCell ref="O37:O39"/>
    <mergeCell ref="P37:P39"/>
    <mergeCell ref="Q37:Q39"/>
    <mergeCell ref="R37:R39"/>
    <mergeCell ref="S37:S39"/>
    <mergeCell ref="T37:T39"/>
    <mergeCell ref="U37:U39"/>
    <mergeCell ref="V37:V39"/>
    <mergeCell ref="W37:W39"/>
    <mergeCell ref="X37:X39"/>
    <mergeCell ref="Y37:Y39"/>
    <mergeCell ref="Z37:Z39"/>
    <mergeCell ref="AA37:AA39"/>
    <mergeCell ref="A40:A42"/>
    <mergeCell ref="B40:B42"/>
    <mergeCell ref="C40:C42"/>
    <mergeCell ref="D40:D42"/>
    <mergeCell ref="E40:E42"/>
    <mergeCell ref="F40:F42"/>
    <mergeCell ref="G40:G42"/>
    <mergeCell ref="H40:H42"/>
    <mergeCell ref="I40:I42"/>
    <mergeCell ref="J40:J42"/>
    <mergeCell ref="K40:K42"/>
    <mergeCell ref="M40:M42"/>
    <mergeCell ref="N40:N42"/>
    <mergeCell ref="O40:O42"/>
    <mergeCell ref="P40:P42"/>
    <mergeCell ref="Q40:Q42"/>
    <mergeCell ref="R40:R42"/>
    <mergeCell ref="S40:S42"/>
    <mergeCell ref="T40:T42"/>
    <mergeCell ref="U40:U42"/>
    <mergeCell ref="V40:V42"/>
    <mergeCell ref="W40:W42"/>
    <mergeCell ref="X40:X42"/>
    <mergeCell ref="Y40:Y42"/>
    <mergeCell ref="Z40:Z42"/>
    <mergeCell ref="AA40:AA42"/>
    <mergeCell ref="A45:A47"/>
    <mergeCell ref="B45:B47"/>
    <mergeCell ref="C45:C47"/>
    <mergeCell ref="D45:D47"/>
    <mergeCell ref="E45:E47"/>
    <mergeCell ref="F45:F47"/>
    <mergeCell ref="G45:G47"/>
    <mergeCell ref="H45:H47"/>
    <mergeCell ref="I45:I47"/>
    <mergeCell ref="J45:J47"/>
    <mergeCell ref="K45:K47"/>
    <mergeCell ref="M45:M47"/>
    <mergeCell ref="N45:N47"/>
    <mergeCell ref="O45:O47"/>
    <mergeCell ref="P45:P47"/>
    <mergeCell ref="Q45:Q47"/>
    <mergeCell ref="R45:R47"/>
    <mergeCell ref="S45:S47"/>
    <mergeCell ref="T45:T47"/>
    <mergeCell ref="U45:U47"/>
    <mergeCell ref="V45:V47"/>
    <mergeCell ref="W45:W47"/>
    <mergeCell ref="X45:X47"/>
    <mergeCell ref="Y45:Y47"/>
    <mergeCell ref="Z45:Z47"/>
    <mergeCell ref="AA45:AA47"/>
    <mergeCell ref="A49:A51"/>
    <mergeCell ref="B49:B51"/>
    <mergeCell ref="C49:C51"/>
    <mergeCell ref="D49:D51"/>
    <mergeCell ref="E49:E51"/>
    <mergeCell ref="F49:F51"/>
    <mergeCell ref="G49:G51"/>
    <mergeCell ref="H49:H51"/>
    <mergeCell ref="I49:I51"/>
    <mergeCell ref="J49:J51"/>
    <mergeCell ref="K49:K51"/>
    <mergeCell ref="M49:M51"/>
    <mergeCell ref="N49:N51"/>
    <mergeCell ref="O49:O51"/>
    <mergeCell ref="P49:P51"/>
    <mergeCell ref="Q49:Q51"/>
    <mergeCell ref="R49:R51"/>
    <mergeCell ref="S49:S51"/>
    <mergeCell ref="T49:T51"/>
    <mergeCell ref="U49:U51"/>
    <mergeCell ref="V49:V51"/>
    <mergeCell ref="W49:W51"/>
    <mergeCell ref="X49:X51"/>
    <mergeCell ref="Y49:Y51"/>
    <mergeCell ref="Z49:Z51"/>
    <mergeCell ref="AA49:AA51"/>
    <mergeCell ref="A52:A54"/>
    <mergeCell ref="B52:B54"/>
    <mergeCell ref="C52:C54"/>
    <mergeCell ref="D52:D54"/>
    <mergeCell ref="E52:E54"/>
    <mergeCell ref="F52:F54"/>
    <mergeCell ref="G52:G54"/>
    <mergeCell ref="H52:H54"/>
    <mergeCell ref="I52:I54"/>
    <mergeCell ref="J52:J54"/>
    <mergeCell ref="K52:K54"/>
    <mergeCell ref="M52:M54"/>
    <mergeCell ref="N52:N54"/>
    <mergeCell ref="O52:O54"/>
    <mergeCell ref="P52:P54"/>
    <mergeCell ref="Q52:Q54"/>
    <mergeCell ref="R52:R54"/>
    <mergeCell ref="S52:S54"/>
    <mergeCell ref="T52:T54"/>
    <mergeCell ref="U52:U54"/>
    <mergeCell ref="V52:V54"/>
    <mergeCell ref="W52:W54"/>
    <mergeCell ref="X52:X54"/>
    <mergeCell ref="Y52:Y54"/>
    <mergeCell ref="Z52:Z54"/>
    <mergeCell ref="AA52:AA54"/>
    <mergeCell ref="A58:A60"/>
    <mergeCell ref="B58:B60"/>
    <mergeCell ref="C58:C60"/>
    <mergeCell ref="D58:D60"/>
    <mergeCell ref="E58:E60"/>
    <mergeCell ref="F58:F60"/>
    <mergeCell ref="G58:G60"/>
    <mergeCell ref="H58:H60"/>
    <mergeCell ref="I58:I60"/>
    <mergeCell ref="J58:J60"/>
    <mergeCell ref="K58:K60"/>
    <mergeCell ref="M58:M60"/>
    <mergeCell ref="N58:N60"/>
    <mergeCell ref="O58:O60"/>
    <mergeCell ref="P58:P60"/>
    <mergeCell ref="Q58:Q60"/>
    <mergeCell ref="R58:R60"/>
    <mergeCell ref="S58:S60"/>
    <mergeCell ref="T58:T60"/>
    <mergeCell ref="U58:U60"/>
    <mergeCell ref="V58:V60"/>
    <mergeCell ref="W58:W60"/>
    <mergeCell ref="X58:X60"/>
    <mergeCell ref="Y58:Y60"/>
    <mergeCell ref="Z58:Z60"/>
    <mergeCell ref="AA58:AA60"/>
    <mergeCell ref="A61:A63"/>
    <mergeCell ref="B61:B63"/>
    <mergeCell ref="C61:C63"/>
    <mergeCell ref="D61:D63"/>
    <mergeCell ref="E61:E63"/>
    <mergeCell ref="F61:F63"/>
    <mergeCell ref="G61:G63"/>
    <mergeCell ref="H61:H63"/>
    <mergeCell ref="I61:I63"/>
    <mergeCell ref="J61:J63"/>
    <mergeCell ref="K61:K63"/>
    <mergeCell ref="M61:M63"/>
    <mergeCell ref="N61:N63"/>
    <mergeCell ref="O61:O63"/>
    <mergeCell ref="P61:P63"/>
    <mergeCell ref="Q61:Q63"/>
    <mergeCell ref="R61:R63"/>
    <mergeCell ref="S61:S63"/>
    <mergeCell ref="T61:T63"/>
    <mergeCell ref="U61:U63"/>
    <mergeCell ref="V61:V63"/>
    <mergeCell ref="W61:W63"/>
    <mergeCell ref="X61:X63"/>
    <mergeCell ref="Y61:Y63"/>
    <mergeCell ref="Z61:Z63"/>
    <mergeCell ref="AA61:AA63"/>
    <mergeCell ref="A66:A68"/>
    <mergeCell ref="B66:B68"/>
    <mergeCell ref="C66:C68"/>
    <mergeCell ref="D66:D68"/>
    <mergeCell ref="E66:E68"/>
    <mergeCell ref="F66:F68"/>
    <mergeCell ref="G66:G68"/>
    <mergeCell ref="H66:H68"/>
    <mergeCell ref="I66:I68"/>
    <mergeCell ref="J66:J68"/>
    <mergeCell ref="K66:K68"/>
    <mergeCell ref="M66:M68"/>
    <mergeCell ref="N66:N68"/>
    <mergeCell ref="O66:O68"/>
    <mergeCell ref="P66:P68"/>
    <mergeCell ref="Q66:Q68"/>
    <mergeCell ref="R66:R68"/>
    <mergeCell ref="S66:S68"/>
    <mergeCell ref="T66:T68"/>
    <mergeCell ref="U66:U68"/>
    <mergeCell ref="V66:V68"/>
    <mergeCell ref="W66:W68"/>
    <mergeCell ref="X66:X68"/>
    <mergeCell ref="Y66:Y68"/>
    <mergeCell ref="Z66:Z68"/>
    <mergeCell ref="AA66:AA68"/>
    <mergeCell ref="A70:A72"/>
    <mergeCell ref="B70:B72"/>
    <mergeCell ref="C70:C72"/>
    <mergeCell ref="D70:D72"/>
    <mergeCell ref="E70:E72"/>
    <mergeCell ref="F70:F72"/>
    <mergeCell ref="G70:G72"/>
    <mergeCell ref="H70:H72"/>
    <mergeCell ref="I70:I72"/>
    <mergeCell ref="J70:J72"/>
    <mergeCell ref="K70:K72"/>
    <mergeCell ref="M70:M72"/>
    <mergeCell ref="N70:N72"/>
    <mergeCell ref="O70:O72"/>
    <mergeCell ref="P70:P72"/>
    <mergeCell ref="Q70:Q72"/>
    <mergeCell ref="R70:R72"/>
    <mergeCell ref="S70:S72"/>
    <mergeCell ref="T70:T72"/>
    <mergeCell ref="U70:U72"/>
    <mergeCell ref="V70:V72"/>
    <mergeCell ref="W70:W72"/>
    <mergeCell ref="X70:X72"/>
    <mergeCell ref="Y70:Y72"/>
    <mergeCell ref="Z70:Z72"/>
    <mergeCell ref="AA70:AA72"/>
    <mergeCell ref="A73:A77"/>
    <mergeCell ref="B73:B77"/>
    <mergeCell ref="C73:C77"/>
    <mergeCell ref="D73:D77"/>
    <mergeCell ref="E73:E77"/>
    <mergeCell ref="F73:F77"/>
    <mergeCell ref="G73:G77"/>
    <mergeCell ref="H73:H77"/>
    <mergeCell ref="I73:I77"/>
    <mergeCell ref="K73:K77"/>
    <mergeCell ref="M73:M77"/>
    <mergeCell ref="N73:N77"/>
    <mergeCell ref="O73:O77"/>
    <mergeCell ref="P73:P77"/>
    <mergeCell ref="Q73:Q77"/>
    <mergeCell ref="R73:R77"/>
    <mergeCell ref="S73:S77"/>
    <mergeCell ref="T73:T77"/>
    <mergeCell ref="U73:U77"/>
    <mergeCell ref="V73:V77"/>
    <mergeCell ref="W73:W77"/>
    <mergeCell ref="X73:X77"/>
    <mergeCell ref="Y73:Y77"/>
    <mergeCell ref="Z73:Z77"/>
    <mergeCell ref="AA73:AA77"/>
    <mergeCell ref="A78:A80"/>
    <mergeCell ref="B78:B80"/>
    <mergeCell ref="C78:C80"/>
    <mergeCell ref="D78:D80"/>
    <mergeCell ref="E78:E80"/>
    <mergeCell ref="F78:F80"/>
    <mergeCell ref="G78:G80"/>
    <mergeCell ref="H78:H80"/>
    <mergeCell ref="I78:I80"/>
    <mergeCell ref="J78:J80"/>
    <mergeCell ref="K78:K80"/>
    <mergeCell ref="M78:M80"/>
    <mergeCell ref="N78:N80"/>
    <mergeCell ref="O78:O80"/>
    <mergeCell ref="P78:P80"/>
    <mergeCell ref="Q78:Q80"/>
    <mergeCell ref="R78:R80"/>
    <mergeCell ref="S78:S80"/>
    <mergeCell ref="T78:T80"/>
    <mergeCell ref="U78:U80"/>
    <mergeCell ref="V78:V80"/>
    <mergeCell ref="W78:W80"/>
    <mergeCell ref="X78:X80"/>
    <mergeCell ref="Y78:Y80"/>
    <mergeCell ref="Z78:Z80"/>
    <mergeCell ref="AA78:AA80"/>
    <mergeCell ref="A82:A84"/>
    <mergeCell ref="B82:B84"/>
    <mergeCell ref="C82:C84"/>
    <mergeCell ref="D82:D84"/>
    <mergeCell ref="E82:E84"/>
    <mergeCell ref="F82:F84"/>
    <mergeCell ref="G82:G84"/>
    <mergeCell ref="H82:H84"/>
    <mergeCell ref="I82:I84"/>
    <mergeCell ref="J82:J84"/>
    <mergeCell ref="K82:K84"/>
    <mergeCell ref="M82:M84"/>
    <mergeCell ref="N82:N84"/>
    <mergeCell ref="O82:O84"/>
    <mergeCell ref="P82:P84"/>
    <mergeCell ref="Q82:Q84"/>
    <mergeCell ref="R82:R84"/>
    <mergeCell ref="S82:S84"/>
    <mergeCell ref="T82:T84"/>
    <mergeCell ref="U82:U84"/>
    <mergeCell ref="V82:V84"/>
    <mergeCell ref="W82:W84"/>
    <mergeCell ref="X82:X84"/>
    <mergeCell ref="Y82:Y84"/>
    <mergeCell ref="Z82:Z84"/>
    <mergeCell ref="AA82:AA84"/>
    <mergeCell ref="A85:A87"/>
    <mergeCell ref="B85:B87"/>
    <mergeCell ref="C85:C87"/>
    <mergeCell ref="D85:D87"/>
    <mergeCell ref="E85:E87"/>
    <mergeCell ref="F85:F87"/>
    <mergeCell ref="G85:G87"/>
    <mergeCell ref="H85:H87"/>
    <mergeCell ref="I85:I87"/>
    <mergeCell ref="J85:J87"/>
    <mergeCell ref="K85:K87"/>
    <mergeCell ref="M85:M87"/>
    <mergeCell ref="N85:N87"/>
    <mergeCell ref="O85:O87"/>
    <mergeCell ref="P85:P87"/>
    <mergeCell ref="Q85:Q87"/>
    <mergeCell ref="R85:R87"/>
    <mergeCell ref="S85:S87"/>
    <mergeCell ref="T85:T87"/>
    <mergeCell ref="U85:U87"/>
    <mergeCell ref="V85:V87"/>
    <mergeCell ref="W85:W87"/>
    <mergeCell ref="X85:X87"/>
    <mergeCell ref="Y85:Y87"/>
    <mergeCell ref="Z85:Z87"/>
    <mergeCell ref="AA85:AA87"/>
    <mergeCell ref="A88:A90"/>
    <mergeCell ref="B88:B90"/>
    <mergeCell ref="C88:C90"/>
    <mergeCell ref="D88:D90"/>
    <mergeCell ref="E88:E90"/>
    <mergeCell ref="F88:F90"/>
    <mergeCell ref="G88:G90"/>
    <mergeCell ref="H88:H90"/>
    <mergeCell ref="I88:I90"/>
    <mergeCell ref="J88:J90"/>
    <mergeCell ref="K88:K90"/>
    <mergeCell ref="M88:M90"/>
    <mergeCell ref="N88:N90"/>
    <mergeCell ref="O88:O90"/>
    <mergeCell ref="P88:P90"/>
    <mergeCell ref="Q88:Q90"/>
    <mergeCell ref="R88:R90"/>
    <mergeCell ref="S88:S90"/>
    <mergeCell ref="T88:T90"/>
    <mergeCell ref="U88:U90"/>
    <mergeCell ref="V88:V90"/>
    <mergeCell ref="W88:W90"/>
    <mergeCell ref="X88:X90"/>
    <mergeCell ref="Y88:Y90"/>
    <mergeCell ref="Z88:Z90"/>
    <mergeCell ref="AA88:AA90"/>
    <mergeCell ref="A91:A93"/>
    <mergeCell ref="B91:B93"/>
    <mergeCell ref="C91:C93"/>
    <mergeCell ref="D91:D93"/>
    <mergeCell ref="E91:E93"/>
    <mergeCell ref="F91:F93"/>
    <mergeCell ref="G91:G93"/>
    <mergeCell ref="H91:H93"/>
    <mergeCell ref="I91:I93"/>
    <mergeCell ref="J91:J93"/>
    <mergeCell ref="K91:K93"/>
    <mergeCell ref="M91:M93"/>
    <mergeCell ref="N91:N93"/>
    <mergeCell ref="O91:O93"/>
    <mergeCell ref="P91:P93"/>
    <mergeCell ref="Q91:Q93"/>
    <mergeCell ref="R91:R93"/>
    <mergeCell ref="S91:S93"/>
    <mergeCell ref="T91:T93"/>
    <mergeCell ref="U91:U93"/>
    <mergeCell ref="V91:V93"/>
    <mergeCell ref="W91:W93"/>
    <mergeCell ref="X91:X93"/>
    <mergeCell ref="Y91:Y93"/>
    <mergeCell ref="Z91:Z93"/>
    <mergeCell ref="AA91:AA93"/>
    <mergeCell ref="A94:A96"/>
    <mergeCell ref="B94:B96"/>
    <mergeCell ref="C94:C96"/>
    <mergeCell ref="D94:D96"/>
    <mergeCell ref="E94:E96"/>
    <mergeCell ref="F94:F96"/>
    <mergeCell ref="G94:G96"/>
    <mergeCell ref="H94:H96"/>
    <mergeCell ref="I94:I96"/>
    <mergeCell ref="J94:J96"/>
    <mergeCell ref="K94:K96"/>
    <mergeCell ref="M94:M96"/>
    <mergeCell ref="N94:N96"/>
    <mergeCell ref="O94:O96"/>
    <mergeCell ref="P94:P96"/>
    <mergeCell ref="Q94:Q96"/>
    <mergeCell ref="R94:R96"/>
    <mergeCell ref="S94:S96"/>
    <mergeCell ref="T94:T96"/>
    <mergeCell ref="U94:U96"/>
    <mergeCell ref="V94:V96"/>
    <mergeCell ref="W94:W96"/>
    <mergeCell ref="X94:X96"/>
    <mergeCell ref="Y94:Y96"/>
    <mergeCell ref="Z94:Z96"/>
    <mergeCell ref="AA94:AA96"/>
    <mergeCell ref="A97:A99"/>
    <mergeCell ref="B97:B99"/>
    <mergeCell ref="C97:C99"/>
    <mergeCell ref="D97:D99"/>
    <mergeCell ref="E97:E99"/>
    <mergeCell ref="F97:F99"/>
    <mergeCell ref="G97:G99"/>
    <mergeCell ref="H97:H99"/>
    <mergeCell ref="I97:I99"/>
    <mergeCell ref="J97:J99"/>
    <mergeCell ref="K97:K99"/>
    <mergeCell ref="M97:M99"/>
    <mergeCell ref="N97:N99"/>
    <mergeCell ref="O97:O99"/>
    <mergeCell ref="P97:P99"/>
    <mergeCell ref="Q97:Q99"/>
    <mergeCell ref="R97:R99"/>
    <mergeCell ref="S97:S99"/>
    <mergeCell ref="T97:T99"/>
    <mergeCell ref="U97:U99"/>
    <mergeCell ref="V97:V99"/>
    <mergeCell ref="W97:W99"/>
    <mergeCell ref="X97:X99"/>
    <mergeCell ref="Y97:Y99"/>
    <mergeCell ref="Z97:Z99"/>
    <mergeCell ref="AA97:AA99"/>
    <mergeCell ref="A100:A102"/>
    <mergeCell ref="B100:B102"/>
    <mergeCell ref="C100:C102"/>
    <mergeCell ref="D100:D102"/>
    <mergeCell ref="E100:E102"/>
    <mergeCell ref="F100:F102"/>
    <mergeCell ref="G100:G102"/>
    <mergeCell ref="H100:H102"/>
    <mergeCell ref="I100:I102"/>
    <mergeCell ref="J100:J102"/>
    <mergeCell ref="K100:K102"/>
    <mergeCell ref="M100:M102"/>
    <mergeCell ref="N100:N102"/>
    <mergeCell ref="O100:O102"/>
    <mergeCell ref="P100:P102"/>
    <mergeCell ref="Q100:Q102"/>
    <mergeCell ref="R100:R102"/>
    <mergeCell ref="S100:S102"/>
    <mergeCell ref="T100:T102"/>
    <mergeCell ref="U100:U102"/>
    <mergeCell ref="V100:V102"/>
    <mergeCell ref="W100:W102"/>
    <mergeCell ref="X100:X102"/>
    <mergeCell ref="Y100:Y102"/>
    <mergeCell ref="Z100:Z102"/>
    <mergeCell ref="AA100:AA102"/>
    <mergeCell ref="A103:A110"/>
    <mergeCell ref="B103:B110"/>
    <mergeCell ref="C103:C110"/>
    <mergeCell ref="D103:D110"/>
    <mergeCell ref="E103:E110"/>
    <mergeCell ref="F103:F110"/>
    <mergeCell ref="G103:G110"/>
    <mergeCell ref="H103:H110"/>
    <mergeCell ref="I103:I110"/>
    <mergeCell ref="J103:J110"/>
    <mergeCell ref="K103:K110"/>
    <mergeCell ref="M103:M110"/>
    <mergeCell ref="N103:N110"/>
    <mergeCell ref="O103:O110"/>
    <mergeCell ref="P103:P110"/>
    <mergeCell ref="Q103:Q110"/>
    <mergeCell ref="R103:R110"/>
    <mergeCell ref="S103:S110"/>
    <mergeCell ref="T103:T110"/>
    <mergeCell ref="U103:U110"/>
    <mergeCell ref="V103:V110"/>
    <mergeCell ref="W103:W110"/>
    <mergeCell ref="X103:X110"/>
    <mergeCell ref="Y103:Y110"/>
    <mergeCell ref="Z103:Z110"/>
    <mergeCell ref="AA103:AA110"/>
    <mergeCell ref="A112:A116"/>
    <mergeCell ref="B112:B116"/>
    <mergeCell ref="C112:C116"/>
    <mergeCell ref="D112:D116"/>
    <mergeCell ref="E112:E116"/>
    <mergeCell ref="F112:F116"/>
    <mergeCell ref="G112:G116"/>
    <mergeCell ref="H112:H116"/>
    <mergeCell ref="I112:I116"/>
    <mergeCell ref="J112:J116"/>
    <mergeCell ref="K112:K116"/>
    <mergeCell ref="M112:M116"/>
    <mergeCell ref="N112:N116"/>
    <mergeCell ref="O112:O116"/>
    <mergeCell ref="P112:P116"/>
    <mergeCell ref="Q112:Q116"/>
    <mergeCell ref="R112:R116"/>
    <mergeCell ref="S112:S116"/>
    <mergeCell ref="T112:T116"/>
    <mergeCell ref="U112:U116"/>
    <mergeCell ref="V112:V116"/>
    <mergeCell ref="W112:W116"/>
    <mergeCell ref="X112:X116"/>
    <mergeCell ref="Y112:Y116"/>
    <mergeCell ref="Z112:Z116"/>
    <mergeCell ref="AA112:AA116"/>
    <mergeCell ref="A117:A121"/>
    <mergeCell ref="B117:B121"/>
    <mergeCell ref="C117:C121"/>
    <mergeCell ref="D117:D121"/>
    <mergeCell ref="E117:E121"/>
    <mergeCell ref="F117:F121"/>
    <mergeCell ref="G117:G121"/>
    <mergeCell ref="H117:H121"/>
    <mergeCell ref="I117:I121"/>
    <mergeCell ref="J117:J121"/>
    <mergeCell ref="K117:K121"/>
    <mergeCell ref="M117:M121"/>
    <mergeCell ref="N117:N121"/>
    <mergeCell ref="O117:O121"/>
    <mergeCell ref="P117:P121"/>
    <mergeCell ref="Q117:Q121"/>
    <mergeCell ref="R117:R121"/>
    <mergeCell ref="S117:S121"/>
    <mergeCell ref="T117:T121"/>
    <mergeCell ref="U117:U121"/>
    <mergeCell ref="V117:V121"/>
    <mergeCell ref="W117:W121"/>
    <mergeCell ref="X117:X121"/>
    <mergeCell ref="Y117:Y121"/>
    <mergeCell ref="Z117:Z121"/>
    <mergeCell ref="AA117:AA121"/>
    <mergeCell ref="A122:A126"/>
    <mergeCell ref="B122:B126"/>
    <mergeCell ref="C122:C126"/>
    <mergeCell ref="D122:D126"/>
    <mergeCell ref="E122:E126"/>
    <mergeCell ref="F122:F126"/>
    <mergeCell ref="G122:G126"/>
    <mergeCell ref="H122:H126"/>
    <mergeCell ref="I122:I126"/>
    <mergeCell ref="J122:J126"/>
    <mergeCell ref="K122:K126"/>
    <mergeCell ref="M122:M126"/>
    <mergeCell ref="N122:N126"/>
    <mergeCell ref="O122:O126"/>
    <mergeCell ref="P122:P126"/>
    <mergeCell ref="Q122:Q126"/>
    <mergeCell ref="R122:R126"/>
    <mergeCell ref="S122:S126"/>
    <mergeCell ref="T122:T126"/>
    <mergeCell ref="U122:U126"/>
    <mergeCell ref="V122:V126"/>
    <mergeCell ref="W122:W126"/>
    <mergeCell ref="X122:X126"/>
    <mergeCell ref="Y122:Y126"/>
    <mergeCell ref="Z122:Z126"/>
    <mergeCell ref="AA122:AA126"/>
    <mergeCell ref="A127:A129"/>
    <mergeCell ref="B127:B129"/>
    <mergeCell ref="C127:C129"/>
    <mergeCell ref="D127:D129"/>
    <mergeCell ref="E127:E129"/>
    <mergeCell ref="F127:F129"/>
    <mergeCell ref="G127:G129"/>
    <mergeCell ref="H127:H129"/>
    <mergeCell ref="I127:I129"/>
    <mergeCell ref="J127:J129"/>
    <mergeCell ref="K127:K129"/>
    <mergeCell ref="M127:M129"/>
    <mergeCell ref="N127:N129"/>
    <mergeCell ref="O127:O129"/>
    <mergeCell ref="P127:P129"/>
    <mergeCell ref="Q127:Q129"/>
    <mergeCell ref="R127:R129"/>
    <mergeCell ref="S127:S129"/>
    <mergeCell ref="T127:T129"/>
    <mergeCell ref="U127:U129"/>
    <mergeCell ref="V127:V129"/>
    <mergeCell ref="W127:W129"/>
    <mergeCell ref="X127:X129"/>
    <mergeCell ref="Y127:Y129"/>
    <mergeCell ref="Z127:Z129"/>
    <mergeCell ref="AA127:AA1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3"/>
  <sheetViews>
    <sheetView showFormulas="false" showGridLines="true" showRowColHeaders="true" showZeros="true" rightToLeft="false" tabSelected="false" showOutlineSymbols="true" defaultGridColor="true" view="normal" topLeftCell="A76" colorId="64" zoomScale="100" zoomScaleNormal="100" zoomScalePageLayoutView="100" workbookViewId="0">
      <selection pane="topLeft" activeCell="B5" activeCellId="0" sqref="B5"/>
    </sheetView>
  </sheetViews>
  <sheetFormatPr defaultColWidth="36.17578125" defaultRowHeight="22.5" zeroHeight="false" outlineLevelRow="0" outlineLevelCol="0"/>
  <cols>
    <col collapsed="false" customWidth="false" hidden="false" outlineLevel="0" max="16384" min="1" style="31" width="36.18"/>
  </cols>
  <sheetData>
    <row r="1" s="33" customFormat="true" ht="87.75" hidden="false" customHeight="true" outlineLevel="0" collapsed="false">
      <c r="A1" s="32" t="s">
        <v>8217</v>
      </c>
      <c r="B1" s="32" t="s">
        <v>7937</v>
      </c>
      <c r="C1" s="32" t="s">
        <v>8218</v>
      </c>
      <c r="D1" s="32" t="s">
        <v>8219</v>
      </c>
      <c r="E1" s="32" t="s">
        <v>8220</v>
      </c>
      <c r="F1" s="32" t="s">
        <v>8221</v>
      </c>
      <c r="G1" s="32" t="s">
        <v>8222</v>
      </c>
      <c r="H1" s="32" t="s">
        <v>8223</v>
      </c>
      <c r="I1" s="32" t="s">
        <v>8224</v>
      </c>
      <c r="J1" s="32" t="s">
        <v>8225</v>
      </c>
      <c r="K1" s="32" t="s">
        <v>8226</v>
      </c>
      <c r="L1" s="32" t="s">
        <v>8227</v>
      </c>
      <c r="M1" s="32" t="s">
        <v>8228</v>
      </c>
      <c r="N1" s="32" t="s">
        <v>8229</v>
      </c>
      <c r="O1" s="32" t="s">
        <v>8230</v>
      </c>
      <c r="P1" s="32" t="s">
        <v>8231</v>
      </c>
      <c r="Q1" s="32" t="s">
        <v>8232</v>
      </c>
      <c r="R1" s="32" t="s">
        <v>8233</v>
      </c>
      <c r="S1" s="32" t="s">
        <v>8234</v>
      </c>
      <c r="T1" s="32" t="s">
        <v>8235</v>
      </c>
      <c r="U1" s="32" t="s">
        <v>8236</v>
      </c>
      <c r="V1" s="32" t="s">
        <v>8237</v>
      </c>
      <c r="W1" s="32" t="s">
        <v>8238</v>
      </c>
      <c r="X1" s="32" t="s">
        <v>8239</v>
      </c>
    </row>
    <row r="2" customFormat="false" ht="22.5" hidden="false" customHeight="true" outlineLevel="0" collapsed="false">
      <c r="A2" s="34" t="n">
        <v>63</v>
      </c>
      <c r="B2" s="34" t="s">
        <v>83</v>
      </c>
      <c r="C2" s="34" t="s">
        <v>8240</v>
      </c>
      <c r="D2" s="34" t="s">
        <v>71</v>
      </c>
      <c r="E2" s="34" t="s">
        <v>8241</v>
      </c>
      <c r="F2" s="34" t="n">
        <v>20</v>
      </c>
      <c r="G2" s="34" t="s">
        <v>8242</v>
      </c>
      <c r="H2" s="34" t="s">
        <v>1330</v>
      </c>
      <c r="I2" s="34" t="s">
        <v>8243</v>
      </c>
      <c r="J2" s="34" t="s">
        <v>1332</v>
      </c>
      <c r="K2" s="34" t="s">
        <v>1333</v>
      </c>
      <c r="L2" s="34" t="s">
        <v>1334</v>
      </c>
      <c r="M2" s="34" t="s">
        <v>8244</v>
      </c>
      <c r="N2" s="34" t="s">
        <v>8245</v>
      </c>
      <c r="O2" s="34" t="s">
        <v>8246</v>
      </c>
      <c r="P2" s="34" t="s">
        <v>8247</v>
      </c>
      <c r="Q2" s="34" t="s">
        <v>8245</v>
      </c>
      <c r="R2" s="34" t="s">
        <v>8244</v>
      </c>
      <c r="S2" s="34" t="s">
        <v>8246</v>
      </c>
      <c r="T2" s="34" t="s">
        <v>8248</v>
      </c>
      <c r="U2" s="34" t="s">
        <v>8249</v>
      </c>
      <c r="V2" s="34" t="s">
        <v>8250</v>
      </c>
      <c r="W2" s="34" t="n">
        <v>4</v>
      </c>
      <c r="X2" s="35" t="n">
        <v>5</v>
      </c>
    </row>
    <row r="3" customFormat="false" ht="22.5" hidden="false" customHeight="true" outlineLevel="0" collapsed="false">
      <c r="A3" s="36" t="n">
        <v>21</v>
      </c>
      <c r="B3" s="36" t="s">
        <v>45</v>
      </c>
      <c r="C3" s="36" t="s">
        <v>7902</v>
      </c>
      <c r="D3" s="36" t="s">
        <v>7902</v>
      </c>
      <c r="E3" s="36" t="s">
        <v>1340</v>
      </c>
      <c r="F3" s="37" t="n">
        <v>0.35</v>
      </c>
      <c r="G3" s="36" t="s">
        <v>1341</v>
      </c>
      <c r="H3" s="36" t="s">
        <v>1342</v>
      </c>
      <c r="I3" s="36" t="s">
        <v>1343</v>
      </c>
      <c r="J3" s="36" t="s">
        <v>1344</v>
      </c>
      <c r="K3" s="36" t="s">
        <v>1345</v>
      </c>
      <c r="L3" s="36" t="s">
        <v>8251</v>
      </c>
      <c r="M3" s="36" t="s">
        <v>8244</v>
      </c>
      <c r="N3" s="36" t="s">
        <v>8246</v>
      </c>
      <c r="O3" s="36" t="s">
        <v>8245</v>
      </c>
      <c r="P3" s="36" t="s">
        <v>1347</v>
      </c>
      <c r="Q3" s="36" t="s">
        <v>8244</v>
      </c>
      <c r="R3" s="36" t="s">
        <v>8245</v>
      </c>
      <c r="S3" s="36" t="s">
        <v>8246</v>
      </c>
      <c r="T3" s="36" t="s">
        <v>1348</v>
      </c>
      <c r="U3" s="36" t="s">
        <v>1349</v>
      </c>
      <c r="V3" s="36" t="s">
        <v>1350</v>
      </c>
      <c r="W3" s="36" t="n">
        <v>4</v>
      </c>
      <c r="X3" s="38" t="n">
        <v>5</v>
      </c>
    </row>
    <row r="4" customFormat="false" ht="22.5" hidden="false" customHeight="true" outlineLevel="0" collapsed="false">
      <c r="A4" s="39" t="n">
        <v>21</v>
      </c>
      <c r="B4" s="39" t="s">
        <v>45</v>
      </c>
      <c r="C4" s="39" t="s">
        <v>7853</v>
      </c>
      <c r="D4" s="39" t="s">
        <v>49</v>
      </c>
      <c r="E4" s="39" t="s">
        <v>104</v>
      </c>
      <c r="F4" s="39" t="n">
        <v>20</v>
      </c>
      <c r="G4" s="39" t="s">
        <v>1352</v>
      </c>
      <c r="H4" s="39" t="s">
        <v>1353</v>
      </c>
      <c r="I4" s="39" t="s">
        <v>8252</v>
      </c>
      <c r="J4" s="39" t="s">
        <v>1355</v>
      </c>
      <c r="K4" s="39" t="s">
        <v>1356</v>
      </c>
      <c r="L4" s="39" t="s">
        <v>8253</v>
      </c>
      <c r="M4" s="39" t="s">
        <v>8246</v>
      </c>
      <c r="N4" s="39" t="s">
        <v>8245</v>
      </c>
      <c r="O4" s="39" t="s">
        <v>8244</v>
      </c>
      <c r="P4" s="39" t="s">
        <v>8254</v>
      </c>
      <c r="Q4" s="39" t="s">
        <v>8246</v>
      </c>
      <c r="R4" s="39" t="s">
        <v>8245</v>
      </c>
      <c r="S4" s="39" t="s">
        <v>8244</v>
      </c>
      <c r="T4" s="39" t="s">
        <v>8255</v>
      </c>
      <c r="U4" s="39" t="s">
        <v>8256</v>
      </c>
      <c r="V4" s="39" t="s">
        <v>8257</v>
      </c>
      <c r="W4" s="39" t="n">
        <v>5</v>
      </c>
      <c r="X4" s="40" t="n">
        <v>5</v>
      </c>
    </row>
    <row r="5" customFormat="false" ht="22.5" hidden="false" customHeight="true" outlineLevel="0" collapsed="false">
      <c r="A5" s="36" t="n">
        <v>53</v>
      </c>
      <c r="B5" s="36" t="s">
        <v>45</v>
      </c>
      <c r="C5" s="36" t="s">
        <v>256</v>
      </c>
      <c r="D5" s="36" t="s">
        <v>8258</v>
      </c>
      <c r="E5" s="36" t="s">
        <v>8259</v>
      </c>
      <c r="F5" s="37" t="n">
        <v>0.6</v>
      </c>
      <c r="G5" s="36" t="s">
        <v>8260</v>
      </c>
      <c r="H5" s="36" t="s">
        <v>8260</v>
      </c>
      <c r="I5" s="36" t="s">
        <v>8261</v>
      </c>
      <c r="J5" s="36" t="s">
        <v>8262</v>
      </c>
      <c r="K5" s="36" t="s">
        <v>8263</v>
      </c>
      <c r="L5" s="36" t="s">
        <v>8264</v>
      </c>
      <c r="M5" s="36" t="s">
        <v>8246</v>
      </c>
      <c r="N5" s="36" t="s">
        <v>8244</v>
      </c>
      <c r="O5" s="36" t="s">
        <v>8245</v>
      </c>
      <c r="P5" s="36" t="s">
        <v>8265</v>
      </c>
      <c r="Q5" s="36" t="s">
        <v>8246</v>
      </c>
      <c r="R5" s="36" t="s">
        <v>8244</v>
      </c>
      <c r="S5" s="36" t="s">
        <v>8245</v>
      </c>
      <c r="T5" s="36" t="s">
        <v>8266</v>
      </c>
      <c r="U5" s="36" t="s">
        <v>8267</v>
      </c>
      <c r="V5" s="36" t="s">
        <v>8268</v>
      </c>
      <c r="W5" s="36" t="n">
        <v>4</v>
      </c>
      <c r="X5" s="38" t="n">
        <v>5</v>
      </c>
    </row>
    <row r="6" customFormat="false" ht="22.5" hidden="false" customHeight="true" outlineLevel="0" collapsed="false">
      <c r="A6" s="39" t="n">
        <v>55</v>
      </c>
      <c r="B6" s="39" t="s">
        <v>45</v>
      </c>
      <c r="C6" s="39" t="s">
        <v>7853</v>
      </c>
      <c r="D6" s="39" t="s">
        <v>8269</v>
      </c>
      <c r="E6" s="39" t="s">
        <v>8270</v>
      </c>
      <c r="F6" s="41" t="n">
        <v>0.4</v>
      </c>
      <c r="G6" s="39" t="s">
        <v>8271</v>
      </c>
      <c r="H6" s="39" t="s">
        <v>8272</v>
      </c>
      <c r="I6" s="39" t="s">
        <v>8273</v>
      </c>
      <c r="J6" s="39" t="s">
        <v>8274</v>
      </c>
      <c r="K6" s="39" t="s">
        <v>8275</v>
      </c>
      <c r="L6" s="39" t="s">
        <v>8276</v>
      </c>
      <c r="M6" s="39" t="s">
        <v>8246</v>
      </c>
      <c r="N6" s="39" t="s">
        <v>8244</v>
      </c>
      <c r="O6" s="39" t="s">
        <v>8245</v>
      </c>
      <c r="P6" s="39" t="s">
        <v>8277</v>
      </c>
      <c r="Q6" s="39" t="s">
        <v>8244</v>
      </c>
      <c r="R6" s="39" t="s">
        <v>8246</v>
      </c>
      <c r="S6" s="39" t="s">
        <v>8245</v>
      </c>
      <c r="T6" s="39" t="s">
        <v>8278</v>
      </c>
      <c r="U6" s="39" t="s">
        <v>8279</v>
      </c>
      <c r="V6" s="39" t="s">
        <v>8280</v>
      </c>
      <c r="W6" s="39" t="n">
        <v>1</v>
      </c>
      <c r="X6" s="40" t="n">
        <v>2</v>
      </c>
    </row>
    <row r="7" customFormat="false" ht="22.5" hidden="false" customHeight="true" outlineLevel="0" collapsed="false">
      <c r="A7" s="36" t="n">
        <v>46</v>
      </c>
      <c r="B7" s="36" t="s">
        <v>45</v>
      </c>
      <c r="C7" s="36" t="s">
        <v>8281</v>
      </c>
      <c r="D7" s="36" t="s">
        <v>825</v>
      </c>
      <c r="E7" s="36" t="s">
        <v>1387</v>
      </c>
      <c r="F7" s="37" t="n">
        <v>0.28</v>
      </c>
      <c r="G7" s="36" t="s">
        <v>1388</v>
      </c>
      <c r="H7" s="36" t="s">
        <v>1389</v>
      </c>
      <c r="I7" s="36" t="s">
        <v>8282</v>
      </c>
      <c r="J7" s="36" t="s">
        <v>1391</v>
      </c>
      <c r="K7" s="36" t="s">
        <v>1392</v>
      </c>
      <c r="L7" s="36" t="s">
        <v>1393</v>
      </c>
      <c r="M7" s="36" t="s">
        <v>8244</v>
      </c>
      <c r="N7" s="36" t="s">
        <v>8245</v>
      </c>
      <c r="O7" s="36" t="s">
        <v>8246</v>
      </c>
      <c r="P7" s="36" t="s">
        <v>1394</v>
      </c>
      <c r="Q7" s="36" t="s">
        <v>8246</v>
      </c>
      <c r="R7" s="36" t="s">
        <v>8245</v>
      </c>
      <c r="S7" s="36" t="s">
        <v>8244</v>
      </c>
      <c r="T7" s="36" t="s">
        <v>1395</v>
      </c>
      <c r="U7" s="36" t="s">
        <v>1396</v>
      </c>
      <c r="V7" s="36" t="s">
        <v>1397</v>
      </c>
      <c r="W7" s="36" t="n">
        <v>4</v>
      </c>
      <c r="X7" s="38" t="n">
        <v>5</v>
      </c>
    </row>
    <row r="8" customFormat="false" ht="22.5" hidden="false" customHeight="true" outlineLevel="0" collapsed="false">
      <c r="A8" s="39" t="n">
        <v>48</v>
      </c>
      <c r="B8" s="39" t="s">
        <v>83</v>
      </c>
      <c r="C8" s="39" t="s">
        <v>8283</v>
      </c>
      <c r="D8" s="39" t="s">
        <v>1399</v>
      </c>
      <c r="E8" s="39" t="s">
        <v>1401</v>
      </c>
      <c r="F8" s="41" t="n">
        <v>0.4</v>
      </c>
      <c r="G8" s="39" t="s">
        <v>1402</v>
      </c>
      <c r="H8" s="39" t="s">
        <v>8284</v>
      </c>
      <c r="I8" s="39" t="s">
        <v>8285</v>
      </c>
      <c r="J8" s="39" t="s">
        <v>8286</v>
      </c>
      <c r="K8" s="39" t="s">
        <v>1406</v>
      </c>
      <c r="L8" s="39" t="s">
        <v>8287</v>
      </c>
      <c r="M8" s="39" t="s">
        <v>8246</v>
      </c>
      <c r="N8" s="39" t="s">
        <v>8244</v>
      </c>
      <c r="O8" s="39" t="s">
        <v>8245</v>
      </c>
      <c r="P8" s="39" t="s">
        <v>8288</v>
      </c>
      <c r="Q8" s="39" t="s">
        <v>8244</v>
      </c>
      <c r="R8" s="39" t="s">
        <v>8245</v>
      </c>
      <c r="S8" s="39" t="s">
        <v>8246</v>
      </c>
      <c r="T8" s="39" t="s">
        <v>8289</v>
      </c>
      <c r="U8" s="39" t="s">
        <v>1410</v>
      </c>
      <c r="V8" s="39" t="s">
        <v>571</v>
      </c>
      <c r="W8" s="39" t="n">
        <v>5</v>
      </c>
      <c r="X8" s="40" t="n">
        <v>5</v>
      </c>
    </row>
    <row r="9" customFormat="false" ht="22.5" hidden="false" customHeight="true" outlineLevel="0" collapsed="false">
      <c r="A9" s="36" t="n">
        <v>54</v>
      </c>
      <c r="B9" s="36" t="s">
        <v>45</v>
      </c>
      <c r="C9" s="36" t="s">
        <v>1412</v>
      </c>
      <c r="D9" s="36" t="s">
        <v>1363</v>
      </c>
      <c r="E9" s="36" t="s">
        <v>8290</v>
      </c>
      <c r="F9" s="36" t="s">
        <v>8291</v>
      </c>
      <c r="G9" s="36" t="s">
        <v>8292</v>
      </c>
      <c r="H9" s="36" t="s">
        <v>8293</v>
      </c>
      <c r="I9" s="36" t="s">
        <v>59</v>
      </c>
      <c r="J9" s="36" t="s">
        <v>1417</v>
      </c>
      <c r="K9" s="36" t="s">
        <v>1418</v>
      </c>
      <c r="L9" s="36" t="s">
        <v>1419</v>
      </c>
      <c r="M9" s="36" t="s">
        <v>8246</v>
      </c>
      <c r="N9" s="36" t="s">
        <v>8245</v>
      </c>
      <c r="O9" s="36" t="s">
        <v>8244</v>
      </c>
      <c r="P9" s="36" t="s">
        <v>1420</v>
      </c>
      <c r="Q9" s="36" t="s">
        <v>8246</v>
      </c>
      <c r="R9" s="36" t="s">
        <v>8244</v>
      </c>
      <c r="S9" s="36" t="s">
        <v>8245</v>
      </c>
      <c r="T9" s="36" t="s">
        <v>8294</v>
      </c>
      <c r="U9" s="36" t="s">
        <v>1422</v>
      </c>
      <c r="V9" s="36" t="s">
        <v>59</v>
      </c>
      <c r="W9" s="36" t="n">
        <v>4</v>
      </c>
      <c r="X9" s="38" t="n">
        <v>4</v>
      </c>
    </row>
    <row r="10" customFormat="false" ht="22.5" hidden="false" customHeight="true" outlineLevel="0" collapsed="false">
      <c r="A10" s="39" t="n">
        <v>60</v>
      </c>
      <c r="B10" s="39" t="s">
        <v>8295</v>
      </c>
      <c r="C10" s="39" t="s">
        <v>1363</v>
      </c>
      <c r="D10" s="39" t="s">
        <v>1363</v>
      </c>
      <c r="E10" s="39" t="s">
        <v>1424</v>
      </c>
      <c r="F10" s="41" t="n">
        <v>0.6</v>
      </c>
      <c r="G10" s="39" t="s">
        <v>1425</v>
      </c>
      <c r="H10" s="39" t="s">
        <v>8296</v>
      </c>
      <c r="I10" s="39" t="s">
        <v>1427</v>
      </c>
      <c r="J10" s="39" t="s">
        <v>1428</v>
      </c>
      <c r="K10" s="39" t="s">
        <v>8297</v>
      </c>
      <c r="L10" s="39" t="s">
        <v>1430</v>
      </c>
      <c r="M10" s="39" t="s">
        <v>8244</v>
      </c>
      <c r="N10" s="39" t="s">
        <v>8246</v>
      </c>
      <c r="O10" s="39" t="s">
        <v>8245</v>
      </c>
      <c r="P10" s="39" t="s">
        <v>1431</v>
      </c>
      <c r="Q10" s="39" t="s">
        <v>8246</v>
      </c>
      <c r="R10" s="39" t="s">
        <v>8245</v>
      </c>
      <c r="S10" s="39" t="s">
        <v>8244</v>
      </c>
      <c r="T10" s="39" t="s">
        <v>1432</v>
      </c>
      <c r="U10" s="39" t="s">
        <v>1433</v>
      </c>
      <c r="V10" s="39" t="s">
        <v>8298</v>
      </c>
      <c r="W10" s="39" t="n">
        <v>5</v>
      </c>
      <c r="X10" s="40" t="n">
        <v>5</v>
      </c>
    </row>
    <row r="11" customFormat="false" ht="22.5" hidden="false" customHeight="true" outlineLevel="0" collapsed="false">
      <c r="A11" s="36" t="n">
        <v>75</v>
      </c>
      <c r="B11" s="36" t="s">
        <v>45</v>
      </c>
      <c r="C11" s="36" t="s">
        <v>8299</v>
      </c>
      <c r="D11" s="36" t="s">
        <v>8299</v>
      </c>
      <c r="E11" s="36" t="s">
        <v>1436</v>
      </c>
      <c r="F11" s="37" t="n">
        <v>0.2</v>
      </c>
      <c r="G11" s="36" t="s">
        <v>1437</v>
      </c>
      <c r="H11" s="36" t="s">
        <v>1438</v>
      </c>
      <c r="I11" s="36" t="s">
        <v>98</v>
      </c>
      <c r="J11" s="36" t="s">
        <v>8300</v>
      </c>
      <c r="K11" s="36" t="s">
        <v>8301</v>
      </c>
      <c r="L11" s="36" t="s">
        <v>1441</v>
      </c>
      <c r="M11" s="36" t="s">
        <v>8246</v>
      </c>
      <c r="N11" s="36" t="s">
        <v>8245</v>
      </c>
      <c r="O11" s="36" t="s">
        <v>8244</v>
      </c>
      <c r="P11" s="36" t="s">
        <v>1442</v>
      </c>
      <c r="Q11" s="36" t="s">
        <v>8246</v>
      </c>
      <c r="R11" s="36" t="s">
        <v>8245</v>
      </c>
      <c r="S11" s="36" t="s">
        <v>8244</v>
      </c>
      <c r="T11" s="36" t="s">
        <v>1443</v>
      </c>
      <c r="U11" s="36" t="s">
        <v>1444</v>
      </c>
      <c r="V11" s="36" t="s">
        <v>1445</v>
      </c>
      <c r="W11" s="36" t="n">
        <v>4</v>
      </c>
      <c r="X11" s="38" t="n">
        <v>5</v>
      </c>
    </row>
    <row r="12" customFormat="false" ht="22.5" hidden="false" customHeight="true" outlineLevel="0" collapsed="false">
      <c r="A12" s="39" t="n">
        <v>19</v>
      </c>
      <c r="B12" s="39" t="s">
        <v>8302</v>
      </c>
      <c r="C12" s="39" t="s">
        <v>71</v>
      </c>
      <c r="D12" s="39" t="s">
        <v>71</v>
      </c>
      <c r="E12" s="39" t="s">
        <v>1448</v>
      </c>
      <c r="F12" s="39" t="n">
        <v>20</v>
      </c>
      <c r="G12" s="39" t="s">
        <v>1449</v>
      </c>
      <c r="H12" s="39" t="s">
        <v>1450</v>
      </c>
      <c r="I12" s="39" t="s">
        <v>1390</v>
      </c>
      <c r="J12" s="39" t="s">
        <v>1451</v>
      </c>
      <c r="K12" s="39" t="s">
        <v>1452</v>
      </c>
      <c r="L12" s="39" t="s">
        <v>1453</v>
      </c>
      <c r="M12" s="39" t="s">
        <v>8246</v>
      </c>
      <c r="N12" s="39" t="s">
        <v>8245</v>
      </c>
      <c r="O12" s="39" t="s">
        <v>8244</v>
      </c>
      <c r="P12" s="39" t="s">
        <v>8303</v>
      </c>
      <c r="Q12" s="39" t="s">
        <v>8246</v>
      </c>
      <c r="R12" s="39" t="s">
        <v>8245</v>
      </c>
      <c r="S12" s="39" t="s">
        <v>8244</v>
      </c>
      <c r="T12" s="39" t="s">
        <v>1455</v>
      </c>
      <c r="U12" s="39" t="s">
        <v>1456</v>
      </c>
      <c r="V12" s="39" t="s">
        <v>1457</v>
      </c>
      <c r="W12" s="39" t="n">
        <v>4</v>
      </c>
      <c r="X12" s="40" t="n">
        <v>4</v>
      </c>
    </row>
    <row r="13" customFormat="false" ht="22.5" hidden="false" customHeight="true" outlineLevel="0" collapsed="false">
      <c r="A13" s="36" t="n">
        <v>57</v>
      </c>
      <c r="B13" s="36" t="s">
        <v>45</v>
      </c>
      <c r="C13" s="36" t="s">
        <v>8258</v>
      </c>
      <c r="D13" s="36" t="s">
        <v>47</v>
      </c>
      <c r="E13" s="36" t="s">
        <v>8304</v>
      </c>
      <c r="F13" s="37" t="n">
        <v>0.4</v>
      </c>
      <c r="G13" s="36" t="s">
        <v>1460</v>
      </c>
      <c r="H13" s="36" t="s">
        <v>8305</v>
      </c>
      <c r="I13" s="36" t="s">
        <v>1462</v>
      </c>
      <c r="J13" s="36" t="s">
        <v>1463</v>
      </c>
      <c r="K13" s="36" t="s">
        <v>1464</v>
      </c>
      <c r="L13" s="36" t="s">
        <v>8306</v>
      </c>
      <c r="M13" s="36" t="s">
        <v>8244</v>
      </c>
      <c r="N13" s="36" t="s">
        <v>8245</v>
      </c>
      <c r="O13" s="36" t="s">
        <v>8246</v>
      </c>
      <c r="P13" s="36" t="s">
        <v>8307</v>
      </c>
      <c r="Q13" s="36" t="s">
        <v>8244</v>
      </c>
      <c r="R13" s="36" t="s">
        <v>8245</v>
      </c>
      <c r="S13" s="36" t="s">
        <v>8246</v>
      </c>
      <c r="T13" s="36" t="s">
        <v>8308</v>
      </c>
      <c r="U13" s="36" t="s">
        <v>8309</v>
      </c>
      <c r="V13" s="36" t="s">
        <v>8310</v>
      </c>
      <c r="W13" s="36" t="n">
        <v>3</v>
      </c>
      <c r="X13" s="38" t="n">
        <v>5</v>
      </c>
    </row>
    <row r="14" customFormat="false" ht="22.5" hidden="false" customHeight="true" outlineLevel="0" collapsed="false">
      <c r="A14" s="39" t="n">
        <v>52</v>
      </c>
      <c r="B14" s="39" t="s">
        <v>45</v>
      </c>
      <c r="C14" s="39" t="s">
        <v>61</v>
      </c>
      <c r="D14" s="39" t="s">
        <v>8311</v>
      </c>
      <c r="E14" s="39" t="s">
        <v>8312</v>
      </c>
      <c r="F14" s="41" t="n">
        <v>0.2</v>
      </c>
      <c r="G14" s="39" t="s">
        <v>1472</v>
      </c>
      <c r="H14" s="39" t="s">
        <v>8313</v>
      </c>
      <c r="I14" s="39" t="s">
        <v>8314</v>
      </c>
      <c r="J14" s="39" t="s">
        <v>1475</v>
      </c>
      <c r="K14" s="39" t="s">
        <v>1476</v>
      </c>
      <c r="L14" s="39" t="s">
        <v>1477</v>
      </c>
      <c r="M14" s="39" t="s">
        <v>8246</v>
      </c>
      <c r="N14" s="39" t="s">
        <v>8244</v>
      </c>
      <c r="O14" s="39" t="s">
        <v>8245</v>
      </c>
      <c r="P14" s="39" t="s">
        <v>8315</v>
      </c>
      <c r="Q14" s="39" t="s">
        <v>8246</v>
      </c>
      <c r="R14" s="39" t="s">
        <v>8244</v>
      </c>
      <c r="S14" s="39" t="s">
        <v>8245</v>
      </c>
      <c r="T14" s="39" t="s">
        <v>1479</v>
      </c>
      <c r="U14" s="39" t="s">
        <v>8316</v>
      </c>
      <c r="V14" s="39" t="s">
        <v>8317</v>
      </c>
      <c r="W14" s="39" t="n">
        <v>5</v>
      </c>
      <c r="X14" s="40" t="n">
        <v>5</v>
      </c>
    </row>
    <row r="15" customFormat="false" ht="22.5" hidden="false" customHeight="true" outlineLevel="0" collapsed="false">
      <c r="A15" s="36" t="n">
        <v>51</v>
      </c>
      <c r="B15" s="36" t="s">
        <v>83</v>
      </c>
      <c r="C15" s="36" t="s">
        <v>8318</v>
      </c>
      <c r="D15" s="36" t="s">
        <v>8319</v>
      </c>
      <c r="E15" s="36" t="s">
        <v>8320</v>
      </c>
      <c r="F15" s="37" t="n">
        <v>0.25</v>
      </c>
      <c r="G15" s="36" t="s">
        <v>8321</v>
      </c>
      <c r="H15" s="36" t="s">
        <v>8322</v>
      </c>
      <c r="I15" s="36" t="s">
        <v>8323</v>
      </c>
      <c r="J15" s="36" t="s">
        <v>8324</v>
      </c>
      <c r="K15" s="36" t="s">
        <v>1488</v>
      </c>
      <c r="L15" s="36" t="s">
        <v>8325</v>
      </c>
      <c r="M15" s="36" t="s">
        <v>8246</v>
      </c>
      <c r="N15" s="36" t="s">
        <v>8245</v>
      </c>
      <c r="O15" s="36" t="s">
        <v>8244</v>
      </c>
      <c r="P15" s="36" t="s">
        <v>8326</v>
      </c>
      <c r="Q15" s="36" t="s">
        <v>8244</v>
      </c>
      <c r="R15" s="36" t="s">
        <v>8244</v>
      </c>
      <c r="S15" s="36" t="s">
        <v>8245</v>
      </c>
      <c r="T15" s="36" t="s">
        <v>8327</v>
      </c>
      <c r="U15" s="36" t="s">
        <v>8328</v>
      </c>
      <c r="V15" s="36" t="s">
        <v>8329</v>
      </c>
      <c r="W15" s="36" t="n">
        <v>4</v>
      </c>
      <c r="X15" s="38" t="n">
        <v>5</v>
      </c>
    </row>
    <row r="16" customFormat="false" ht="22.5" hidden="false" customHeight="true" outlineLevel="0" collapsed="false">
      <c r="A16" s="39" t="n">
        <v>21</v>
      </c>
      <c r="B16" s="39" t="s">
        <v>45</v>
      </c>
      <c r="C16" s="39" t="s">
        <v>8330</v>
      </c>
      <c r="D16" s="39" t="s">
        <v>8331</v>
      </c>
      <c r="E16" s="39" t="s">
        <v>1495</v>
      </c>
      <c r="F16" s="41" t="n">
        <v>0.3</v>
      </c>
      <c r="G16" s="39" t="s">
        <v>1496</v>
      </c>
      <c r="H16" s="39" t="s">
        <v>1497</v>
      </c>
      <c r="I16" s="39" t="s">
        <v>1498</v>
      </c>
      <c r="J16" s="39" t="s">
        <v>1499</v>
      </c>
      <c r="K16" s="39" t="s">
        <v>1500</v>
      </c>
      <c r="L16" s="39" t="s">
        <v>1501</v>
      </c>
      <c r="M16" s="39" t="s">
        <v>8246</v>
      </c>
      <c r="N16" s="39" t="s">
        <v>8245</v>
      </c>
      <c r="O16" s="39" t="s">
        <v>8244</v>
      </c>
      <c r="P16" s="39" t="s">
        <v>8332</v>
      </c>
      <c r="Q16" s="39" t="s">
        <v>8246</v>
      </c>
      <c r="R16" s="39" t="s">
        <v>8245</v>
      </c>
      <c r="S16" s="39" t="s">
        <v>8244</v>
      </c>
      <c r="T16" s="39" t="s">
        <v>8333</v>
      </c>
      <c r="U16" s="39" t="s">
        <v>8334</v>
      </c>
      <c r="V16" s="39" t="s">
        <v>1505</v>
      </c>
      <c r="W16" s="39" t="n">
        <v>4</v>
      </c>
      <c r="X16" s="40" t="n">
        <v>5</v>
      </c>
    </row>
    <row r="17" customFormat="false" ht="22.5" hidden="false" customHeight="true" outlineLevel="0" collapsed="false">
      <c r="A17" s="36" t="n">
        <v>57</v>
      </c>
      <c r="B17" s="36" t="s">
        <v>45</v>
      </c>
      <c r="C17" s="36" t="s">
        <v>1363</v>
      </c>
      <c r="D17" s="36" t="s">
        <v>1363</v>
      </c>
      <c r="E17" s="36" t="s">
        <v>1507</v>
      </c>
      <c r="F17" s="37" t="n">
        <v>0.35</v>
      </c>
      <c r="G17" s="36" t="s">
        <v>1508</v>
      </c>
      <c r="H17" s="36" t="s">
        <v>8335</v>
      </c>
      <c r="I17" s="36" t="s">
        <v>8336</v>
      </c>
      <c r="J17" s="36" t="s">
        <v>1511</v>
      </c>
      <c r="K17" s="36" t="s">
        <v>1512</v>
      </c>
      <c r="L17" s="36" t="s">
        <v>1513</v>
      </c>
      <c r="M17" s="36" t="s">
        <v>8246</v>
      </c>
      <c r="N17" s="36" t="s">
        <v>8245</v>
      </c>
      <c r="O17" s="36" t="s">
        <v>8244</v>
      </c>
      <c r="P17" s="36" t="s">
        <v>1514</v>
      </c>
      <c r="Q17" s="36" t="s">
        <v>8246</v>
      </c>
      <c r="R17" s="36" t="s">
        <v>8245</v>
      </c>
      <c r="S17" s="36" t="s">
        <v>8244</v>
      </c>
      <c r="T17" s="36" t="s">
        <v>1515</v>
      </c>
      <c r="U17" s="36" t="s">
        <v>1516</v>
      </c>
      <c r="V17" s="36" t="s">
        <v>8337</v>
      </c>
      <c r="W17" s="36" t="n">
        <v>5</v>
      </c>
      <c r="X17" s="38" t="n">
        <v>5</v>
      </c>
    </row>
    <row r="18" customFormat="false" ht="22.5" hidden="false" customHeight="true" outlineLevel="0" collapsed="false">
      <c r="A18" s="39" t="n">
        <v>24</v>
      </c>
      <c r="B18" s="39" t="s">
        <v>8338</v>
      </c>
      <c r="C18" s="39" t="s">
        <v>8339</v>
      </c>
      <c r="D18" s="39" t="s">
        <v>1519</v>
      </c>
      <c r="E18" s="39" t="s">
        <v>8340</v>
      </c>
      <c r="F18" s="39" t="n">
        <v>20</v>
      </c>
      <c r="G18" s="39" t="s">
        <v>8341</v>
      </c>
      <c r="H18" s="39" t="s">
        <v>1522</v>
      </c>
      <c r="I18" s="39" t="s">
        <v>1523</v>
      </c>
      <c r="J18" s="39" t="s">
        <v>8342</v>
      </c>
      <c r="K18" s="39" t="s">
        <v>8343</v>
      </c>
      <c r="L18" s="39" t="s">
        <v>1526</v>
      </c>
      <c r="M18" s="39" t="s">
        <v>8244</v>
      </c>
      <c r="N18" s="39" t="s">
        <v>8245</v>
      </c>
      <c r="O18" s="39" t="s">
        <v>8246</v>
      </c>
      <c r="P18" s="39" t="s">
        <v>1527</v>
      </c>
      <c r="Q18" s="39" t="s">
        <v>8246</v>
      </c>
      <c r="R18" s="39" t="s">
        <v>8245</v>
      </c>
      <c r="S18" s="39" t="s">
        <v>8244</v>
      </c>
      <c r="T18" s="39" t="s">
        <v>1528</v>
      </c>
      <c r="U18" s="39" t="s">
        <v>1529</v>
      </c>
      <c r="V18" s="39" t="s">
        <v>1530</v>
      </c>
      <c r="W18" s="39" t="n">
        <v>4</v>
      </c>
      <c r="X18" s="40" t="n">
        <v>5</v>
      </c>
    </row>
    <row r="19" customFormat="false" ht="22.5" hidden="false" customHeight="true" outlineLevel="0" collapsed="false">
      <c r="A19" s="36" t="n">
        <v>22</v>
      </c>
      <c r="B19" s="36" t="s">
        <v>83</v>
      </c>
      <c r="C19" s="36" t="s">
        <v>1532</v>
      </c>
      <c r="D19" s="36" t="s">
        <v>1532</v>
      </c>
      <c r="E19" s="36" t="s">
        <v>1533</v>
      </c>
      <c r="F19" s="37" t="n">
        <v>0.14</v>
      </c>
      <c r="G19" s="36" t="s">
        <v>1534</v>
      </c>
      <c r="H19" s="36" t="s">
        <v>1535</v>
      </c>
      <c r="I19" s="36" t="s">
        <v>1536</v>
      </c>
      <c r="J19" s="36" t="s">
        <v>1537</v>
      </c>
      <c r="K19" s="36" t="s">
        <v>1538</v>
      </c>
      <c r="L19" s="36" t="s">
        <v>1539</v>
      </c>
      <c r="M19" s="36" t="s">
        <v>8246</v>
      </c>
      <c r="N19" s="36" t="s">
        <v>8245</v>
      </c>
      <c r="O19" s="36" t="s">
        <v>8244</v>
      </c>
      <c r="P19" s="36" t="s">
        <v>1540</v>
      </c>
      <c r="Q19" s="36" t="s">
        <v>8244</v>
      </c>
      <c r="R19" s="36" t="s">
        <v>8245</v>
      </c>
      <c r="S19" s="36" t="s">
        <v>8246</v>
      </c>
      <c r="T19" s="36" t="s">
        <v>1541</v>
      </c>
      <c r="U19" s="36" t="s">
        <v>1542</v>
      </c>
      <c r="V19" s="36" t="s">
        <v>1543</v>
      </c>
      <c r="W19" s="36" t="n">
        <v>5</v>
      </c>
      <c r="X19" s="38" t="n">
        <v>5</v>
      </c>
    </row>
    <row r="20" customFormat="false" ht="22.5" hidden="false" customHeight="true" outlineLevel="0" collapsed="false">
      <c r="A20" s="39" t="n">
        <v>23</v>
      </c>
      <c r="B20" s="39" t="s">
        <v>8338</v>
      </c>
      <c r="C20" s="39" t="s">
        <v>8344</v>
      </c>
      <c r="D20" s="39" t="s">
        <v>8344</v>
      </c>
      <c r="E20" s="39" t="s">
        <v>1545</v>
      </c>
      <c r="F20" s="41" t="n">
        <v>0.26</v>
      </c>
      <c r="G20" s="39" t="s">
        <v>8345</v>
      </c>
      <c r="H20" s="39" t="s">
        <v>1547</v>
      </c>
      <c r="I20" s="39" t="s">
        <v>59</v>
      </c>
      <c r="J20" s="39" t="s">
        <v>1548</v>
      </c>
      <c r="K20" s="39" t="s">
        <v>8346</v>
      </c>
      <c r="L20" s="39" t="s">
        <v>1550</v>
      </c>
      <c r="M20" s="39" t="s">
        <v>8246</v>
      </c>
      <c r="N20" s="39" t="s">
        <v>8245</v>
      </c>
      <c r="O20" s="39" t="s">
        <v>8245</v>
      </c>
      <c r="P20" s="39" t="s">
        <v>1551</v>
      </c>
      <c r="Q20" s="39" t="s">
        <v>8244</v>
      </c>
      <c r="R20" s="39" t="s">
        <v>8245</v>
      </c>
      <c r="S20" s="39" t="s">
        <v>8245</v>
      </c>
      <c r="T20" s="39" t="s">
        <v>1552</v>
      </c>
      <c r="U20" s="39" t="s">
        <v>1553</v>
      </c>
      <c r="V20" s="39" t="s">
        <v>1554</v>
      </c>
      <c r="W20" s="39" t="n">
        <v>4</v>
      </c>
      <c r="X20" s="40" t="n">
        <v>5</v>
      </c>
    </row>
    <row r="21" customFormat="false" ht="22.5" hidden="false" customHeight="true" outlineLevel="0" collapsed="false">
      <c r="A21" s="36" t="n">
        <v>20</v>
      </c>
      <c r="B21" s="36" t="s">
        <v>1556</v>
      </c>
      <c r="C21" s="36" t="s">
        <v>1363</v>
      </c>
      <c r="D21" s="36" t="s">
        <v>159</v>
      </c>
      <c r="E21" s="36" t="s">
        <v>1557</v>
      </c>
      <c r="F21" s="37" t="n">
        <v>0.3</v>
      </c>
      <c r="G21" s="36" t="s">
        <v>1558</v>
      </c>
      <c r="H21" s="36" t="s">
        <v>1559</v>
      </c>
      <c r="I21" s="36" t="s">
        <v>1560</v>
      </c>
      <c r="J21" s="36" t="s">
        <v>1561</v>
      </c>
      <c r="K21" s="36" t="s">
        <v>8347</v>
      </c>
      <c r="L21" s="36" t="s">
        <v>8348</v>
      </c>
      <c r="M21" s="36" t="s">
        <v>8246</v>
      </c>
      <c r="N21" s="36" t="s">
        <v>8245</v>
      </c>
      <c r="O21" s="36" t="s">
        <v>8244</v>
      </c>
      <c r="P21" s="36" t="s">
        <v>1564</v>
      </c>
      <c r="Q21" s="36" t="s">
        <v>8244</v>
      </c>
      <c r="R21" s="36" t="s">
        <v>8245</v>
      </c>
      <c r="S21" s="36" t="s">
        <v>8246</v>
      </c>
      <c r="T21" s="36" t="s">
        <v>1565</v>
      </c>
      <c r="U21" s="36" t="s">
        <v>1566</v>
      </c>
      <c r="V21" s="36" t="s">
        <v>1567</v>
      </c>
      <c r="W21" s="36" t="n">
        <v>3</v>
      </c>
      <c r="X21" s="38" t="n">
        <v>5</v>
      </c>
    </row>
    <row r="22" customFormat="false" ht="22.5" hidden="false" customHeight="true" outlineLevel="0" collapsed="false">
      <c r="A22" s="39" t="n">
        <v>21</v>
      </c>
      <c r="B22" s="39" t="s">
        <v>83</v>
      </c>
      <c r="C22" s="39" t="s">
        <v>8349</v>
      </c>
      <c r="D22" s="39" t="s">
        <v>8349</v>
      </c>
      <c r="E22" s="39" t="s">
        <v>8350</v>
      </c>
      <c r="F22" s="39" t="n">
        <v>20</v>
      </c>
      <c r="G22" s="39" t="s">
        <v>1572</v>
      </c>
      <c r="H22" s="39" t="s">
        <v>8351</v>
      </c>
      <c r="I22" s="39" t="s">
        <v>1574</v>
      </c>
      <c r="J22" s="39" t="s">
        <v>1575</v>
      </c>
      <c r="K22" s="39" t="s">
        <v>1576</v>
      </c>
      <c r="L22" s="39" t="s">
        <v>8352</v>
      </c>
      <c r="M22" s="39" t="s">
        <v>8246</v>
      </c>
      <c r="N22" s="39" t="s">
        <v>8245</v>
      </c>
      <c r="O22" s="39" t="s">
        <v>8244</v>
      </c>
      <c r="P22" s="39" t="s">
        <v>1578</v>
      </c>
      <c r="Q22" s="39" t="s">
        <v>8246</v>
      </c>
      <c r="R22" s="39" t="s">
        <v>8245</v>
      </c>
      <c r="S22" s="39" t="s">
        <v>8244</v>
      </c>
      <c r="T22" s="39" t="s">
        <v>1579</v>
      </c>
      <c r="U22" s="39" t="s">
        <v>8353</v>
      </c>
      <c r="V22" s="39" t="s">
        <v>1581</v>
      </c>
      <c r="W22" s="39" t="n">
        <v>3</v>
      </c>
      <c r="X22" s="40" t="n">
        <v>4</v>
      </c>
    </row>
    <row r="23" customFormat="false" ht="22.5" hidden="false" customHeight="true" outlineLevel="0" collapsed="false">
      <c r="A23" s="36" t="n">
        <v>21</v>
      </c>
      <c r="B23" s="36" t="s">
        <v>8354</v>
      </c>
      <c r="C23" s="36" t="s">
        <v>1583</v>
      </c>
      <c r="D23" s="36" t="s">
        <v>1583</v>
      </c>
      <c r="E23" s="36" t="s">
        <v>8355</v>
      </c>
      <c r="F23" s="37" t="n">
        <v>0.3</v>
      </c>
      <c r="G23" s="36" t="s">
        <v>8356</v>
      </c>
      <c r="H23" s="36" t="s">
        <v>1402</v>
      </c>
      <c r="I23" s="36" t="s">
        <v>8357</v>
      </c>
      <c r="J23" s="36" t="s">
        <v>1586</v>
      </c>
      <c r="K23" s="36" t="s">
        <v>8358</v>
      </c>
      <c r="L23" s="36" t="s">
        <v>8359</v>
      </c>
      <c r="M23" s="36" t="s">
        <v>8246</v>
      </c>
      <c r="N23" s="36" t="s">
        <v>8245</v>
      </c>
      <c r="O23" s="36" t="s">
        <v>8244</v>
      </c>
      <c r="P23" s="36" t="s">
        <v>8360</v>
      </c>
      <c r="Q23" s="36" t="s">
        <v>8244</v>
      </c>
      <c r="R23" s="36" t="s">
        <v>8245</v>
      </c>
      <c r="S23" s="36" t="s">
        <v>8246</v>
      </c>
      <c r="T23" s="36" t="s">
        <v>8361</v>
      </c>
      <c r="U23" s="36" t="s">
        <v>8362</v>
      </c>
      <c r="V23" s="36" t="s">
        <v>1592</v>
      </c>
      <c r="W23" s="36" t="n">
        <v>5</v>
      </c>
      <c r="X23" s="38" t="n">
        <v>5</v>
      </c>
    </row>
    <row r="24" customFormat="false" ht="22.5" hidden="false" customHeight="true" outlineLevel="0" collapsed="false">
      <c r="A24" s="39" t="n">
        <v>57</v>
      </c>
      <c r="B24" s="39" t="s">
        <v>45</v>
      </c>
      <c r="C24" s="39" t="s">
        <v>7839</v>
      </c>
      <c r="D24" s="39" t="s">
        <v>8363</v>
      </c>
      <c r="E24" s="39" t="s">
        <v>1594</v>
      </c>
      <c r="F24" s="39" t="n">
        <v>40</v>
      </c>
      <c r="G24" s="39" t="s">
        <v>8364</v>
      </c>
      <c r="H24" s="39" t="s">
        <v>8365</v>
      </c>
      <c r="I24" s="39" t="s">
        <v>59</v>
      </c>
      <c r="J24" s="39" t="s">
        <v>8366</v>
      </c>
      <c r="K24" s="39" t="s">
        <v>8367</v>
      </c>
      <c r="L24" s="39" t="s">
        <v>8368</v>
      </c>
      <c r="M24" s="39" t="s">
        <v>8246</v>
      </c>
      <c r="N24" s="39" t="s">
        <v>8244</v>
      </c>
      <c r="O24" s="39" t="s">
        <v>8245</v>
      </c>
      <c r="P24" s="39" t="s">
        <v>1599</v>
      </c>
      <c r="Q24" s="39" t="s">
        <v>8246</v>
      </c>
      <c r="R24" s="39" t="s">
        <v>8244</v>
      </c>
      <c r="S24" s="39" t="s">
        <v>8245</v>
      </c>
      <c r="T24" s="39" t="n">
        <v>3</v>
      </c>
      <c r="U24" s="39" t="s">
        <v>8369</v>
      </c>
      <c r="V24" s="39" t="s">
        <v>1602</v>
      </c>
      <c r="W24" s="39" t="n">
        <v>5</v>
      </c>
      <c r="X24" s="40" t="n">
        <v>5</v>
      </c>
    </row>
    <row r="25" customFormat="false" ht="22.5" hidden="false" customHeight="true" outlineLevel="0" collapsed="false">
      <c r="A25" s="36" t="n">
        <v>19</v>
      </c>
      <c r="B25" s="36" t="s">
        <v>45</v>
      </c>
      <c r="C25" s="36" t="s">
        <v>7933</v>
      </c>
      <c r="D25" s="36" t="s">
        <v>8370</v>
      </c>
      <c r="E25" s="36" t="s">
        <v>311</v>
      </c>
      <c r="F25" s="37" t="n">
        <v>0.3</v>
      </c>
      <c r="G25" s="36" t="s">
        <v>1604</v>
      </c>
      <c r="H25" s="36" t="s">
        <v>1605</v>
      </c>
      <c r="I25" s="36" t="s">
        <v>1606</v>
      </c>
      <c r="J25" s="36" t="s">
        <v>1607</v>
      </c>
      <c r="K25" s="36" t="s">
        <v>1608</v>
      </c>
      <c r="L25" s="36" t="s">
        <v>1609</v>
      </c>
      <c r="M25" s="36" t="s">
        <v>8245</v>
      </c>
      <c r="N25" s="36" t="s">
        <v>8244</v>
      </c>
      <c r="O25" s="36" t="s">
        <v>8246</v>
      </c>
      <c r="P25" s="36" t="s">
        <v>1610</v>
      </c>
      <c r="Q25" s="36" t="s">
        <v>8245</v>
      </c>
      <c r="R25" s="36" t="s">
        <v>8244</v>
      </c>
      <c r="S25" s="36" t="s">
        <v>8246</v>
      </c>
      <c r="T25" s="36" t="s">
        <v>1611</v>
      </c>
      <c r="U25" s="36" t="s">
        <v>1612</v>
      </c>
      <c r="V25" s="36" t="s">
        <v>1613</v>
      </c>
      <c r="W25" s="36" t="n">
        <v>5</v>
      </c>
      <c r="X25" s="38" t="n">
        <v>5</v>
      </c>
    </row>
    <row r="26" customFormat="false" ht="22.5" hidden="false" customHeight="true" outlineLevel="0" collapsed="false">
      <c r="A26" s="39" t="n">
        <v>39</v>
      </c>
      <c r="B26" s="39" t="s">
        <v>8338</v>
      </c>
      <c r="C26" s="39" t="s">
        <v>8371</v>
      </c>
      <c r="D26" s="39" t="s">
        <v>8372</v>
      </c>
      <c r="E26" s="39" t="s">
        <v>1615</v>
      </c>
      <c r="F26" s="41" t="n">
        <v>0.4</v>
      </c>
      <c r="G26" s="39" t="s">
        <v>8373</v>
      </c>
      <c r="H26" s="39" t="s">
        <v>1617</v>
      </c>
      <c r="I26" s="39" t="s">
        <v>8374</v>
      </c>
      <c r="J26" s="39" t="s">
        <v>1619</v>
      </c>
      <c r="K26" s="39" t="s">
        <v>8375</v>
      </c>
      <c r="L26" s="39" t="s">
        <v>8376</v>
      </c>
      <c r="M26" s="39" t="s">
        <v>8245</v>
      </c>
      <c r="N26" s="39" t="s">
        <v>8244</v>
      </c>
      <c r="O26" s="39" t="s">
        <v>8246</v>
      </c>
      <c r="P26" s="39" t="s">
        <v>8377</v>
      </c>
      <c r="Q26" s="39" t="s">
        <v>8246</v>
      </c>
      <c r="R26" s="39" t="s">
        <v>8244</v>
      </c>
      <c r="S26" s="39" t="s">
        <v>8245</v>
      </c>
      <c r="T26" s="39" t="s">
        <v>1623</v>
      </c>
      <c r="U26" s="39" t="s">
        <v>1624</v>
      </c>
      <c r="V26" s="39" t="s">
        <v>8378</v>
      </c>
      <c r="W26" s="39" t="n">
        <v>4</v>
      </c>
      <c r="X26" s="40" t="n">
        <v>4</v>
      </c>
    </row>
    <row r="27" customFormat="false" ht="22.5" hidden="false" customHeight="true" outlineLevel="0" collapsed="false">
      <c r="A27" s="36" t="n">
        <v>23</v>
      </c>
      <c r="B27" s="36" t="s">
        <v>45</v>
      </c>
      <c r="C27" s="36" t="s">
        <v>8379</v>
      </c>
      <c r="D27" s="36" t="s">
        <v>8380</v>
      </c>
      <c r="E27" s="36" t="s">
        <v>1628</v>
      </c>
      <c r="F27" s="37" t="n">
        <v>0.2</v>
      </c>
      <c r="G27" s="36" t="s">
        <v>1629</v>
      </c>
      <c r="H27" s="36" t="s">
        <v>1630</v>
      </c>
      <c r="I27" s="36" t="s">
        <v>8381</v>
      </c>
      <c r="J27" s="36" t="s">
        <v>1632</v>
      </c>
      <c r="K27" s="36" t="s">
        <v>8382</v>
      </c>
      <c r="L27" s="36" t="s">
        <v>8383</v>
      </c>
      <c r="M27" s="36" t="s">
        <v>8244</v>
      </c>
      <c r="N27" s="36" t="s">
        <v>8245</v>
      </c>
      <c r="O27" s="36" t="s">
        <v>8246</v>
      </c>
      <c r="P27" s="36" t="s">
        <v>8384</v>
      </c>
      <c r="Q27" s="36" t="s">
        <v>8244</v>
      </c>
      <c r="R27" s="36" t="s">
        <v>8245</v>
      </c>
      <c r="S27" s="36" t="s">
        <v>8246</v>
      </c>
      <c r="T27" s="36" t="s">
        <v>8385</v>
      </c>
      <c r="U27" s="36" t="s">
        <v>8386</v>
      </c>
      <c r="V27" s="36" t="s">
        <v>8387</v>
      </c>
      <c r="W27" s="36" t="n">
        <v>4</v>
      </c>
      <c r="X27" s="38" t="n">
        <v>5</v>
      </c>
    </row>
    <row r="28" customFormat="false" ht="22.5" hidden="false" customHeight="true" outlineLevel="0" collapsed="false">
      <c r="A28" s="39" t="n">
        <v>22</v>
      </c>
      <c r="B28" s="39" t="s">
        <v>83</v>
      </c>
      <c r="C28" s="39" t="s">
        <v>8311</v>
      </c>
      <c r="D28" s="39" t="s">
        <v>49</v>
      </c>
      <c r="E28" s="39" t="s">
        <v>8388</v>
      </c>
      <c r="F28" s="41" t="n">
        <v>0.47</v>
      </c>
      <c r="G28" s="39" t="s">
        <v>8389</v>
      </c>
      <c r="H28" s="39" t="s">
        <v>1642</v>
      </c>
      <c r="I28" s="39" t="s">
        <v>98</v>
      </c>
      <c r="J28" s="39" t="s">
        <v>1643</v>
      </c>
      <c r="K28" s="39" t="s">
        <v>8390</v>
      </c>
      <c r="L28" s="39" t="s">
        <v>8391</v>
      </c>
      <c r="M28" s="39" t="s">
        <v>8246</v>
      </c>
      <c r="N28" s="39" t="s">
        <v>8245</v>
      </c>
      <c r="O28" s="39" t="s">
        <v>8244</v>
      </c>
      <c r="P28" s="39" t="s">
        <v>8392</v>
      </c>
      <c r="Q28" s="39" t="s">
        <v>8246</v>
      </c>
      <c r="R28" s="39" t="s">
        <v>8245</v>
      </c>
      <c r="S28" s="39" t="s">
        <v>8244</v>
      </c>
      <c r="T28" s="39" t="s">
        <v>1647</v>
      </c>
      <c r="U28" s="39" t="s">
        <v>8393</v>
      </c>
      <c r="V28" s="39" t="s">
        <v>8394</v>
      </c>
      <c r="W28" s="39" t="n">
        <v>3</v>
      </c>
      <c r="X28" s="40" t="n">
        <v>5</v>
      </c>
    </row>
    <row r="29" customFormat="false" ht="22.5" hidden="false" customHeight="true" outlineLevel="0" collapsed="false">
      <c r="A29" s="36" t="n">
        <v>21</v>
      </c>
      <c r="B29" s="36" t="s">
        <v>45</v>
      </c>
      <c r="C29" s="36" t="s">
        <v>8395</v>
      </c>
      <c r="D29" s="36" t="s">
        <v>8396</v>
      </c>
      <c r="E29" s="36" t="s">
        <v>8397</v>
      </c>
      <c r="F29" s="37" t="n">
        <v>0.27</v>
      </c>
      <c r="G29" s="36" t="s">
        <v>8398</v>
      </c>
      <c r="H29" s="36" t="s">
        <v>1653</v>
      </c>
      <c r="I29" s="36" t="s">
        <v>1654</v>
      </c>
      <c r="J29" s="36" t="s">
        <v>1655</v>
      </c>
      <c r="K29" s="36" t="s">
        <v>1656</v>
      </c>
      <c r="L29" s="36" t="s">
        <v>8399</v>
      </c>
      <c r="M29" s="36" t="s">
        <v>8244</v>
      </c>
      <c r="N29" s="36" t="s">
        <v>8245</v>
      </c>
      <c r="O29" s="36" t="s">
        <v>8246</v>
      </c>
      <c r="P29" s="36" t="s">
        <v>1658</v>
      </c>
      <c r="Q29" s="36" t="s">
        <v>8246</v>
      </c>
      <c r="R29" s="36" t="s">
        <v>8244</v>
      </c>
      <c r="S29" s="36" t="s">
        <v>8245</v>
      </c>
      <c r="T29" s="36" t="s">
        <v>1659</v>
      </c>
      <c r="U29" s="36" t="s">
        <v>1660</v>
      </c>
      <c r="V29" s="36" t="s">
        <v>1661</v>
      </c>
      <c r="W29" s="36" t="n">
        <v>3</v>
      </c>
      <c r="X29" s="38" t="n">
        <v>4</v>
      </c>
    </row>
    <row r="30" customFormat="false" ht="22.5" hidden="false" customHeight="true" outlineLevel="0" collapsed="false">
      <c r="A30" s="39" t="n">
        <v>22</v>
      </c>
      <c r="B30" s="39" t="s">
        <v>8400</v>
      </c>
      <c r="C30" s="39" t="s">
        <v>8401</v>
      </c>
      <c r="D30" s="39" t="s">
        <v>49</v>
      </c>
      <c r="E30" s="39" t="s">
        <v>8402</v>
      </c>
      <c r="F30" s="39" t="n">
        <v>40</v>
      </c>
      <c r="G30" s="39" t="s">
        <v>1664</v>
      </c>
      <c r="H30" s="39" t="s">
        <v>1665</v>
      </c>
      <c r="I30" s="39" t="s">
        <v>8403</v>
      </c>
      <c r="J30" s="39" t="s">
        <v>1667</v>
      </c>
      <c r="K30" s="39" t="s">
        <v>1668</v>
      </c>
      <c r="L30" s="39" t="s">
        <v>8404</v>
      </c>
      <c r="M30" s="39" t="s">
        <v>8244</v>
      </c>
      <c r="N30" s="39" t="s">
        <v>8245</v>
      </c>
      <c r="O30" s="39" t="s">
        <v>8246</v>
      </c>
      <c r="P30" s="39" t="s">
        <v>1670</v>
      </c>
      <c r="Q30" s="39" t="s">
        <v>8244</v>
      </c>
      <c r="R30" s="39" t="s">
        <v>8245</v>
      </c>
      <c r="S30" s="39" t="s">
        <v>8246</v>
      </c>
      <c r="T30" s="39" t="s">
        <v>1671</v>
      </c>
      <c r="U30" s="39" t="s">
        <v>1672</v>
      </c>
      <c r="V30" s="39" t="s">
        <v>1673</v>
      </c>
      <c r="W30" s="39" t="n">
        <v>4</v>
      </c>
      <c r="X30" s="40" t="n">
        <v>5</v>
      </c>
    </row>
    <row r="31" customFormat="false" ht="22.5" hidden="false" customHeight="true" outlineLevel="0" collapsed="false">
      <c r="A31" s="36" t="n">
        <v>19</v>
      </c>
      <c r="B31" s="36" t="s">
        <v>45</v>
      </c>
      <c r="C31" s="36" t="s">
        <v>71</v>
      </c>
      <c r="D31" s="36" t="s">
        <v>71</v>
      </c>
      <c r="E31" s="36" t="s">
        <v>1675</v>
      </c>
      <c r="F31" s="36" t="n">
        <v>30</v>
      </c>
      <c r="G31" s="36" t="s">
        <v>1676</v>
      </c>
      <c r="H31" s="36" t="s">
        <v>1677</v>
      </c>
      <c r="I31" s="36" t="s">
        <v>1678</v>
      </c>
      <c r="J31" s="36" t="s">
        <v>1679</v>
      </c>
      <c r="K31" s="36" t="s">
        <v>1680</v>
      </c>
      <c r="L31" s="36" t="s">
        <v>1681</v>
      </c>
      <c r="M31" s="36" t="s">
        <v>8245</v>
      </c>
      <c r="N31" s="36" t="s">
        <v>8246</v>
      </c>
      <c r="O31" s="36" t="s">
        <v>8244</v>
      </c>
      <c r="P31" s="36" t="s">
        <v>1682</v>
      </c>
      <c r="Q31" s="36" t="s">
        <v>8246</v>
      </c>
      <c r="R31" s="36" t="s">
        <v>8245</v>
      </c>
      <c r="S31" s="36" t="s">
        <v>8244</v>
      </c>
      <c r="T31" s="36" t="s">
        <v>1683</v>
      </c>
      <c r="U31" s="36" t="s">
        <v>1684</v>
      </c>
      <c r="V31" s="36" t="s">
        <v>1685</v>
      </c>
      <c r="W31" s="36" t="n">
        <v>4</v>
      </c>
      <c r="X31" s="38" t="n">
        <v>5</v>
      </c>
    </row>
    <row r="32" customFormat="false" ht="22.5" hidden="false" customHeight="true" outlineLevel="0" collapsed="false">
      <c r="A32" s="39" t="n">
        <v>23</v>
      </c>
      <c r="B32" s="39" t="s">
        <v>45</v>
      </c>
      <c r="C32" s="39" t="s">
        <v>1687</v>
      </c>
      <c r="D32" s="39" t="s">
        <v>7756</v>
      </c>
      <c r="E32" s="39" t="s">
        <v>104</v>
      </c>
      <c r="F32" s="39" t="n">
        <v>25</v>
      </c>
      <c r="G32" s="39" t="s">
        <v>1688</v>
      </c>
      <c r="H32" s="39" t="s">
        <v>8405</v>
      </c>
      <c r="I32" s="39" t="s">
        <v>1690</v>
      </c>
      <c r="J32" s="39" t="s">
        <v>8406</v>
      </c>
      <c r="K32" s="39" t="s">
        <v>1692</v>
      </c>
      <c r="L32" s="39" t="s">
        <v>1693</v>
      </c>
      <c r="M32" s="39" t="s">
        <v>8246</v>
      </c>
      <c r="N32" s="39" t="s">
        <v>8244</v>
      </c>
      <c r="O32" s="39" t="s">
        <v>8245</v>
      </c>
      <c r="P32" s="39" t="s">
        <v>1694</v>
      </c>
      <c r="Q32" s="39" t="s">
        <v>8246</v>
      </c>
      <c r="R32" s="39" t="s">
        <v>8244</v>
      </c>
      <c r="S32" s="39" t="s">
        <v>8245</v>
      </c>
      <c r="T32" s="39" t="s">
        <v>1695</v>
      </c>
      <c r="U32" s="39" t="s">
        <v>8407</v>
      </c>
      <c r="V32" s="39" t="s">
        <v>8408</v>
      </c>
      <c r="W32" s="39" t="n">
        <v>4</v>
      </c>
      <c r="X32" s="40" t="n">
        <v>4</v>
      </c>
    </row>
    <row r="33" customFormat="false" ht="22.5" hidden="false" customHeight="true" outlineLevel="0" collapsed="false">
      <c r="A33" s="36" t="n">
        <v>16</v>
      </c>
      <c r="B33" s="36" t="s">
        <v>1556</v>
      </c>
      <c r="C33" s="36" t="s">
        <v>46</v>
      </c>
      <c r="D33" s="36" t="s">
        <v>46</v>
      </c>
      <c r="E33" s="36" t="s">
        <v>1699</v>
      </c>
      <c r="F33" s="37" t="n">
        <v>0.3</v>
      </c>
      <c r="G33" s="36" t="s">
        <v>1700</v>
      </c>
      <c r="H33" s="36" t="s">
        <v>8409</v>
      </c>
      <c r="I33" s="36" t="s">
        <v>1702</v>
      </c>
      <c r="J33" s="36" t="s">
        <v>8410</v>
      </c>
      <c r="K33" s="36" t="s">
        <v>1704</v>
      </c>
      <c r="L33" s="36" t="s">
        <v>1705</v>
      </c>
      <c r="M33" s="36" t="s">
        <v>8244</v>
      </c>
      <c r="N33" s="36" t="s">
        <v>8245</v>
      </c>
      <c r="O33" s="36" t="s">
        <v>8246</v>
      </c>
      <c r="P33" s="36" t="s">
        <v>1706</v>
      </c>
      <c r="Q33" s="36" t="s">
        <v>8244</v>
      </c>
      <c r="R33" s="36" t="s">
        <v>8245</v>
      </c>
      <c r="S33" s="36" t="s">
        <v>8246</v>
      </c>
      <c r="T33" s="36" t="s">
        <v>8411</v>
      </c>
      <c r="U33" s="36" t="s">
        <v>1708</v>
      </c>
      <c r="V33" s="36" t="s">
        <v>1709</v>
      </c>
      <c r="W33" s="36" t="n">
        <v>4</v>
      </c>
      <c r="X33" s="38" t="n">
        <v>5</v>
      </c>
    </row>
    <row r="34" customFormat="false" ht="22.5" hidden="false" customHeight="true" outlineLevel="0" collapsed="false">
      <c r="A34" s="39" t="n">
        <v>20</v>
      </c>
      <c r="B34" s="39" t="s">
        <v>45</v>
      </c>
      <c r="C34" s="39" t="s">
        <v>8396</v>
      </c>
      <c r="D34" s="39" t="s">
        <v>8396</v>
      </c>
      <c r="E34" s="39" t="s">
        <v>311</v>
      </c>
      <c r="F34" s="39" t="n">
        <v>40</v>
      </c>
      <c r="G34" s="39" t="s">
        <v>1711</v>
      </c>
      <c r="H34" s="39" t="s">
        <v>1712</v>
      </c>
      <c r="I34" s="39" t="s">
        <v>1713</v>
      </c>
      <c r="J34" s="39" t="s">
        <v>1714</v>
      </c>
      <c r="K34" s="39" t="s">
        <v>1715</v>
      </c>
      <c r="L34" s="39" t="s">
        <v>1716</v>
      </c>
      <c r="M34" s="39" t="s">
        <v>8246</v>
      </c>
      <c r="N34" s="39" t="s">
        <v>8245</v>
      </c>
      <c r="O34" s="39" t="s">
        <v>8244</v>
      </c>
      <c r="P34" s="39" t="s">
        <v>1717</v>
      </c>
      <c r="Q34" s="39" t="s">
        <v>8246</v>
      </c>
      <c r="R34" s="39" t="s">
        <v>8245</v>
      </c>
      <c r="S34" s="39" t="s">
        <v>8244</v>
      </c>
      <c r="T34" s="39" t="s">
        <v>1718</v>
      </c>
      <c r="U34" s="39" t="s">
        <v>1719</v>
      </c>
      <c r="V34" s="39" t="s">
        <v>1720</v>
      </c>
      <c r="W34" s="39" t="n">
        <v>5</v>
      </c>
      <c r="X34" s="40" t="n">
        <v>5</v>
      </c>
    </row>
    <row r="35" customFormat="false" ht="22.5" hidden="false" customHeight="true" outlineLevel="0" collapsed="false">
      <c r="A35" s="36" t="n">
        <v>53</v>
      </c>
      <c r="B35" s="36" t="s">
        <v>83</v>
      </c>
      <c r="C35" s="36" t="s">
        <v>8412</v>
      </c>
      <c r="D35" s="36" t="s">
        <v>8413</v>
      </c>
      <c r="E35" s="36" t="s">
        <v>1724</v>
      </c>
      <c r="F35" s="36" t="n">
        <v>20</v>
      </c>
      <c r="G35" s="36" t="s">
        <v>1725</v>
      </c>
      <c r="H35" s="36" t="s">
        <v>1726</v>
      </c>
      <c r="I35" s="36" t="s">
        <v>1727</v>
      </c>
      <c r="J35" s="36" t="s">
        <v>8414</v>
      </c>
      <c r="K35" s="36" t="s">
        <v>1729</v>
      </c>
      <c r="L35" s="36" t="s">
        <v>1730</v>
      </c>
      <c r="M35" s="36" t="s">
        <v>8246</v>
      </c>
      <c r="N35" s="36" t="s">
        <v>8244</v>
      </c>
      <c r="O35" s="36" t="s">
        <v>8245</v>
      </c>
      <c r="P35" s="36" t="s">
        <v>5</v>
      </c>
      <c r="Q35" s="36" t="s">
        <v>8245</v>
      </c>
      <c r="R35" s="36" t="s">
        <v>8244</v>
      </c>
      <c r="S35" s="36" t="s">
        <v>8244</v>
      </c>
      <c r="T35" s="36" t="s">
        <v>1731</v>
      </c>
      <c r="U35" s="36" t="s">
        <v>1732</v>
      </c>
      <c r="V35" s="36" t="s">
        <v>59</v>
      </c>
      <c r="W35" s="36" t="n">
        <v>4</v>
      </c>
      <c r="X35" s="38" t="n">
        <v>4</v>
      </c>
    </row>
    <row r="36" customFormat="false" ht="22.5" hidden="false" customHeight="true" outlineLevel="0" collapsed="false">
      <c r="A36" s="39" t="n">
        <v>53</v>
      </c>
      <c r="B36" s="39" t="s">
        <v>83</v>
      </c>
      <c r="C36" s="39" t="s">
        <v>47</v>
      </c>
      <c r="D36" s="39" t="s">
        <v>47</v>
      </c>
      <c r="E36" s="39" t="s">
        <v>1734</v>
      </c>
      <c r="F36" s="39" t="n">
        <v>12</v>
      </c>
      <c r="G36" s="39" t="s">
        <v>1735</v>
      </c>
      <c r="H36" s="39" t="s">
        <v>8415</v>
      </c>
      <c r="I36" s="39" t="s">
        <v>1737</v>
      </c>
      <c r="J36" s="39" t="s">
        <v>1738</v>
      </c>
      <c r="K36" s="39" t="s">
        <v>1739</v>
      </c>
      <c r="L36" s="39" t="s">
        <v>1740</v>
      </c>
      <c r="M36" s="39" t="s">
        <v>8245</v>
      </c>
      <c r="N36" s="39" t="s">
        <v>8245</v>
      </c>
      <c r="O36" s="39" t="s">
        <v>8245</v>
      </c>
      <c r="P36" s="39" t="s">
        <v>8416</v>
      </c>
      <c r="Q36" s="39" t="s">
        <v>8245</v>
      </c>
      <c r="R36" s="39" t="s">
        <v>8245</v>
      </c>
      <c r="S36" s="39" t="s">
        <v>8245</v>
      </c>
      <c r="T36" s="39" t="s">
        <v>1742</v>
      </c>
      <c r="U36" s="39" t="s">
        <v>1743</v>
      </c>
      <c r="V36" s="39" t="s">
        <v>8417</v>
      </c>
      <c r="W36" s="39" t="n">
        <v>5</v>
      </c>
      <c r="X36" s="40" t="n">
        <v>5</v>
      </c>
    </row>
    <row r="37" customFormat="false" ht="22.5" hidden="false" customHeight="true" outlineLevel="0" collapsed="false">
      <c r="A37" s="36" t="n">
        <v>32</v>
      </c>
      <c r="B37" s="36" t="s">
        <v>83</v>
      </c>
      <c r="C37" s="36" t="s">
        <v>8418</v>
      </c>
      <c r="D37" s="36" t="s">
        <v>50</v>
      </c>
      <c r="E37" s="36" t="s">
        <v>1748</v>
      </c>
      <c r="F37" s="37" t="n">
        <v>0.3</v>
      </c>
      <c r="G37" s="36" t="s">
        <v>1749</v>
      </c>
      <c r="H37" s="36" t="s">
        <v>1750</v>
      </c>
      <c r="I37" s="36" t="s">
        <v>1751</v>
      </c>
      <c r="J37" s="36" t="s">
        <v>1752</v>
      </c>
      <c r="K37" s="36" t="s">
        <v>1753</v>
      </c>
      <c r="L37" s="36" t="s">
        <v>1754</v>
      </c>
      <c r="M37" s="36" t="s">
        <v>8244</v>
      </c>
      <c r="N37" s="36" t="s">
        <v>8245</v>
      </c>
      <c r="O37" s="36" t="s">
        <v>8246</v>
      </c>
      <c r="P37" s="36" t="s">
        <v>8419</v>
      </c>
      <c r="Q37" s="36" t="s">
        <v>8244</v>
      </c>
      <c r="R37" s="36" t="s">
        <v>8245</v>
      </c>
      <c r="S37" s="36" t="s">
        <v>8246</v>
      </c>
      <c r="T37" s="36" t="s">
        <v>1756</v>
      </c>
      <c r="U37" s="36" t="s">
        <v>1757</v>
      </c>
      <c r="V37" s="36" t="s">
        <v>1758</v>
      </c>
      <c r="W37" s="36" t="n">
        <v>4</v>
      </c>
      <c r="X37" s="38" t="n">
        <v>5</v>
      </c>
    </row>
    <row r="38" customFormat="false" ht="22.5" hidden="false" customHeight="true" outlineLevel="0" collapsed="false">
      <c r="A38" s="39" t="n">
        <v>50</v>
      </c>
      <c r="B38" s="39" t="s">
        <v>83</v>
      </c>
      <c r="C38" s="39" t="s">
        <v>1025</v>
      </c>
      <c r="D38" s="39" t="s">
        <v>8420</v>
      </c>
      <c r="E38" s="39" t="s">
        <v>8421</v>
      </c>
      <c r="F38" s="39" t="n">
        <v>40</v>
      </c>
      <c r="G38" s="39" t="s">
        <v>8422</v>
      </c>
      <c r="H38" s="39" t="s">
        <v>1762</v>
      </c>
      <c r="I38" s="39" t="s">
        <v>8423</v>
      </c>
      <c r="J38" s="39" t="s">
        <v>8424</v>
      </c>
      <c r="K38" s="39" t="s">
        <v>59</v>
      </c>
      <c r="L38" s="39" t="s">
        <v>1765</v>
      </c>
      <c r="M38" s="39" t="s">
        <v>8244</v>
      </c>
      <c r="N38" s="39" t="s">
        <v>8244</v>
      </c>
      <c r="O38" s="39" t="s">
        <v>8245</v>
      </c>
      <c r="P38" s="39" t="s">
        <v>1766</v>
      </c>
      <c r="Q38" s="39" t="s">
        <v>8244</v>
      </c>
      <c r="R38" s="39" t="s">
        <v>8244</v>
      </c>
      <c r="S38" s="39" t="s">
        <v>8245</v>
      </c>
      <c r="T38" s="39" t="s">
        <v>1767</v>
      </c>
      <c r="U38" s="39" t="s">
        <v>1768</v>
      </c>
      <c r="V38" s="39" t="s">
        <v>59</v>
      </c>
      <c r="W38" s="39" t="n">
        <v>5</v>
      </c>
      <c r="X38" s="40" t="n">
        <v>5</v>
      </c>
    </row>
    <row r="39" customFormat="false" ht="22.5" hidden="false" customHeight="true" outlineLevel="0" collapsed="false">
      <c r="A39" s="36" t="n">
        <v>52</v>
      </c>
      <c r="B39" s="36" t="s">
        <v>83</v>
      </c>
      <c r="C39" s="36" t="s">
        <v>47</v>
      </c>
      <c r="D39" s="36" t="s">
        <v>47</v>
      </c>
      <c r="E39" s="36" t="s">
        <v>8425</v>
      </c>
      <c r="F39" s="36" t="n">
        <v>45</v>
      </c>
      <c r="G39" s="36" t="s">
        <v>1771</v>
      </c>
      <c r="H39" s="36" t="s">
        <v>8426</v>
      </c>
      <c r="I39" s="36" t="s">
        <v>98</v>
      </c>
      <c r="J39" s="36" t="s">
        <v>8427</v>
      </c>
      <c r="K39" s="36" t="s">
        <v>59</v>
      </c>
      <c r="L39" s="36" t="s">
        <v>1774</v>
      </c>
      <c r="M39" s="36" t="s">
        <v>8244</v>
      </c>
      <c r="N39" s="36" t="s">
        <v>8245</v>
      </c>
      <c r="O39" s="36" t="s">
        <v>8245</v>
      </c>
      <c r="P39" s="36" t="s">
        <v>8428</v>
      </c>
      <c r="Q39" s="36" t="s">
        <v>8244</v>
      </c>
      <c r="R39" s="36" t="s">
        <v>8245</v>
      </c>
      <c r="S39" s="36" t="s">
        <v>8245</v>
      </c>
      <c r="T39" s="36" t="s">
        <v>1776</v>
      </c>
      <c r="U39" s="36" t="s">
        <v>8429</v>
      </c>
      <c r="V39" s="36" t="s">
        <v>59</v>
      </c>
      <c r="W39" s="36" t="n">
        <v>3</v>
      </c>
      <c r="X39" s="38" t="n">
        <v>3</v>
      </c>
    </row>
    <row r="40" customFormat="false" ht="22.5" hidden="false" customHeight="true" outlineLevel="0" collapsed="false">
      <c r="A40" s="39" t="n">
        <v>18</v>
      </c>
      <c r="B40" s="39" t="s">
        <v>45</v>
      </c>
      <c r="C40" s="39" t="s">
        <v>8430</v>
      </c>
      <c r="D40" s="39" t="s">
        <v>47</v>
      </c>
      <c r="E40" s="39" t="s">
        <v>1779</v>
      </c>
      <c r="F40" s="41" t="n">
        <v>0.3</v>
      </c>
      <c r="G40" s="39" t="s">
        <v>1780</v>
      </c>
      <c r="H40" s="39" t="s">
        <v>1781</v>
      </c>
      <c r="I40" s="39" t="s">
        <v>1782</v>
      </c>
      <c r="J40" s="39" t="s">
        <v>1783</v>
      </c>
      <c r="K40" s="39" t="s">
        <v>1784</v>
      </c>
      <c r="L40" s="39" t="s">
        <v>1785</v>
      </c>
      <c r="M40" s="39" t="s">
        <v>8246</v>
      </c>
      <c r="N40" s="39" t="s">
        <v>8244</v>
      </c>
      <c r="O40" s="39" t="s">
        <v>8245</v>
      </c>
      <c r="P40" s="39" t="s">
        <v>1786</v>
      </c>
      <c r="Q40" s="39" t="s">
        <v>8245</v>
      </c>
      <c r="R40" s="39" t="s">
        <v>8246</v>
      </c>
      <c r="S40" s="39" t="s">
        <v>8245</v>
      </c>
      <c r="T40" s="39" t="s">
        <v>8431</v>
      </c>
      <c r="U40" s="39" t="s">
        <v>1788</v>
      </c>
      <c r="V40" s="39" t="s">
        <v>8432</v>
      </c>
      <c r="W40" s="39" t="n">
        <v>5</v>
      </c>
      <c r="X40" s="40" t="n">
        <v>5</v>
      </c>
    </row>
    <row r="41" customFormat="false" ht="22.5" hidden="false" customHeight="true" outlineLevel="0" collapsed="false">
      <c r="A41" s="36" t="n">
        <v>45</v>
      </c>
      <c r="B41" s="36" t="s">
        <v>45</v>
      </c>
      <c r="C41" s="36" t="s">
        <v>8433</v>
      </c>
      <c r="D41" s="36" t="s">
        <v>8434</v>
      </c>
      <c r="E41" s="36" t="s">
        <v>8435</v>
      </c>
      <c r="F41" s="36" t="n">
        <v>50</v>
      </c>
      <c r="G41" s="36" t="s">
        <v>8436</v>
      </c>
      <c r="H41" s="36" t="s">
        <v>8437</v>
      </c>
      <c r="I41" s="36" t="s">
        <v>8438</v>
      </c>
      <c r="J41" s="36" t="s">
        <v>8439</v>
      </c>
      <c r="K41" s="36" t="s">
        <v>8440</v>
      </c>
      <c r="L41" s="36" t="s">
        <v>8441</v>
      </c>
      <c r="M41" s="36" t="s">
        <v>8245</v>
      </c>
      <c r="N41" s="36" t="s">
        <v>8245</v>
      </c>
      <c r="O41" s="36" t="s">
        <v>8245</v>
      </c>
      <c r="P41" s="36" t="s">
        <v>8442</v>
      </c>
      <c r="Q41" s="36" t="s">
        <v>8245</v>
      </c>
      <c r="R41" s="36" t="s">
        <v>8245</v>
      </c>
      <c r="S41" s="36" t="s">
        <v>8245</v>
      </c>
      <c r="T41" s="36" t="s">
        <v>8443</v>
      </c>
      <c r="U41" s="36" t="s">
        <v>8444</v>
      </c>
      <c r="V41" s="36" t="s">
        <v>8367</v>
      </c>
      <c r="W41" s="36" t="n">
        <v>5</v>
      </c>
      <c r="X41" s="38" t="n">
        <v>5</v>
      </c>
    </row>
    <row r="42" customFormat="false" ht="22.5" hidden="false" customHeight="true" outlineLevel="0" collapsed="false">
      <c r="A42" s="39" t="n">
        <v>20</v>
      </c>
      <c r="B42" s="39" t="s">
        <v>45</v>
      </c>
      <c r="C42" s="39" t="s">
        <v>321</v>
      </c>
      <c r="D42" s="39" t="s">
        <v>49</v>
      </c>
      <c r="E42" s="39" t="s">
        <v>1055</v>
      </c>
      <c r="F42" s="39" t="n">
        <v>15</v>
      </c>
      <c r="G42" s="39" t="s">
        <v>1804</v>
      </c>
      <c r="H42" s="39" t="s">
        <v>1805</v>
      </c>
      <c r="I42" s="39" t="s">
        <v>1806</v>
      </c>
      <c r="J42" s="39" t="s">
        <v>1807</v>
      </c>
      <c r="K42" s="39" t="s">
        <v>1808</v>
      </c>
      <c r="L42" s="39" t="s">
        <v>1809</v>
      </c>
      <c r="M42" s="39" t="s">
        <v>8245</v>
      </c>
      <c r="N42" s="39" t="s">
        <v>8246</v>
      </c>
      <c r="O42" s="39" t="s">
        <v>8244</v>
      </c>
      <c r="P42" s="39" t="s">
        <v>1810</v>
      </c>
      <c r="Q42" s="39" t="s">
        <v>8245</v>
      </c>
      <c r="R42" s="39" t="s">
        <v>8244</v>
      </c>
      <c r="S42" s="39" t="s">
        <v>8246</v>
      </c>
      <c r="T42" s="39" t="s">
        <v>8445</v>
      </c>
      <c r="U42" s="39" t="s">
        <v>8446</v>
      </c>
      <c r="V42" s="39" t="s">
        <v>8447</v>
      </c>
      <c r="W42" s="39" t="n">
        <v>3</v>
      </c>
      <c r="X42" s="40" t="n">
        <v>4</v>
      </c>
    </row>
    <row r="43" customFormat="false" ht="22.5" hidden="false" customHeight="true" outlineLevel="0" collapsed="false">
      <c r="A43" s="36" t="n">
        <v>20</v>
      </c>
      <c r="B43" s="36" t="s">
        <v>45</v>
      </c>
      <c r="C43" s="36" t="s">
        <v>171</v>
      </c>
      <c r="D43" s="36" t="s">
        <v>8448</v>
      </c>
      <c r="E43" s="36" t="s">
        <v>1815</v>
      </c>
      <c r="F43" s="37" t="n">
        <v>0.19</v>
      </c>
      <c r="G43" s="36" t="s">
        <v>1816</v>
      </c>
      <c r="H43" s="36" t="s">
        <v>1817</v>
      </c>
      <c r="I43" s="36" t="s">
        <v>1818</v>
      </c>
      <c r="J43" s="36" t="s">
        <v>1819</v>
      </c>
      <c r="K43" s="36" t="s">
        <v>1820</v>
      </c>
      <c r="L43" s="36" t="s">
        <v>1821</v>
      </c>
      <c r="M43" s="36" t="s">
        <v>8244</v>
      </c>
      <c r="N43" s="36" t="s">
        <v>8245</v>
      </c>
      <c r="O43" s="36" t="s">
        <v>8246</v>
      </c>
      <c r="P43" s="36" t="s">
        <v>1822</v>
      </c>
      <c r="Q43" s="36" t="s">
        <v>8244</v>
      </c>
      <c r="R43" s="36" t="s">
        <v>8245</v>
      </c>
      <c r="S43" s="36" t="s">
        <v>8246</v>
      </c>
      <c r="T43" s="36" t="s">
        <v>1823</v>
      </c>
      <c r="U43" s="36" t="s">
        <v>1824</v>
      </c>
      <c r="V43" s="36" t="s">
        <v>1825</v>
      </c>
      <c r="W43" s="36" t="n">
        <v>4</v>
      </c>
      <c r="X43" s="38" t="n">
        <v>4</v>
      </c>
    </row>
    <row r="44" customFormat="false" ht="22.5" hidden="false" customHeight="true" outlineLevel="0" collapsed="false">
      <c r="A44" s="39" t="n">
        <v>49</v>
      </c>
      <c r="B44" s="39" t="s">
        <v>8338</v>
      </c>
      <c r="C44" s="39" t="s">
        <v>8449</v>
      </c>
      <c r="D44" s="39" t="s">
        <v>8413</v>
      </c>
      <c r="E44" s="39" t="s">
        <v>8450</v>
      </c>
      <c r="F44" s="39" t="n">
        <v>40</v>
      </c>
      <c r="G44" s="39" t="s">
        <v>8451</v>
      </c>
      <c r="H44" s="39" t="s">
        <v>8452</v>
      </c>
      <c r="I44" s="39" t="s">
        <v>98</v>
      </c>
      <c r="J44" s="39" t="s">
        <v>8453</v>
      </c>
      <c r="K44" s="39" t="s">
        <v>1831</v>
      </c>
      <c r="L44" s="39" t="s">
        <v>8454</v>
      </c>
      <c r="M44" s="39" t="s">
        <v>8245</v>
      </c>
      <c r="N44" s="39" t="s">
        <v>8245</v>
      </c>
      <c r="O44" s="39" t="s">
        <v>8245</v>
      </c>
      <c r="P44" s="39" t="s">
        <v>8455</v>
      </c>
      <c r="Q44" s="39" t="s">
        <v>8245</v>
      </c>
      <c r="R44" s="39" t="s">
        <v>8245</v>
      </c>
      <c r="S44" s="39" t="s">
        <v>8245</v>
      </c>
      <c r="T44" s="39" t="n">
        <v>2</v>
      </c>
      <c r="U44" s="39" t="n">
        <v>3</v>
      </c>
      <c r="V44" s="39" t="s">
        <v>1835</v>
      </c>
      <c r="W44" s="39" t="n">
        <v>5</v>
      </c>
      <c r="X44" s="40" t="n">
        <v>5</v>
      </c>
    </row>
    <row r="45" customFormat="false" ht="22.5" hidden="false" customHeight="true" outlineLevel="0" collapsed="false">
      <c r="A45" s="36" t="n">
        <v>49</v>
      </c>
      <c r="B45" s="36" t="s">
        <v>8456</v>
      </c>
      <c r="C45" s="36" t="s">
        <v>8457</v>
      </c>
      <c r="D45" s="36" t="s">
        <v>7932</v>
      </c>
      <c r="E45" s="36" t="s">
        <v>8458</v>
      </c>
      <c r="F45" s="37" t="n">
        <v>0.3</v>
      </c>
      <c r="G45" s="36" t="s">
        <v>8459</v>
      </c>
      <c r="H45" s="36" t="s">
        <v>8460</v>
      </c>
      <c r="I45" s="36" t="s">
        <v>8461</v>
      </c>
      <c r="J45" s="36" t="s">
        <v>8462</v>
      </c>
      <c r="K45" s="36" t="s">
        <v>59</v>
      </c>
      <c r="L45" s="36" t="s">
        <v>8463</v>
      </c>
      <c r="M45" s="36" t="s">
        <v>8245</v>
      </c>
      <c r="N45" s="36" t="s">
        <v>8245</v>
      </c>
      <c r="O45" s="36" t="s">
        <v>8245</v>
      </c>
      <c r="P45" s="36" t="s">
        <v>8464</v>
      </c>
      <c r="Q45" s="36" t="s">
        <v>8245</v>
      </c>
      <c r="R45" s="36" t="s">
        <v>8245</v>
      </c>
      <c r="S45" s="36" t="s">
        <v>8245</v>
      </c>
      <c r="T45" s="36" t="s">
        <v>1844</v>
      </c>
      <c r="U45" s="36" t="s">
        <v>1845</v>
      </c>
      <c r="V45" s="36" t="s">
        <v>59</v>
      </c>
      <c r="W45" s="36" t="n">
        <v>5</v>
      </c>
      <c r="X45" s="38" t="n">
        <v>1</v>
      </c>
    </row>
    <row r="46" customFormat="false" ht="22.5" hidden="false" customHeight="true" outlineLevel="0" collapsed="false">
      <c r="A46" s="39" t="n">
        <v>42</v>
      </c>
      <c r="B46" s="39" t="s">
        <v>83</v>
      </c>
      <c r="C46" s="39" t="s">
        <v>1025</v>
      </c>
      <c r="D46" s="39" t="s">
        <v>47</v>
      </c>
      <c r="E46" s="39" t="s">
        <v>1847</v>
      </c>
      <c r="F46" s="39" t="n">
        <v>25</v>
      </c>
      <c r="G46" s="39" t="s">
        <v>1848</v>
      </c>
      <c r="H46" s="39" t="s">
        <v>1849</v>
      </c>
      <c r="I46" s="39" t="s">
        <v>1850</v>
      </c>
      <c r="J46" s="39" t="s">
        <v>1851</v>
      </c>
      <c r="K46" s="39" t="s">
        <v>1852</v>
      </c>
      <c r="L46" s="39" t="s">
        <v>1853</v>
      </c>
      <c r="M46" s="39" t="s">
        <v>8244</v>
      </c>
      <c r="N46" s="39" t="s">
        <v>8245</v>
      </c>
      <c r="O46" s="39" t="s">
        <v>8245</v>
      </c>
      <c r="P46" s="39" t="s">
        <v>1854</v>
      </c>
      <c r="Q46" s="39" t="s">
        <v>8245</v>
      </c>
      <c r="R46" s="39" t="s">
        <v>8245</v>
      </c>
      <c r="S46" s="39" t="s">
        <v>8244</v>
      </c>
      <c r="T46" s="39" t="s">
        <v>1855</v>
      </c>
      <c r="U46" s="39" t="s">
        <v>1856</v>
      </c>
      <c r="V46" s="39" t="s">
        <v>59</v>
      </c>
      <c r="W46" s="39" t="n">
        <v>5</v>
      </c>
      <c r="X46" s="40" t="n">
        <v>5</v>
      </c>
    </row>
    <row r="47" customFormat="false" ht="22.5" hidden="false" customHeight="true" outlineLevel="0" collapsed="false">
      <c r="A47" s="36" t="n">
        <v>41</v>
      </c>
      <c r="B47" s="36" t="s">
        <v>83</v>
      </c>
      <c r="C47" s="36" t="s">
        <v>8465</v>
      </c>
      <c r="D47" s="36" t="s">
        <v>8466</v>
      </c>
      <c r="E47" s="36" t="s">
        <v>8467</v>
      </c>
      <c r="F47" s="36" t="n">
        <v>35</v>
      </c>
      <c r="G47" s="36" t="s">
        <v>1859</v>
      </c>
      <c r="H47" s="36" t="s">
        <v>1860</v>
      </c>
      <c r="I47" s="36" t="s">
        <v>98</v>
      </c>
      <c r="J47" s="36" t="s">
        <v>8468</v>
      </c>
      <c r="K47" s="36" t="s">
        <v>442</v>
      </c>
      <c r="L47" s="36" t="s">
        <v>8469</v>
      </c>
      <c r="M47" s="36" t="s">
        <v>8245</v>
      </c>
      <c r="N47" s="36" t="s">
        <v>8245</v>
      </c>
      <c r="O47" s="36" t="s">
        <v>8245</v>
      </c>
      <c r="P47" s="36" t="s">
        <v>1863</v>
      </c>
      <c r="Q47" s="36" t="s">
        <v>8244</v>
      </c>
      <c r="R47" s="36" t="s">
        <v>8245</v>
      </c>
      <c r="S47" s="36" t="s">
        <v>8244</v>
      </c>
      <c r="T47" s="36" t="s">
        <v>1864</v>
      </c>
      <c r="U47" s="36" t="s">
        <v>8470</v>
      </c>
      <c r="V47" s="36" t="s">
        <v>59</v>
      </c>
      <c r="W47" s="36" t="n">
        <v>4</v>
      </c>
      <c r="X47" s="38" t="n">
        <v>4</v>
      </c>
    </row>
    <row r="48" customFormat="false" ht="22.5" hidden="false" customHeight="true" outlineLevel="0" collapsed="false">
      <c r="A48" s="39" t="n">
        <v>53</v>
      </c>
      <c r="B48" s="39" t="s">
        <v>83</v>
      </c>
      <c r="C48" s="39" t="s">
        <v>7847</v>
      </c>
      <c r="D48" s="39" t="s">
        <v>7847</v>
      </c>
      <c r="E48" s="39" t="s">
        <v>8471</v>
      </c>
      <c r="F48" s="39" t="n">
        <v>30</v>
      </c>
      <c r="G48" s="39" t="s">
        <v>8472</v>
      </c>
      <c r="H48" s="39" t="s">
        <v>1868</v>
      </c>
      <c r="I48" s="39" t="s">
        <v>1869</v>
      </c>
      <c r="J48" s="39" t="s">
        <v>8473</v>
      </c>
      <c r="K48" s="39" t="s">
        <v>59</v>
      </c>
      <c r="L48" s="39" t="s">
        <v>8474</v>
      </c>
      <c r="M48" s="39" t="s">
        <v>8245</v>
      </c>
      <c r="N48" s="39" t="s">
        <v>8245</v>
      </c>
      <c r="O48" s="39" t="s">
        <v>8245</v>
      </c>
      <c r="P48" s="39" t="s">
        <v>1872</v>
      </c>
      <c r="Q48" s="39" t="s">
        <v>8245</v>
      </c>
      <c r="R48" s="39" t="s">
        <v>8245</v>
      </c>
      <c r="S48" s="39" t="s">
        <v>8245</v>
      </c>
      <c r="T48" s="39" t="s">
        <v>8475</v>
      </c>
      <c r="U48" s="39" t="s">
        <v>1874</v>
      </c>
      <c r="V48" s="39" t="s">
        <v>59</v>
      </c>
      <c r="W48" s="39" t="n">
        <v>5</v>
      </c>
      <c r="X48" s="40" t="n">
        <v>5</v>
      </c>
    </row>
    <row r="49" customFormat="false" ht="22.5" hidden="false" customHeight="true" outlineLevel="0" collapsed="false">
      <c r="A49" s="36" t="n">
        <v>53</v>
      </c>
      <c r="B49" s="36" t="s">
        <v>45</v>
      </c>
      <c r="C49" s="36" t="s">
        <v>7932</v>
      </c>
      <c r="D49" s="36" t="s">
        <v>7932</v>
      </c>
      <c r="E49" s="36" t="s">
        <v>1876</v>
      </c>
      <c r="F49" s="37" t="n">
        <v>0.3</v>
      </c>
      <c r="G49" s="36" t="s">
        <v>1204</v>
      </c>
      <c r="H49" s="36" t="s">
        <v>1877</v>
      </c>
      <c r="I49" s="36" t="s">
        <v>1878</v>
      </c>
      <c r="J49" s="36" t="s">
        <v>1879</v>
      </c>
      <c r="K49" s="36" t="s">
        <v>1880</v>
      </c>
      <c r="L49" s="36" t="s">
        <v>1881</v>
      </c>
      <c r="M49" s="36" t="s">
        <v>8246</v>
      </c>
      <c r="N49" s="36" t="s">
        <v>8244</v>
      </c>
      <c r="O49" s="36" t="s">
        <v>8245</v>
      </c>
      <c r="P49" s="36" t="s">
        <v>1882</v>
      </c>
      <c r="Q49" s="36" t="s">
        <v>8246</v>
      </c>
      <c r="R49" s="36" t="s">
        <v>8244</v>
      </c>
      <c r="S49" s="36" t="s">
        <v>8245</v>
      </c>
      <c r="T49" s="36" t="s">
        <v>1883</v>
      </c>
      <c r="U49" s="36" t="s">
        <v>1884</v>
      </c>
      <c r="V49" s="36" t="s">
        <v>98</v>
      </c>
      <c r="W49" s="36" t="n">
        <v>5</v>
      </c>
      <c r="X49" s="38" t="n">
        <v>5</v>
      </c>
    </row>
    <row r="50" customFormat="false" ht="22.5" hidden="false" customHeight="true" outlineLevel="0" collapsed="false">
      <c r="A50" s="39" t="n">
        <v>46</v>
      </c>
      <c r="B50" s="39" t="s">
        <v>45</v>
      </c>
      <c r="C50" s="39" t="s">
        <v>1025</v>
      </c>
      <c r="D50" s="39" t="s">
        <v>321</v>
      </c>
      <c r="E50" s="39" t="s">
        <v>1886</v>
      </c>
      <c r="F50" s="39" t="n">
        <v>15</v>
      </c>
      <c r="G50" s="39" t="s">
        <v>1887</v>
      </c>
      <c r="H50" s="39" t="s">
        <v>1888</v>
      </c>
      <c r="I50" s="39" t="s">
        <v>1889</v>
      </c>
      <c r="J50" s="39" t="s">
        <v>1890</v>
      </c>
      <c r="K50" s="39" t="s">
        <v>442</v>
      </c>
      <c r="L50" s="39" t="s">
        <v>1891</v>
      </c>
      <c r="M50" s="39" t="s">
        <v>8244</v>
      </c>
      <c r="N50" s="39" t="s">
        <v>8244</v>
      </c>
      <c r="O50" s="39" t="s">
        <v>8244</v>
      </c>
      <c r="P50" s="39" t="s">
        <v>8476</v>
      </c>
      <c r="Q50" s="39" t="s">
        <v>8244</v>
      </c>
      <c r="R50" s="39" t="s">
        <v>8244</v>
      </c>
      <c r="S50" s="39" t="s">
        <v>8245</v>
      </c>
      <c r="T50" s="39" t="s">
        <v>1893</v>
      </c>
      <c r="U50" s="39" t="s">
        <v>1894</v>
      </c>
      <c r="V50" s="39" t="s">
        <v>1895</v>
      </c>
      <c r="W50" s="39" t="n">
        <v>5</v>
      </c>
      <c r="X50" s="40" t="n">
        <v>5</v>
      </c>
    </row>
    <row r="51" customFormat="false" ht="22.5" hidden="false" customHeight="true" outlineLevel="0" collapsed="false">
      <c r="A51" s="36" t="n">
        <v>60</v>
      </c>
      <c r="B51" s="36" t="s">
        <v>45</v>
      </c>
      <c r="C51" s="36" t="s">
        <v>8477</v>
      </c>
      <c r="D51" s="36" t="s">
        <v>8478</v>
      </c>
      <c r="E51" s="36" t="s">
        <v>8479</v>
      </c>
      <c r="F51" s="37" t="n">
        <v>0.2</v>
      </c>
      <c r="G51" s="36" t="s">
        <v>1204</v>
      </c>
      <c r="H51" s="36" t="s">
        <v>1897</v>
      </c>
      <c r="I51" s="36" t="s">
        <v>8480</v>
      </c>
      <c r="J51" s="36" t="s">
        <v>8481</v>
      </c>
      <c r="K51" s="36" t="s">
        <v>8482</v>
      </c>
      <c r="L51" s="36" t="s">
        <v>8483</v>
      </c>
      <c r="M51" s="36" t="s">
        <v>8245</v>
      </c>
      <c r="N51" s="36" t="s">
        <v>8244</v>
      </c>
      <c r="O51" s="36" t="s">
        <v>8245</v>
      </c>
      <c r="P51" s="36" t="s">
        <v>8484</v>
      </c>
      <c r="Q51" s="36" t="s">
        <v>8245</v>
      </c>
      <c r="R51" s="36" t="s">
        <v>8244</v>
      </c>
      <c r="S51" s="36" t="s">
        <v>8245</v>
      </c>
      <c r="T51" s="36" t="s">
        <v>8485</v>
      </c>
      <c r="U51" s="36" t="s">
        <v>8486</v>
      </c>
      <c r="V51" s="36" t="s">
        <v>98</v>
      </c>
      <c r="W51" s="36" t="n">
        <v>5</v>
      </c>
      <c r="X51" s="38" t="n">
        <v>5</v>
      </c>
    </row>
    <row r="52" customFormat="false" ht="22.5" hidden="false" customHeight="true" outlineLevel="0" collapsed="false">
      <c r="A52" s="39" t="n">
        <v>23</v>
      </c>
      <c r="B52" s="39" t="s">
        <v>83</v>
      </c>
      <c r="C52" s="39" t="s">
        <v>1363</v>
      </c>
      <c r="D52" s="39" t="s">
        <v>49</v>
      </c>
      <c r="E52" s="39" t="s">
        <v>1906</v>
      </c>
      <c r="F52" s="39" t="n">
        <v>25</v>
      </c>
      <c r="G52" s="39" t="s">
        <v>1907</v>
      </c>
      <c r="H52" s="39" t="s">
        <v>8487</v>
      </c>
      <c r="I52" s="39" t="s">
        <v>1909</v>
      </c>
      <c r="J52" s="39" t="s">
        <v>1910</v>
      </c>
      <c r="K52" s="39" t="s">
        <v>571</v>
      </c>
      <c r="L52" s="39" t="s">
        <v>8488</v>
      </c>
      <c r="M52" s="39" t="s">
        <v>8246</v>
      </c>
      <c r="N52" s="39" t="s">
        <v>8245</v>
      </c>
      <c r="O52" s="39" t="s">
        <v>8244</v>
      </c>
      <c r="P52" s="39" t="s">
        <v>1912</v>
      </c>
      <c r="Q52" s="39" t="s">
        <v>8244</v>
      </c>
      <c r="R52" s="39" t="s">
        <v>8245</v>
      </c>
      <c r="S52" s="39" t="s">
        <v>8246</v>
      </c>
      <c r="T52" s="39" t="s">
        <v>1913</v>
      </c>
      <c r="U52" s="39" t="s">
        <v>1914</v>
      </c>
      <c r="V52" s="39" t="s">
        <v>571</v>
      </c>
      <c r="W52" s="39" t="n">
        <v>5</v>
      </c>
      <c r="X52" s="40" t="n">
        <v>5</v>
      </c>
    </row>
    <row r="53" customFormat="false" ht="22.5" hidden="false" customHeight="true" outlineLevel="0" collapsed="false">
      <c r="A53" s="36" t="n">
        <v>22</v>
      </c>
      <c r="B53" s="36" t="s">
        <v>83</v>
      </c>
      <c r="C53" s="36" t="s">
        <v>1916</v>
      </c>
      <c r="D53" s="36" t="s">
        <v>8489</v>
      </c>
      <c r="E53" s="36" t="s">
        <v>1917</v>
      </c>
      <c r="F53" s="37" t="n">
        <v>0.16</v>
      </c>
      <c r="G53" s="36" t="s">
        <v>8490</v>
      </c>
      <c r="H53" s="36" t="s">
        <v>1919</v>
      </c>
      <c r="I53" s="36" t="s">
        <v>1920</v>
      </c>
      <c r="J53" s="36" t="s">
        <v>1921</v>
      </c>
      <c r="K53" s="36" t="s">
        <v>1922</v>
      </c>
      <c r="L53" s="36" t="s">
        <v>8491</v>
      </c>
      <c r="M53" s="36" t="s">
        <v>8246</v>
      </c>
      <c r="N53" s="36" t="s">
        <v>8245</v>
      </c>
      <c r="O53" s="36" t="s">
        <v>8245</v>
      </c>
      <c r="P53" s="36" t="s">
        <v>1924</v>
      </c>
      <c r="Q53" s="36" t="s">
        <v>8244</v>
      </c>
      <c r="R53" s="36" t="s">
        <v>8245</v>
      </c>
      <c r="S53" s="36" t="s">
        <v>8244</v>
      </c>
      <c r="T53" s="36" t="s">
        <v>1925</v>
      </c>
      <c r="U53" s="36" t="s">
        <v>1926</v>
      </c>
      <c r="V53" s="36" t="s">
        <v>1927</v>
      </c>
      <c r="W53" s="36" t="n">
        <v>5</v>
      </c>
      <c r="X53" s="38" t="n">
        <v>5</v>
      </c>
    </row>
    <row r="54" customFormat="false" ht="22.5" hidden="false" customHeight="true" outlineLevel="0" collapsed="false">
      <c r="A54" s="39" t="n">
        <v>21</v>
      </c>
      <c r="B54" s="36" t="s">
        <v>1556</v>
      </c>
      <c r="C54" s="39" t="s">
        <v>7806</v>
      </c>
      <c r="D54" s="39" t="s">
        <v>49</v>
      </c>
      <c r="E54" s="39" t="s">
        <v>129</v>
      </c>
      <c r="F54" s="41" t="n">
        <v>0.17</v>
      </c>
      <c r="G54" s="39" t="s">
        <v>1929</v>
      </c>
      <c r="H54" s="39" t="s">
        <v>1930</v>
      </c>
      <c r="I54" s="39" t="s">
        <v>1931</v>
      </c>
      <c r="J54" s="39" t="s">
        <v>1932</v>
      </c>
      <c r="K54" s="39" t="s">
        <v>1933</v>
      </c>
      <c r="L54" s="39" t="s">
        <v>1934</v>
      </c>
      <c r="M54" s="39" t="s">
        <v>8246</v>
      </c>
      <c r="N54" s="39" t="s">
        <v>8245</v>
      </c>
      <c r="O54" s="39" t="s">
        <v>8244</v>
      </c>
      <c r="P54" s="39" t="s">
        <v>1935</v>
      </c>
      <c r="Q54" s="39" t="s">
        <v>8246</v>
      </c>
      <c r="R54" s="39" t="s">
        <v>8246</v>
      </c>
      <c r="S54" s="39" t="s">
        <v>8246</v>
      </c>
      <c r="T54" s="39" t="s">
        <v>1936</v>
      </c>
      <c r="U54" s="39" t="s">
        <v>1937</v>
      </c>
      <c r="V54" s="39" t="s">
        <v>1938</v>
      </c>
      <c r="W54" s="39" t="n">
        <v>2</v>
      </c>
      <c r="X54" s="40" t="n">
        <v>2</v>
      </c>
    </row>
    <row r="55" customFormat="false" ht="22.5" hidden="false" customHeight="true" outlineLevel="0" collapsed="false">
      <c r="A55" s="36" t="n">
        <v>21</v>
      </c>
      <c r="B55" s="36" t="s">
        <v>45</v>
      </c>
      <c r="C55" s="36" t="s">
        <v>7839</v>
      </c>
      <c r="D55" s="36" t="s">
        <v>7988</v>
      </c>
      <c r="E55" s="36" t="s">
        <v>1940</v>
      </c>
      <c r="F55" s="36" t="n">
        <v>35</v>
      </c>
      <c r="G55" s="36" t="s">
        <v>8492</v>
      </c>
      <c r="H55" s="36" t="s">
        <v>1942</v>
      </c>
      <c r="I55" s="36" t="s">
        <v>1943</v>
      </c>
      <c r="J55" s="36" t="s">
        <v>8493</v>
      </c>
      <c r="K55" s="36" t="s">
        <v>1945</v>
      </c>
      <c r="L55" s="36" t="s">
        <v>1946</v>
      </c>
      <c r="M55" s="36" t="s">
        <v>8244</v>
      </c>
      <c r="N55" s="36" t="s">
        <v>8245</v>
      </c>
      <c r="O55" s="36" t="s">
        <v>8246</v>
      </c>
      <c r="P55" s="36" t="s">
        <v>1947</v>
      </c>
      <c r="Q55" s="36" t="s">
        <v>8246</v>
      </c>
      <c r="R55" s="36" t="s">
        <v>8245</v>
      </c>
      <c r="S55" s="36" t="s">
        <v>8244</v>
      </c>
      <c r="T55" s="36" t="s">
        <v>1948</v>
      </c>
      <c r="U55" s="36" t="s">
        <v>8494</v>
      </c>
      <c r="V55" s="36" t="s">
        <v>59</v>
      </c>
      <c r="W55" s="36" t="n">
        <v>3</v>
      </c>
      <c r="X55" s="38" t="n">
        <v>5</v>
      </c>
    </row>
    <row r="56" customFormat="false" ht="22.5" hidden="false" customHeight="true" outlineLevel="0" collapsed="false">
      <c r="A56" s="39" t="n">
        <v>21</v>
      </c>
      <c r="B56" s="39" t="s">
        <v>83</v>
      </c>
      <c r="C56" s="39" t="s">
        <v>46</v>
      </c>
      <c r="D56" s="39" t="s">
        <v>49</v>
      </c>
      <c r="E56" s="39" t="s">
        <v>1951</v>
      </c>
      <c r="F56" s="39" t="n">
        <v>63</v>
      </c>
      <c r="G56" s="39" t="s">
        <v>1952</v>
      </c>
      <c r="H56" s="39" t="s">
        <v>1953</v>
      </c>
      <c r="I56" s="39" t="s">
        <v>1954</v>
      </c>
      <c r="J56" s="39" t="s">
        <v>1955</v>
      </c>
      <c r="K56" s="39" t="s">
        <v>1956</v>
      </c>
      <c r="L56" s="39" t="s">
        <v>1957</v>
      </c>
      <c r="M56" s="39" t="s">
        <v>8246</v>
      </c>
      <c r="N56" s="39" t="s">
        <v>8245</v>
      </c>
      <c r="O56" s="39" t="s">
        <v>8244</v>
      </c>
      <c r="P56" s="39" t="s">
        <v>1958</v>
      </c>
      <c r="Q56" s="39" t="s">
        <v>8246</v>
      </c>
      <c r="R56" s="39" t="s">
        <v>8244</v>
      </c>
      <c r="S56" s="39" t="s">
        <v>8245</v>
      </c>
      <c r="T56" s="39" t="s">
        <v>1959</v>
      </c>
      <c r="U56" s="39" t="s">
        <v>1960</v>
      </c>
      <c r="V56" s="39" t="s">
        <v>1961</v>
      </c>
      <c r="W56" s="39" t="n">
        <v>4</v>
      </c>
      <c r="X56" s="40" t="n">
        <v>5</v>
      </c>
    </row>
    <row r="57" customFormat="false" ht="22.5" hidden="false" customHeight="true" outlineLevel="0" collapsed="false">
      <c r="A57" s="36" t="n">
        <v>59</v>
      </c>
      <c r="B57" s="36" t="s">
        <v>45</v>
      </c>
      <c r="C57" s="36" t="s">
        <v>8240</v>
      </c>
      <c r="D57" s="36" t="s">
        <v>8240</v>
      </c>
      <c r="E57" s="36" t="s">
        <v>1963</v>
      </c>
      <c r="F57" s="37" t="n">
        <v>0.2</v>
      </c>
      <c r="G57" s="36" t="s">
        <v>1964</v>
      </c>
      <c r="H57" s="36" t="s">
        <v>1965</v>
      </c>
      <c r="I57" s="36" t="s">
        <v>1966</v>
      </c>
      <c r="J57" s="36" t="s">
        <v>1967</v>
      </c>
      <c r="K57" s="36" t="s">
        <v>1968</v>
      </c>
      <c r="L57" s="36" t="s">
        <v>1969</v>
      </c>
      <c r="M57" s="36" t="s">
        <v>8245</v>
      </c>
      <c r="N57" s="36" t="s">
        <v>8244</v>
      </c>
      <c r="O57" s="36" t="s">
        <v>8246</v>
      </c>
      <c r="P57" s="36" t="s">
        <v>8495</v>
      </c>
      <c r="Q57" s="36" t="s">
        <v>8244</v>
      </c>
      <c r="R57" s="36" t="s">
        <v>8245</v>
      </c>
      <c r="S57" s="36" t="s">
        <v>8246</v>
      </c>
      <c r="T57" s="36" t="s">
        <v>8496</v>
      </c>
      <c r="U57" s="36" t="s">
        <v>1972</v>
      </c>
      <c r="V57" s="36" t="s">
        <v>1973</v>
      </c>
      <c r="W57" s="36" t="n">
        <v>5</v>
      </c>
      <c r="X57" s="38" t="n">
        <v>5</v>
      </c>
    </row>
    <row r="58" customFormat="false" ht="22.5" hidden="false" customHeight="true" outlineLevel="0" collapsed="false">
      <c r="A58" s="39" t="n">
        <v>23</v>
      </c>
      <c r="B58" s="39" t="s">
        <v>8302</v>
      </c>
      <c r="C58" s="39" t="s">
        <v>71</v>
      </c>
      <c r="D58" s="39" t="s">
        <v>71</v>
      </c>
      <c r="E58" s="39" t="s">
        <v>1975</v>
      </c>
      <c r="F58" s="39" t="s">
        <v>8497</v>
      </c>
      <c r="G58" s="39" t="s">
        <v>1976</v>
      </c>
      <c r="H58" s="39" t="s">
        <v>1977</v>
      </c>
      <c r="I58" s="39" t="s">
        <v>1978</v>
      </c>
      <c r="J58" s="39" t="s">
        <v>1979</v>
      </c>
      <c r="K58" s="39" t="s">
        <v>1980</v>
      </c>
      <c r="L58" s="39" t="s">
        <v>1981</v>
      </c>
      <c r="M58" s="39" t="s">
        <v>8244</v>
      </c>
      <c r="N58" s="39" t="s">
        <v>8245</v>
      </c>
      <c r="O58" s="39" t="s">
        <v>8246</v>
      </c>
      <c r="P58" s="39" t="s">
        <v>1982</v>
      </c>
      <c r="Q58" s="39" t="s">
        <v>8244</v>
      </c>
      <c r="R58" s="39" t="s">
        <v>8245</v>
      </c>
      <c r="S58" s="39" t="s">
        <v>8246</v>
      </c>
      <c r="T58" s="39" t="s">
        <v>1983</v>
      </c>
      <c r="U58" s="39" t="s">
        <v>1984</v>
      </c>
      <c r="V58" s="39" t="s">
        <v>1985</v>
      </c>
      <c r="W58" s="39" t="n">
        <v>4</v>
      </c>
      <c r="X58" s="40" t="n">
        <v>4</v>
      </c>
    </row>
    <row r="59" customFormat="false" ht="22.5" hidden="false" customHeight="true" outlineLevel="0" collapsed="false">
      <c r="A59" s="36" t="n">
        <v>67</v>
      </c>
      <c r="B59" s="36" t="s">
        <v>45</v>
      </c>
      <c r="C59" s="36" t="s">
        <v>7853</v>
      </c>
      <c r="D59" s="36" t="s">
        <v>8498</v>
      </c>
      <c r="E59" s="36" t="s">
        <v>1987</v>
      </c>
      <c r="F59" s="37" t="n">
        <v>0.2</v>
      </c>
      <c r="G59" s="36" t="s">
        <v>1988</v>
      </c>
      <c r="H59" s="36" t="s">
        <v>1989</v>
      </c>
      <c r="I59" s="36" t="s">
        <v>1990</v>
      </c>
      <c r="J59" s="36" t="s">
        <v>1991</v>
      </c>
      <c r="K59" s="36" t="s">
        <v>1992</v>
      </c>
      <c r="L59" s="36" t="s">
        <v>1993</v>
      </c>
      <c r="M59" s="36" t="s">
        <v>8245</v>
      </c>
      <c r="N59" s="36" t="s">
        <v>8246</v>
      </c>
      <c r="O59" s="36" t="s">
        <v>8244</v>
      </c>
      <c r="P59" s="36" t="s">
        <v>1994</v>
      </c>
      <c r="Q59" s="36" t="s">
        <v>8245</v>
      </c>
      <c r="R59" s="36" t="s">
        <v>8246</v>
      </c>
      <c r="S59" s="36" t="s">
        <v>8244</v>
      </c>
      <c r="T59" s="36" t="s">
        <v>1995</v>
      </c>
      <c r="U59" s="36" t="s">
        <v>8499</v>
      </c>
      <c r="V59" s="36" t="s">
        <v>1997</v>
      </c>
      <c r="W59" s="36" t="n">
        <v>5</v>
      </c>
      <c r="X59" s="38" t="n">
        <v>5</v>
      </c>
    </row>
    <row r="60" customFormat="false" ht="22.5" hidden="false" customHeight="true" outlineLevel="0" collapsed="false">
      <c r="A60" s="39" t="n">
        <v>23</v>
      </c>
      <c r="B60" s="39" t="s">
        <v>8338</v>
      </c>
      <c r="C60" s="39" t="s">
        <v>47</v>
      </c>
      <c r="D60" s="39" t="s">
        <v>8500</v>
      </c>
      <c r="E60" s="39" t="s">
        <v>1055</v>
      </c>
      <c r="F60" s="39" t="n">
        <v>30</v>
      </c>
      <c r="G60" s="39" t="s">
        <v>1999</v>
      </c>
      <c r="H60" s="39" t="s">
        <v>8501</v>
      </c>
      <c r="I60" s="39" t="s">
        <v>8502</v>
      </c>
      <c r="J60" s="39" t="s">
        <v>2002</v>
      </c>
      <c r="K60" s="39" t="s">
        <v>8503</v>
      </c>
      <c r="L60" s="39" t="s">
        <v>8504</v>
      </c>
      <c r="M60" s="39" t="s">
        <v>8246</v>
      </c>
      <c r="N60" s="39" t="s">
        <v>8245</v>
      </c>
      <c r="O60" s="39" t="s">
        <v>8244</v>
      </c>
      <c r="P60" s="39" t="s">
        <v>8505</v>
      </c>
      <c r="Q60" s="39" t="s">
        <v>8246</v>
      </c>
      <c r="R60" s="39" t="s">
        <v>8245</v>
      </c>
      <c r="S60" s="39" t="s">
        <v>8244</v>
      </c>
      <c r="T60" s="39" t="s">
        <v>8506</v>
      </c>
      <c r="U60" s="39" t="s">
        <v>8507</v>
      </c>
      <c r="V60" s="39" t="s">
        <v>8508</v>
      </c>
      <c r="W60" s="39" t="n">
        <v>4</v>
      </c>
      <c r="X60" s="40" t="n">
        <v>4</v>
      </c>
    </row>
    <row r="61" customFormat="false" ht="22.5" hidden="false" customHeight="true" outlineLevel="0" collapsed="false">
      <c r="A61" s="36" t="n">
        <v>21</v>
      </c>
      <c r="B61" s="36" t="s">
        <v>83</v>
      </c>
      <c r="C61" s="36" t="s">
        <v>46</v>
      </c>
      <c r="D61" s="36" t="s">
        <v>2010</v>
      </c>
      <c r="E61" s="36" t="s">
        <v>8509</v>
      </c>
      <c r="F61" s="36" t="n">
        <v>17</v>
      </c>
      <c r="G61" s="36" t="s">
        <v>8510</v>
      </c>
      <c r="H61" s="36" t="s">
        <v>2013</v>
      </c>
      <c r="I61" s="36" t="s">
        <v>2014</v>
      </c>
      <c r="J61" s="36" t="s">
        <v>2015</v>
      </c>
      <c r="K61" s="36" t="s">
        <v>2016</v>
      </c>
      <c r="L61" s="36" t="s">
        <v>2017</v>
      </c>
      <c r="M61" s="36" t="s">
        <v>8244</v>
      </c>
      <c r="N61" s="36" t="s">
        <v>8245</v>
      </c>
      <c r="O61" s="36" t="s">
        <v>8246</v>
      </c>
      <c r="P61" s="36" t="s">
        <v>8511</v>
      </c>
      <c r="Q61" s="36" t="s">
        <v>8245</v>
      </c>
      <c r="R61" s="36" t="s">
        <v>8244</v>
      </c>
      <c r="S61" s="36" t="s">
        <v>8246</v>
      </c>
      <c r="T61" s="36" t="s">
        <v>2019</v>
      </c>
      <c r="U61" s="36" t="s">
        <v>8512</v>
      </c>
      <c r="V61" s="36" t="s">
        <v>2021</v>
      </c>
      <c r="W61" s="36" t="n">
        <v>5</v>
      </c>
      <c r="X61" s="38" t="n">
        <v>4</v>
      </c>
    </row>
    <row r="62" customFormat="false" ht="22.5" hidden="false" customHeight="true" outlineLevel="0" collapsed="false">
      <c r="A62" s="39" t="n">
        <v>26</v>
      </c>
      <c r="B62" s="39" t="s">
        <v>45</v>
      </c>
      <c r="C62" s="39" t="s">
        <v>8513</v>
      </c>
      <c r="D62" s="39" t="s">
        <v>7933</v>
      </c>
      <c r="E62" s="39" t="s">
        <v>8514</v>
      </c>
      <c r="F62" s="41" t="n">
        <v>0.2</v>
      </c>
      <c r="G62" s="39" t="s">
        <v>8515</v>
      </c>
      <c r="H62" s="39" t="s">
        <v>2027</v>
      </c>
      <c r="I62" s="39" t="s">
        <v>2028</v>
      </c>
      <c r="J62" s="39" t="s">
        <v>8516</v>
      </c>
      <c r="K62" s="39" t="s">
        <v>8517</v>
      </c>
      <c r="L62" s="39" t="s">
        <v>8518</v>
      </c>
      <c r="M62" s="39" t="s">
        <v>8246</v>
      </c>
      <c r="N62" s="39" t="s">
        <v>8245</v>
      </c>
      <c r="O62" s="39" t="s">
        <v>8244</v>
      </c>
      <c r="P62" s="39" t="s">
        <v>8519</v>
      </c>
      <c r="Q62" s="39" t="s">
        <v>8244</v>
      </c>
      <c r="R62" s="39" t="s">
        <v>8245</v>
      </c>
      <c r="S62" s="39" t="s">
        <v>8246</v>
      </c>
      <c r="T62" s="39" t="s">
        <v>2033</v>
      </c>
      <c r="U62" s="39" t="s">
        <v>8520</v>
      </c>
      <c r="V62" s="39" t="s">
        <v>8521</v>
      </c>
      <c r="W62" s="39" t="n">
        <v>5</v>
      </c>
      <c r="X62" s="40" t="n">
        <v>5</v>
      </c>
    </row>
    <row r="63" customFormat="false" ht="22.5" hidden="false" customHeight="true" outlineLevel="0" collapsed="false">
      <c r="A63" s="36" t="n">
        <v>65</v>
      </c>
      <c r="B63" s="36" t="s">
        <v>83</v>
      </c>
      <c r="C63" s="36" t="s">
        <v>8522</v>
      </c>
      <c r="D63" s="36" t="s">
        <v>7846</v>
      </c>
      <c r="E63" s="36" t="s">
        <v>2037</v>
      </c>
      <c r="F63" s="37" t="n">
        <v>0.2</v>
      </c>
      <c r="G63" s="36" t="s">
        <v>8523</v>
      </c>
      <c r="H63" s="36" t="s">
        <v>547</v>
      </c>
      <c r="I63" s="36" t="s">
        <v>8524</v>
      </c>
      <c r="J63" s="36" t="s">
        <v>8525</v>
      </c>
      <c r="K63" s="36" t="s">
        <v>8526</v>
      </c>
      <c r="L63" s="36" t="s">
        <v>8527</v>
      </c>
      <c r="M63" s="36" t="s">
        <v>8244</v>
      </c>
      <c r="N63" s="36" t="s">
        <v>8245</v>
      </c>
      <c r="O63" s="36" t="s">
        <v>8246</v>
      </c>
      <c r="P63" s="36" t="s">
        <v>8528</v>
      </c>
      <c r="Q63" s="36" t="s">
        <v>8244</v>
      </c>
      <c r="R63" s="36" t="s">
        <v>8245</v>
      </c>
      <c r="S63" s="36" t="s">
        <v>8246</v>
      </c>
      <c r="T63" s="36" t="s">
        <v>8529</v>
      </c>
      <c r="U63" s="36" t="s">
        <v>8530</v>
      </c>
      <c r="V63" s="36" t="s">
        <v>8531</v>
      </c>
      <c r="W63" s="36" t="n">
        <v>5</v>
      </c>
      <c r="X63" s="38" t="n">
        <v>4</v>
      </c>
    </row>
    <row r="64" customFormat="false" ht="22.5" hidden="false" customHeight="true" outlineLevel="0" collapsed="false">
      <c r="A64" s="39" t="n">
        <v>63</v>
      </c>
      <c r="B64" s="39" t="s">
        <v>45</v>
      </c>
      <c r="C64" s="39" t="s">
        <v>8532</v>
      </c>
      <c r="D64" s="39" t="s">
        <v>8532</v>
      </c>
      <c r="E64" s="39" t="s">
        <v>2048</v>
      </c>
      <c r="F64" s="41" t="n">
        <v>0.25</v>
      </c>
      <c r="G64" s="39" t="s">
        <v>2049</v>
      </c>
      <c r="H64" s="39" t="s">
        <v>2050</v>
      </c>
      <c r="I64" s="39" t="s">
        <v>2051</v>
      </c>
      <c r="J64" s="39" t="s">
        <v>2052</v>
      </c>
      <c r="K64" s="39" t="s">
        <v>2053</v>
      </c>
      <c r="L64" s="39" t="s">
        <v>2054</v>
      </c>
      <c r="M64" s="39" t="s">
        <v>8246</v>
      </c>
      <c r="N64" s="39" t="s">
        <v>8245</v>
      </c>
      <c r="O64" s="39" t="s">
        <v>8244</v>
      </c>
      <c r="P64" s="39" t="s">
        <v>2055</v>
      </c>
      <c r="Q64" s="39" t="s">
        <v>8245</v>
      </c>
      <c r="R64" s="39" t="s">
        <v>8245</v>
      </c>
      <c r="S64" s="39" t="s">
        <v>8244</v>
      </c>
      <c r="T64" s="39" t="s">
        <v>2056</v>
      </c>
      <c r="U64" s="39" t="s">
        <v>8533</v>
      </c>
      <c r="V64" s="39" t="s">
        <v>2058</v>
      </c>
      <c r="W64" s="39" t="n">
        <v>5</v>
      </c>
      <c r="X64" s="40" t="n">
        <v>5</v>
      </c>
    </row>
    <row r="65" customFormat="false" ht="22.5" hidden="false" customHeight="true" outlineLevel="0" collapsed="false">
      <c r="A65" s="36" t="n">
        <v>20</v>
      </c>
      <c r="B65" s="36" t="s">
        <v>45</v>
      </c>
      <c r="C65" s="36" t="s">
        <v>71</v>
      </c>
      <c r="D65" s="36" t="s">
        <v>49</v>
      </c>
      <c r="E65" s="36" t="s">
        <v>2060</v>
      </c>
      <c r="F65" s="36" t="n">
        <v>20</v>
      </c>
      <c r="G65" s="36" t="s">
        <v>2061</v>
      </c>
      <c r="H65" s="36" t="s">
        <v>2062</v>
      </c>
      <c r="I65" s="36" t="s">
        <v>2063</v>
      </c>
      <c r="J65" s="36" t="s">
        <v>2064</v>
      </c>
      <c r="K65" s="36" t="s">
        <v>8534</v>
      </c>
      <c r="L65" s="36" t="s">
        <v>2066</v>
      </c>
      <c r="M65" s="36" t="s">
        <v>8244</v>
      </c>
      <c r="N65" s="36" t="s">
        <v>8245</v>
      </c>
      <c r="O65" s="36" t="s">
        <v>8246</v>
      </c>
      <c r="P65" s="36" t="s">
        <v>2067</v>
      </c>
      <c r="Q65" s="36" t="s">
        <v>8244</v>
      </c>
      <c r="R65" s="36" t="s">
        <v>8245</v>
      </c>
      <c r="S65" s="36" t="s">
        <v>8246</v>
      </c>
      <c r="T65" s="36" t="s">
        <v>2068</v>
      </c>
      <c r="U65" s="36" t="s">
        <v>2069</v>
      </c>
      <c r="V65" s="36" t="s">
        <v>8535</v>
      </c>
      <c r="W65" s="36" t="n">
        <v>4</v>
      </c>
      <c r="X65" s="38" t="n">
        <v>4</v>
      </c>
    </row>
    <row r="66" customFormat="false" ht="22.5" hidden="false" customHeight="true" outlineLevel="0" collapsed="false">
      <c r="A66" s="39" t="n">
        <v>24</v>
      </c>
      <c r="B66" s="39" t="s">
        <v>83</v>
      </c>
      <c r="C66" s="39" t="s">
        <v>1412</v>
      </c>
      <c r="D66" s="39" t="s">
        <v>532</v>
      </c>
      <c r="E66" s="39" t="s">
        <v>2072</v>
      </c>
      <c r="F66" s="41" t="n">
        <v>0.4</v>
      </c>
      <c r="G66" s="39" t="s">
        <v>2063</v>
      </c>
      <c r="H66" s="39" t="s">
        <v>2073</v>
      </c>
      <c r="I66" s="39" t="s">
        <v>1625</v>
      </c>
      <c r="J66" s="39" t="s">
        <v>2074</v>
      </c>
      <c r="K66" s="39" t="s">
        <v>2075</v>
      </c>
      <c r="L66" s="39" t="s">
        <v>2076</v>
      </c>
      <c r="M66" s="39" t="s">
        <v>8246</v>
      </c>
      <c r="N66" s="39" t="s">
        <v>8245</v>
      </c>
      <c r="O66" s="39" t="s">
        <v>8244</v>
      </c>
      <c r="P66" s="39" t="s">
        <v>2077</v>
      </c>
      <c r="Q66" s="39" t="s">
        <v>8244</v>
      </c>
      <c r="R66" s="39" t="s">
        <v>8245</v>
      </c>
      <c r="S66" s="39" t="s">
        <v>8246</v>
      </c>
      <c r="T66" s="39" t="s">
        <v>2078</v>
      </c>
      <c r="U66" s="39" t="s">
        <v>2079</v>
      </c>
      <c r="V66" s="39" t="s">
        <v>8536</v>
      </c>
      <c r="W66" s="39" t="n">
        <v>5</v>
      </c>
      <c r="X66" s="40" t="n">
        <v>5</v>
      </c>
    </row>
    <row r="67" customFormat="false" ht="22.5" hidden="false" customHeight="true" outlineLevel="0" collapsed="false">
      <c r="A67" s="36" t="n">
        <v>58</v>
      </c>
      <c r="B67" s="36" t="s">
        <v>45</v>
      </c>
      <c r="C67" s="36" t="s">
        <v>8537</v>
      </c>
      <c r="D67" s="36" t="s">
        <v>8537</v>
      </c>
      <c r="E67" s="36" t="s">
        <v>8538</v>
      </c>
      <c r="F67" s="36" t="n">
        <v>17</v>
      </c>
      <c r="G67" s="36" t="s">
        <v>2083</v>
      </c>
      <c r="H67" s="36" t="s">
        <v>8539</v>
      </c>
      <c r="I67" s="36" t="s">
        <v>2085</v>
      </c>
      <c r="J67" s="36" t="s">
        <v>2086</v>
      </c>
      <c r="K67" s="36" t="s">
        <v>2087</v>
      </c>
      <c r="L67" s="36" t="s">
        <v>8540</v>
      </c>
      <c r="M67" s="36" t="s">
        <v>8246</v>
      </c>
      <c r="N67" s="36" t="s">
        <v>8245</v>
      </c>
      <c r="O67" s="36" t="s">
        <v>8244</v>
      </c>
      <c r="P67" s="36" t="s">
        <v>2089</v>
      </c>
      <c r="Q67" s="36" t="s">
        <v>8244</v>
      </c>
      <c r="R67" s="36" t="s">
        <v>8245</v>
      </c>
      <c r="S67" s="36" t="s">
        <v>8246</v>
      </c>
      <c r="T67" s="36" t="s">
        <v>2090</v>
      </c>
      <c r="U67" s="36" t="s">
        <v>2091</v>
      </c>
      <c r="V67" s="36" t="s">
        <v>8367</v>
      </c>
      <c r="W67" s="36" t="n">
        <v>4</v>
      </c>
      <c r="X67" s="38" t="n">
        <v>5</v>
      </c>
    </row>
    <row r="68" customFormat="false" ht="22.5" hidden="false" customHeight="true" outlineLevel="0" collapsed="false">
      <c r="A68" s="39" t="n">
        <v>29</v>
      </c>
      <c r="B68" s="39" t="s">
        <v>8302</v>
      </c>
      <c r="C68" s="39" t="s">
        <v>8541</v>
      </c>
      <c r="D68" s="39" t="s">
        <v>8541</v>
      </c>
      <c r="E68" s="39" t="s">
        <v>2093</v>
      </c>
      <c r="F68" s="39" t="s">
        <v>8542</v>
      </c>
      <c r="G68" s="39" t="s">
        <v>2094</v>
      </c>
      <c r="H68" s="39" t="s">
        <v>8543</v>
      </c>
      <c r="I68" s="39" t="s">
        <v>2096</v>
      </c>
      <c r="J68" s="39" t="s">
        <v>2097</v>
      </c>
      <c r="K68" s="39" t="s">
        <v>8544</v>
      </c>
      <c r="L68" s="39" t="s">
        <v>2099</v>
      </c>
      <c r="M68" s="39" t="s">
        <v>8244</v>
      </c>
      <c r="N68" s="39" t="s">
        <v>8245</v>
      </c>
      <c r="O68" s="39" t="s">
        <v>8246</v>
      </c>
      <c r="P68" s="39" t="s">
        <v>2100</v>
      </c>
      <c r="Q68" s="39" t="s">
        <v>8244</v>
      </c>
      <c r="R68" s="39" t="s">
        <v>8245</v>
      </c>
      <c r="S68" s="39" t="s">
        <v>8246</v>
      </c>
      <c r="T68" s="39" t="s">
        <v>2101</v>
      </c>
      <c r="U68" s="39" t="s">
        <v>2102</v>
      </c>
      <c r="V68" s="39" t="s">
        <v>2103</v>
      </c>
      <c r="W68" s="39" t="n">
        <v>3</v>
      </c>
      <c r="X68" s="40" t="n">
        <v>5</v>
      </c>
    </row>
    <row r="69" customFormat="false" ht="22.5" hidden="false" customHeight="true" outlineLevel="0" collapsed="false">
      <c r="A69" s="36" t="n">
        <v>65</v>
      </c>
      <c r="B69" s="36" t="s">
        <v>45</v>
      </c>
      <c r="C69" s="36" t="s">
        <v>46</v>
      </c>
      <c r="D69" s="36" t="s">
        <v>46</v>
      </c>
      <c r="E69" s="36" t="s">
        <v>2105</v>
      </c>
      <c r="F69" s="37" t="n">
        <v>0.7</v>
      </c>
      <c r="G69" s="36" t="s">
        <v>8545</v>
      </c>
      <c r="H69" s="36" t="s">
        <v>8546</v>
      </c>
      <c r="I69" s="36" t="s">
        <v>2108</v>
      </c>
      <c r="J69" s="36" t="s">
        <v>8547</v>
      </c>
      <c r="K69" s="36" t="s">
        <v>2110</v>
      </c>
      <c r="L69" s="36" t="s">
        <v>8548</v>
      </c>
      <c r="M69" s="36" t="s">
        <v>8244</v>
      </c>
      <c r="N69" s="36" t="s">
        <v>8245</v>
      </c>
      <c r="O69" s="36" t="s">
        <v>8246</v>
      </c>
      <c r="P69" s="36" t="s">
        <v>8549</v>
      </c>
      <c r="Q69" s="36" t="s">
        <v>8246</v>
      </c>
      <c r="R69" s="36" t="s">
        <v>8245</v>
      </c>
      <c r="S69" s="36" t="s">
        <v>8244</v>
      </c>
      <c r="T69" s="36" t="s">
        <v>8550</v>
      </c>
      <c r="U69" s="36" t="s">
        <v>2114</v>
      </c>
      <c r="V69" s="36" t="s">
        <v>8551</v>
      </c>
      <c r="W69" s="36" t="n">
        <v>4</v>
      </c>
      <c r="X69" s="38" t="n">
        <v>5</v>
      </c>
    </row>
    <row r="70" customFormat="false" ht="22.5" hidden="false" customHeight="true" outlineLevel="0" collapsed="false">
      <c r="A70" s="39" t="n">
        <v>51</v>
      </c>
      <c r="B70" s="39" t="s">
        <v>83</v>
      </c>
      <c r="C70" s="39" t="s">
        <v>8552</v>
      </c>
      <c r="D70" s="39" t="s">
        <v>46</v>
      </c>
      <c r="E70" s="39" t="s">
        <v>8553</v>
      </c>
      <c r="F70" s="39" t="n">
        <v>18</v>
      </c>
      <c r="G70" s="39" t="s">
        <v>2118</v>
      </c>
      <c r="H70" s="39" t="s">
        <v>8554</v>
      </c>
      <c r="I70" s="39" t="s">
        <v>8555</v>
      </c>
      <c r="J70" s="39" t="s">
        <v>8556</v>
      </c>
      <c r="K70" s="39" t="s">
        <v>2121</v>
      </c>
      <c r="L70" s="39" t="s">
        <v>2122</v>
      </c>
      <c r="M70" s="39" t="s">
        <v>8246</v>
      </c>
      <c r="N70" s="39" t="s">
        <v>8245</v>
      </c>
      <c r="O70" s="39" t="s">
        <v>8244</v>
      </c>
      <c r="P70" s="39" t="s">
        <v>8557</v>
      </c>
      <c r="Q70" s="39" t="s">
        <v>8246</v>
      </c>
      <c r="R70" s="39" t="s">
        <v>8245</v>
      </c>
      <c r="S70" s="39" t="s">
        <v>8244</v>
      </c>
      <c r="T70" s="39" t="s">
        <v>8558</v>
      </c>
      <c r="U70" s="39" t="s">
        <v>2125</v>
      </c>
      <c r="V70" s="39" t="s">
        <v>8559</v>
      </c>
      <c r="W70" s="39" t="n">
        <v>5</v>
      </c>
      <c r="X70" s="40" t="n">
        <v>4</v>
      </c>
    </row>
    <row r="71" customFormat="false" ht="22.5" hidden="false" customHeight="true" outlineLevel="0" collapsed="false">
      <c r="A71" s="36" t="n">
        <v>46</v>
      </c>
      <c r="B71" s="36" t="s">
        <v>45</v>
      </c>
      <c r="C71" s="36" t="s">
        <v>47</v>
      </c>
      <c r="D71" s="36" t="s">
        <v>47</v>
      </c>
      <c r="E71" s="36" t="s">
        <v>8560</v>
      </c>
      <c r="F71" s="37" t="n">
        <v>0.3</v>
      </c>
      <c r="G71" s="36" t="s">
        <v>2129</v>
      </c>
      <c r="H71" s="36" t="s">
        <v>8561</v>
      </c>
      <c r="I71" s="36" t="s">
        <v>98</v>
      </c>
      <c r="J71" s="36" t="s">
        <v>2131</v>
      </c>
      <c r="K71" s="36" t="s">
        <v>2132</v>
      </c>
      <c r="L71" s="36" t="s">
        <v>8562</v>
      </c>
      <c r="M71" s="36" t="s">
        <v>8246</v>
      </c>
      <c r="N71" s="36" t="s">
        <v>8245</v>
      </c>
      <c r="O71" s="36" t="s">
        <v>8244</v>
      </c>
      <c r="P71" s="36" t="s">
        <v>8563</v>
      </c>
      <c r="Q71" s="36" t="s">
        <v>8246</v>
      </c>
      <c r="R71" s="36" t="s">
        <v>8245</v>
      </c>
      <c r="S71" s="36" t="s">
        <v>8244</v>
      </c>
      <c r="T71" s="36" t="s">
        <v>8564</v>
      </c>
      <c r="U71" s="36" t="s">
        <v>8565</v>
      </c>
      <c r="V71" s="36" t="s">
        <v>8566</v>
      </c>
      <c r="W71" s="36" t="n">
        <v>5</v>
      </c>
      <c r="X71" s="38" t="n">
        <v>5</v>
      </c>
    </row>
    <row r="72" customFormat="false" ht="22.5" hidden="false" customHeight="true" outlineLevel="0" collapsed="false">
      <c r="A72" s="39" t="n">
        <v>47</v>
      </c>
      <c r="B72" s="39" t="s">
        <v>8338</v>
      </c>
      <c r="C72" s="39" t="s">
        <v>8567</v>
      </c>
      <c r="D72" s="39" t="s">
        <v>47</v>
      </c>
      <c r="E72" s="39" t="s">
        <v>8568</v>
      </c>
      <c r="F72" s="41" t="n">
        <v>0.43</v>
      </c>
      <c r="G72" s="39" t="s">
        <v>2140</v>
      </c>
      <c r="H72" s="39" t="s">
        <v>8569</v>
      </c>
      <c r="I72" s="39" t="s">
        <v>8570</v>
      </c>
      <c r="J72" s="39" t="s">
        <v>8571</v>
      </c>
      <c r="K72" s="39" t="s">
        <v>2144</v>
      </c>
      <c r="L72" s="39" t="s">
        <v>2145</v>
      </c>
      <c r="M72" s="39" t="s">
        <v>8244</v>
      </c>
      <c r="N72" s="39" t="s">
        <v>8245</v>
      </c>
      <c r="O72" s="39" t="s">
        <v>8244</v>
      </c>
      <c r="P72" s="39" t="s">
        <v>2146</v>
      </c>
      <c r="Q72" s="39" t="s">
        <v>8244</v>
      </c>
      <c r="R72" s="39" t="s">
        <v>8245</v>
      </c>
      <c r="S72" s="39" t="s">
        <v>8244</v>
      </c>
      <c r="T72" s="39" t="s">
        <v>8572</v>
      </c>
      <c r="U72" s="39" t="s">
        <v>8573</v>
      </c>
      <c r="V72" s="39" t="s">
        <v>8574</v>
      </c>
      <c r="W72" s="39" t="n">
        <v>5</v>
      </c>
      <c r="X72" s="40" t="n">
        <v>5</v>
      </c>
    </row>
    <row r="73" customFormat="false" ht="22.5" hidden="false" customHeight="true" outlineLevel="0" collapsed="false">
      <c r="A73" s="36" t="n">
        <v>29</v>
      </c>
      <c r="B73" s="36" t="s">
        <v>45</v>
      </c>
      <c r="C73" s="36" t="s">
        <v>7806</v>
      </c>
      <c r="D73" s="36" t="s">
        <v>8522</v>
      </c>
      <c r="E73" s="36" t="s">
        <v>2151</v>
      </c>
      <c r="F73" s="36" t="n">
        <v>30</v>
      </c>
      <c r="G73" s="36" t="s">
        <v>2152</v>
      </c>
      <c r="H73" s="36" t="s">
        <v>8575</v>
      </c>
      <c r="I73" s="36" t="s">
        <v>8576</v>
      </c>
      <c r="J73" s="36" t="s">
        <v>8577</v>
      </c>
      <c r="K73" s="36" t="s">
        <v>2156</v>
      </c>
      <c r="L73" s="36" t="s">
        <v>2157</v>
      </c>
      <c r="M73" s="36" t="s">
        <v>8244</v>
      </c>
      <c r="N73" s="36" t="s">
        <v>8245</v>
      </c>
      <c r="O73" s="36" t="s">
        <v>8246</v>
      </c>
      <c r="P73" s="36" t="s">
        <v>2158</v>
      </c>
      <c r="Q73" s="36" t="s">
        <v>8244</v>
      </c>
      <c r="R73" s="36" t="s">
        <v>8245</v>
      </c>
      <c r="S73" s="36" t="s">
        <v>8246</v>
      </c>
      <c r="T73" s="36" t="s">
        <v>2159</v>
      </c>
      <c r="U73" s="36" t="s">
        <v>8578</v>
      </c>
      <c r="V73" s="36" t="s">
        <v>2161</v>
      </c>
      <c r="W73" s="36" t="n">
        <v>2</v>
      </c>
      <c r="X73" s="38" t="n">
        <v>4</v>
      </c>
    </row>
    <row r="74" customFormat="false" ht="22.5" hidden="false" customHeight="true" outlineLevel="0" collapsed="false">
      <c r="A74" s="39" t="n">
        <v>35</v>
      </c>
      <c r="B74" s="39" t="s">
        <v>45</v>
      </c>
      <c r="C74" s="39" t="s">
        <v>7853</v>
      </c>
      <c r="D74" s="39" t="s">
        <v>71</v>
      </c>
      <c r="E74" s="39" t="s">
        <v>2163</v>
      </c>
      <c r="F74" s="41" t="n">
        <v>0.15</v>
      </c>
      <c r="G74" s="39" t="s">
        <v>2164</v>
      </c>
      <c r="H74" s="39" t="s">
        <v>2165</v>
      </c>
      <c r="I74" s="39" t="s">
        <v>2166</v>
      </c>
      <c r="J74" s="39" t="s">
        <v>2167</v>
      </c>
      <c r="K74" s="39" t="s">
        <v>2168</v>
      </c>
      <c r="L74" s="39" t="s">
        <v>2169</v>
      </c>
      <c r="M74" s="39" t="s">
        <v>8244</v>
      </c>
      <c r="N74" s="39" t="s">
        <v>8245</v>
      </c>
      <c r="O74" s="39" t="s">
        <v>8246</v>
      </c>
      <c r="P74" s="39" t="s">
        <v>2170</v>
      </c>
      <c r="Q74" s="39" t="s">
        <v>8244</v>
      </c>
      <c r="R74" s="39" t="s">
        <v>8245</v>
      </c>
      <c r="S74" s="39" t="s">
        <v>8246</v>
      </c>
      <c r="T74" s="39" t="s">
        <v>2171</v>
      </c>
      <c r="U74" s="39" t="s">
        <v>2172</v>
      </c>
      <c r="V74" s="39" t="s">
        <v>2173</v>
      </c>
      <c r="W74" s="39" t="n">
        <v>4</v>
      </c>
      <c r="X74" s="40" t="n">
        <v>5</v>
      </c>
    </row>
    <row r="75" customFormat="false" ht="22.5" hidden="false" customHeight="true" outlineLevel="0" collapsed="false">
      <c r="A75" s="36" t="n">
        <v>44</v>
      </c>
      <c r="B75" s="36" t="s">
        <v>45</v>
      </c>
      <c r="C75" s="36" t="s">
        <v>7928</v>
      </c>
      <c r="D75" s="36" t="s">
        <v>8579</v>
      </c>
      <c r="E75" s="36" t="s">
        <v>8580</v>
      </c>
      <c r="F75" s="37" t="n">
        <v>0.2</v>
      </c>
      <c r="G75" s="36" t="s">
        <v>8581</v>
      </c>
      <c r="H75" s="36" t="s">
        <v>8582</v>
      </c>
      <c r="I75" s="36" t="s">
        <v>8583</v>
      </c>
      <c r="J75" s="36" t="s">
        <v>2179</v>
      </c>
      <c r="K75" s="36" t="s">
        <v>2180</v>
      </c>
      <c r="L75" s="36" t="s">
        <v>8584</v>
      </c>
      <c r="M75" s="36" t="s">
        <v>8244</v>
      </c>
      <c r="N75" s="36" t="s">
        <v>8245</v>
      </c>
      <c r="O75" s="36" t="s">
        <v>8246</v>
      </c>
      <c r="P75" s="36" t="s">
        <v>2182</v>
      </c>
      <c r="Q75" s="36" t="s">
        <v>8246</v>
      </c>
      <c r="R75" s="36" t="s">
        <v>8245</v>
      </c>
      <c r="S75" s="36" t="s">
        <v>8244</v>
      </c>
      <c r="T75" s="36" t="s">
        <v>8585</v>
      </c>
      <c r="U75" s="36" t="s">
        <v>2184</v>
      </c>
      <c r="V75" s="36" t="s">
        <v>59</v>
      </c>
      <c r="W75" s="36" t="n">
        <v>4</v>
      </c>
      <c r="X75" s="38" t="n">
        <v>5</v>
      </c>
    </row>
    <row r="76" customFormat="false" ht="22.5" hidden="false" customHeight="true" outlineLevel="0" collapsed="false">
      <c r="A76" s="39" t="n">
        <v>21</v>
      </c>
      <c r="B76" s="39" t="s">
        <v>45</v>
      </c>
      <c r="C76" s="39" t="s">
        <v>171</v>
      </c>
      <c r="D76" s="39" t="s">
        <v>49</v>
      </c>
      <c r="E76" s="39" t="s">
        <v>2186</v>
      </c>
      <c r="F76" s="41" t="n">
        <v>0.2</v>
      </c>
      <c r="G76" s="39" t="s">
        <v>2187</v>
      </c>
      <c r="H76" s="39" t="s">
        <v>8586</v>
      </c>
      <c r="I76" s="39" t="s">
        <v>2189</v>
      </c>
      <c r="J76" s="39" t="s">
        <v>2190</v>
      </c>
      <c r="K76" s="39" t="s">
        <v>2191</v>
      </c>
      <c r="L76" s="39" t="s">
        <v>2192</v>
      </c>
      <c r="M76" s="39" t="s">
        <v>8246</v>
      </c>
      <c r="N76" s="39" t="s">
        <v>8245</v>
      </c>
      <c r="O76" s="39" t="s">
        <v>8244</v>
      </c>
      <c r="P76" s="39" t="s">
        <v>2193</v>
      </c>
      <c r="Q76" s="39" t="s">
        <v>8246</v>
      </c>
      <c r="R76" s="39" t="s">
        <v>8245</v>
      </c>
      <c r="S76" s="39" t="s">
        <v>8244</v>
      </c>
      <c r="T76" s="39" t="s">
        <v>2194</v>
      </c>
      <c r="U76" s="39" t="s">
        <v>2195</v>
      </c>
      <c r="V76" s="39" t="s">
        <v>2196</v>
      </c>
      <c r="W76" s="39" t="n">
        <v>5</v>
      </c>
      <c r="X76" s="40" t="n">
        <v>5</v>
      </c>
    </row>
    <row r="77" customFormat="false" ht="22.5" hidden="false" customHeight="true" outlineLevel="0" collapsed="false">
      <c r="A77" s="36" t="n">
        <v>20</v>
      </c>
      <c r="B77" s="36" t="s">
        <v>45</v>
      </c>
      <c r="C77" s="36" t="s">
        <v>171</v>
      </c>
      <c r="D77" s="36" t="s">
        <v>7756</v>
      </c>
      <c r="E77" s="36" t="s">
        <v>8587</v>
      </c>
      <c r="F77" s="37" t="n">
        <v>0.4</v>
      </c>
      <c r="G77" s="36" t="s">
        <v>2199</v>
      </c>
      <c r="H77" s="36" t="s">
        <v>2200</v>
      </c>
      <c r="I77" s="36" t="s">
        <v>895</v>
      </c>
      <c r="J77" s="36" t="s">
        <v>2201</v>
      </c>
      <c r="K77" s="36" t="s">
        <v>2202</v>
      </c>
      <c r="L77" s="36" t="s">
        <v>8588</v>
      </c>
      <c r="M77" s="36" t="s">
        <v>8245</v>
      </c>
      <c r="N77" s="36" t="s">
        <v>8244</v>
      </c>
      <c r="O77" s="36" t="s">
        <v>8246</v>
      </c>
      <c r="P77" s="36" t="s">
        <v>2204</v>
      </c>
      <c r="Q77" s="36" t="s">
        <v>8244</v>
      </c>
      <c r="R77" s="36" t="s">
        <v>8245</v>
      </c>
      <c r="S77" s="36" t="s">
        <v>8246</v>
      </c>
      <c r="T77" s="36" t="s">
        <v>2205</v>
      </c>
      <c r="U77" s="36" t="s">
        <v>2206</v>
      </c>
      <c r="V77" s="36" t="s">
        <v>8589</v>
      </c>
      <c r="W77" s="36" t="n">
        <v>5</v>
      </c>
      <c r="X77" s="38" t="n">
        <v>5</v>
      </c>
    </row>
    <row r="78" customFormat="false" ht="22.5" hidden="false" customHeight="true" outlineLevel="0" collapsed="false">
      <c r="A78" s="39" t="n">
        <v>70</v>
      </c>
      <c r="B78" s="39" t="s">
        <v>83</v>
      </c>
      <c r="C78" s="39" t="s">
        <v>7928</v>
      </c>
      <c r="D78" s="39" t="s">
        <v>8590</v>
      </c>
      <c r="E78" s="39" t="s">
        <v>2208</v>
      </c>
      <c r="F78" s="41" t="n">
        <v>0.25</v>
      </c>
      <c r="G78" s="39" t="s">
        <v>8591</v>
      </c>
      <c r="H78" s="39" t="s">
        <v>8592</v>
      </c>
      <c r="I78" s="39" t="s">
        <v>2210</v>
      </c>
      <c r="J78" s="39" t="s">
        <v>8593</v>
      </c>
      <c r="K78" s="39" t="s">
        <v>2212</v>
      </c>
      <c r="L78" s="39" t="s">
        <v>2213</v>
      </c>
      <c r="M78" s="39" t="s">
        <v>8244</v>
      </c>
      <c r="N78" s="39" t="s">
        <v>8245</v>
      </c>
      <c r="O78" s="39" t="s">
        <v>8245</v>
      </c>
      <c r="P78" s="39" t="s">
        <v>8594</v>
      </c>
      <c r="Q78" s="39" t="s">
        <v>8244</v>
      </c>
      <c r="R78" s="39" t="s">
        <v>8245</v>
      </c>
      <c r="S78" s="39" t="s">
        <v>8245</v>
      </c>
      <c r="T78" s="39" t="s">
        <v>2215</v>
      </c>
      <c r="U78" s="39" t="s">
        <v>1845</v>
      </c>
      <c r="V78" s="39" t="s">
        <v>59</v>
      </c>
      <c r="W78" s="39" t="n">
        <v>5</v>
      </c>
      <c r="X78" s="40" t="n">
        <v>5</v>
      </c>
    </row>
    <row r="79" customFormat="false" ht="22.5" hidden="false" customHeight="true" outlineLevel="0" collapsed="false">
      <c r="A79" s="42" t="n">
        <v>60</v>
      </c>
      <c r="B79" s="42" t="s">
        <v>45</v>
      </c>
      <c r="C79" s="42" t="s">
        <v>8595</v>
      </c>
      <c r="D79" s="42" t="s">
        <v>8240</v>
      </c>
      <c r="E79" s="42" t="s">
        <v>8596</v>
      </c>
      <c r="F79" s="42" t="n">
        <v>30</v>
      </c>
      <c r="G79" s="42" t="s">
        <v>2218</v>
      </c>
      <c r="H79" s="42" t="s">
        <v>2219</v>
      </c>
      <c r="I79" s="42" t="s">
        <v>8597</v>
      </c>
      <c r="J79" s="42" t="s">
        <v>2221</v>
      </c>
      <c r="K79" s="42" t="s">
        <v>8598</v>
      </c>
      <c r="L79" s="42" t="s">
        <v>2223</v>
      </c>
      <c r="M79" s="42" t="s">
        <v>8246</v>
      </c>
      <c r="N79" s="42" t="s">
        <v>8245</v>
      </c>
      <c r="O79" s="42" t="s">
        <v>8244</v>
      </c>
      <c r="P79" s="42" t="s">
        <v>2224</v>
      </c>
      <c r="Q79" s="42" t="s">
        <v>8246</v>
      </c>
      <c r="R79" s="42" t="s">
        <v>8244</v>
      </c>
      <c r="S79" s="42" t="s">
        <v>8245</v>
      </c>
      <c r="T79" s="42" t="s">
        <v>1659</v>
      </c>
      <c r="U79" s="42" t="s">
        <v>2225</v>
      </c>
      <c r="V79" s="42" t="s">
        <v>8599</v>
      </c>
      <c r="W79" s="42" t="n">
        <v>5</v>
      </c>
      <c r="X79" s="43" t="n">
        <v>5</v>
      </c>
    </row>
    <row r="80" customFormat="false" ht="22.5" hidden="false" customHeight="true" outlineLevel="0" collapsed="false">
      <c r="A80" s="44" t="n">
        <v>21</v>
      </c>
      <c r="B80" s="44" t="s">
        <v>83</v>
      </c>
      <c r="C80" s="44" t="s">
        <v>8600</v>
      </c>
      <c r="D80" s="44" t="s">
        <v>8500</v>
      </c>
      <c r="E80" s="44" t="s">
        <v>104</v>
      </c>
      <c r="F80" s="44" t="n">
        <v>30</v>
      </c>
      <c r="G80" s="44" t="s">
        <v>2230</v>
      </c>
      <c r="H80" s="44" t="s">
        <v>2231</v>
      </c>
      <c r="I80" s="44" t="s">
        <v>8601</v>
      </c>
      <c r="J80" s="44" t="s">
        <v>8602</v>
      </c>
      <c r="K80" s="44" t="s">
        <v>2234</v>
      </c>
      <c r="L80" s="44" t="s">
        <v>2235</v>
      </c>
      <c r="M80" s="44" t="s">
        <v>8244</v>
      </c>
      <c r="N80" s="44" t="s">
        <v>8245</v>
      </c>
      <c r="O80" s="44" t="s">
        <v>8246</v>
      </c>
      <c r="P80" s="44" t="s">
        <v>8603</v>
      </c>
      <c r="Q80" s="44" t="s">
        <v>8244</v>
      </c>
      <c r="R80" s="44" t="s">
        <v>8245</v>
      </c>
      <c r="S80" s="44" t="s">
        <v>8246</v>
      </c>
      <c r="T80" s="44" t="s">
        <v>2237</v>
      </c>
      <c r="U80" s="44" t="s">
        <v>2238</v>
      </c>
      <c r="V80" s="44" t="s">
        <v>2239</v>
      </c>
      <c r="W80" s="44" t="n">
        <v>3</v>
      </c>
      <c r="X80" s="44" t="n">
        <v>3</v>
      </c>
    </row>
    <row r="81" customFormat="false" ht="22.5" hidden="false" customHeight="true" outlineLevel="0" collapsed="false">
      <c r="A81" s="31" t="n">
        <v>45</v>
      </c>
      <c r="B81" s="31" t="s">
        <v>45</v>
      </c>
      <c r="C81" s="31" t="s">
        <v>437</v>
      </c>
      <c r="D81" s="31" t="s">
        <v>437</v>
      </c>
      <c r="E81" s="31" t="s">
        <v>2241</v>
      </c>
      <c r="F81" s="31" t="s">
        <v>2242</v>
      </c>
      <c r="G81" s="31" t="s">
        <v>2243</v>
      </c>
      <c r="H81" s="31" t="s">
        <v>2244</v>
      </c>
      <c r="I81" s="31" t="s">
        <v>98</v>
      </c>
      <c r="J81" s="31" t="s">
        <v>2245</v>
      </c>
      <c r="K81" s="31" t="s">
        <v>2246</v>
      </c>
      <c r="L81" s="31" t="s">
        <v>2247</v>
      </c>
      <c r="M81" s="31" t="s">
        <v>8246</v>
      </c>
      <c r="N81" s="31" t="s">
        <v>8245</v>
      </c>
      <c r="O81" s="31" t="s">
        <v>8244</v>
      </c>
      <c r="P81" s="31" t="s">
        <v>2248</v>
      </c>
      <c r="Q81" s="31" t="s">
        <v>8246</v>
      </c>
      <c r="R81" s="31" t="s">
        <v>8245</v>
      </c>
      <c r="S81" s="31" t="s">
        <v>8244</v>
      </c>
      <c r="T81" s="31" t="s">
        <v>2249</v>
      </c>
      <c r="U81" s="31" t="s">
        <v>2250</v>
      </c>
      <c r="V81" s="31" t="s">
        <v>2251</v>
      </c>
      <c r="W81" s="31" t="n">
        <v>2</v>
      </c>
      <c r="X81" s="31" t="n">
        <v>5</v>
      </c>
    </row>
    <row r="82" customFormat="false" ht="22.5" hidden="false" customHeight="true" outlineLevel="0" collapsed="false">
      <c r="A82" s="31" t="n">
        <v>56</v>
      </c>
      <c r="B82" s="31" t="s">
        <v>45</v>
      </c>
      <c r="C82" s="31" t="s">
        <v>437</v>
      </c>
      <c r="D82" s="31" t="s">
        <v>436</v>
      </c>
      <c r="E82" s="31" t="s">
        <v>2253</v>
      </c>
      <c r="F82" s="31" t="n">
        <v>60</v>
      </c>
      <c r="G82" s="31" t="s">
        <v>2254</v>
      </c>
      <c r="H82" s="31" t="s">
        <v>2255</v>
      </c>
      <c r="I82" s="31" t="s">
        <v>59</v>
      </c>
      <c r="J82" s="31" t="s">
        <v>2256</v>
      </c>
      <c r="K82" s="31" t="s">
        <v>2257</v>
      </c>
      <c r="L82" s="31" t="s">
        <v>2258</v>
      </c>
      <c r="M82" s="31" t="s">
        <v>8245</v>
      </c>
      <c r="N82" s="31" t="s">
        <v>8244</v>
      </c>
      <c r="O82" s="31" t="s">
        <v>8246</v>
      </c>
      <c r="P82" s="31" t="s">
        <v>2259</v>
      </c>
      <c r="Q82" s="31" t="s">
        <v>8245</v>
      </c>
      <c r="R82" s="31" t="s">
        <v>8244</v>
      </c>
      <c r="S82" s="31" t="s">
        <v>8246</v>
      </c>
      <c r="T82" s="31" t="s">
        <v>1787</v>
      </c>
      <c r="U82" s="31" t="s">
        <v>1787</v>
      </c>
      <c r="V82" s="31" t="s">
        <v>2260</v>
      </c>
      <c r="W82" s="31" t="n">
        <v>4</v>
      </c>
      <c r="X82" s="31" t="n">
        <v>5</v>
      </c>
    </row>
    <row r="83" customFormat="false" ht="22.5" hidden="false" customHeight="true" outlineLevel="0" collapsed="false">
      <c r="A83" s="31" t="n">
        <v>45</v>
      </c>
      <c r="B83" s="31" t="s">
        <v>83</v>
      </c>
      <c r="C83" s="31" t="s">
        <v>437</v>
      </c>
      <c r="D83" s="31" t="s">
        <v>437</v>
      </c>
      <c r="E83" s="31" t="s">
        <v>2262</v>
      </c>
      <c r="F83" s="31" t="n">
        <v>30</v>
      </c>
      <c r="G83" s="31" t="s">
        <v>2254</v>
      </c>
      <c r="H83" s="31" t="s">
        <v>2263</v>
      </c>
      <c r="I83" s="31" t="s">
        <v>98</v>
      </c>
      <c r="J83" s="31" t="s">
        <v>2264</v>
      </c>
      <c r="K83" s="31" t="s">
        <v>2265</v>
      </c>
      <c r="L83" s="31" t="s">
        <v>2266</v>
      </c>
      <c r="M83" s="31" t="s">
        <v>8246</v>
      </c>
      <c r="N83" s="31" t="s">
        <v>8245</v>
      </c>
      <c r="O83" s="31" t="s">
        <v>8244</v>
      </c>
      <c r="P83" s="31" t="s">
        <v>2267</v>
      </c>
      <c r="Q83" s="31" t="s">
        <v>8246</v>
      </c>
      <c r="R83" s="31" t="s">
        <v>8245</v>
      </c>
      <c r="S83" s="31" t="s">
        <v>8244</v>
      </c>
      <c r="T83" s="31" t="s">
        <v>2268</v>
      </c>
      <c r="U83" s="31" t="s">
        <v>2269</v>
      </c>
      <c r="V83" s="31" t="s">
        <v>2270</v>
      </c>
      <c r="W83" s="31" t="n">
        <v>5</v>
      </c>
      <c r="X83" s="31" t="n">
        <v>5</v>
      </c>
    </row>
    <row r="84" customFormat="false" ht="22.5" hidden="false" customHeight="true" outlineLevel="0" collapsed="false">
      <c r="A84" s="31" t="n">
        <v>46</v>
      </c>
      <c r="B84" s="31" t="s">
        <v>45</v>
      </c>
      <c r="C84" s="31" t="s">
        <v>437</v>
      </c>
      <c r="D84" s="31" t="s">
        <v>437</v>
      </c>
      <c r="E84" s="31" t="s">
        <v>2272</v>
      </c>
      <c r="F84" s="31" t="n">
        <v>20</v>
      </c>
      <c r="G84" s="31" t="s">
        <v>2273</v>
      </c>
      <c r="H84" s="31" t="s">
        <v>2274</v>
      </c>
      <c r="I84" s="31" t="s">
        <v>59</v>
      </c>
      <c r="J84" s="31" t="s">
        <v>2275</v>
      </c>
      <c r="K84" s="31" t="s">
        <v>2276</v>
      </c>
      <c r="L84" s="31" t="s">
        <v>2277</v>
      </c>
      <c r="M84" s="31" t="s">
        <v>8244</v>
      </c>
      <c r="N84" s="31" t="s">
        <v>8245</v>
      </c>
      <c r="O84" s="31" t="s">
        <v>8246</v>
      </c>
      <c r="P84" s="31" t="s">
        <v>2278</v>
      </c>
      <c r="Q84" s="31" t="s">
        <v>8244</v>
      </c>
      <c r="R84" s="31" t="s">
        <v>8245</v>
      </c>
      <c r="S84" s="31" t="s">
        <v>8246</v>
      </c>
      <c r="T84" s="31" t="s">
        <v>2279</v>
      </c>
      <c r="U84" s="31" t="s">
        <v>2280</v>
      </c>
      <c r="V84" s="31" t="s">
        <v>2281</v>
      </c>
      <c r="W84" s="31" t="n">
        <v>3</v>
      </c>
      <c r="X84" s="31" t="n">
        <v>5</v>
      </c>
    </row>
    <row r="85" customFormat="false" ht="22.5" hidden="false" customHeight="true" outlineLevel="0" collapsed="false">
      <c r="A85" s="31" t="n">
        <v>40</v>
      </c>
      <c r="B85" s="31" t="s">
        <v>45</v>
      </c>
      <c r="C85" s="31" t="s">
        <v>437</v>
      </c>
      <c r="D85" s="31" t="s">
        <v>437</v>
      </c>
      <c r="E85" s="31" t="s">
        <v>2283</v>
      </c>
      <c r="F85" s="31" t="n">
        <v>30</v>
      </c>
      <c r="G85" s="31" t="s">
        <v>2284</v>
      </c>
      <c r="H85" s="31" t="s">
        <v>2285</v>
      </c>
      <c r="I85" s="31" t="s">
        <v>2286</v>
      </c>
      <c r="J85" s="31" t="s">
        <v>2287</v>
      </c>
      <c r="K85" s="31" t="s">
        <v>2288</v>
      </c>
      <c r="L85" s="31" t="s">
        <v>2289</v>
      </c>
      <c r="M85" s="31" t="s">
        <v>8244</v>
      </c>
      <c r="N85" s="31" t="s">
        <v>8246</v>
      </c>
      <c r="O85" s="31" t="s">
        <v>8245</v>
      </c>
      <c r="P85" s="31" t="s">
        <v>2290</v>
      </c>
      <c r="Q85" s="31" t="s">
        <v>8244</v>
      </c>
      <c r="R85" s="31" t="s">
        <v>8246</v>
      </c>
      <c r="S85" s="31" t="s">
        <v>8245</v>
      </c>
      <c r="T85" s="31" t="s">
        <v>2291</v>
      </c>
      <c r="U85" s="31" t="s">
        <v>2292</v>
      </c>
      <c r="V85" s="31" t="s">
        <v>98</v>
      </c>
      <c r="W85" s="31" t="n">
        <v>5</v>
      </c>
      <c r="X85" s="31" t="n">
        <v>5</v>
      </c>
    </row>
    <row r="86" customFormat="false" ht="22.5" hidden="false" customHeight="true" outlineLevel="0" collapsed="false">
      <c r="A86" s="31" t="n">
        <v>46</v>
      </c>
      <c r="B86" s="31" t="s">
        <v>45</v>
      </c>
      <c r="C86" s="31" t="s">
        <v>437</v>
      </c>
      <c r="D86" s="31" t="s">
        <v>437</v>
      </c>
      <c r="E86" s="31" t="s">
        <v>2272</v>
      </c>
      <c r="F86" s="31" t="n">
        <v>30</v>
      </c>
      <c r="G86" s="31" t="s">
        <v>2294</v>
      </c>
      <c r="H86" s="31" t="s">
        <v>2295</v>
      </c>
      <c r="I86" s="31" t="s">
        <v>2296</v>
      </c>
      <c r="J86" s="31" t="s">
        <v>2297</v>
      </c>
      <c r="K86" s="31" t="s">
        <v>2298</v>
      </c>
      <c r="L86" s="31" t="s">
        <v>2299</v>
      </c>
      <c r="M86" s="31" t="s">
        <v>8246</v>
      </c>
      <c r="N86" s="31" t="s">
        <v>8244</v>
      </c>
      <c r="O86" s="31" t="s">
        <v>8245</v>
      </c>
      <c r="P86" s="31" t="s">
        <v>2300</v>
      </c>
      <c r="Q86" s="31" t="s">
        <v>8246</v>
      </c>
      <c r="R86" s="31" t="s">
        <v>8244</v>
      </c>
      <c r="S86" s="31" t="s">
        <v>8245</v>
      </c>
      <c r="T86" s="31" t="s">
        <v>2301</v>
      </c>
      <c r="U86" s="31" t="s">
        <v>2302</v>
      </c>
      <c r="V86" s="31" t="s">
        <v>2303</v>
      </c>
      <c r="W86" s="31" t="n">
        <v>5</v>
      </c>
      <c r="X86" s="31" t="n">
        <v>5</v>
      </c>
    </row>
    <row r="87" customFormat="false" ht="22.5" hidden="false" customHeight="true" outlineLevel="0" collapsed="false">
      <c r="A87" s="31" t="n">
        <v>38</v>
      </c>
      <c r="B87" s="31" t="s">
        <v>45</v>
      </c>
      <c r="C87" s="31" t="s">
        <v>437</v>
      </c>
      <c r="D87" s="31" t="s">
        <v>437</v>
      </c>
      <c r="E87" s="31" t="s">
        <v>2305</v>
      </c>
      <c r="F87" s="31" t="n">
        <v>60</v>
      </c>
      <c r="G87" s="31" t="s">
        <v>2306</v>
      </c>
      <c r="H87" s="31" t="s">
        <v>2307</v>
      </c>
      <c r="I87" s="31" t="s">
        <v>2308</v>
      </c>
      <c r="J87" s="31" t="s">
        <v>2309</v>
      </c>
      <c r="K87" s="31" t="s">
        <v>2310</v>
      </c>
      <c r="L87" s="31" t="s">
        <v>2311</v>
      </c>
      <c r="M87" s="31" t="s">
        <v>8244</v>
      </c>
      <c r="N87" s="31" t="s">
        <v>8246</v>
      </c>
      <c r="O87" s="31" t="s">
        <v>8245</v>
      </c>
      <c r="P87" s="31" t="s">
        <v>2312</v>
      </c>
      <c r="Q87" s="31" t="s">
        <v>8244</v>
      </c>
      <c r="R87" s="31" t="s">
        <v>8246</v>
      </c>
      <c r="S87" s="31" t="s">
        <v>8245</v>
      </c>
      <c r="T87" s="31" t="s">
        <v>2313</v>
      </c>
      <c r="U87" s="31" t="s">
        <v>1768</v>
      </c>
      <c r="V87" s="31" t="s">
        <v>1768</v>
      </c>
      <c r="W87" s="31" t="n">
        <v>5</v>
      </c>
      <c r="X87" s="31" t="n">
        <v>5</v>
      </c>
    </row>
    <row r="88" customFormat="false" ht="22.5" hidden="false" customHeight="true" outlineLevel="0" collapsed="false">
      <c r="A88" s="31" t="n">
        <v>49</v>
      </c>
      <c r="B88" s="31" t="s">
        <v>45</v>
      </c>
      <c r="C88" s="31" t="s">
        <v>437</v>
      </c>
      <c r="D88" s="31" t="s">
        <v>437</v>
      </c>
      <c r="E88" s="31" t="s">
        <v>2315</v>
      </c>
      <c r="F88" s="31" t="s">
        <v>8604</v>
      </c>
      <c r="G88" s="31" t="s">
        <v>2316</v>
      </c>
      <c r="H88" s="31" t="s">
        <v>2317</v>
      </c>
      <c r="I88" s="31" t="s">
        <v>2318</v>
      </c>
      <c r="J88" s="31" t="s">
        <v>2319</v>
      </c>
      <c r="K88" s="31" t="s">
        <v>2320</v>
      </c>
      <c r="L88" s="31" t="s">
        <v>2321</v>
      </c>
      <c r="M88" s="31" t="s">
        <v>8244</v>
      </c>
      <c r="N88" s="31" t="s">
        <v>8245</v>
      </c>
      <c r="O88" s="31" t="s">
        <v>8246</v>
      </c>
      <c r="P88" s="31" t="s">
        <v>2322</v>
      </c>
      <c r="Q88" s="31" t="s">
        <v>8246</v>
      </c>
      <c r="R88" s="31" t="s">
        <v>8245</v>
      </c>
      <c r="S88" s="31" t="s">
        <v>8244</v>
      </c>
      <c r="T88" s="31" t="s">
        <v>2323</v>
      </c>
      <c r="U88" s="31" t="s">
        <v>2324</v>
      </c>
      <c r="V88" s="31" t="s">
        <v>2325</v>
      </c>
      <c r="W88" s="31" t="n">
        <v>5</v>
      </c>
      <c r="X88" s="31" t="n">
        <v>5</v>
      </c>
    </row>
    <row r="89" customFormat="false" ht="22.5" hidden="false" customHeight="true" outlineLevel="0" collapsed="false">
      <c r="A89" s="31" t="n">
        <v>50</v>
      </c>
      <c r="B89" s="31" t="s">
        <v>45</v>
      </c>
      <c r="C89" s="31" t="s">
        <v>437</v>
      </c>
      <c r="D89" s="31" t="s">
        <v>437</v>
      </c>
      <c r="E89" s="31" t="s">
        <v>2327</v>
      </c>
      <c r="F89" s="31" t="n">
        <v>30</v>
      </c>
      <c r="G89" s="31" t="s">
        <v>2328</v>
      </c>
      <c r="H89" s="31" t="s">
        <v>2329</v>
      </c>
      <c r="I89" s="31" t="s">
        <v>59</v>
      </c>
      <c r="J89" s="31" t="s">
        <v>2330</v>
      </c>
      <c r="K89" s="31" t="s">
        <v>2331</v>
      </c>
      <c r="L89" s="31" t="s">
        <v>2332</v>
      </c>
      <c r="M89" s="31" t="s">
        <v>8246</v>
      </c>
      <c r="N89" s="31" t="s">
        <v>8244</v>
      </c>
      <c r="O89" s="31" t="s">
        <v>8245</v>
      </c>
      <c r="P89" s="31" t="s">
        <v>2333</v>
      </c>
      <c r="Q89" s="31" t="s">
        <v>8245</v>
      </c>
      <c r="R89" s="31" t="s">
        <v>8246</v>
      </c>
      <c r="S89" s="31" t="s">
        <v>8244</v>
      </c>
      <c r="T89" s="31" t="s">
        <v>2313</v>
      </c>
      <c r="U89" s="31" t="s">
        <v>2334</v>
      </c>
      <c r="V89" s="31" t="s">
        <v>2335</v>
      </c>
      <c r="W89" s="31" t="n">
        <v>1</v>
      </c>
      <c r="X89" s="31" t="n">
        <v>5</v>
      </c>
    </row>
    <row r="90" customFormat="false" ht="22.5" hidden="false" customHeight="true" outlineLevel="0" collapsed="false">
      <c r="A90" s="31" t="n">
        <v>42</v>
      </c>
      <c r="B90" s="31" t="s">
        <v>45</v>
      </c>
      <c r="C90" s="31" t="s">
        <v>437</v>
      </c>
      <c r="D90" s="31" t="s">
        <v>437</v>
      </c>
      <c r="E90" s="31" t="s">
        <v>2337</v>
      </c>
      <c r="F90" s="31" t="n">
        <v>18.5</v>
      </c>
      <c r="G90" s="31" t="s">
        <v>2338</v>
      </c>
      <c r="H90" s="31" t="s">
        <v>2339</v>
      </c>
      <c r="I90" s="31" t="s">
        <v>2340</v>
      </c>
      <c r="J90" s="31" t="s">
        <v>2341</v>
      </c>
      <c r="K90" s="31" t="s">
        <v>2342</v>
      </c>
      <c r="L90" s="31" t="s">
        <v>2343</v>
      </c>
      <c r="M90" s="31" t="s">
        <v>8245</v>
      </c>
      <c r="N90" s="31" t="s">
        <v>8246</v>
      </c>
      <c r="O90" s="31" t="s">
        <v>8244</v>
      </c>
      <c r="P90" s="31" t="s">
        <v>2344</v>
      </c>
      <c r="Q90" s="31" t="s">
        <v>8245</v>
      </c>
      <c r="R90" s="31" t="s">
        <v>8244</v>
      </c>
      <c r="S90" s="31" t="s">
        <v>8246</v>
      </c>
      <c r="T90" s="31" t="s">
        <v>2345</v>
      </c>
      <c r="U90" s="31" t="s">
        <v>2346</v>
      </c>
      <c r="V90" s="31" t="s">
        <v>2347</v>
      </c>
      <c r="W90" s="31" t="n">
        <v>5</v>
      </c>
      <c r="X90" s="31" t="n">
        <v>5</v>
      </c>
    </row>
    <row r="91" customFormat="false" ht="22.5" hidden="false" customHeight="true" outlineLevel="0" collapsed="false">
      <c r="A91" s="31" t="n">
        <v>50</v>
      </c>
      <c r="B91" s="31" t="s">
        <v>45</v>
      </c>
      <c r="C91" s="31" t="s">
        <v>437</v>
      </c>
      <c r="D91" s="31" t="s">
        <v>437</v>
      </c>
      <c r="E91" s="31" t="s">
        <v>2349</v>
      </c>
      <c r="F91" s="31" t="n">
        <v>18</v>
      </c>
      <c r="G91" s="31" t="s">
        <v>2350</v>
      </c>
      <c r="H91" s="31" t="s">
        <v>2351</v>
      </c>
      <c r="I91" s="31" t="s">
        <v>2352</v>
      </c>
      <c r="J91" s="31" t="s">
        <v>2353</v>
      </c>
      <c r="K91" s="31" t="s">
        <v>2354</v>
      </c>
      <c r="L91" s="31" t="s">
        <v>2355</v>
      </c>
      <c r="M91" s="31" t="s">
        <v>8244</v>
      </c>
      <c r="N91" s="31" t="s">
        <v>8245</v>
      </c>
      <c r="O91" s="31" t="s">
        <v>8246</v>
      </c>
      <c r="P91" s="31" t="s">
        <v>2356</v>
      </c>
      <c r="Q91" s="31" t="s">
        <v>8245</v>
      </c>
      <c r="R91" s="31" t="s">
        <v>8244</v>
      </c>
      <c r="S91" s="31" t="s">
        <v>8246</v>
      </c>
      <c r="T91" s="31" t="s">
        <v>2357</v>
      </c>
      <c r="U91" s="31" t="s">
        <v>2358</v>
      </c>
      <c r="V91" s="31" t="s">
        <v>2359</v>
      </c>
      <c r="W91" s="31" t="n">
        <v>4</v>
      </c>
      <c r="X91" s="31" t="n">
        <v>4</v>
      </c>
    </row>
    <row r="92" customFormat="false" ht="22.5" hidden="false" customHeight="true" outlineLevel="0" collapsed="false">
      <c r="A92" s="31" t="n">
        <v>46</v>
      </c>
      <c r="B92" s="31" t="s">
        <v>83</v>
      </c>
      <c r="C92" s="31" t="s">
        <v>437</v>
      </c>
      <c r="D92" s="31" t="s">
        <v>437</v>
      </c>
      <c r="E92" s="31" t="s">
        <v>2361</v>
      </c>
      <c r="F92" s="31" t="n">
        <v>60</v>
      </c>
      <c r="G92" s="31" t="s">
        <v>2362</v>
      </c>
      <c r="H92" s="31" t="s">
        <v>2363</v>
      </c>
      <c r="I92" s="31" t="s">
        <v>2364</v>
      </c>
      <c r="J92" s="31" t="s">
        <v>2365</v>
      </c>
      <c r="K92" s="31" t="s">
        <v>2366</v>
      </c>
      <c r="L92" s="31" t="s">
        <v>2367</v>
      </c>
      <c r="M92" s="31" t="s">
        <v>8246</v>
      </c>
      <c r="N92" s="31" t="s">
        <v>8244</v>
      </c>
      <c r="O92" s="31" t="s">
        <v>8245</v>
      </c>
      <c r="P92" s="31" t="s">
        <v>2368</v>
      </c>
      <c r="Q92" s="31" t="s">
        <v>8246</v>
      </c>
      <c r="R92" s="31" t="s">
        <v>8244</v>
      </c>
      <c r="S92" s="31" t="s">
        <v>8245</v>
      </c>
      <c r="T92" s="31" t="s">
        <v>2369</v>
      </c>
      <c r="U92" s="31" t="s">
        <v>2370</v>
      </c>
      <c r="V92" s="31" t="s">
        <v>2371</v>
      </c>
      <c r="W92" s="31" t="n">
        <v>3</v>
      </c>
      <c r="X92" s="31" t="n">
        <v>4</v>
      </c>
    </row>
    <row r="93" customFormat="false" ht="22.5" hidden="false" customHeight="true" outlineLevel="0" collapsed="false">
      <c r="A93" s="31" t="n">
        <v>54</v>
      </c>
      <c r="B93" s="31" t="s">
        <v>45</v>
      </c>
      <c r="C93" s="31" t="s">
        <v>437</v>
      </c>
      <c r="D93" s="31" t="s">
        <v>437</v>
      </c>
      <c r="E93" s="31" t="s">
        <v>2373</v>
      </c>
      <c r="F93" s="31" t="s">
        <v>8605</v>
      </c>
      <c r="G93" s="31" t="s">
        <v>2374</v>
      </c>
      <c r="H93" s="31" t="s">
        <v>2375</v>
      </c>
      <c r="I93" s="31" t="s">
        <v>2376</v>
      </c>
      <c r="J93" s="31" t="s">
        <v>2377</v>
      </c>
      <c r="K93" s="31" t="s">
        <v>2378</v>
      </c>
      <c r="L93" s="31" t="s">
        <v>2379</v>
      </c>
      <c r="M93" s="31" t="s">
        <v>8246</v>
      </c>
      <c r="N93" s="31" t="s">
        <v>8244</v>
      </c>
      <c r="O93" s="31" t="s">
        <v>8245</v>
      </c>
      <c r="P93" s="31" t="s">
        <v>2380</v>
      </c>
      <c r="Q93" s="31" t="s">
        <v>8246</v>
      </c>
      <c r="R93" s="31" t="s">
        <v>8244</v>
      </c>
      <c r="S93" s="31" t="s">
        <v>8245</v>
      </c>
      <c r="T93" s="31" t="s">
        <v>2381</v>
      </c>
      <c r="U93" s="31" t="s">
        <v>2382</v>
      </c>
      <c r="V93" s="31" t="s">
        <v>98</v>
      </c>
      <c r="W93" s="31" t="n">
        <v>4</v>
      </c>
      <c r="X93" s="31" t="n">
        <v>4</v>
      </c>
    </row>
    <row r="94" customFormat="false" ht="22.5" hidden="false" customHeight="true" outlineLevel="0" collapsed="false">
      <c r="A94" s="31" t="n">
        <v>46</v>
      </c>
      <c r="B94" s="31" t="s">
        <v>45</v>
      </c>
      <c r="C94" s="31" t="s">
        <v>437</v>
      </c>
      <c r="D94" s="31" t="s">
        <v>436</v>
      </c>
      <c r="E94" s="31" t="s">
        <v>2384</v>
      </c>
      <c r="F94" s="31" t="n">
        <v>60</v>
      </c>
      <c r="G94" s="31" t="s">
        <v>2385</v>
      </c>
      <c r="H94" s="31" t="s">
        <v>2386</v>
      </c>
      <c r="I94" s="31" t="s">
        <v>98</v>
      </c>
      <c r="J94" s="31" t="s">
        <v>2387</v>
      </c>
      <c r="K94" s="31" t="s">
        <v>2388</v>
      </c>
      <c r="L94" s="31" t="s">
        <v>2389</v>
      </c>
      <c r="M94" s="31" t="s">
        <v>8246</v>
      </c>
      <c r="N94" s="31" t="s">
        <v>8244</v>
      </c>
      <c r="O94" s="31" t="s">
        <v>8245</v>
      </c>
      <c r="P94" s="31" t="s">
        <v>2390</v>
      </c>
      <c r="Q94" s="31" t="s">
        <v>8246</v>
      </c>
      <c r="R94" s="31" t="s">
        <v>8244</v>
      </c>
      <c r="S94" s="31" t="s">
        <v>8245</v>
      </c>
      <c r="T94" s="31" t="s">
        <v>2391</v>
      </c>
      <c r="U94" s="31" t="s">
        <v>2392</v>
      </c>
      <c r="V94" s="31" t="s">
        <v>2393</v>
      </c>
      <c r="W94" s="31" t="n">
        <v>5</v>
      </c>
      <c r="X94" s="31" t="n">
        <v>5</v>
      </c>
    </row>
    <row r="95" customFormat="false" ht="22.5" hidden="false" customHeight="true" outlineLevel="0" collapsed="false">
      <c r="A95" s="31" t="n">
        <v>50</v>
      </c>
      <c r="B95" s="31" t="s">
        <v>83</v>
      </c>
      <c r="C95" s="31" t="s">
        <v>437</v>
      </c>
      <c r="D95" s="31" t="s">
        <v>437</v>
      </c>
      <c r="E95" s="31" t="s">
        <v>2395</v>
      </c>
      <c r="F95" s="31" t="n">
        <v>60</v>
      </c>
      <c r="G95" s="31" t="s">
        <v>2396</v>
      </c>
      <c r="H95" s="31" t="s">
        <v>2397</v>
      </c>
      <c r="I95" s="31" t="s">
        <v>2398</v>
      </c>
      <c r="J95" s="31" t="s">
        <v>2399</v>
      </c>
      <c r="K95" s="31" t="s">
        <v>2400</v>
      </c>
      <c r="L95" s="31" t="s">
        <v>2401</v>
      </c>
      <c r="M95" s="31" t="s">
        <v>8244</v>
      </c>
      <c r="N95" s="31" t="s">
        <v>8246</v>
      </c>
      <c r="O95" s="31" t="s">
        <v>8245</v>
      </c>
      <c r="P95" s="31" t="s">
        <v>2402</v>
      </c>
      <c r="Q95" s="31" t="s">
        <v>8246</v>
      </c>
      <c r="R95" s="31" t="s">
        <v>8245</v>
      </c>
      <c r="S95" s="31" t="s">
        <v>8244</v>
      </c>
      <c r="T95" s="31" t="s">
        <v>2403</v>
      </c>
      <c r="U95" s="31" t="s">
        <v>2404</v>
      </c>
      <c r="V95" s="31" t="s">
        <v>2405</v>
      </c>
      <c r="W95" s="31" t="n">
        <v>5</v>
      </c>
      <c r="X95" s="31" t="n">
        <v>5</v>
      </c>
    </row>
    <row r="96" customFormat="false" ht="22.5" hidden="false" customHeight="true" outlineLevel="0" collapsed="false">
      <c r="A96" s="31" t="n">
        <v>19</v>
      </c>
      <c r="B96" s="31" t="s">
        <v>45</v>
      </c>
      <c r="C96" s="31" t="s">
        <v>437</v>
      </c>
      <c r="D96" s="31" t="s">
        <v>47</v>
      </c>
      <c r="E96" s="31" t="s">
        <v>2407</v>
      </c>
      <c r="F96" s="31" t="s">
        <v>8606</v>
      </c>
      <c r="G96" s="31" t="s">
        <v>2408</v>
      </c>
      <c r="H96" s="31" t="s">
        <v>2409</v>
      </c>
      <c r="I96" s="31" t="s">
        <v>2410</v>
      </c>
      <c r="J96" s="31" t="s">
        <v>2411</v>
      </c>
      <c r="K96" s="31" t="s">
        <v>2412</v>
      </c>
      <c r="L96" s="31" t="s">
        <v>2413</v>
      </c>
      <c r="M96" s="31" t="s">
        <v>8246</v>
      </c>
      <c r="N96" s="31" t="s">
        <v>8244</v>
      </c>
      <c r="O96" s="31" t="s">
        <v>8245</v>
      </c>
      <c r="P96" s="31" t="s">
        <v>2414</v>
      </c>
      <c r="Q96" s="31" t="s">
        <v>8245</v>
      </c>
      <c r="R96" s="31" t="s">
        <v>8246</v>
      </c>
      <c r="S96" s="31" t="s">
        <v>8244</v>
      </c>
      <c r="T96" s="31" t="s">
        <v>2415</v>
      </c>
      <c r="U96" s="31" t="s">
        <v>2416</v>
      </c>
      <c r="V96" s="31" t="s">
        <v>2417</v>
      </c>
      <c r="W96" s="31" t="n">
        <v>4</v>
      </c>
      <c r="X96" s="31" t="n">
        <v>5</v>
      </c>
    </row>
    <row r="97" customFormat="false" ht="22.5" hidden="false" customHeight="true" outlineLevel="0" collapsed="false">
      <c r="A97" s="31" t="n">
        <v>48</v>
      </c>
      <c r="B97" s="31" t="s">
        <v>83</v>
      </c>
      <c r="C97" s="31" t="s">
        <v>437</v>
      </c>
      <c r="D97" s="31" t="s">
        <v>437</v>
      </c>
      <c r="E97" s="31" t="s">
        <v>2419</v>
      </c>
      <c r="F97" s="31" t="s">
        <v>8607</v>
      </c>
      <c r="G97" s="31" t="s">
        <v>2420</v>
      </c>
      <c r="H97" s="31" t="s">
        <v>2421</v>
      </c>
      <c r="I97" s="31" t="s">
        <v>59</v>
      </c>
      <c r="J97" s="31" t="s">
        <v>2422</v>
      </c>
      <c r="K97" s="31" t="s">
        <v>2423</v>
      </c>
      <c r="L97" s="31" t="s">
        <v>2424</v>
      </c>
      <c r="M97" s="31" t="s">
        <v>8244</v>
      </c>
      <c r="N97" s="31" t="s">
        <v>8245</v>
      </c>
      <c r="O97" s="31" t="s">
        <v>8246</v>
      </c>
      <c r="P97" s="31" t="s">
        <v>2425</v>
      </c>
      <c r="Q97" s="31" t="s">
        <v>8244</v>
      </c>
      <c r="R97" s="31" t="s">
        <v>8246</v>
      </c>
      <c r="S97" s="31" t="s">
        <v>8245</v>
      </c>
      <c r="T97" s="31" t="s">
        <v>2426</v>
      </c>
      <c r="U97" s="31" t="s">
        <v>2427</v>
      </c>
      <c r="V97" s="31" t="s">
        <v>2428</v>
      </c>
      <c r="W97" s="31" t="n">
        <v>3</v>
      </c>
      <c r="X97" s="31" t="n">
        <v>5</v>
      </c>
    </row>
    <row r="98" customFormat="false" ht="22.5" hidden="false" customHeight="true" outlineLevel="0" collapsed="false">
      <c r="A98" s="31" t="n">
        <v>45</v>
      </c>
      <c r="B98" s="31" t="s">
        <v>45</v>
      </c>
      <c r="C98" s="31" t="s">
        <v>437</v>
      </c>
      <c r="D98" s="31" t="s">
        <v>437</v>
      </c>
      <c r="E98" s="31" t="s">
        <v>2430</v>
      </c>
      <c r="F98" s="31" t="n">
        <v>15</v>
      </c>
      <c r="G98" s="31" t="s">
        <v>2431</v>
      </c>
      <c r="H98" s="31" t="s">
        <v>2432</v>
      </c>
      <c r="I98" s="31" t="s">
        <v>59</v>
      </c>
      <c r="J98" s="31" t="s">
        <v>2433</v>
      </c>
      <c r="K98" s="31" t="s">
        <v>582</v>
      </c>
      <c r="L98" s="31" t="s">
        <v>2434</v>
      </c>
      <c r="M98" s="31" t="s">
        <v>8246</v>
      </c>
      <c r="N98" s="31" t="s">
        <v>8245</v>
      </c>
      <c r="O98" s="31" t="s">
        <v>8244</v>
      </c>
      <c r="P98" s="31" t="s">
        <v>2435</v>
      </c>
      <c r="Q98" s="31" t="s">
        <v>8245</v>
      </c>
      <c r="R98" s="31" t="s">
        <v>8246</v>
      </c>
      <c r="S98" s="31" t="s">
        <v>8244</v>
      </c>
      <c r="T98" s="31" t="s">
        <v>2313</v>
      </c>
      <c r="U98" s="31" t="s">
        <v>2436</v>
      </c>
      <c r="V98" s="31" t="s">
        <v>2437</v>
      </c>
      <c r="W98" s="31" t="n">
        <v>3</v>
      </c>
      <c r="X98" s="31" t="n">
        <v>5</v>
      </c>
    </row>
    <row r="99" customFormat="false" ht="22.5" hidden="false" customHeight="true" outlineLevel="0" collapsed="false">
      <c r="A99" s="31" t="n">
        <v>43</v>
      </c>
      <c r="B99" s="31" t="s">
        <v>45</v>
      </c>
      <c r="C99" s="31" t="s">
        <v>437</v>
      </c>
      <c r="D99" s="31" t="s">
        <v>437</v>
      </c>
      <c r="E99" s="31" t="s">
        <v>2439</v>
      </c>
      <c r="F99" s="31" t="s">
        <v>8608</v>
      </c>
      <c r="G99" s="31" t="s">
        <v>2440</v>
      </c>
      <c r="H99" s="31" t="s">
        <v>2441</v>
      </c>
      <c r="I99" s="31" t="s">
        <v>2442</v>
      </c>
      <c r="J99" s="31" t="s">
        <v>2443</v>
      </c>
      <c r="K99" s="31" t="s">
        <v>2444</v>
      </c>
      <c r="L99" s="31" t="s">
        <v>2445</v>
      </c>
      <c r="M99" s="31" t="s">
        <v>8246</v>
      </c>
      <c r="N99" s="31" t="s">
        <v>8244</v>
      </c>
      <c r="O99" s="31" t="s">
        <v>8245</v>
      </c>
      <c r="P99" s="31" t="s">
        <v>2446</v>
      </c>
      <c r="Q99" s="31" t="s">
        <v>8246</v>
      </c>
      <c r="R99" s="31" t="s">
        <v>8244</v>
      </c>
      <c r="S99" s="31" t="s">
        <v>8245</v>
      </c>
      <c r="T99" s="31" t="s">
        <v>2447</v>
      </c>
      <c r="U99" s="31" t="s">
        <v>2448</v>
      </c>
      <c r="V99" s="31" t="s">
        <v>2449</v>
      </c>
      <c r="W99" s="31" t="n">
        <v>4</v>
      </c>
      <c r="X99" s="31" t="n">
        <v>5</v>
      </c>
    </row>
    <row r="100" customFormat="false" ht="22.5" hidden="false" customHeight="true" outlineLevel="0" collapsed="false">
      <c r="A100" s="31" t="n">
        <v>31</v>
      </c>
      <c r="B100" s="31" t="s">
        <v>45</v>
      </c>
      <c r="C100" s="31" t="s">
        <v>437</v>
      </c>
      <c r="D100" s="31" t="s">
        <v>437</v>
      </c>
      <c r="E100" s="31" t="s">
        <v>2452</v>
      </c>
      <c r="F100" s="31" t="s">
        <v>8609</v>
      </c>
      <c r="G100" s="31" t="s">
        <v>2453</v>
      </c>
      <c r="H100" s="31" t="s">
        <v>2454</v>
      </c>
      <c r="I100" s="31" t="s">
        <v>2455</v>
      </c>
      <c r="J100" s="31" t="s">
        <v>2456</v>
      </c>
      <c r="K100" s="31" t="s">
        <v>2457</v>
      </c>
      <c r="L100" s="31" t="s">
        <v>2458</v>
      </c>
      <c r="M100" s="31" t="s">
        <v>8246</v>
      </c>
      <c r="N100" s="31" t="s">
        <v>8244</v>
      </c>
      <c r="O100" s="31" t="s">
        <v>8245</v>
      </c>
      <c r="P100" s="31" t="s">
        <v>2459</v>
      </c>
      <c r="Q100" s="31" t="s">
        <v>8246</v>
      </c>
      <c r="R100" s="31" t="s">
        <v>8244</v>
      </c>
      <c r="S100" s="31" t="s">
        <v>8245</v>
      </c>
      <c r="T100" s="31" t="s">
        <v>2460</v>
      </c>
      <c r="U100" s="31" t="s">
        <v>2461</v>
      </c>
      <c r="V100" s="31" t="s">
        <v>2462</v>
      </c>
      <c r="W100" s="31" t="n">
        <v>4</v>
      </c>
      <c r="X100" s="31" t="n">
        <v>5</v>
      </c>
    </row>
    <row r="101" customFormat="false" ht="22.5" hidden="false" customHeight="true" outlineLevel="0" collapsed="false">
      <c r="A101" s="31" t="n">
        <v>17</v>
      </c>
      <c r="B101" s="31" t="s">
        <v>83</v>
      </c>
      <c r="C101" s="31" t="s">
        <v>437</v>
      </c>
      <c r="D101" s="31" t="s">
        <v>2465</v>
      </c>
      <c r="E101" s="31" t="s">
        <v>2466</v>
      </c>
      <c r="F101" s="31" t="s">
        <v>8610</v>
      </c>
      <c r="G101" s="31" t="s">
        <v>2467</v>
      </c>
      <c r="H101" s="31" t="s">
        <v>2468</v>
      </c>
      <c r="I101" s="31" t="s">
        <v>2469</v>
      </c>
      <c r="J101" s="31" t="s">
        <v>2470</v>
      </c>
      <c r="K101" s="31" t="s">
        <v>2471</v>
      </c>
      <c r="L101" s="31" t="s">
        <v>2472</v>
      </c>
      <c r="M101" s="31" t="s">
        <v>8246</v>
      </c>
      <c r="N101" s="31" t="s">
        <v>8245</v>
      </c>
      <c r="O101" s="31" t="s">
        <v>8244</v>
      </c>
      <c r="P101" s="31" t="s">
        <v>2473</v>
      </c>
      <c r="Q101" s="31" t="s">
        <v>8244</v>
      </c>
      <c r="R101" s="31" t="s">
        <v>8245</v>
      </c>
      <c r="S101" s="31" t="s">
        <v>8246</v>
      </c>
      <c r="T101" s="31" t="s">
        <v>2474</v>
      </c>
      <c r="U101" s="31" t="s">
        <v>2475</v>
      </c>
      <c r="V101" s="31" t="s">
        <v>2476</v>
      </c>
      <c r="W101" s="31" t="n">
        <v>4</v>
      </c>
      <c r="X101" s="31" t="n">
        <v>5</v>
      </c>
    </row>
    <row r="102" customFormat="false" ht="22.5" hidden="false" customHeight="true" outlineLevel="0" collapsed="false">
      <c r="A102" s="31" t="n">
        <v>30</v>
      </c>
      <c r="B102" s="31" t="s">
        <v>45</v>
      </c>
      <c r="C102" s="31" t="s">
        <v>437</v>
      </c>
      <c r="D102" s="31" t="s">
        <v>437</v>
      </c>
      <c r="E102" s="31" t="s">
        <v>2479</v>
      </c>
      <c r="F102" s="31" t="s">
        <v>2479</v>
      </c>
      <c r="G102" s="31" t="s">
        <v>2479</v>
      </c>
      <c r="H102" s="31" t="s">
        <v>2479</v>
      </c>
      <c r="I102" s="31" t="s">
        <v>2479</v>
      </c>
      <c r="J102" s="31" t="s">
        <v>2479</v>
      </c>
      <c r="K102" s="31" t="s">
        <v>2479</v>
      </c>
      <c r="L102" s="31" t="s">
        <v>2479</v>
      </c>
      <c r="M102" s="31" t="s">
        <v>8245</v>
      </c>
      <c r="N102" s="31" t="s">
        <v>8244</v>
      </c>
      <c r="O102" s="31" t="s">
        <v>8246</v>
      </c>
      <c r="P102" s="31" t="s">
        <v>2479</v>
      </c>
      <c r="Q102" s="31" t="s">
        <v>8245</v>
      </c>
      <c r="R102" s="31" t="s">
        <v>8244</v>
      </c>
      <c r="S102" s="31" t="s">
        <v>8246</v>
      </c>
      <c r="T102" s="31" t="s">
        <v>2479</v>
      </c>
      <c r="U102" s="31" t="s">
        <v>2479</v>
      </c>
      <c r="V102" s="31" t="s">
        <v>2479</v>
      </c>
      <c r="W102" s="31" t="n">
        <v>4</v>
      </c>
      <c r="X102" s="31" t="n">
        <v>4</v>
      </c>
    </row>
    <row r="103" customFormat="false" ht="22.5" hidden="false" customHeight="true" outlineLevel="0" collapsed="false">
      <c r="A103" s="31" t="n">
        <v>21</v>
      </c>
      <c r="B103" s="31" t="s">
        <v>45</v>
      </c>
      <c r="C103" s="31" t="s">
        <v>437</v>
      </c>
      <c r="D103" s="31" t="s">
        <v>47</v>
      </c>
      <c r="E103" s="31" t="s">
        <v>2481</v>
      </c>
      <c r="F103" s="31" t="n">
        <v>60</v>
      </c>
      <c r="G103" s="31" t="s">
        <v>2482</v>
      </c>
      <c r="H103" s="31" t="s">
        <v>2483</v>
      </c>
      <c r="I103" s="31" t="s">
        <v>2484</v>
      </c>
      <c r="J103" s="31" t="s">
        <v>2485</v>
      </c>
      <c r="K103" s="31" t="s">
        <v>2486</v>
      </c>
      <c r="L103" s="31" t="s">
        <v>2487</v>
      </c>
      <c r="M103" s="31" t="s">
        <v>8246</v>
      </c>
      <c r="N103" s="31" t="s">
        <v>8245</v>
      </c>
      <c r="O103" s="31" t="s">
        <v>8244</v>
      </c>
      <c r="P103" s="31" t="s">
        <v>2488</v>
      </c>
      <c r="Q103" s="31" t="s">
        <v>8244</v>
      </c>
      <c r="R103" s="31" t="s">
        <v>8245</v>
      </c>
      <c r="S103" s="31" t="s">
        <v>8246</v>
      </c>
      <c r="T103" s="31" t="s">
        <v>2489</v>
      </c>
      <c r="U103" s="31" t="s">
        <v>2490</v>
      </c>
      <c r="V103" s="31" t="s">
        <v>2491</v>
      </c>
      <c r="W103" s="31" t="n">
        <v>5</v>
      </c>
      <c r="X103" s="31"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7"/>
  <sheetViews>
    <sheetView showFormulas="false" showGridLines="true" showRowColHeaders="true" showZeros="true" rightToLeft="false" tabSelected="false" showOutlineSymbols="true" defaultGridColor="true" view="normal" topLeftCell="B81" colorId="64" zoomScale="100" zoomScaleNormal="100" zoomScalePageLayoutView="100" workbookViewId="0">
      <selection pane="topLeft" activeCell="B1" activeCellId="0" sqref="B1"/>
    </sheetView>
  </sheetViews>
  <sheetFormatPr defaultColWidth="12.6640625" defaultRowHeight="15.75" zeroHeight="false" outlineLevelRow="0" outlineLevelCol="0"/>
  <cols>
    <col collapsed="false" customWidth="true" hidden="true" outlineLevel="0" max="1" min="1" style="45" width="18.84"/>
    <col collapsed="false" customWidth="true" hidden="false" outlineLevel="0" max="2" min="2" style="45" width="21.82"/>
    <col collapsed="false" customWidth="true" hidden="false" outlineLevel="0" max="3" min="3" style="45" width="31.66"/>
    <col collapsed="false" customWidth="true" hidden="false" outlineLevel="0" max="4" min="4" style="45" width="37.66"/>
    <col collapsed="false" customWidth="true" hidden="false" outlineLevel="0" max="5" min="5" style="45" width="20.5"/>
    <col collapsed="false" customWidth="true" hidden="false" outlineLevel="0" max="6" min="6" style="45" width="37.66"/>
    <col collapsed="false" customWidth="true" hidden="false" outlineLevel="0" max="7" min="7" style="45" width="34.5"/>
    <col collapsed="false" customWidth="true" hidden="false" outlineLevel="0" max="19" min="8" style="45" width="37.66"/>
    <col collapsed="false" customWidth="true" hidden="false" outlineLevel="0" max="20" min="20" style="45" width="34.66"/>
    <col collapsed="false" customWidth="true" hidden="false" outlineLevel="0" max="23" min="21" style="45" width="37.66"/>
    <col collapsed="false" customWidth="true" hidden="false" outlineLevel="0" max="24" min="24" style="45" width="34.66"/>
    <col collapsed="false" customWidth="true" hidden="false" outlineLevel="0" max="25" min="25" style="45" width="30"/>
    <col collapsed="false" customWidth="true" hidden="false" outlineLevel="0" max="29" min="26" style="45" width="37.66"/>
    <col collapsed="false" customWidth="true" hidden="false" outlineLevel="0" max="35" min="30" style="45" width="18.84"/>
    <col collapsed="false" customWidth="false" hidden="false" outlineLevel="0" max="16384" min="36" style="45" width="12.66"/>
  </cols>
  <sheetData>
    <row r="1" s="47" customFormat="true" ht="97.5" hidden="false" customHeight="true" outlineLevel="0" collapsed="false">
      <c r="A1" s="46" t="s">
        <v>7913</v>
      </c>
      <c r="B1" s="46" t="s">
        <v>8611</v>
      </c>
      <c r="C1" s="46" t="s">
        <v>8612</v>
      </c>
      <c r="D1" s="46" t="s">
        <v>8219</v>
      </c>
      <c r="E1" s="46" t="s">
        <v>7937</v>
      </c>
      <c r="F1" s="46" t="s">
        <v>8613</v>
      </c>
      <c r="G1" s="46" t="s">
        <v>8614</v>
      </c>
      <c r="H1" s="46" t="s">
        <v>8615</v>
      </c>
      <c r="I1" s="46" t="s">
        <v>8616</v>
      </c>
      <c r="J1" s="46" t="s">
        <v>8617</v>
      </c>
      <c r="K1" s="46" t="s">
        <v>8618</v>
      </c>
      <c r="L1" s="46" t="s">
        <v>8619</v>
      </c>
      <c r="M1" s="46" t="s">
        <v>8620</v>
      </c>
      <c r="N1" s="46" t="s">
        <v>8621</v>
      </c>
      <c r="O1" s="46" t="s">
        <v>8622</v>
      </c>
      <c r="P1" s="46" t="s">
        <v>8623</v>
      </c>
      <c r="Q1" s="46" t="s">
        <v>8624</v>
      </c>
      <c r="R1" s="46" t="s">
        <v>8625</v>
      </c>
      <c r="S1" s="46" t="s">
        <v>8626</v>
      </c>
      <c r="T1" s="46" t="s">
        <v>8627</v>
      </c>
      <c r="U1" s="46" t="s">
        <v>8628</v>
      </c>
      <c r="V1" s="46" t="s">
        <v>8629</v>
      </c>
      <c r="W1" s="46" t="s">
        <v>8630</v>
      </c>
      <c r="X1" s="46" t="s">
        <v>8631</v>
      </c>
      <c r="Y1" s="46" t="s">
        <v>8632</v>
      </c>
      <c r="Z1" s="46" t="s">
        <v>8633</v>
      </c>
      <c r="AA1" s="46" t="s">
        <v>8634</v>
      </c>
      <c r="AB1" s="46" t="s">
        <v>8635</v>
      </c>
      <c r="AC1" s="46" t="s">
        <v>8636</v>
      </c>
    </row>
    <row r="2" customFormat="false" ht="22.5" hidden="false" customHeight="true" outlineLevel="0" collapsed="false">
      <c r="A2" s="48" t="n">
        <v>46287.9346472338</v>
      </c>
      <c r="B2" s="45" t="n">
        <v>25</v>
      </c>
      <c r="C2" s="45" t="s">
        <v>8637</v>
      </c>
      <c r="D2" s="45" t="s">
        <v>8637</v>
      </c>
      <c r="E2" s="45" t="s">
        <v>83</v>
      </c>
      <c r="F2" s="45" t="s">
        <v>8638</v>
      </c>
      <c r="G2" s="45" t="s">
        <v>806</v>
      </c>
      <c r="H2" s="45" t="s">
        <v>2493</v>
      </c>
      <c r="I2" s="45" t="s">
        <v>2494</v>
      </c>
      <c r="J2" s="45" t="s">
        <v>2495</v>
      </c>
      <c r="K2" s="45" t="s">
        <v>1690</v>
      </c>
      <c r="L2" s="45" t="s">
        <v>2496</v>
      </c>
      <c r="M2" s="45" t="s">
        <v>2497</v>
      </c>
      <c r="N2" s="45" t="s">
        <v>8639</v>
      </c>
      <c r="O2" s="45" t="s">
        <v>8640</v>
      </c>
      <c r="P2" s="45" t="s">
        <v>8641</v>
      </c>
      <c r="Q2" s="45" t="s">
        <v>8642</v>
      </c>
      <c r="R2" s="45" t="s">
        <v>8643</v>
      </c>
      <c r="S2" s="45" t="s">
        <v>8644</v>
      </c>
      <c r="T2" s="45" t="s">
        <v>8645</v>
      </c>
      <c r="U2" s="45" t="s">
        <v>8642</v>
      </c>
      <c r="V2" s="45" t="s">
        <v>8643</v>
      </c>
      <c r="W2" s="45" t="s">
        <v>8644</v>
      </c>
      <c r="X2" s="45" t="s">
        <v>8646</v>
      </c>
      <c r="Y2" s="45" t="s">
        <v>8642</v>
      </c>
      <c r="Z2" s="45" t="s">
        <v>2500</v>
      </c>
      <c r="AA2" s="45" t="s">
        <v>98</v>
      </c>
      <c r="AB2" s="45" t="n">
        <v>5</v>
      </c>
      <c r="AC2" s="45" t="n">
        <v>5</v>
      </c>
    </row>
    <row r="3" customFormat="false" ht="22.5" hidden="false" customHeight="true" outlineLevel="0" collapsed="false">
      <c r="A3" s="48" t="n">
        <v>46287.9380131481</v>
      </c>
      <c r="B3" s="45" t="n">
        <v>24</v>
      </c>
      <c r="C3" s="45" t="s">
        <v>437</v>
      </c>
      <c r="D3" s="45" t="s">
        <v>437</v>
      </c>
      <c r="E3" s="45" t="s">
        <v>83</v>
      </c>
      <c r="F3" s="45" t="s">
        <v>8647</v>
      </c>
      <c r="G3" s="45" t="s">
        <v>806</v>
      </c>
      <c r="H3" s="45" t="s">
        <v>2502</v>
      </c>
      <c r="I3" s="45" t="s">
        <v>2503</v>
      </c>
      <c r="J3" s="45" t="s">
        <v>2495</v>
      </c>
      <c r="K3" s="45" t="s">
        <v>1690</v>
      </c>
      <c r="L3" s="45" t="s">
        <v>2504</v>
      </c>
      <c r="M3" s="45" t="s">
        <v>2505</v>
      </c>
      <c r="N3" s="45" t="s">
        <v>8648</v>
      </c>
      <c r="O3" s="45" t="s">
        <v>8649</v>
      </c>
      <c r="P3" s="45" t="s">
        <v>8650</v>
      </c>
      <c r="Q3" s="45" t="s">
        <v>8643</v>
      </c>
      <c r="R3" s="45" t="s">
        <v>8644</v>
      </c>
      <c r="S3" s="45" t="s">
        <v>8642</v>
      </c>
      <c r="T3" s="45" t="s">
        <v>8651</v>
      </c>
      <c r="U3" s="45" t="s">
        <v>8643</v>
      </c>
      <c r="V3" s="45" t="s">
        <v>8644</v>
      </c>
      <c r="W3" s="45" t="s">
        <v>8642</v>
      </c>
      <c r="X3" s="45" t="s">
        <v>8651</v>
      </c>
      <c r="Y3" s="45" t="s">
        <v>8643</v>
      </c>
      <c r="Z3" s="45" t="s">
        <v>2508</v>
      </c>
      <c r="AA3" s="45" t="s">
        <v>59</v>
      </c>
      <c r="AB3" s="45" t="n">
        <v>4</v>
      </c>
      <c r="AC3" s="45" t="n">
        <v>5</v>
      </c>
    </row>
    <row r="4" customFormat="false" ht="22.5" hidden="false" customHeight="true" outlineLevel="0" collapsed="false">
      <c r="A4" s="48" t="n">
        <v>46287.9410434144</v>
      </c>
      <c r="B4" s="45" t="n">
        <v>14</v>
      </c>
      <c r="C4" s="45" t="s">
        <v>437</v>
      </c>
      <c r="D4" s="45" t="s">
        <v>437</v>
      </c>
      <c r="E4" s="45" t="s">
        <v>83</v>
      </c>
      <c r="F4" s="45" t="s">
        <v>8652</v>
      </c>
      <c r="G4" s="45" t="s">
        <v>806</v>
      </c>
      <c r="H4" s="45" t="s">
        <v>2493</v>
      </c>
      <c r="I4" s="45" t="s">
        <v>2510</v>
      </c>
      <c r="J4" s="45" t="s">
        <v>2495</v>
      </c>
      <c r="K4" s="45" t="s">
        <v>2242</v>
      </c>
      <c r="L4" s="45" t="s">
        <v>2511</v>
      </c>
      <c r="M4" s="45" t="s">
        <v>2242</v>
      </c>
      <c r="N4" s="45" t="s">
        <v>8653</v>
      </c>
      <c r="O4" s="45" t="s">
        <v>8654</v>
      </c>
      <c r="P4" s="45" t="s">
        <v>8655</v>
      </c>
      <c r="Q4" s="45" t="s">
        <v>8643</v>
      </c>
      <c r="R4" s="45" t="s">
        <v>8644</v>
      </c>
      <c r="S4" s="45" t="s">
        <v>8642</v>
      </c>
      <c r="T4" s="45" t="s">
        <v>8656</v>
      </c>
      <c r="U4" s="45" t="s">
        <v>8643</v>
      </c>
      <c r="V4" s="45" t="s">
        <v>8644</v>
      </c>
      <c r="W4" s="45" t="s">
        <v>8642</v>
      </c>
      <c r="X4" s="45" t="s">
        <v>8651</v>
      </c>
      <c r="Y4" s="45" t="s">
        <v>8642</v>
      </c>
      <c r="Z4" s="45" t="s">
        <v>2508</v>
      </c>
      <c r="AA4" s="45" t="s">
        <v>2242</v>
      </c>
      <c r="AB4" s="45" t="n">
        <v>5</v>
      </c>
      <c r="AC4" s="45" t="n">
        <v>5</v>
      </c>
    </row>
    <row r="5" customFormat="false" ht="22.5" hidden="false" customHeight="true" outlineLevel="0" collapsed="false">
      <c r="A5" s="48" t="n">
        <v>46287.9428940972</v>
      </c>
      <c r="B5" s="45" t="n">
        <v>23</v>
      </c>
      <c r="C5" s="45" t="s">
        <v>8657</v>
      </c>
      <c r="D5" s="45" t="s">
        <v>49</v>
      </c>
      <c r="E5" s="45" t="s">
        <v>45</v>
      </c>
      <c r="F5" s="45" t="s">
        <v>8658</v>
      </c>
      <c r="G5" s="45" t="s">
        <v>2515</v>
      </c>
      <c r="H5" s="45" t="s">
        <v>2502</v>
      </c>
      <c r="I5" s="45" t="s">
        <v>2494</v>
      </c>
      <c r="J5" s="45" t="s">
        <v>2495</v>
      </c>
      <c r="K5" s="45" t="s">
        <v>1690</v>
      </c>
      <c r="L5" s="45" t="s">
        <v>2516</v>
      </c>
      <c r="M5" s="45" t="s">
        <v>2505</v>
      </c>
      <c r="N5" s="45" t="s">
        <v>8659</v>
      </c>
      <c r="O5" s="45" t="s">
        <v>8660</v>
      </c>
      <c r="P5" s="45" t="s">
        <v>8661</v>
      </c>
      <c r="Q5" s="45" t="s">
        <v>8642</v>
      </c>
      <c r="R5" s="45" t="s">
        <v>8643</v>
      </c>
      <c r="S5" s="45" t="s">
        <v>8644</v>
      </c>
      <c r="T5" s="45" t="s">
        <v>8662</v>
      </c>
      <c r="U5" s="45" t="s">
        <v>8642</v>
      </c>
      <c r="V5" s="45" t="s">
        <v>8643</v>
      </c>
      <c r="W5" s="45" t="s">
        <v>8644</v>
      </c>
      <c r="X5" s="45" t="s">
        <v>8662</v>
      </c>
      <c r="Y5" s="45" t="s">
        <v>8642</v>
      </c>
      <c r="Z5" s="45" t="s">
        <v>2519</v>
      </c>
      <c r="AA5" s="45" t="s">
        <v>59</v>
      </c>
      <c r="AB5" s="45" t="n">
        <v>5</v>
      </c>
      <c r="AC5" s="45" t="n">
        <v>5</v>
      </c>
    </row>
    <row r="6" customFormat="false" ht="22.5" hidden="false" customHeight="true" outlineLevel="0" collapsed="false">
      <c r="A6" s="48" t="n">
        <v>46287.9557183796</v>
      </c>
      <c r="B6" s="45" t="n">
        <v>27</v>
      </c>
      <c r="C6" s="45" t="s">
        <v>8663</v>
      </c>
      <c r="D6" s="45" t="s">
        <v>8663</v>
      </c>
      <c r="E6" s="45" t="s">
        <v>83</v>
      </c>
      <c r="F6" s="45" t="s">
        <v>8647</v>
      </c>
      <c r="G6" s="45" t="s">
        <v>806</v>
      </c>
      <c r="H6" s="45" t="s">
        <v>2523</v>
      </c>
      <c r="I6" s="45" t="s">
        <v>2524</v>
      </c>
      <c r="J6" s="45" t="s">
        <v>2495</v>
      </c>
      <c r="K6" s="45" t="s">
        <v>1690</v>
      </c>
      <c r="L6" s="45" t="s">
        <v>2525</v>
      </c>
      <c r="M6" s="45" t="s">
        <v>2497</v>
      </c>
      <c r="N6" s="45" t="s">
        <v>8664</v>
      </c>
      <c r="O6" s="45" t="s">
        <v>8665</v>
      </c>
      <c r="P6" s="45" t="s">
        <v>8666</v>
      </c>
      <c r="Q6" s="45" t="s">
        <v>8643</v>
      </c>
      <c r="R6" s="45" t="s">
        <v>8642</v>
      </c>
      <c r="S6" s="45" t="s">
        <v>8644</v>
      </c>
      <c r="T6" s="45" t="s">
        <v>8646</v>
      </c>
      <c r="U6" s="45" t="s">
        <v>8643</v>
      </c>
      <c r="V6" s="45" t="s">
        <v>8644</v>
      </c>
      <c r="W6" s="45" t="s">
        <v>8642</v>
      </c>
      <c r="X6" s="45" t="s">
        <v>8667</v>
      </c>
      <c r="Y6" s="45" t="s">
        <v>8642</v>
      </c>
      <c r="Z6" s="45" t="s">
        <v>2508</v>
      </c>
      <c r="AA6" s="45" t="s">
        <v>59</v>
      </c>
      <c r="AB6" s="45" t="n">
        <v>4</v>
      </c>
      <c r="AC6" s="45" t="n">
        <v>5</v>
      </c>
    </row>
    <row r="7" customFormat="false" ht="22.5" hidden="false" customHeight="true" outlineLevel="0" collapsed="false">
      <c r="A7" s="48" t="n">
        <v>46287.959585463</v>
      </c>
      <c r="B7" s="45" t="n">
        <v>57</v>
      </c>
      <c r="C7" s="45" t="s">
        <v>437</v>
      </c>
      <c r="D7" s="45" t="s">
        <v>437</v>
      </c>
      <c r="E7" s="45" t="s">
        <v>45</v>
      </c>
      <c r="F7" s="45" t="s">
        <v>2242</v>
      </c>
      <c r="G7" s="45" t="s">
        <v>2242</v>
      </c>
      <c r="H7" s="45" t="s">
        <v>2523</v>
      </c>
      <c r="I7" s="45" t="s">
        <v>2242</v>
      </c>
      <c r="J7" s="45" t="s">
        <v>2495</v>
      </c>
      <c r="K7" s="45" t="s">
        <v>2242</v>
      </c>
      <c r="L7" s="45" t="s">
        <v>2529</v>
      </c>
      <c r="M7" s="45" t="s">
        <v>2497</v>
      </c>
      <c r="N7" s="45" t="s">
        <v>8668</v>
      </c>
      <c r="O7" s="45" t="s">
        <v>8669</v>
      </c>
      <c r="P7" s="45" t="s">
        <v>8670</v>
      </c>
      <c r="Q7" s="45" t="s">
        <v>8643</v>
      </c>
      <c r="R7" s="45" t="s">
        <v>8644</v>
      </c>
      <c r="S7" s="45" t="s">
        <v>8642</v>
      </c>
      <c r="T7" s="45" t="s">
        <v>8656</v>
      </c>
      <c r="U7" s="45" t="s">
        <v>8643</v>
      </c>
      <c r="V7" s="45" t="s">
        <v>8644</v>
      </c>
      <c r="W7" s="45" t="s">
        <v>8642</v>
      </c>
      <c r="X7" s="45" t="s">
        <v>8671</v>
      </c>
      <c r="Y7" s="45" t="s">
        <v>8643</v>
      </c>
      <c r="Z7" s="45" t="s">
        <v>2508</v>
      </c>
      <c r="AA7" s="45" t="s">
        <v>2242</v>
      </c>
      <c r="AB7" s="45" t="n">
        <v>3</v>
      </c>
      <c r="AC7" s="45" t="n">
        <v>5</v>
      </c>
    </row>
    <row r="8" customFormat="false" ht="22.5" hidden="false" customHeight="true" outlineLevel="0" collapsed="false">
      <c r="A8" s="48" t="n">
        <v>46287.9604188773</v>
      </c>
      <c r="B8" s="45" t="n">
        <v>25</v>
      </c>
      <c r="C8" s="45" t="s">
        <v>8637</v>
      </c>
      <c r="D8" s="45" t="s">
        <v>171</v>
      </c>
      <c r="E8" s="45" t="s">
        <v>45</v>
      </c>
      <c r="F8" s="45" t="s">
        <v>8638</v>
      </c>
      <c r="G8" s="45" t="s">
        <v>2515</v>
      </c>
      <c r="H8" s="45" t="s">
        <v>2494</v>
      </c>
      <c r="I8" s="45" t="s">
        <v>2503</v>
      </c>
      <c r="J8" s="45" t="s">
        <v>2533</v>
      </c>
      <c r="K8" s="45" t="s">
        <v>2242</v>
      </c>
      <c r="L8" s="45" t="s">
        <v>2534</v>
      </c>
      <c r="M8" s="45" t="s">
        <v>2505</v>
      </c>
      <c r="Q8" s="45" t="s">
        <v>8643</v>
      </c>
      <c r="R8" s="45" t="s">
        <v>8642</v>
      </c>
      <c r="S8" s="45" t="s">
        <v>8644</v>
      </c>
      <c r="T8" s="45" t="s">
        <v>8672</v>
      </c>
      <c r="U8" s="45" t="s">
        <v>8642</v>
      </c>
      <c r="V8" s="45" t="s">
        <v>8643</v>
      </c>
      <c r="W8" s="45" t="s">
        <v>8644</v>
      </c>
      <c r="X8" s="45" t="s">
        <v>8673</v>
      </c>
      <c r="Y8" s="45" t="s">
        <v>8642</v>
      </c>
      <c r="Z8" s="45" t="s">
        <v>8674</v>
      </c>
      <c r="AA8" s="45" t="s">
        <v>59</v>
      </c>
      <c r="AB8" s="45" t="n">
        <v>4</v>
      </c>
      <c r="AC8" s="45" t="n">
        <v>4</v>
      </c>
    </row>
    <row r="9" customFormat="false" ht="22.5" hidden="false" customHeight="true" outlineLevel="0" collapsed="false">
      <c r="A9" s="48" t="n">
        <v>46287.9611409028</v>
      </c>
      <c r="B9" s="45" t="n">
        <v>24</v>
      </c>
      <c r="C9" s="45" t="s">
        <v>437</v>
      </c>
      <c r="D9" s="45" t="s">
        <v>49</v>
      </c>
      <c r="E9" s="45" t="s">
        <v>83</v>
      </c>
      <c r="F9" s="45" t="s">
        <v>8658</v>
      </c>
      <c r="G9" s="45" t="s">
        <v>2538</v>
      </c>
      <c r="H9" s="45" t="s">
        <v>2539</v>
      </c>
      <c r="I9" s="45" t="s">
        <v>2540</v>
      </c>
      <c r="J9" s="45" t="s">
        <v>2495</v>
      </c>
      <c r="K9" s="45" t="s">
        <v>1690</v>
      </c>
      <c r="L9" s="45" t="s">
        <v>2529</v>
      </c>
      <c r="M9" s="45" t="s">
        <v>2497</v>
      </c>
      <c r="N9" s="45" t="s">
        <v>8675</v>
      </c>
      <c r="O9" s="45" t="s">
        <v>8676</v>
      </c>
      <c r="P9" s="45" t="s">
        <v>8677</v>
      </c>
      <c r="Q9" s="45" t="s">
        <v>8643</v>
      </c>
      <c r="R9" s="45" t="s">
        <v>8644</v>
      </c>
      <c r="S9" s="45" t="s">
        <v>8642</v>
      </c>
      <c r="T9" s="45" t="s">
        <v>8646</v>
      </c>
      <c r="U9" s="45" t="s">
        <v>8643</v>
      </c>
      <c r="V9" s="45" t="s">
        <v>8644</v>
      </c>
      <c r="W9" s="45" t="s">
        <v>8642</v>
      </c>
      <c r="X9" s="45" t="s">
        <v>8651</v>
      </c>
      <c r="Y9" s="45" t="s">
        <v>8643</v>
      </c>
      <c r="Z9" s="45" t="s">
        <v>2508</v>
      </c>
      <c r="AA9" s="45" t="s">
        <v>59</v>
      </c>
      <c r="AB9" s="45" t="n">
        <v>4</v>
      </c>
      <c r="AC9" s="45" t="n">
        <v>4</v>
      </c>
    </row>
    <row r="10" customFormat="false" ht="22.5" hidden="false" customHeight="true" outlineLevel="0" collapsed="false">
      <c r="A10" s="48" t="n">
        <v>46287.9742354977</v>
      </c>
      <c r="B10" s="45" t="n">
        <v>24</v>
      </c>
      <c r="C10" s="45" t="s">
        <v>437</v>
      </c>
      <c r="D10" s="45" t="s">
        <v>8637</v>
      </c>
      <c r="E10" s="45" t="s">
        <v>83</v>
      </c>
      <c r="F10" s="45" t="s">
        <v>8647</v>
      </c>
      <c r="G10" s="45" t="s">
        <v>2538</v>
      </c>
      <c r="H10" s="45" t="s">
        <v>2539</v>
      </c>
      <c r="I10" s="45" t="s">
        <v>2502</v>
      </c>
      <c r="J10" s="45" t="s">
        <v>2544</v>
      </c>
      <c r="K10" s="45" t="s">
        <v>59</v>
      </c>
      <c r="L10" s="45" t="s">
        <v>2545</v>
      </c>
      <c r="M10" s="45" t="s">
        <v>2546</v>
      </c>
      <c r="N10" s="45" t="s">
        <v>8678</v>
      </c>
      <c r="O10" s="45" t="s">
        <v>8679</v>
      </c>
      <c r="P10" s="45" t="s">
        <v>8680</v>
      </c>
      <c r="Q10" s="45" t="s">
        <v>8644</v>
      </c>
      <c r="R10" s="45" t="s">
        <v>8643</v>
      </c>
      <c r="S10" s="45" t="s">
        <v>8642</v>
      </c>
      <c r="T10" s="45" t="s">
        <v>8681</v>
      </c>
      <c r="U10" s="45" t="s">
        <v>8644</v>
      </c>
      <c r="V10" s="45" t="s">
        <v>8642</v>
      </c>
      <c r="W10" s="45" t="s">
        <v>8643</v>
      </c>
      <c r="X10" s="45" t="s">
        <v>8682</v>
      </c>
      <c r="Y10" s="45" t="s">
        <v>8644</v>
      </c>
      <c r="Z10" s="45" t="s">
        <v>2549</v>
      </c>
      <c r="AA10" s="45" t="s">
        <v>59</v>
      </c>
      <c r="AB10" s="45" t="n">
        <v>4</v>
      </c>
      <c r="AC10" s="45" t="n">
        <v>5</v>
      </c>
    </row>
    <row r="11" customFormat="false" ht="22.5" hidden="false" customHeight="true" outlineLevel="0" collapsed="false">
      <c r="A11" s="48" t="n">
        <v>46287.9776048958</v>
      </c>
      <c r="B11" s="45" t="n">
        <v>22</v>
      </c>
      <c r="C11" s="45" t="s">
        <v>437</v>
      </c>
      <c r="D11" s="45" t="s">
        <v>61</v>
      </c>
      <c r="E11" s="45" t="s">
        <v>83</v>
      </c>
      <c r="F11" s="45" t="s">
        <v>8638</v>
      </c>
      <c r="G11" s="45" t="s">
        <v>2515</v>
      </c>
      <c r="H11" s="45" t="s">
        <v>2502</v>
      </c>
      <c r="I11" s="45" t="s">
        <v>2502</v>
      </c>
      <c r="J11" s="45" t="s">
        <v>2495</v>
      </c>
      <c r="K11" s="45" t="s">
        <v>1690</v>
      </c>
      <c r="L11" s="45" t="s">
        <v>2516</v>
      </c>
      <c r="M11" s="45" t="s">
        <v>2551</v>
      </c>
      <c r="N11" s="45" t="s">
        <v>8683</v>
      </c>
      <c r="O11" s="45" t="s">
        <v>8684</v>
      </c>
      <c r="P11" s="45" t="s">
        <v>8685</v>
      </c>
      <c r="Q11" s="45" t="s">
        <v>8644</v>
      </c>
      <c r="R11" s="45" t="s">
        <v>8643</v>
      </c>
      <c r="S11" s="45" t="s">
        <v>8642</v>
      </c>
      <c r="T11" s="45" t="s">
        <v>8686</v>
      </c>
      <c r="U11" s="45" t="s">
        <v>8643</v>
      </c>
      <c r="V11" s="45" t="s">
        <v>8644</v>
      </c>
      <c r="W11" s="45" t="s">
        <v>8642</v>
      </c>
      <c r="X11" s="45" t="s">
        <v>8687</v>
      </c>
      <c r="Y11" s="45" t="s">
        <v>8644</v>
      </c>
      <c r="Z11" s="45" t="s">
        <v>2508</v>
      </c>
      <c r="AA11" s="45" t="s">
        <v>2242</v>
      </c>
      <c r="AB11" s="45" t="n">
        <v>4</v>
      </c>
      <c r="AC11" s="45" t="n">
        <v>5</v>
      </c>
    </row>
    <row r="12" customFormat="false" ht="22.5" hidden="false" customHeight="true" outlineLevel="0" collapsed="false">
      <c r="A12" s="48" t="n">
        <v>46287.9850674884</v>
      </c>
      <c r="B12" s="45" t="n">
        <v>23</v>
      </c>
      <c r="C12" s="45" t="s">
        <v>437</v>
      </c>
      <c r="D12" s="45" t="s">
        <v>71</v>
      </c>
      <c r="E12" s="45" t="s">
        <v>83</v>
      </c>
      <c r="F12" s="45" t="s">
        <v>8658</v>
      </c>
      <c r="G12" s="45" t="s">
        <v>2515</v>
      </c>
      <c r="H12" s="45" t="s">
        <v>2493</v>
      </c>
      <c r="I12" s="45" t="s">
        <v>2503</v>
      </c>
      <c r="J12" s="45" t="s">
        <v>2555</v>
      </c>
      <c r="K12" s="45" t="s">
        <v>59</v>
      </c>
      <c r="L12" s="45" t="s">
        <v>2516</v>
      </c>
      <c r="M12" s="45" t="s">
        <v>2497</v>
      </c>
      <c r="N12" s="45" t="s">
        <v>8688</v>
      </c>
      <c r="O12" s="45" t="s">
        <v>8689</v>
      </c>
      <c r="P12" s="45" t="s">
        <v>8690</v>
      </c>
      <c r="Q12" s="45" t="s">
        <v>8643</v>
      </c>
      <c r="R12" s="45" t="s">
        <v>8644</v>
      </c>
      <c r="S12" s="45" t="s">
        <v>8642</v>
      </c>
      <c r="T12" s="45" t="s">
        <v>8691</v>
      </c>
      <c r="U12" s="45" t="s">
        <v>8642</v>
      </c>
      <c r="V12" s="45" t="s">
        <v>8644</v>
      </c>
      <c r="W12" s="45" t="s">
        <v>8643</v>
      </c>
      <c r="X12" s="45" t="s">
        <v>8692</v>
      </c>
      <c r="Y12" s="45" t="s">
        <v>8642</v>
      </c>
      <c r="Z12" s="45" t="s">
        <v>2519</v>
      </c>
      <c r="AA12" s="45" t="s">
        <v>59</v>
      </c>
      <c r="AB12" s="45" t="n">
        <v>4</v>
      </c>
      <c r="AC12" s="45" t="n">
        <v>5</v>
      </c>
    </row>
    <row r="13" customFormat="false" ht="22.5" hidden="false" customHeight="true" outlineLevel="0" collapsed="false">
      <c r="A13" s="48" t="n">
        <v>46287.9861266898</v>
      </c>
      <c r="B13" s="45" t="n">
        <v>55</v>
      </c>
      <c r="C13" s="45" t="s">
        <v>437</v>
      </c>
      <c r="D13" s="45" t="s">
        <v>437</v>
      </c>
      <c r="E13" s="45" t="s">
        <v>83</v>
      </c>
      <c r="F13" s="45" t="s">
        <v>8658</v>
      </c>
      <c r="G13" s="45" t="s">
        <v>806</v>
      </c>
      <c r="H13" s="45" t="s">
        <v>2540</v>
      </c>
      <c r="I13" s="45" t="s">
        <v>2540</v>
      </c>
      <c r="J13" s="45" t="s">
        <v>2495</v>
      </c>
      <c r="K13" s="45" t="s">
        <v>1690</v>
      </c>
      <c r="L13" s="45" t="s">
        <v>2504</v>
      </c>
      <c r="M13" s="45" t="s">
        <v>2497</v>
      </c>
      <c r="N13" s="45" t="s">
        <v>8693</v>
      </c>
      <c r="O13" s="45" t="s">
        <v>8694</v>
      </c>
      <c r="P13" s="45" t="s">
        <v>8695</v>
      </c>
      <c r="Q13" s="45" t="s">
        <v>8643</v>
      </c>
      <c r="R13" s="45" t="s">
        <v>8642</v>
      </c>
      <c r="S13" s="45" t="s">
        <v>8644</v>
      </c>
      <c r="T13" s="45" t="s">
        <v>8696</v>
      </c>
      <c r="U13" s="45" t="s">
        <v>8643</v>
      </c>
      <c r="V13" s="45" t="s">
        <v>8642</v>
      </c>
      <c r="W13" s="45" t="s">
        <v>8644</v>
      </c>
      <c r="X13" s="45" t="s">
        <v>8696</v>
      </c>
      <c r="Y13" s="45" t="s">
        <v>8643</v>
      </c>
      <c r="Z13" s="45" t="s">
        <v>2549</v>
      </c>
      <c r="AA13" s="45" t="s">
        <v>2242</v>
      </c>
      <c r="AB13" s="45" t="n">
        <v>4</v>
      </c>
      <c r="AC13" s="45" t="n">
        <v>5</v>
      </c>
    </row>
    <row r="14" customFormat="false" ht="22.5" hidden="false" customHeight="true" outlineLevel="0" collapsed="false">
      <c r="A14" s="48" t="n">
        <v>46287.9871653357</v>
      </c>
      <c r="B14" s="45" t="n">
        <v>22</v>
      </c>
      <c r="C14" s="45" t="s">
        <v>437</v>
      </c>
      <c r="D14" s="45" t="s">
        <v>47</v>
      </c>
      <c r="E14" s="45" t="s">
        <v>83</v>
      </c>
      <c r="F14" s="45" t="s">
        <v>8652</v>
      </c>
      <c r="G14" s="45" t="s">
        <v>806</v>
      </c>
      <c r="H14" s="45" t="s">
        <v>2494</v>
      </c>
      <c r="I14" s="45" t="s">
        <v>2540</v>
      </c>
      <c r="J14" s="45" t="s">
        <v>2555</v>
      </c>
      <c r="K14" s="45" t="s">
        <v>1690</v>
      </c>
      <c r="L14" s="45" t="s">
        <v>2562</v>
      </c>
      <c r="M14" s="45" t="s">
        <v>2497</v>
      </c>
      <c r="N14" s="45" t="s">
        <v>8697</v>
      </c>
      <c r="O14" s="45" t="s">
        <v>8698</v>
      </c>
      <c r="P14" s="45" t="s">
        <v>8699</v>
      </c>
      <c r="Q14" s="45" t="s">
        <v>8643</v>
      </c>
      <c r="R14" s="45" t="s">
        <v>8643</v>
      </c>
      <c r="S14" s="45" t="s">
        <v>8643</v>
      </c>
      <c r="T14" s="45" t="s">
        <v>8651</v>
      </c>
      <c r="U14" s="45" t="s">
        <v>8643</v>
      </c>
      <c r="V14" s="45" t="s">
        <v>8643</v>
      </c>
      <c r="W14" s="45" t="s">
        <v>8643</v>
      </c>
      <c r="X14" s="45" t="s">
        <v>8700</v>
      </c>
      <c r="Y14" s="45" t="s">
        <v>8642</v>
      </c>
      <c r="Z14" s="45" t="s">
        <v>2508</v>
      </c>
      <c r="AA14" s="45" t="s">
        <v>98</v>
      </c>
      <c r="AB14" s="45" t="n">
        <v>3</v>
      </c>
      <c r="AC14" s="45" t="n">
        <v>3</v>
      </c>
    </row>
    <row r="15" customFormat="false" ht="22.5" hidden="false" customHeight="true" outlineLevel="0" collapsed="false">
      <c r="A15" s="48" t="n">
        <v>46287.9972564815</v>
      </c>
      <c r="B15" s="45" t="n">
        <v>21</v>
      </c>
      <c r="C15" s="45" t="s">
        <v>437</v>
      </c>
      <c r="D15" s="45" t="s">
        <v>1412</v>
      </c>
      <c r="E15" s="45" t="s">
        <v>45</v>
      </c>
      <c r="F15" s="45" t="s">
        <v>8658</v>
      </c>
      <c r="G15" s="45" t="s">
        <v>2538</v>
      </c>
      <c r="H15" s="45" t="s">
        <v>2494</v>
      </c>
      <c r="I15" s="45" t="s">
        <v>2540</v>
      </c>
      <c r="J15" s="45" t="s">
        <v>2544</v>
      </c>
      <c r="K15" s="45" t="s">
        <v>59</v>
      </c>
      <c r="L15" s="45" t="s">
        <v>2516</v>
      </c>
      <c r="M15" s="45" t="s">
        <v>2546</v>
      </c>
      <c r="N15" s="45" t="s">
        <v>8701</v>
      </c>
      <c r="O15" s="45" t="s">
        <v>8702</v>
      </c>
      <c r="P15" s="45" t="s">
        <v>8703</v>
      </c>
      <c r="Q15" s="45" t="s">
        <v>8643</v>
      </c>
      <c r="R15" s="45" t="s">
        <v>8642</v>
      </c>
      <c r="S15" s="45" t="s">
        <v>8644</v>
      </c>
      <c r="T15" s="45" t="s">
        <v>8671</v>
      </c>
      <c r="U15" s="45" t="s">
        <v>8643</v>
      </c>
      <c r="V15" s="45" t="s">
        <v>8642</v>
      </c>
      <c r="W15" s="45" t="s">
        <v>8644</v>
      </c>
      <c r="X15" s="45" t="s">
        <v>8646</v>
      </c>
      <c r="Y15" s="45" t="s">
        <v>8642</v>
      </c>
      <c r="Z15" s="45" t="s">
        <v>2508</v>
      </c>
      <c r="AA15" s="45" t="s">
        <v>59</v>
      </c>
      <c r="AB15" s="45" t="n">
        <v>5</v>
      </c>
      <c r="AC15" s="45" t="n">
        <v>5</v>
      </c>
    </row>
    <row r="16" customFormat="false" ht="22.5" hidden="false" customHeight="true" outlineLevel="0" collapsed="false">
      <c r="A16" s="48" t="n">
        <v>46287.9977870023</v>
      </c>
      <c r="B16" s="45" t="n">
        <v>22</v>
      </c>
      <c r="C16" s="45" t="s">
        <v>8704</v>
      </c>
      <c r="D16" s="45" t="s">
        <v>49</v>
      </c>
      <c r="E16" s="45" t="s">
        <v>45</v>
      </c>
      <c r="F16" s="45" t="s">
        <v>8652</v>
      </c>
      <c r="G16" s="45" t="s">
        <v>2538</v>
      </c>
      <c r="H16" s="45" t="s">
        <v>2494</v>
      </c>
      <c r="I16" s="45" t="s">
        <v>2493</v>
      </c>
      <c r="J16" s="45" t="s">
        <v>2555</v>
      </c>
      <c r="K16" s="45" t="s">
        <v>1690</v>
      </c>
      <c r="L16" s="45" t="s">
        <v>2570</v>
      </c>
      <c r="M16" s="45" t="s">
        <v>2497</v>
      </c>
      <c r="N16" s="45" t="s">
        <v>8705</v>
      </c>
      <c r="O16" s="45" t="s">
        <v>8706</v>
      </c>
      <c r="P16" s="45" t="s">
        <v>8707</v>
      </c>
      <c r="Q16" s="45" t="s">
        <v>8643</v>
      </c>
      <c r="R16" s="45" t="s">
        <v>8644</v>
      </c>
      <c r="S16" s="45" t="s">
        <v>8642</v>
      </c>
      <c r="T16" s="45" t="s">
        <v>8708</v>
      </c>
      <c r="U16" s="45" t="s">
        <v>8643</v>
      </c>
      <c r="V16" s="45" t="s">
        <v>8644</v>
      </c>
      <c r="W16" s="45" t="s">
        <v>8642</v>
      </c>
      <c r="X16" s="45" t="s">
        <v>8709</v>
      </c>
      <c r="Y16" s="45" t="s">
        <v>8643</v>
      </c>
      <c r="Z16" s="45" t="s">
        <v>2508</v>
      </c>
      <c r="AA16" s="45" t="s">
        <v>59</v>
      </c>
      <c r="AB16" s="45" t="n">
        <v>3</v>
      </c>
      <c r="AC16" s="45" t="n">
        <v>5</v>
      </c>
    </row>
    <row r="17" customFormat="false" ht="22.5" hidden="false" customHeight="true" outlineLevel="0" collapsed="false">
      <c r="A17" s="48" t="n">
        <v>46288.0005184838</v>
      </c>
      <c r="B17" s="45" t="n">
        <v>21</v>
      </c>
      <c r="C17" s="45" t="s">
        <v>437</v>
      </c>
      <c r="D17" s="45" t="s">
        <v>8710</v>
      </c>
      <c r="E17" s="45" t="s">
        <v>83</v>
      </c>
      <c r="F17" s="45" t="s">
        <v>8638</v>
      </c>
      <c r="G17" s="45" t="s">
        <v>2242</v>
      </c>
      <c r="H17" s="45" t="s">
        <v>2539</v>
      </c>
      <c r="I17" s="45" t="s">
        <v>2502</v>
      </c>
      <c r="J17" s="45" t="s">
        <v>2555</v>
      </c>
      <c r="K17" s="45" t="s">
        <v>1690</v>
      </c>
      <c r="L17" s="45" t="s">
        <v>2575</v>
      </c>
      <c r="M17" s="45" t="s">
        <v>2546</v>
      </c>
      <c r="N17" s="45" t="s">
        <v>8711</v>
      </c>
      <c r="O17" s="45" t="s">
        <v>8712</v>
      </c>
      <c r="P17" s="45" t="s">
        <v>8713</v>
      </c>
      <c r="Q17" s="45" t="s">
        <v>8644</v>
      </c>
      <c r="R17" s="45" t="s">
        <v>8643</v>
      </c>
      <c r="S17" s="45" t="s">
        <v>8642</v>
      </c>
      <c r="T17" s="45" t="s">
        <v>8646</v>
      </c>
      <c r="U17" s="45" t="s">
        <v>8644</v>
      </c>
      <c r="V17" s="45" t="s">
        <v>8643</v>
      </c>
      <c r="W17" s="45" t="s">
        <v>8642</v>
      </c>
      <c r="X17" s="45" t="s">
        <v>8662</v>
      </c>
      <c r="Y17" s="45" t="s">
        <v>8642</v>
      </c>
      <c r="Z17" s="45" t="s">
        <v>2500</v>
      </c>
      <c r="AA17" s="45" t="s">
        <v>59</v>
      </c>
      <c r="AB17" s="45" t="n">
        <v>1</v>
      </c>
      <c r="AC17" s="45" t="n">
        <v>1</v>
      </c>
    </row>
    <row r="18" customFormat="false" ht="22.5" hidden="false" customHeight="true" outlineLevel="0" collapsed="false">
      <c r="A18" s="48" t="n">
        <v>46288.0011114236</v>
      </c>
      <c r="B18" s="45" t="n">
        <v>21</v>
      </c>
      <c r="C18" s="45" t="s">
        <v>437</v>
      </c>
      <c r="D18" s="45" t="s">
        <v>47</v>
      </c>
      <c r="E18" s="45" t="s">
        <v>83</v>
      </c>
      <c r="F18" s="45" t="s">
        <v>8647</v>
      </c>
      <c r="G18" s="45" t="s">
        <v>806</v>
      </c>
      <c r="H18" s="45" t="s">
        <v>2493</v>
      </c>
      <c r="I18" s="45" t="s">
        <v>2503</v>
      </c>
      <c r="J18" s="45" t="s">
        <v>2495</v>
      </c>
      <c r="K18" s="45" t="s">
        <v>59</v>
      </c>
      <c r="L18" s="45" t="s">
        <v>2504</v>
      </c>
      <c r="M18" s="45" t="s">
        <v>2505</v>
      </c>
      <c r="N18" s="45" t="s">
        <v>8714</v>
      </c>
      <c r="O18" s="45" t="s">
        <v>8715</v>
      </c>
      <c r="P18" s="45" t="s">
        <v>8716</v>
      </c>
      <c r="Q18" s="45" t="s">
        <v>8644</v>
      </c>
      <c r="R18" s="45" t="s">
        <v>8643</v>
      </c>
      <c r="S18" s="45" t="s">
        <v>8642</v>
      </c>
      <c r="T18" s="45" t="s">
        <v>8717</v>
      </c>
      <c r="U18" s="45" t="s">
        <v>8644</v>
      </c>
      <c r="V18" s="45" t="s">
        <v>8643</v>
      </c>
      <c r="W18" s="45" t="s">
        <v>8642</v>
      </c>
      <c r="X18" s="45" t="s">
        <v>8651</v>
      </c>
      <c r="Y18" s="45" t="s">
        <v>8644</v>
      </c>
      <c r="Z18" s="45" t="s">
        <v>2549</v>
      </c>
      <c r="AA18" s="45" t="s">
        <v>59</v>
      </c>
      <c r="AB18" s="45" t="n">
        <v>3</v>
      </c>
      <c r="AC18" s="45" t="n">
        <v>5</v>
      </c>
    </row>
    <row r="19" customFormat="false" ht="22.5" hidden="false" customHeight="true" outlineLevel="0" collapsed="false">
      <c r="A19" s="48" t="n">
        <v>46288.001267037</v>
      </c>
      <c r="B19" s="45" t="n">
        <v>24</v>
      </c>
      <c r="C19" s="45" t="s">
        <v>437</v>
      </c>
      <c r="D19" s="45" t="s">
        <v>452</v>
      </c>
      <c r="E19" s="45" t="s">
        <v>83</v>
      </c>
      <c r="F19" s="45" t="s">
        <v>8638</v>
      </c>
      <c r="G19" s="45" t="s">
        <v>806</v>
      </c>
      <c r="H19" s="45" t="s">
        <v>2493</v>
      </c>
      <c r="I19" s="45" t="s">
        <v>2524</v>
      </c>
      <c r="J19" s="45" t="s">
        <v>2582</v>
      </c>
      <c r="K19" s="45" t="s">
        <v>1690</v>
      </c>
      <c r="L19" s="45" t="s">
        <v>2529</v>
      </c>
      <c r="M19" s="45" t="s">
        <v>2497</v>
      </c>
      <c r="N19" s="45" t="s">
        <v>8718</v>
      </c>
      <c r="O19" s="45" t="s">
        <v>8719</v>
      </c>
      <c r="P19" s="45" t="s">
        <v>8720</v>
      </c>
      <c r="Q19" s="45" t="s">
        <v>8644</v>
      </c>
      <c r="R19" s="45" t="s">
        <v>8643</v>
      </c>
      <c r="S19" s="45" t="s">
        <v>8642</v>
      </c>
      <c r="T19" s="45" t="s">
        <v>8646</v>
      </c>
      <c r="U19" s="45" t="s">
        <v>8642</v>
      </c>
      <c r="V19" s="45" t="s">
        <v>8643</v>
      </c>
      <c r="W19" s="45" t="s">
        <v>8644</v>
      </c>
      <c r="X19" s="45" t="s">
        <v>8662</v>
      </c>
      <c r="Y19" s="45" t="s">
        <v>8642</v>
      </c>
      <c r="Z19" s="45" t="s">
        <v>2519</v>
      </c>
      <c r="AA19" s="45" t="s">
        <v>2242</v>
      </c>
      <c r="AB19" s="45" t="n">
        <v>4</v>
      </c>
      <c r="AC19" s="45" t="n">
        <v>4</v>
      </c>
    </row>
    <row r="20" customFormat="false" ht="22.5" hidden="false" customHeight="true" outlineLevel="0" collapsed="false">
      <c r="A20" s="48" t="n">
        <v>46288.0013570486</v>
      </c>
      <c r="B20" s="45" t="n">
        <v>20</v>
      </c>
      <c r="C20" s="45" t="s">
        <v>437</v>
      </c>
      <c r="D20" s="45" t="s">
        <v>47</v>
      </c>
      <c r="E20" s="45" t="s">
        <v>83</v>
      </c>
      <c r="F20" s="45" t="s">
        <v>8638</v>
      </c>
      <c r="G20" s="45" t="s">
        <v>806</v>
      </c>
      <c r="H20" s="45" t="s">
        <v>2493</v>
      </c>
      <c r="I20" s="45" t="s">
        <v>2539</v>
      </c>
      <c r="J20" s="45" t="s">
        <v>2533</v>
      </c>
      <c r="K20" s="45" t="s">
        <v>2242</v>
      </c>
      <c r="L20" s="45" t="s">
        <v>2516</v>
      </c>
      <c r="M20" s="45" t="s">
        <v>2546</v>
      </c>
      <c r="N20" s="45" t="s">
        <v>8721</v>
      </c>
      <c r="O20" s="45" t="s">
        <v>8722</v>
      </c>
      <c r="P20" s="45" t="s">
        <v>8723</v>
      </c>
      <c r="Q20" s="45" t="s">
        <v>8644</v>
      </c>
      <c r="R20" s="45" t="s">
        <v>8642</v>
      </c>
      <c r="S20" s="45" t="s">
        <v>8643</v>
      </c>
      <c r="T20" s="45" t="s">
        <v>8724</v>
      </c>
      <c r="U20" s="45" t="s">
        <v>8644</v>
      </c>
      <c r="V20" s="45" t="s">
        <v>8642</v>
      </c>
      <c r="W20" s="45" t="s">
        <v>8643</v>
      </c>
      <c r="X20" s="45" t="s">
        <v>8725</v>
      </c>
      <c r="Y20" s="45" t="s">
        <v>8642</v>
      </c>
      <c r="Z20" s="45" t="s">
        <v>2508</v>
      </c>
      <c r="AA20" s="45" t="s">
        <v>59</v>
      </c>
      <c r="AB20" s="45" t="n">
        <v>4</v>
      </c>
      <c r="AC20" s="45" t="n">
        <v>5</v>
      </c>
    </row>
    <row r="21" customFormat="false" ht="22.5" hidden="false" customHeight="true" outlineLevel="0" collapsed="false">
      <c r="A21" s="48" t="n">
        <v>46288.0128662269</v>
      </c>
      <c r="B21" s="45" t="n">
        <v>55</v>
      </c>
      <c r="C21" s="45" t="s">
        <v>437</v>
      </c>
      <c r="D21" s="45" t="s">
        <v>437</v>
      </c>
      <c r="E21" s="45" t="s">
        <v>83</v>
      </c>
      <c r="F21" s="45" t="s">
        <v>8647</v>
      </c>
      <c r="G21" s="45" t="s">
        <v>2538</v>
      </c>
      <c r="H21" s="45" t="s">
        <v>2540</v>
      </c>
      <c r="I21" s="45" t="s">
        <v>2494</v>
      </c>
      <c r="J21" s="45" t="s">
        <v>2495</v>
      </c>
      <c r="K21" s="45" t="s">
        <v>59</v>
      </c>
      <c r="L21" s="45" t="s">
        <v>2504</v>
      </c>
      <c r="M21" s="45" t="s">
        <v>2546</v>
      </c>
      <c r="N21" s="45" t="s">
        <v>8726</v>
      </c>
      <c r="O21" s="45" t="s">
        <v>8727</v>
      </c>
      <c r="P21" s="45" t="s">
        <v>8728</v>
      </c>
      <c r="Q21" s="45" t="s">
        <v>8644</v>
      </c>
      <c r="R21" s="45" t="s">
        <v>8643</v>
      </c>
      <c r="S21" s="45" t="s">
        <v>8642</v>
      </c>
      <c r="T21" s="45" t="s">
        <v>8696</v>
      </c>
      <c r="U21" s="45" t="s">
        <v>8643</v>
      </c>
      <c r="V21" s="45" t="s">
        <v>8642</v>
      </c>
      <c r="W21" s="45" t="s">
        <v>8644</v>
      </c>
      <c r="X21" s="45" t="s">
        <v>8709</v>
      </c>
      <c r="Y21" s="45" t="s">
        <v>8644</v>
      </c>
      <c r="Z21" s="45" t="s">
        <v>2519</v>
      </c>
      <c r="AA21" s="45" t="s">
        <v>98</v>
      </c>
      <c r="AB21" s="45" t="n">
        <v>5</v>
      </c>
      <c r="AC21" s="45" t="n">
        <v>5</v>
      </c>
    </row>
    <row r="22" customFormat="false" ht="22.5" hidden="false" customHeight="true" outlineLevel="0" collapsed="false">
      <c r="A22" s="48" t="n">
        <v>46288.0199549653</v>
      </c>
      <c r="B22" s="45" t="n">
        <v>26</v>
      </c>
      <c r="C22" s="45" t="s">
        <v>289</v>
      </c>
      <c r="D22" s="45" t="s">
        <v>289</v>
      </c>
      <c r="E22" s="45" t="s">
        <v>83</v>
      </c>
      <c r="F22" s="45" t="s">
        <v>8658</v>
      </c>
      <c r="G22" s="45" t="s">
        <v>806</v>
      </c>
      <c r="H22" s="45" t="s">
        <v>2523</v>
      </c>
      <c r="I22" s="45" t="s">
        <v>2494</v>
      </c>
      <c r="J22" s="45" t="s">
        <v>2544</v>
      </c>
      <c r="K22" s="45" t="s">
        <v>59</v>
      </c>
      <c r="L22" s="45" t="s">
        <v>2591</v>
      </c>
      <c r="M22" s="45" t="s">
        <v>2497</v>
      </c>
      <c r="N22" s="45" t="s">
        <v>434</v>
      </c>
      <c r="O22" s="45" t="s">
        <v>434</v>
      </c>
      <c r="P22" s="45" t="s">
        <v>434</v>
      </c>
      <c r="Q22" s="45" t="s">
        <v>8643</v>
      </c>
      <c r="R22" s="45" t="s">
        <v>8643</v>
      </c>
      <c r="S22" s="45" t="s">
        <v>8643</v>
      </c>
      <c r="T22" s="45" t="s">
        <v>8717</v>
      </c>
      <c r="U22" s="45" t="s">
        <v>8643</v>
      </c>
      <c r="V22" s="45" t="s">
        <v>8643</v>
      </c>
      <c r="W22" s="45" t="s">
        <v>8643</v>
      </c>
      <c r="X22" s="45" t="s">
        <v>8729</v>
      </c>
      <c r="Y22" s="45" t="s">
        <v>8643</v>
      </c>
      <c r="Z22" s="45" t="s">
        <v>2508</v>
      </c>
      <c r="AA22" s="45" t="s">
        <v>59</v>
      </c>
      <c r="AB22" s="45" t="n">
        <v>3</v>
      </c>
      <c r="AC22" s="45" t="n">
        <v>3</v>
      </c>
    </row>
    <row r="23" customFormat="false" ht="22.5" hidden="false" customHeight="true" outlineLevel="0" collapsed="false">
      <c r="A23" s="48" t="n">
        <v>46288.0320629861</v>
      </c>
      <c r="B23" s="45" t="n">
        <v>25</v>
      </c>
      <c r="C23" s="45" t="s">
        <v>8637</v>
      </c>
      <c r="D23" s="45" t="s">
        <v>8637</v>
      </c>
      <c r="E23" s="45" t="s">
        <v>45</v>
      </c>
      <c r="F23" s="45" t="s">
        <v>8638</v>
      </c>
      <c r="G23" s="45" t="s">
        <v>2538</v>
      </c>
      <c r="H23" s="45" t="s">
        <v>2523</v>
      </c>
      <c r="I23" s="45" t="s">
        <v>2539</v>
      </c>
      <c r="J23" s="45" t="s">
        <v>2495</v>
      </c>
      <c r="K23" s="45" t="s">
        <v>59</v>
      </c>
      <c r="L23" s="45" t="s">
        <v>2595</v>
      </c>
      <c r="M23" s="45" t="s">
        <v>2551</v>
      </c>
      <c r="N23" s="45" t="s">
        <v>8730</v>
      </c>
      <c r="O23" s="45" t="s">
        <v>8731</v>
      </c>
      <c r="P23" s="45" t="s">
        <v>8732</v>
      </c>
      <c r="Q23" s="45" t="s">
        <v>8643</v>
      </c>
      <c r="R23" s="45" t="s">
        <v>8733</v>
      </c>
      <c r="T23" s="45" t="s">
        <v>8734</v>
      </c>
      <c r="U23" s="45" t="s">
        <v>8735</v>
      </c>
      <c r="V23" s="45" t="s">
        <v>8644</v>
      </c>
      <c r="X23" s="45" t="s">
        <v>8651</v>
      </c>
      <c r="Y23" s="45" t="s">
        <v>8643</v>
      </c>
      <c r="Z23" s="45" t="s">
        <v>2508</v>
      </c>
      <c r="AA23" s="45" t="s">
        <v>59</v>
      </c>
      <c r="AB23" s="45" t="n">
        <v>5</v>
      </c>
      <c r="AC23" s="45" t="n">
        <v>5</v>
      </c>
    </row>
    <row r="24" customFormat="false" ht="22.5" hidden="false" customHeight="true" outlineLevel="0" collapsed="false">
      <c r="A24" s="48" t="n">
        <v>46288.106142338</v>
      </c>
      <c r="B24" s="45" t="n">
        <v>25</v>
      </c>
      <c r="C24" s="45" t="s">
        <v>437</v>
      </c>
      <c r="D24" s="45" t="s">
        <v>8710</v>
      </c>
      <c r="E24" s="45" t="s">
        <v>45</v>
      </c>
      <c r="F24" s="45" t="s">
        <v>8638</v>
      </c>
      <c r="G24" s="45" t="s">
        <v>2515</v>
      </c>
      <c r="H24" s="45" t="s">
        <v>2493</v>
      </c>
      <c r="I24" s="45" t="s">
        <v>2524</v>
      </c>
      <c r="J24" s="45" t="s">
        <v>2533</v>
      </c>
      <c r="K24" s="45" t="s">
        <v>1690</v>
      </c>
      <c r="L24" s="45" t="s">
        <v>2504</v>
      </c>
      <c r="M24" s="45" t="s">
        <v>2497</v>
      </c>
      <c r="N24" s="45" t="s">
        <v>8736</v>
      </c>
      <c r="O24" s="45" t="s">
        <v>8737</v>
      </c>
      <c r="P24" s="45" t="s">
        <v>8738</v>
      </c>
      <c r="Q24" s="45" t="s">
        <v>8643</v>
      </c>
      <c r="R24" s="45" t="s">
        <v>8644</v>
      </c>
      <c r="S24" s="45" t="s">
        <v>8642</v>
      </c>
      <c r="T24" s="45" t="s">
        <v>8646</v>
      </c>
      <c r="U24" s="45" t="s">
        <v>8644</v>
      </c>
      <c r="V24" s="45" t="s">
        <v>8643</v>
      </c>
      <c r="W24" s="45" t="s">
        <v>8642</v>
      </c>
      <c r="X24" s="45" t="s">
        <v>8651</v>
      </c>
      <c r="Y24" s="45" t="s">
        <v>8643</v>
      </c>
      <c r="Z24" s="45" t="s">
        <v>2508</v>
      </c>
      <c r="AA24" s="45" t="s">
        <v>59</v>
      </c>
      <c r="AB24" s="45" t="n">
        <v>4</v>
      </c>
      <c r="AC24" s="45" t="n">
        <v>5</v>
      </c>
    </row>
    <row r="25" customFormat="false" ht="22.5" hidden="false" customHeight="true" outlineLevel="0" collapsed="false">
      <c r="A25" s="48" t="n">
        <v>46288.1600868519</v>
      </c>
      <c r="B25" s="45" t="n">
        <v>28</v>
      </c>
      <c r="C25" s="45" t="s">
        <v>71</v>
      </c>
      <c r="D25" s="45" t="s">
        <v>71</v>
      </c>
      <c r="E25" s="45" t="s">
        <v>83</v>
      </c>
      <c r="F25" s="45" t="s">
        <v>8638</v>
      </c>
      <c r="G25" s="45" t="s">
        <v>806</v>
      </c>
      <c r="H25" s="45" t="s">
        <v>2494</v>
      </c>
      <c r="I25" s="45" t="s">
        <v>2494</v>
      </c>
      <c r="J25" s="45" t="s">
        <v>2495</v>
      </c>
      <c r="K25" s="45" t="s">
        <v>2242</v>
      </c>
      <c r="L25" s="45" t="s">
        <v>2529</v>
      </c>
      <c r="M25" s="45" t="s">
        <v>2497</v>
      </c>
      <c r="Q25" s="45" t="s">
        <v>8643</v>
      </c>
      <c r="R25" s="45" t="s">
        <v>8642</v>
      </c>
      <c r="S25" s="45" t="s">
        <v>8644</v>
      </c>
      <c r="T25" s="45" t="s">
        <v>8662</v>
      </c>
      <c r="U25" s="45" t="s">
        <v>8643</v>
      </c>
      <c r="V25" s="45" t="s">
        <v>8644</v>
      </c>
      <c r="W25" s="45" t="s">
        <v>8642</v>
      </c>
      <c r="X25" s="45" t="s">
        <v>8662</v>
      </c>
      <c r="Y25" s="45" t="s">
        <v>8643</v>
      </c>
      <c r="Z25" s="45" t="s">
        <v>2519</v>
      </c>
      <c r="AA25" s="45" t="s">
        <v>59</v>
      </c>
      <c r="AB25" s="45" t="n">
        <v>4</v>
      </c>
      <c r="AC25" s="45" t="n">
        <v>5</v>
      </c>
    </row>
    <row r="26" customFormat="false" ht="22.5" hidden="false" customHeight="true" outlineLevel="0" collapsed="false">
      <c r="A26" s="48" t="n">
        <v>46288.3342885648</v>
      </c>
      <c r="B26" s="45" t="n">
        <v>22</v>
      </c>
      <c r="C26" s="45" t="s">
        <v>437</v>
      </c>
      <c r="D26" s="45" t="s">
        <v>49</v>
      </c>
      <c r="E26" s="45" t="s">
        <v>83</v>
      </c>
      <c r="F26" s="45" t="s">
        <v>8647</v>
      </c>
      <c r="G26" s="45" t="s">
        <v>2515</v>
      </c>
      <c r="H26" s="45" t="s">
        <v>2502</v>
      </c>
      <c r="I26" s="45" t="s">
        <v>2539</v>
      </c>
      <c r="J26" s="45" t="s">
        <v>2533</v>
      </c>
      <c r="K26" s="45" t="s">
        <v>59</v>
      </c>
      <c r="L26" s="45" t="s">
        <v>2602</v>
      </c>
      <c r="M26" s="45" t="s">
        <v>2497</v>
      </c>
      <c r="N26" s="45" t="s">
        <v>8739</v>
      </c>
      <c r="O26" s="45" t="s">
        <v>8740</v>
      </c>
      <c r="P26" s="45" t="s">
        <v>8741</v>
      </c>
      <c r="Q26" s="45" t="s">
        <v>8642</v>
      </c>
      <c r="R26" s="45" t="s">
        <v>8643</v>
      </c>
      <c r="S26" s="45" t="s">
        <v>8644</v>
      </c>
      <c r="T26" s="45" t="s">
        <v>8646</v>
      </c>
      <c r="U26" s="45" t="s">
        <v>8642</v>
      </c>
      <c r="V26" s="45" t="s">
        <v>8643</v>
      </c>
      <c r="W26" s="45" t="s">
        <v>8644</v>
      </c>
      <c r="X26" s="45" t="s">
        <v>8645</v>
      </c>
      <c r="Y26" s="45" t="s">
        <v>8642</v>
      </c>
      <c r="Z26" s="45" t="s">
        <v>2500</v>
      </c>
      <c r="AA26" s="45" t="s">
        <v>59</v>
      </c>
      <c r="AB26" s="45" t="n">
        <v>1</v>
      </c>
      <c r="AC26" s="45" t="n">
        <v>4</v>
      </c>
    </row>
    <row r="27" customFormat="false" ht="22.5" hidden="false" customHeight="true" outlineLevel="0" collapsed="false">
      <c r="A27" s="48" t="n">
        <v>46288.3938942245</v>
      </c>
      <c r="B27" s="45" t="n">
        <v>54</v>
      </c>
      <c r="C27" s="45" t="s">
        <v>437</v>
      </c>
      <c r="D27" s="45" t="s">
        <v>92</v>
      </c>
      <c r="E27" s="45" t="s">
        <v>83</v>
      </c>
      <c r="F27" s="45" t="s">
        <v>8647</v>
      </c>
      <c r="G27" s="45" t="s">
        <v>2515</v>
      </c>
      <c r="H27" s="45" t="s">
        <v>2510</v>
      </c>
      <c r="I27" s="45" t="s">
        <v>2493</v>
      </c>
      <c r="J27" s="45" t="s">
        <v>2495</v>
      </c>
      <c r="K27" s="45" t="s">
        <v>59</v>
      </c>
      <c r="L27" s="45" t="s">
        <v>2504</v>
      </c>
      <c r="M27" s="45" t="s">
        <v>2546</v>
      </c>
      <c r="N27" s="45" t="s">
        <v>8742</v>
      </c>
      <c r="O27" s="45" t="s">
        <v>8743</v>
      </c>
      <c r="P27" s="45" t="s">
        <v>8744</v>
      </c>
      <c r="Q27" s="45" t="s">
        <v>8643</v>
      </c>
      <c r="R27" s="45" t="s">
        <v>8644</v>
      </c>
      <c r="S27" s="45" t="s">
        <v>8642</v>
      </c>
      <c r="T27" s="45" t="s">
        <v>8662</v>
      </c>
      <c r="U27" s="45" t="s">
        <v>8643</v>
      </c>
      <c r="V27" s="45" t="s">
        <v>8642</v>
      </c>
      <c r="W27" s="45" t="s">
        <v>8644</v>
      </c>
      <c r="X27" s="45" t="s">
        <v>8651</v>
      </c>
      <c r="Y27" s="45" t="s">
        <v>8642</v>
      </c>
      <c r="Z27" s="45" t="s">
        <v>2608</v>
      </c>
      <c r="AA27" s="45" t="s">
        <v>59</v>
      </c>
      <c r="AB27" s="45" t="n">
        <v>4</v>
      </c>
      <c r="AC27" s="45" t="n">
        <v>5</v>
      </c>
    </row>
    <row r="28" customFormat="false" ht="22.5" hidden="false" customHeight="true" outlineLevel="0" collapsed="false">
      <c r="A28" s="48" t="n">
        <v>46288.4022026852</v>
      </c>
      <c r="B28" s="45" t="n">
        <v>58</v>
      </c>
      <c r="C28" s="45" t="s">
        <v>437</v>
      </c>
      <c r="D28" s="45" t="s">
        <v>437</v>
      </c>
      <c r="E28" s="45" t="s">
        <v>83</v>
      </c>
      <c r="F28" s="45" t="s">
        <v>8647</v>
      </c>
      <c r="G28" s="45" t="s">
        <v>2538</v>
      </c>
      <c r="H28" s="45" t="s">
        <v>2510</v>
      </c>
      <c r="I28" s="45" t="s">
        <v>2503</v>
      </c>
      <c r="J28" s="45" t="s">
        <v>2555</v>
      </c>
      <c r="K28" s="45" t="s">
        <v>2242</v>
      </c>
      <c r="L28" s="45" t="s">
        <v>2610</v>
      </c>
      <c r="M28" s="45" t="s">
        <v>2497</v>
      </c>
      <c r="N28" s="45" t="s">
        <v>8745</v>
      </c>
      <c r="O28" s="45" t="s">
        <v>8746</v>
      </c>
      <c r="P28" s="45" t="s">
        <v>8747</v>
      </c>
      <c r="Q28" s="45" t="s">
        <v>8642</v>
      </c>
      <c r="R28" s="45" t="s">
        <v>8643</v>
      </c>
      <c r="S28" s="45" t="s">
        <v>8644</v>
      </c>
      <c r="T28" s="45" t="s">
        <v>8646</v>
      </c>
      <c r="U28" s="45" t="s">
        <v>8642</v>
      </c>
      <c r="V28" s="45" t="s">
        <v>8643</v>
      </c>
      <c r="W28" s="45" t="s">
        <v>8644</v>
      </c>
      <c r="X28" s="45" t="s">
        <v>8671</v>
      </c>
      <c r="Y28" s="45" t="s">
        <v>8642</v>
      </c>
      <c r="Z28" s="45" t="s">
        <v>2508</v>
      </c>
      <c r="AA28" s="45" t="s">
        <v>2242</v>
      </c>
      <c r="AB28" s="45" t="n">
        <v>5</v>
      </c>
      <c r="AC28" s="45" t="n">
        <v>5</v>
      </c>
    </row>
    <row r="29" customFormat="false" ht="22.5" hidden="false" customHeight="true" outlineLevel="0" collapsed="false">
      <c r="A29" s="48" t="n">
        <v>46288.4134148843</v>
      </c>
      <c r="B29" s="45" t="n">
        <v>55</v>
      </c>
      <c r="C29" s="45" t="s">
        <v>437</v>
      </c>
      <c r="D29" s="45" t="s">
        <v>47</v>
      </c>
      <c r="E29" s="45" t="s">
        <v>83</v>
      </c>
      <c r="F29" s="45" t="s">
        <v>8647</v>
      </c>
      <c r="G29" s="45" t="s">
        <v>2614</v>
      </c>
      <c r="H29" s="45" t="s">
        <v>2493</v>
      </c>
      <c r="I29" s="45" t="s">
        <v>2540</v>
      </c>
      <c r="J29" s="45" t="s">
        <v>2495</v>
      </c>
      <c r="K29" s="45" t="s">
        <v>1690</v>
      </c>
      <c r="L29" s="45" t="s">
        <v>2529</v>
      </c>
      <c r="M29" s="45" t="s">
        <v>2505</v>
      </c>
      <c r="Q29" s="45" t="s">
        <v>8643</v>
      </c>
      <c r="R29" s="45" t="s">
        <v>8642</v>
      </c>
      <c r="S29" s="45" t="s">
        <v>8644</v>
      </c>
      <c r="T29" s="45" t="s">
        <v>8651</v>
      </c>
      <c r="U29" s="45" t="s">
        <v>8644</v>
      </c>
      <c r="V29" s="45" t="s">
        <v>8643</v>
      </c>
      <c r="W29" s="45" t="s">
        <v>8642</v>
      </c>
      <c r="X29" s="45" t="s">
        <v>8667</v>
      </c>
      <c r="Y29" s="45" t="s">
        <v>8643</v>
      </c>
      <c r="Z29" s="45" t="s">
        <v>2500</v>
      </c>
      <c r="AA29" s="45" t="s">
        <v>2242</v>
      </c>
      <c r="AB29" s="45" t="n">
        <v>4</v>
      </c>
      <c r="AC29" s="45" t="n">
        <v>4</v>
      </c>
    </row>
    <row r="30" customFormat="false" ht="22.5" hidden="false" customHeight="true" outlineLevel="0" collapsed="false">
      <c r="A30" s="48" t="n">
        <v>46288.4578982755</v>
      </c>
      <c r="B30" s="45" t="n">
        <v>55</v>
      </c>
      <c r="C30" s="45" t="s">
        <v>437</v>
      </c>
      <c r="D30" s="45" t="s">
        <v>437</v>
      </c>
      <c r="E30" s="45" t="s">
        <v>45</v>
      </c>
      <c r="F30" s="45" t="s">
        <v>2242</v>
      </c>
      <c r="G30" s="45" t="s">
        <v>2538</v>
      </c>
      <c r="H30" s="45" t="s">
        <v>2493</v>
      </c>
      <c r="I30" s="45" t="s">
        <v>2493</v>
      </c>
      <c r="J30" s="45" t="s">
        <v>2555</v>
      </c>
      <c r="K30" s="45" t="s">
        <v>59</v>
      </c>
      <c r="L30" s="45" t="s">
        <v>2617</v>
      </c>
      <c r="M30" s="45" t="s">
        <v>2546</v>
      </c>
      <c r="N30" s="45" t="s">
        <v>8748</v>
      </c>
      <c r="O30" s="45" t="s">
        <v>8749</v>
      </c>
      <c r="P30" s="45" t="s">
        <v>8750</v>
      </c>
      <c r="Q30" s="45" t="s">
        <v>8644</v>
      </c>
      <c r="T30" s="45" t="s">
        <v>8671</v>
      </c>
      <c r="U30" s="45" t="s">
        <v>8644</v>
      </c>
      <c r="X30" s="45" t="s">
        <v>8646</v>
      </c>
      <c r="Y30" s="45" t="s">
        <v>8642</v>
      </c>
      <c r="Z30" s="45" t="s">
        <v>2519</v>
      </c>
      <c r="AA30" s="45" t="s">
        <v>59</v>
      </c>
      <c r="AB30" s="45" t="n">
        <v>5</v>
      </c>
      <c r="AC30" s="45" t="n">
        <v>5</v>
      </c>
    </row>
    <row r="31" customFormat="false" ht="22.5" hidden="false" customHeight="true" outlineLevel="0" collapsed="false">
      <c r="A31" s="48" t="n">
        <v>46288.4660163657</v>
      </c>
      <c r="B31" s="45" t="n">
        <v>23</v>
      </c>
      <c r="C31" s="45" t="s">
        <v>437</v>
      </c>
      <c r="D31" s="45" t="s">
        <v>47</v>
      </c>
      <c r="E31" s="45" t="s">
        <v>83</v>
      </c>
      <c r="F31" s="45" t="s">
        <v>8638</v>
      </c>
      <c r="G31" s="45" t="s">
        <v>2515</v>
      </c>
      <c r="H31" s="45" t="s">
        <v>2524</v>
      </c>
      <c r="I31" s="45" t="s">
        <v>2524</v>
      </c>
      <c r="J31" s="45" t="s">
        <v>2495</v>
      </c>
      <c r="K31" s="45" t="s">
        <v>59</v>
      </c>
      <c r="L31" s="45" t="s">
        <v>2529</v>
      </c>
      <c r="M31" s="45" t="s">
        <v>2546</v>
      </c>
      <c r="N31" s="45" t="s">
        <v>8751</v>
      </c>
      <c r="O31" s="45" t="s">
        <v>8752</v>
      </c>
      <c r="P31" s="45" t="s">
        <v>8753</v>
      </c>
      <c r="Q31" s="45" t="s">
        <v>8643</v>
      </c>
      <c r="R31" s="45" t="s">
        <v>8644</v>
      </c>
      <c r="S31" s="45" t="s">
        <v>8642</v>
      </c>
      <c r="T31" s="45" t="s">
        <v>8667</v>
      </c>
      <c r="U31" s="45" t="s">
        <v>8644</v>
      </c>
      <c r="V31" s="45" t="s">
        <v>8642</v>
      </c>
      <c r="W31" s="45" t="s">
        <v>8643</v>
      </c>
      <c r="X31" s="45" t="s">
        <v>8646</v>
      </c>
      <c r="Y31" s="45" t="s">
        <v>8643</v>
      </c>
      <c r="Z31" s="45" t="s">
        <v>2500</v>
      </c>
      <c r="AA31" s="45" t="s">
        <v>59</v>
      </c>
      <c r="AB31" s="45" t="n">
        <v>5</v>
      </c>
      <c r="AC31" s="45" t="n">
        <v>5</v>
      </c>
    </row>
    <row r="32" customFormat="false" ht="22.5" hidden="false" customHeight="true" outlineLevel="0" collapsed="false">
      <c r="A32" s="48" t="n">
        <v>46288.5074583681</v>
      </c>
      <c r="B32" s="45" t="n">
        <v>23</v>
      </c>
      <c r="C32" s="45" t="s">
        <v>437</v>
      </c>
      <c r="D32" s="45" t="s">
        <v>437</v>
      </c>
      <c r="E32" s="45" t="s">
        <v>45</v>
      </c>
      <c r="F32" s="45" t="s">
        <v>8658</v>
      </c>
      <c r="G32" s="45" t="s">
        <v>2515</v>
      </c>
      <c r="H32" s="45" t="s">
        <v>2540</v>
      </c>
      <c r="I32" s="45" t="s">
        <v>2493</v>
      </c>
      <c r="J32" s="45" t="s">
        <v>2495</v>
      </c>
      <c r="K32" s="45" t="s">
        <v>2242</v>
      </c>
      <c r="L32" s="45" t="s">
        <v>2529</v>
      </c>
      <c r="M32" s="45" t="s">
        <v>2551</v>
      </c>
      <c r="N32" s="45" t="s">
        <v>8754</v>
      </c>
      <c r="O32" s="45" t="s">
        <v>8755</v>
      </c>
      <c r="P32" s="45" t="s">
        <v>8756</v>
      </c>
      <c r="Q32" s="45" t="s">
        <v>8643</v>
      </c>
      <c r="R32" s="45" t="s">
        <v>8642</v>
      </c>
      <c r="S32" s="45" t="s">
        <v>8644</v>
      </c>
      <c r="T32" s="45" t="s">
        <v>8646</v>
      </c>
      <c r="U32" s="45" t="s">
        <v>8643</v>
      </c>
      <c r="V32" s="45" t="s">
        <v>8644</v>
      </c>
      <c r="W32" s="45" t="s">
        <v>8642</v>
      </c>
      <c r="X32" s="45" t="s">
        <v>8651</v>
      </c>
      <c r="Y32" s="45" t="s">
        <v>8643</v>
      </c>
      <c r="Z32" s="45" t="s">
        <v>2608</v>
      </c>
      <c r="AA32" s="45" t="s">
        <v>59</v>
      </c>
      <c r="AB32" s="45" t="n">
        <v>3</v>
      </c>
      <c r="AC32" s="45" t="n">
        <v>3</v>
      </c>
    </row>
    <row r="33" customFormat="false" ht="22.5" hidden="false" customHeight="true" outlineLevel="0" collapsed="false">
      <c r="A33" s="48" t="n">
        <v>46288.5211472338</v>
      </c>
      <c r="B33" s="45" t="n">
        <v>22</v>
      </c>
      <c r="C33" s="45" t="s">
        <v>437</v>
      </c>
      <c r="D33" s="45" t="s">
        <v>47</v>
      </c>
      <c r="E33" s="45" t="s">
        <v>83</v>
      </c>
      <c r="F33" s="45" t="s">
        <v>8647</v>
      </c>
      <c r="G33" s="45" t="s">
        <v>2614</v>
      </c>
      <c r="H33" s="45" t="s">
        <v>2494</v>
      </c>
      <c r="I33" s="45" t="s">
        <v>2540</v>
      </c>
      <c r="J33" s="45" t="s">
        <v>2495</v>
      </c>
      <c r="K33" s="45" t="s">
        <v>1690</v>
      </c>
      <c r="L33" s="45" t="s">
        <v>2625</v>
      </c>
      <c r="M33" s="45" t="s">
        <v>2546</v>
      </c>
      <c r="N33" s="45" t="s">
        <v>8757</v>
      </c>
      <c r="O33" s="45" t="s">
        <v>8758</v>
      </c>
      <c r="P33" s="45" t="s">
        <v>8759</v>
      </c>
      <c r="Q33" s="45" t="s">
        <v>8644</v>
      </c>
      <c r="R33" s="45" t="s">
        <v>8642</v>
      </c>
      <c r="S33" s="45" t="s">
        <v>8643</v>
      </c>
      <c r="T33" s="45" t="s">
        <v>8760</v>
      </c>
      <c r="U33" s="45" t="s">
        <v>8642</v>
      </c>
      <c r="V33" s="45" t="s">
        <v>8643</v>
      </c>
      <c r="W33" s="45" t="s">
        <v>8644</v>
      </c>
      <c r="X33" s="45" t="s">
        <v>8692</v>
      </c>
      <c r="Y33" s="45" t="s">
        <v>8643</v>
      </c>
      <c r="Z33" s="45" t="s">
        <v>2628</v>
      </c>
      <c r="AA33" s="45" t="s">
        <v>59</v>
      </c>
      <c r="AB33" s="45" t="n">
        <v>2</v>
      </c>
      <c r="AC33" s="45" t="n">
        <v>3</v>
      </c>
    </row>
    <row r="34" customFormat="false" ht="22.5" hidden="false" customHeight="true" outlineLevel="0" collapsed="false">
      <c r="A34" s="48" t="n">
        <v>46288.5623652546</v>
      </c>
      <c r="B34" s="45" t="n">
        <v>24</v>
      </c>
      <c r="C34" s="45" t="s">
        <v>437</v>
      </c>
      <c r="D34" s="45" t="s">
        <v>47</v>
      </c>
      <c r="E34" s="45" t="s">
        <v>83</v>
      </c>
      <c r="F34" s="45" t="s">
        <v>2242</v>
      </c>
      <c r="G34" s="45" t="s">
        <v>2515</v>
      </c>
      <c r="H34" s="45" t="s">
        <v>2494</v>
      </c>
      <c r="I34" s="45" t="s">
        <v>2494</v>
      </c>
      <c r="J34" s="45" t="s">
        <v>2544</v>
      </c>
      <c r="K34" s="45" t="s">
        <v>2242</v>
      </c>
      <c r="L34" s="45" t="s">
        <v>2562</v>
      </c>
      <c r="M34" s="45" t="s">
        <v>2497</v>
      </c>
      <c r="N34" s="45" t="s">
        <v>8761</v>
      </c>
      <c r="O34" s="45" t="s">
        <v>8762</v>
      </c>
      <c r="P34" s="45" t="s">
        <v>8763</v>
      </c>
      <c r="Q34" s="45" t="s">
        <v>8643</v>
      </c>
      <c r="R34" s="45" t="s">
        <v>8642</v>
      </c>
      <c r="S34" s="45" t="s">
        <v>8644</v>
      </c>
      <c r="T34" s="45" t="s">
        <v>8662</v>
      </c>
      <c r="U34" s="45" t="s">
        <v>8643</v>
      </c>
      <c r="V34" s="45" t="s">
        <v>8642</v>
      </c>
      <c r="W34" s="45" t="s">
        <v>8644</v>
      </c>
      <c r="X34" s="45" t="s">
        <v>8709</v>
      </c>
      <c r="Y34" s="45" t="s">
        <v>8643</v>
      </c>
      <c r="Z34" s="45" t="s">
        <v>2508</v>
      </c>
      <c r="AA34" s="45" t="s">
        <v>59</v>
      </c>
      <c r="AB34" s="45" t="n">
        <v>4</v>
      </c>
      <c r="AC34" s="45" t="n">
        <v>5</v>
      </c>
    </row>
    <row r="35" customFormat="false" ht="22.5" hidden="false" customHeight="true" outlineLevel="0" collapsed="false">
      <c r="A35" s="48" t="n">
        <v>46288.5630961921</v>
      </c>
      <c r="B35" s="45" t="n">
        <v>24</v>
      </c>
      <c r="C35" s="45" t="s">
        <v>8637</v>
      </c>
      <c r="D35" s="45" t="s">
        <v>8637</v>
      </c>
      <c r="E35" s="45" t="s">
        <v>83</v>
      </c>
      <c r="F35" s="45" t="s">
        <v>8647</v>
      </c>
      <c r="G35" s="45" t="s">
        <v>2515</v>
      </c>
      <c r="H35" s="45" t="s">
        <v>2502</v>
      </c>
      <c r="I35" s="45" t="s">
        <v>2539</v>
      </c>
      <c r="J35" s="45" t="s">
        <v>2533</v>
      </c>
      <c r="K35" s="45" t="s">
        <v>1690</v>
      </c>
      <c r="L35" s="45" t="s">
        <v>2633</v>
      </c>
      <c r="M35" s="45" t="s">
        <v>2546</v>
      </c>
      <c r="N35" s="45" t="s">
        <v>8764</v>
      </c>
      <c r="O35" s="45" t="s">
        <v>8765</v>
      </c>
      <c r="P35" s="45" t="s">
        <v>8766</v>
      </c>
      <c r="Q35" s="45" t="s">
        <v>8643</v>
      </c>
      <c r="R35" s="45" t="s">
        <v>8642</v>
      </c>
      <c r="S35" s="45" t="s">
        <v>8644</v>
      </c>
      <c r="T35" s="45" t="s">
        <v>8646</v>
      </c>
      <c r="U35" s="45" t="s">
        <v>8642</v>
      </c>
      <c r="V35" s="45" t="s">
        <v>8643</v>
      </c>
      <c r="W35" s="45" t="s">
        <v>8644</v>
      </c>
      <c r="Y35" s="45" t="s">
        <v>8643</v>
      </c>
      <c r="Z35" s="45" t="s">
        <v>2508</v>
      </c>
      <c r="AA35" s="45" t="s">
        <v>2242</v>
      </c>
      <c r="AB35" s="45" t="n">
        <v>5</v>
      </c>
      <c r="AC35" s="45" t="n">
        <v>5</v>
      </c>
    </row>
    <row r="36" customFormat="false" ht="22.5" hidden="false" customHeight="true" outlineLevel="0" collapsed="false">
      <c r="A36" s="48" t="n">
        <v>46288.5760710648</v>
      </c>
      <c r="B36" s="45" t="n">
        <v>25</v>
      </c>
      <c r="C36" s="45" t="s">
        <v>8637</v>
      </c>
      <c r="D36" s="45" t="s">
        <v>8637</v>
      </c>
      <c r="E36" s="45" t="s">
        <v>45</v>
      </c>
      <c r="F36" s="45" t="s">
        <v>8652</v>
      </c>
      <c r="G36" s="45" t="s">
        <v>2515</v>
      </c>
      <c r="H36" s="45" t="s">
        <v>2510</v>
      </c>
      <c r="I36" s="45" t="s">
        <v>2539</v>
      </c>
      <c r="J36" s="45" t="s">
        <v>2495</v>
      </c>
      <c r="K36" s="45" t="s">
        <v>1690</v>
      </c>
      <c r="L36" s="45" t="s">
        <v>2496</v>
      </c>
      <c r="M36" s="45" t="s">
        <v>2546</v>
      </c>
      <c r="N36" s="45" t="s">
        <v>8767</v>
      </c>
      <c r="O36" s="45" t="s">
        <v>8649</v>
      </c>
      <c r="P36" s="45" t="s">
        <v>8768</v>
      </c>
      <c r="Q36" s="45" t="s">
        <v>8643</v>
      </c>
      <c r="R36" s="45" t="s">
        <v>8644</v>
      </c>
      <c r="S36" s="45" t="s">
        <v>8642</v>
      </c>
      <c r="T36" s="45" t="s">
        <v>8681</v>
      </c>
      <c r="U36" s="45" t="s">
        <v>8643</v>
      </c>
      <c r="V36" s="45" t="s">
        <v>8642</v>
      </c>
      <c r="W36" s="45" t="s">
        <v>8644</v>
      </c>
      <c r="X36" s="45" t="s">
        <v>8692</v>
      </c>
      <c r="Y36" s="45" t="s">
        <v>8643</v>
      </c>
      <c r="Z36" s="45" t="s">
        <v>2549</v>
      </c>
      <c r="AA36" s="45" t="s">
        <v>59</v>
      </c>
      <c r="AB36" s="45" t="n">
        <v>4</v>
      </c>
      <c r="AC36" s="45" t="n">
        <v>5</v>
      </c>
    </row>
    <row r="37" customFormat="false" ht="22.5" hidden="false" customHeight="true" outlineLevel="0" collapsed="false">
      <c r="A37" s="48" t="n">
        <v>46288.7154150579</v>
      </c>
      <c r="B37" s="45" t="n">
        <v>23</v>
      </c>
      <c r="C37" s="45" t="s">
        <v>437</v>
      </c>
      <c r="D37" s="45" t="s">
        <v>2640</v>
      </c>
      <c r="E37" s="45" t="s">
        <v>45</v>
      </c>
      <c r="F37" s="45" t="s">
        <v>8638</v>
      </c>
      <c r="G37" s="45" t="s">
        <v>2515</v>
      </c>
      <c r="H37" s="45" t="s">
        <v>2510</v>
      </c>
      <c r="I37" s="45" t="s">
        <v>2510</v>
      </c>
      <c r="J37" s="45" t="s">
        <v>2495</v>
      </c>
      <c r="K37" s="45" t="s">
        <v>1690</v>
      </c>
      <c r="L37" s="45" t="s">
        <v>2641</v>
      </c>
      <c r="M37" s="45" t="s">
        <v>2546</v>
      </c>
      <c r="N37" s="45" t="s">
        <v>8769</v>
      </c>
      <c r="O37" s="45" t="s">
        <v>8770</v>
      </c>
      <c r="P37" s="45" t="s">
        <v>8771</v>
      </c>
      <c r="Q37" s="45" t="s">
        <v>8643</v>
      </c>
      <c r="R37" s="45" t="s">
        <v>8642</v>
      </c>
      <c r="S37" s="45" t="s">
        <v>8644</v>
      </c>
      <c r="T37" s="45" t="s">
        <v>8772</v>
      </c>
      <c r="U37" s="45" t="s">
        <v>8643</v>
      </c>
      <c r="V37" s="45" t="s">
        <v>8644</v>
      </c>
      <c r="W37" s="45" t="s">
        <v>8642</v>
      </c>
      <c r="X37" s="45" t="s">
        <v>8709</v>
      </c>
      <c r="Y37" s="45" t="s">
        <v>8643</v>
      </c>
      <c r="Z37" s="45" t="s">
        <v>2549</v>
      </c>
      <c r="AA37" s="45" t="s">
        <v>59</v>
      </c>
      <c r="AB37" s="45" t="n">
        <v>2</v>
      </c>
      <c r="AC37" s="45" t="n">
        <v>5</v>
      </c>
    </row>
    <row r="38" customFormat="false" ht="22.5" hidden="false" customHeight="true" outlineLevel="0" collapsed="false">
      <c r="A38" s="48" t="n">
        <v>46288.7157744213</v>
      </c>
      <c r="B38" s="45" t="n">
        <v>50</v>
      </c>
      <c r="C38" s="45" t="s">
        <v>532</v>
      </c>
      <c r="D38" s="45" t="s">
        <v>532</v>
      </c>
      <c r="E38" s="45" t="s">
        <v>83</v>
      </c>
      <c r="F38" s="45" t="s">
        <v>8658</v>
      </c>
      <c r="G38" s="45" t="s">
        <v>806</v>
      </c>
      <c r="H38" s="45" t="s">
        <v>2523</v>
      </c>
      <c r="I38" s="45" t="s">
        <v>2539</v>
      </c>
      <c r="J38" s="45" t="s">
        <v>2544</v>
      </c>
      <c r="K38" s="45" t="s">
        <v>1690</v>
      </c>
      <c r="L38" s="45" t="s">
        <v>2516</v>
      </c>
      <c r="M38" s="45" t="s">
        <v>2546</v>
      </c>
      <c r="N38" s="45" t="s">
        <v>8773</v>
      </c>
      <c r="O38" s="45" t="s">
        <v>8774</v>
      </c>
      <c r="P38" s="45" t="s">
        <v>8775</v>
      </c>
      <c r="Q38" s="45" t="s">
        <v>8644</v>
      </c>
      <c r="R38" s="45" t="s">
        <v>8643</v>
      </c>
      <c r="S38" s="45" t="s">
        <v>8642</v>
      </c>
      <c r="T38" s="45" t="s">
        <v>8646</v>
      </c>
      <c r="U38" s="45" t="s">
        <v>8642</v>
      </c>
      <c r="V38" s="45" t="s">
        <v>8643</v>
      </c>
      <c r="W38" s="45" t="s">
        <v>8644</v>
      </c>
      <c r="X38" s="45" t="s">
        <v>8667</v>
      </c>
      <c r="Y38" s="45" t="s">
        <v>8642</v>
      </c>
      <c r="Z38" s="45" t="s">
        <v>2549</v>
      </c>
      <c r="AA38" s="45" t="s">
        <v>59</v>
      </c>
      <c r="AB38" s="45" t="n">
        <v>5</v>
      </c>
      <c r="AC38" s="45" t="n">
        <v>4</v>
      </c>
    </row>
    <row r="39" customFormat="false" ht="22.5" hidden="false" customHeight="true" outlineLevel="0" collapsed="false">
      <c r="A39" s="48" t="n">
        <v>46288.7812641088</v>
      </c>
      <c r="B39" s="45" t="n">
        <v>46</v>
      </c>
      <c r="C39" s="45" t="s">
        <v>8776</v>
      </c>
      <c r="D39" s="45" t="s">
        <v>532</v>
      </c>
      <c r="E39" s="45" t="s">
        <v>45</v>
      </c>
      <c r="F39" s="45" t="s">
        <v>8652</v>
      </c>
      <c r="G39" s="45" t="s">
        <v>2515</v>
      </c>
      <c r="H39" s="45" t="s">
        <v>2540</v>
      </c>
      <c r="I39" s="45" t="s">
        <v>2540</v>
      </c>
      <c r="J39" s="45" t="s">
        <v>2495</v>
      </c>
      <c r="K39" s="45" t="s">
        <v>1690</v>
      </c>
      <c r="L39" s="45" t="s">
        <v>2496</v>
      </c>
      <c r="M39" s="45" t="s">
        <v>2546</v>
      </c>
      <c r="N39" s="45" t="s">
        <v>2257</v>
      </c>
      <c r="O39" s="45" t="s">
        <v>2257</v>
      </c>
      <c r="P39" s="45" t="s">
        <v>8777</v>
      </c>
      <c r="Q39" s="45" t="s">
        <v>8644</v>
      </c>
      <c r="R39" s="45" t="s">
        <v>8642</v>
      </c>
      <c r="S39" s="45" t="s">
        <v>8643</v>
      </c>
      <c r="T39" s="45" t="s">
        <v>8662</v>
      </c>
      <c r="U39" s="45" t="s">
        <v>8644</v>
      </c>
      <c r="V39" s="45" t="s">
        <v>8643</v>
      </c>
      <c r="W39" s="45" t="s">
        <v>8642</v>
      </c>
      <c r="X39" s="45" t="s">
        <v>8651</v>
      </c>
      <c r="Y39" s="45" t="s">
        <v>8642</v>
      </c>
      <c r="Z39" s="45" t="s">
        <v>2608</v>
      </c>
      <c r="AA39" s="45" t="s">
        <v>59</v>
      </c>
      <c r="AB39" s="45" t="n">
        <v>3</v>
      </c>
      <c r="AC39" s="45" t="n">
        <v>4</v>
      </c>
    </row>
    <row r="40" customFormat="false" ht="22.5" hidden="false" customHeight="true" outlineLevel="0" collapsed="false">
      <c r="A40" s="48" t="n">
        <v>46288.7864995023</v>
      </c>
      <c r="B40" s="45" t="n">
        <v>34</v>
      </c>
      <c r="C40" s="45" t="s">
        <v>437</v>
      </c>
      <c r="D40" s="45" t="s">
        <v>47</v>
      </c>
      <c r="E40" s="45" t="s">
        <v>83</v>
      </c>
      <c r="F40" s="45" t="s">
        <v>8647</v>
      </c>
      <c r="G40" s="45" t="s">
        <v>2614</v>
      </c>
      <c r="H40" s="45" t="s">
        <v>2540</v>
      </c>
      <c r="I40" s="45" t="s">
        <v>2503</v>
      </c>
      <c r="J40" s="45" t="s">
        <v>2495</v>
      </c>
      <c r="K40" s="45" t="s">
        <v>1690</v>
      </c>
      <c r="L40" s="45" t="s">
        <v>2504</v>
      </c>
      <c r="M40" s="45" t="s">
        <v>2546</v>
      </c>
      <c r="N40" s="45" t="s">
        <v>8778</v>
      </c>
      <c r="O40" s="45" t="s">
        <v>8779</v>
      </c>
      <c r="P40" s="45" t="s">
        <v>8780</v>
      </c>
      <c r="Q40" s="45" t="s">
        <v>8644</v>
      </c>
      <c r="R40" s="45" t="s">
        <v>8643</v>
      </c>
      <c r="S40" s="45" t="s">
        <v>8642</v>
      </c>
      <c r="T40" s="45" t="s">
        <v>8646</v>
      </c>
      <c r="U40" s="45" t="s">
        <v>8643</v>
      </c>
      <c r="V40" s="45" t="s">
        <v>8642</v>
      </c>
      <c r="W40" s="45" t="s">
        <v>8644</v>
      </c>
      <c r="X40" s="45" t="s">
        <v>8651</v>
      </c>
      <c r="Y40" s="45" t="s">
        <v>8643</v>
      </c>
      <c r="Z40" s="45" t="s">
        <v>2628</v>
      </c>
      <c r="AA40" s="45" t="s">
        <v>59</v>
      </c>
      <c r="AB40" s="45" t="n">
        <v>2</v>
      </c>
      <c r="AC40" s="45" t="n">
        <v>3</v>
      </c>
    </row>
    <row r="41" customFormat="false" ht="22.5" hidden="false" customHeight="true" outlineLevel="0" collapsed="false">
      <c r="A41" s="48" t="n">
        <v>46288.8810686111</v>
      </c>
      <c r="B41" s="45" t="n">
        <v>22</v>
      </c>
      <c r="C41" s="45" t="s">
        <v>8704</v>
      </c>
      <c r="D41" s="45" t="s">
        <v>2651</v>
      </c>
      <c r="E41" s="45" t="s">
        <v>45</v>
      </c>
      <c r="F41" s="45" t="s">
        <v>2242</v>
      </c>
      <c r="G41" s="45" t="s">
        <v>2538</v>
      </c>
      <c r="H41" s="45" t="s">
        <v>2494</v>
      </c>
      <c r="I41" s="45" t="s">
        <v>2494</v>
      </c>
      <c r="J41" s="45" t="s">
        <v>2582</v>
      </c>
      <c r="K41" s="45" t="s">
        <v>1690</v>
      </c>
      <c r="L41" s="45" t="s">
        <v>2652</v>
      </c>
      <c r="M41" s="45" t="s">
        <v>2546</v>
      </c>
      <c r="Q41" s="45" t="s">
        <v>8643</v>
      </c>
      <c r="R41" s="45" t="s">
        <v>8644</v>
      </c>
      <c r="S41" s="45" t="s">
        <v>8642</v>
      </c>
      <c r="T41" s="45" t="s">
        <v>8651</v>
      </c>
      <c r="U41" s="45" t="s">
        <v>8643</v>
      </c>
      <c r="V41" s="45" t="s">
        <v>8642</v>
      </c>
      <c r="W41" s="45" t="s">
        <v>8644</v>
      </c>
      <c r="X41" s="45" t="s">
        <v>8671</v>
      </c>
      <c r="Y41" s="45" t="s">
        <v>8643</v>
      </c>
      <c r="Z41" s="45" t="s">
        <v>2519</v>
      </c>
      <c r="AA41" s="45" t="s">
        <v>59</v>
      </c>
      <c r="AB41" s="45" t="n">
        <v>3</v>
      </c>
      <c r="AC41" s="45" t="n">
        <v>4</v>
      </c>
    </row>
    <row r="42" customFormat="false" ht="22.5" hidden="false" customHeight="true" outlineLevel="0" collapsed="false">
      <c r="A42" s="48" t="n">
        <v>46288.8828979977</v>
      </c>
      <c r="B42" s="45" t="n">
        <v>37</v>
      </c>
      <c r="C42" s="45" t="s">
        <v>437</v>
      </c>
      <c r="D42" s="45" t="s">
        <v>321</v>
      </c>
      <c r="E42" s="45" t="s">
        <v>45</v>
      </c>
      <c r="F42" s="45" t="s">
        <v>8647</v>
      </c>
      <c r="G42" s="45" t="s">
        <v>2515</v>
      </c>
      <c r="H42" s="45" t="s">
        <v>2523</v>
      </c>
      <c r="I42" s="45" t="s">
        <v>2502</v>
      </c>
      <c r="J42" s="45" t="s">
        <v>2495</v>
      </c>
      <c r="K42" s="45" t="s">
        <v>59</v>
      </c>
      <c r="L42" s="45" t="s">
        <v>2496</v>
      </c>
      <c r="M42" s="45" t="s">
        <v>2551</v>
      </c>
      <c r="N42" s="45" t="s">
        <v>8781</v>
      </c>
      <c r="O42" s="45" t="s">
        <v>8782</v>
      </c>
      <c r="P42" s="45" t="s">
        <v>8783</v>
      </c>
      <c r="Q42" s="45" t="s">
        <v>8643</v>
      </c>
      <c r="R42" s="45" t="s">
        <v>8644</v>
      </c>
      <c r="S42" s="45" t="s">
        <v>8642</v>
      </c>
      <c r="T42" s="45" t="s">
        <v>8651</v>
      </c>
      <c r="U42" s="45" t="s">
        <v>8643</v>
      </c>
      <c r="V42" s="45" t="s">
        <v>8642</v>
      </c>
      <c r="W42" s="45" t="s">
        <v>8644</v>
      </c>
      <c r="X42" s="45" t="s">
        <v>8651</v>
      </c>
      <c r="Y42" s="45" t="s">
        <v>8643</v>
      </c>
      <c r="Z42" s="45" t="s">
        <v>2508</v>
      </c>
      <c r="AA42" s="45" t="s">
        <v>59</v>
      </c>
      <c r="AB42" s="45" t="n">
        <v>5</v>
      </c>
      <c r="AC42" s="45" t="n">
        <v>5</v>
      </c>
    </row>
    <row r="43" customFormat="false" ht="22.5" hidden="false" customHeight="true" outlineLevel="0" collapsed="false">
      <c r="A43" s="48" t="n">
        <v>46288.9221006134</v>
      </c>
      <c r="B43" s="45" t="n">
        <v>22</v>
      </c>
      <c r="C43" s="45" t="s">
        <v>437</v>
      </c>
      <c r="D43" s="45" t="s">
        <v>49</v>
      </c>
      <c r="E43" s="45" t="s">
        <v>45</v>
      </c>
      <c r="F43" s="45" t="s">
        <v>8647</v>
      </c>
      <c r="G43" s="45" t="s">
        <v>2515</v>
      </c>
      <c r="H43" s="45" t="s">
        <v>2524</v>
      </c>
      <c r="I43" s="45" t="s">
        <v>2524</v>
      </c>
      <c r="J43" s="45" t="s">
        <v>2544</v>
      </c>
      <c r="K43" s="45" t="s">
        <v>59</v>
      </c>
      <c r="L43" s="45" t="s">
        <v>2504</v>
      </c>
      <c r="M43" s="45" t="s">
        <v>2497</v>
      </c>
      <c r="N43" s="45" t="s">
        <v>8784</v>
      </c>
      <c r="O43" s="45" t="s">
        <v>8785</v>
      </c>
      <c r="P43" s="45" t="s">
        <v>8786</v>
      </c>
      <c r="Q43" s="45" t="s">
        <v>8643</v>
      </c>
      <c r="R43" s="45" t="s">
        <v>8644</v>
      </c>
      <c r="S43" s="45" t="s">
        <v>8642</v>
      </c>
      <c r="T43" s="45" t="s">
        <v>8734</v>
      </c>
      <c r="U43" s="45" t="s">
        <v>8644</v>
      </c>
      <c r="V43" s="45" t="s">
        <v>8643</v>
      </c>
      <c r="W43" s="45" t="s">
        <v>8642</v>
      </c>
      <c r="X43" s="45" t="s">
        <v>8651</v>
      </c>
      <c r="Y43" s="45" t="s">
        <v>8643</v>
      </c>
      <c r="Z43" s="45" t="s">
        <v>2508</v>
      </c>
      <c r="AA43" s="45" t="s">
        <v>59</v>
      </c>
      <c r="AB43" s="45" t="n">
        <v>4</v>
      </c>
      <c r="AC43" s="45" t="n">
        <v>5</v>
      </c>
    </row>
    <row r="44" customFormat="false" ht="22.5" hidden="false" customHeight="true" outlineLevel="0" collapsed="false">
      <c r="A44" s="48" t="n">
        <v>46288.9389393519</v>
      </c>
      <c r="B44" s="45" t="n">
        <v>22</v>
      </c>
      <c r="C44" s="45" t="s">
        <v>437</v>
      </c>
      <c r="D44" s="45" t="s">
        <v>49</v>
      </c>
      <c r="E44" s="45" t="s">
        <v>45</v>
      </c>
      <c r="F44" s="45" t="s">
        <v>8647</v>
      </c>
      <c r="G44" s="45" t="s">
        <v>2515</v>
      </c>
      <c r="H44" s="45" t="s">
        <v>2539</v>
      </c>
      <c r="I44" s="45" t="s">
        <v>2523</v>
      </c>
      <c r="J44" s="45" t="s">
        <v>2555</v>
      </c>
      <c r="K44" s="45" t="s">
        <v>59</v>
      </c>
      <c r="L44" s="45" t="s">
        <v>2659</v>
      </c>
      <c r="M44" s="45" t="s">
        <v>2497</v>
      </c>
      <c r="N44" s="45" t="s">
        <v>8787</v>
      </c>
      <c r="O44" s="45" t="s">
        <v>8788</v>
      </c>
      <c r="P44" s="45" t="s">
        <v>8789</v>
      </c>
      <c r="Q44" s="45" t="s">
        <v>8644</v>
      </c>
      <c r="R44" s="45" t="s">
        <v>8735</v>
      </c>
      <c r="T44" s="45" t="s">
        <v>8656</v>
      </c>
      <c r="U44" s="45" t="s">
        <v>8644</v>
      </c>
      <c r="V44" s="45" t="s">
        <v>8735</v>
      </c>
      <c r="X44" s="45" t="s">
        <v>8651</v>
      </c>
      <c r="Y44" s="45" t="s">
        <v>8643</v>
      </c>
      <c r="Z44" s="45" t="s">
        <v>2608</v>
      </c>
      <c r="AA44" s="45" t="s">
        <v>59</v>
      </c>
      <c r="AC44" s="45" t="n">
        <v>3</v>
      </c>
    </row>
    <row r="45" customFormat="false" ht="22.5" hidden="false" customHeight="true" outlineLevel="0" collapsed="false">
      <c r="A45" s="48" t="n">
        <v>46288.9393176273</v>
      </c>
      <c r="B45" s="45" t="n">
        <v>23</v>
      </c>
      <c r="C45" s="45" t="s">
        <v>437</v>
      </c>
      <c r="D45" s="45" t="s">
        <v>49</v>
      </c>
      <c r="E45" s="45" t="s">
        <v>45</v>
      </c>
      <c r="F45" s="45" t="s">
        <v>8647</v>
      </c>
      <c r="G45" s="45" t="s">
        <v>2538</v>
      </c>
      <c r="H45" s="45" t="s">
        <v>2540</v>
      </c>
      <c r="I45" s="45" t="s">
        <v>2539</v>
      </c>
      <c r="J45" s="45" t="s">
        <v>2495</v>
      </c>
      <c r="K45" s="45" t="s">
        <v>59</v>
      </c>
      <c r="L45" s="45" t="s">
        <v>2504</v>
      </c>
      <c r="M45" s="45" t="s">
        <v>2497</v>
      </c>
      <c r="N45" s="45" t="s">
        <v>8790</v>
      </c>
      <c r="O45" s="45" t="s">
        <v>8790</v>
      </c>
      <c r="P45" s="45" t="s">
        <v>8790</v>
      </c>
      <c r="Q45" s="45" t="s">
        <v>8644</v>
      </c>
      <c r="R45" s="45" t="s">
        <v>8643</v>
      </c>
      <c r="S45" s="45" t="s">
        <v>8642</v>
      </c>
      <c r="T45" s="45" t="s">
        <v>8662</v>
      </c>
      <c r="U45" s="45" t="s">
        <v>8643</v>
      </c>
      <c r="V45" s="45" t="s">
        <v>8642</v>
      </c>
      <c r="W45" s="45" t="s">
        <v>8644</v>
      </c>
      <c r="X45" s="45" t="s">
        <v>8662</v>
      </c>
      <c r="Y45" s="45" t="s">
        <v>8642</v>
      </c>
      <c r="Z45" s="45" t="s">
        <v>2608</v>
      </c>
      <c r="AA45" s="45" t="s">
        <v>59</v>
      </c>
      <c r="AB45" s="45" t="n">
        <v>4</v>
      </c>
      <c r="AC45" s="45" t="n">
        <v>5</v>
      </c>
    </row>
    <row r="46" customFormat="false" ht="22.5" hidden="false" customHeight="true" outlineLevel="0" collapsed="false">
      <c r="A46" s="48" t="n">
        <v>46289.3675570139</v>
      </c>
      <c r="B46" s="45" t="n">
        <v>18</v>
      </c>
      <c r="C46" s="45" t="s">
        <v>437</v>
      </c>
      <c r="D46" s="45" t="s">
        <v>437</v>
      </c>
      <c r="E46" s="45" t="s">
        <v>45</v>
      </c>
      <c r="F46" s="45" t="s">
        <v>8638</v>
      </c>
      <c r="G46" s="45" t="s">
        <v>2614</v>
      </c>
      <c r="H46" s="45" t="s">
        <v>2503</v>
      </c>
      <c r="I46" s="45" t="s">
        <v>2493</v>
      </c>
      <c r="J46" s="45" t="s">
        <v>2555</v>
      </c>
      <c r="K46" s="45" t="s">
        <v>98</v>
      </c>
      <c r="L46" s="45" t="s">
        <v>2664</v>
      </c>
      <c r="M46" s="45" t="s">
        <v>2505</v>
      </c>
      <c r="N46" s="45" t="s">
        <v>8791</v>
      </c>
      <c r="O46" s="45" t="s">
        <v>8792</v>
      </c>
      <c r="P46" s="45" t="s">
        <v>8793</v>
      </c>
      <c r="Q46" s="45" t="s">
        <v>8644</v>
      </c>
      <c r="R46" s="45" t="s">
        <v>8643</v>
      </c>
      <c r="S46" s="45" t="s">
        <v>8642</v>
      </c>
      <c r="T46" s="45" t="s">
        <v>8794</v>
      </c>
      <c r="U46" s="45" t="s">
        <v>8644</v>
      </c>
      <c r="V46" s="45" t="s">
        <v>8643</v>
      </c>
      <c r="W46" s="45" t="s">
        <v>8644</v>
      </c>
      <c r="X46" s="45" t="s">
        <v>8795</v>
      </c>
      <c r="Y46" s="45" t="s">
        <v>8643</v>
      </c>
      <c r="Z46" s="45" t="s">
        <v>2628</v>
      </c>
      <c r="AA46" s="45" t="s">
        <v>98</v>
      </c>
      <c r="AB46" s="45" t="n">
        <v>4</v>
      </c>
      <c r="AC46" s="45" t="n">
        <v>4</v>
      </c>
    </row>
    <row r="47" customFormat="false" ht="22.5" hidden="false" customHeight="true" outlineLevel="0" collapsed="false">
      <c r="A47" s="48" t="n">
        <v>46289.373101007</v>
      </c>
      <c r="B47" s="45" t="n">
        <v>22</v>
      </c>
      <c r="C47" s="45" t="s">
        <v>437</v>
      </c>
      <c r="D47" s="45" t="s">
        <v>49</v>
      </c>
      <c r="E47" s="45" t="s">
        <v>83</v>
      </c>
      <c r="F47" s="45" t="s">
        <v>8638</v>
      </c>
      <c r="G47" s="45" t="s">
        <v>2515</v>
      </c>
      <c r="H47" s="45" t="s">
        <v>2523</v>
      </c>
      <c r="I47" s="45" t="s">
        <v>2539</v>
      </c>
      <c r="J47" s="45" t="s">
        <v>2544</v>
      </c>
      <c r="K47" s="45" t="s">
        <v>59</v>
      </c>
      <c r="L47" s="45" t="s">
        <v>2610</v>
      </c>
      <c r="M47" s="45" t="s">
        <v>2497</v>
      </c>
      <c r="N47" s="45" t="s">
        <v>8796</v>
      </c>
      <c r="O47" s="45" t="s">
        <v>8797</v>
      </c>
      <c r="P47" s="45" t="s">
        <v>8798</v>
      </c>
      <c r="Q47" s="45" t="s">
        <v>8643</v>
      </c>
      <c r="R47" s="45" t="s">
        <v>8644</v>
      </c>
      <c r="S47" s="45" t="s">
        <v>8642</v>
      </c>
      <c r="T47" s="45" t="s">
        <v>8646</v>
      </c>
      <c r="U47" s="45" t="s">
        <v>8643</v>
      </c>
      <c r="V47" s="45" t="s">
        <v>8644</v>
      </c>
      <c r="W47" s="45" t="s">
        <v>8642</v>
      </c>
      <c r="X47" s="45" t="s">
        <v>8651</v>
      </c>
      <c r="Y47" s="45" t="s">
        <v>8644</v>
      </c>
      <c r="Z47" s="45" t="s">
        <v>2500</v>
      </c>
      <c r="AA47" s="45" t="s">
        <v>59</v>
      </c>
      <c r="AB47" s="45" t="n">
        <v>4</v>
      </c>
      <c r="AC47" s="45" t="n">
        <v>5</v>
      </c>
    </row>
    <row r="48" customFormat="false" ht="22.5" hidden="false" customHeight="true" outlineLevel="0" collapsed="false">
      <c r="A48" s="48" t="n">
        <v>46289.3762327431</v>
      </c>
      <c r="B48" s="45" t="n">
        <v>22</v>
      </c>
      <c r="C48" s="45" t="s">
        <v>437</v>
      </c>
      <c r="D48" s="45" t="s">
        <v>47</v>
      </c>
      <c r="E48" s="45" t="s">
        <v>45</v>
      </c>
      <c r="F48" s="45" t="s">
        <v>8647</v>
      </c>
      <c r="G48" s="45" t="s">
        <v>2538</v>
      </c>
      <c r="H48" s="45" t="s">
        <v>2523</v>
      </c>
      <c r="I48" s="45" t="s">
        <v>2523</v>
      </c>
      <c r="J48" s="45" t="s">
        <v>2495</v>
      </c>
      <c r="K48" s="45" t="s">
        <v>2242</v>
      </c>
      <c r="L48" s="45" t="s">
        <v>2504</v>
      </c>
      <c r="M48" s="45" t="s">
        <v>2551</v>
      </c>
      <c r="N48" s="45" t="s">
        <v>8799</v>
      </c>
      <c r="O48" s="45" t="s">
        <v>8800</v>
      </c>
      <c r="P48" s="45" t="s">
        <v>8801</v>
      </c>
      <c r="Q48" s="45" t="s">
        <v>8643</v>
      </c>
      <c r="R48" s="45" t="s">
        <v>8644</v>
      </c>
      <c r="S48" s="45" t="s">
        <v>8642</v>
      </c>
      <c r="T48" s="45" t="s">
        <v>8646</v>
      </c>
      <c r="U48" s="45" t="s">
        <v>8643</v>
      </c>
      <c r="V48" s="45" t="s">
        <v>8644</v>
      </c>
      <c r="W48" s="45" t="s">
        <v>8642</v>
      </c>
      <c r="X48" s="45" t="s">
        <v>8651</v>
      </c>
      <c r="Y48" s="45" t="s">
        <v>8643</v>
      </c>
      <c r="Z48" s="45" t="s">
        <v>2508</v>
      </c>
      <c r="AA48" s="45" t="s">
        <v>59</v>
      </c>
      <c r="AB48" s="45" t="n">
        <v>4</v>
      </c>
      <c r="AC48" s="45" t="n">
        <v>5</v>
      </c>
    </row>
    <row r="49" customFormat="false" ht="22.5" hidden="false" customHeight="true" outlineLevel="0" collapsed="false">
      <c r="A49" s="48" t="n">
        <v>46289.3796107176</v>
      </c>
      <c r="B49" s="45" t="n">
        <v>22</v>
      </c>
      <c r="C49" s="45" t="s">
        <v>437</v>
      </c>
      <c r="D49" s="45" t="s">
        <v>437</v>
      </c>
      <c r="E49" s="45" t="s">
        <v>45</v>
      </c>
      <c r="F49" s="45" t="s">
        <v>8658</v>
      </c>
      <c r="G49" s="45" t="s">
        <v>2538</v>
      </c>
      <c r="H49" s="45" t="s">
        <v>2523</v>
      </c>
      <c r="I49" s="45" t="s">
        <v>2523</v>
      </c>
      <c r="J49" s="45" t="s">
        <v>2555</v>
      </c>
      <c r="K49" s="45" t="s">
        <v>2242</v>
      </c>
      <c r="L49" s="45" t="s">
        <v>2504</v>
      </c>
      <c r="M49" s="45" t="s">
        <v>2497</v>
      </c>
      <c r="N49" s="45" t="s">
        <v>8802</v>
      </c>
      <c r="O49" s="45" t="s">
        <v>8803</v>
      </c>
      <c r="P49" s="45" t="s">
        <v>8804</v>
      </c>
      <c r="Q49" s="45" t="s">
        <v>8644</v>
      </c>
      <c r="R49" s="45" t="s">
        <v>8642</v>
      </c>
      <c r="S49" s="45" t="s">
        <v>8643</v>
      </c>
      <c r="T49" s="45" t="s">
        <v>8686</v>
      </c>
      <c r="U49" s="45" t="s">
        <v>8805</v>
      </c>
      <c r="X49" s="45" t="s">
        <v>8651</v>
      </c>
      <c r="Y49" s="45" t="s">
        <v>8642</v>
      </c>
      <c r="Z49" s="45" t="s">
        <v>2519</v>
      </c>
      <c r="AA49" s="45" t="s">
        <v>59</v>
      </c>
      <c r="AB49" s="45" t="n">
        <v>4</v>
      </c>
      <c r="AC49" s="45" t="n">
        <v>4</v>
      </c>
    </row>
    <row r="50" customFormat="false" ht="22.5" hidden="false" customHeight="true" outlineLevel="0" collapsed="false">
      <c r="A50" s="48" t="n">
        <v>46289.3844521181</v>
      </c>
      <c r="B50" s="45" t="n">
        <v>21</v>
      </c>
      <c r="C50" s="45" t="s">
        <v>437</v>
      </c>
      <c r="D50" s="45" t="s">
        <v>49</v>
      </c>
      <c r="E50" s="45" t="s">
        <v>45</v>
      </c>
      <c r="F50" s="45" t="s">
        <v>8658</v>
      </c>
      <c r="G50" s="45" t="s">
        <v>2614</v>
      </c>
      <c r="H50" s="45" t="s">
        <v>2493</v>
      </c>
      <c r="I50" s="45" t="s">
        <v>2540</v>
      </c>
      <c r="J50" s="45" t="s">
        <v>2495</v>
      </c>
      <c r="K50" s="45" t="s">
        <v>98</v>
      </c>
      <c r="L50" s="45" t="s">
        <v>2504</v>
      </c>
      <c r="M50" s="45" t="s">
        <v>2497</v>
      </c>
      <c r="N50" s="45" t="s">
        <v>8806</v>
      </c>
      <c r="O50" s="45" t="s">
        <v>8807</v>
      </c>
      <c r="P50" s="45" t="s">
        <v>8808</v>
      </c>
      <c r="Q50" s="45" t="s">
        <v>8643</v>
      </c>
      <c r="R50" s="45" t="s">
        <v>8644</v>
      </c>
      <c r="S50" s="45" t="s">
        <v>8642</v>
      </c>
      <c r="T50" s="45" t="s">
        <v>8646</v>
      </c>
      <c r="U50" s="45" t="s">
        <v>8643</v>
      </c>
      <c r="V50" s="45" t="s">
        <v>8642</v>
      </c>
      <c r="W50" s="45" t="s">
        <v>8644</v>
      </c>
      <c r="X50" s="45" t="s">
        <v>8651</v>
      </c>
      <c r="Y50" s="45" t="s">
        <v>8642</v>
      </c>
      <c r="Z50" s="45" t="s">
        <v>2549</v>
      </c>
      <c r="AA50" s="45" t="s">
        <v>59</v>
      </c>
      <c r="AB50" s="45" t="n">
        <v>2</v>
      </c>
      <c r="AC50" s="45" t="n">
        <v>1</v>
      </c>
    </row>
    <row r="51" customFormat="false" ht="22.5" hidden="false" customHeight="true" outlineLevel="0" collapsed="false">
      <c r="A51" s="48" t="n">
        <v>46289.3845429167</v>
      </c>
      <c r="B51" s="45" t="n">
        <v>22</v>
      </c>
      <c r="C51" s="45" t="s">
        <v>437</v>
      </c>
      <c r="D51" s="45" t="s">
        <v>49</v>
      </c>
      <c r="E51" s="45" t="s">
        <v>45</v>
      </c>
      <c r="F51" s="45" t="s">
        <v>2242</v>
      </c>
      <c r="G51" s="45" t="s">
        <v>2515</v>
      </c>
      <c r="H51" s="45" t="s">
        <v>2510</v>
      </c>
      <c r="I51" s="45" t="s">
        <v>2494</v>
      </c>
      <c r="J51" s="45" t="s">
        <v>2495</v>
      </c>
      <c r="K51" s="45" t="s">
        <v>2242</v>
      </c>
      <c r="L51" s="45" t="s">
        <v>2678</v>
      </c>
      <c r="M51" s="45" t="s">
        <v>2546</v>
      </c>
      <c r="Q51" s="45" t="s">
        <v>8642</v>
      </c>
      <c r="R51" s="45" t="s">
        <v>8643</v>
      </c>
      <c r="S51" s="45" t="s">
        <v>8644</v>
      </c>
      <c r="T51" s="45" t="s">
        <v>8646</v>
      </c>
      <c r="U51" s="45" t="s">
        <v>8642</v>
      </c>
      <c r="V51" s="45" t="s">
        <v>8643</v>
      </c>
      <c r="W51" s="45" t="s">
        <v>8644</v>
      </c>
      <c r="X51" s="45" t="s">
        <v>8646</v>
      </c>
      <c r="Y51" s="45" t="s">
        <v>8642</v>
      </c>
      <c r="AA51" s="45" t="s">
        <v>59</v>
      </c>
      <c r="AB51" s="45" t="n">
        <v>1</v>
      </c>
      <c r="AC51" s="45" t="n">
        <v>3</v>
      </c>
    </row>
    <row r="52" customFormat="false" ht="22.5" hidden="false" customHeight="true" outlineLevel="0" collapsed="false">
      <c r="A52" s="48" t="n">
        <v>46289.3845587963</v>
      </c>
      <c r="B52" s="45" t="n">
        <v>23</v>
      </c>
      <c r="C52" s="45" t="s">
        <v>437</v>
      </c>
      <c r="D52" s="45" t="s">
        <v>49</v>
      </c>
      <c r="F52" s="45" t="s">
        <v>8652</v>
      </c>
      <c r="G52" s="45" t="s">
        <v>2538</v>
      </c>
      <c r="H52" s="45" t="s">
        <v>2493</v>
      </c>
      <c r="I52" s="45" t="s">
        <v>2539</v>
      </c>
      <c r="J52" s="45" t="s">
        <v>2582</v>
      </c>
      <c r="K52" s="45" t="s">
        <v>1690</v>
      </c>
      <c r="L52" s="45" t="s">
        <v>2516</v>
      </c>
      <c r="M52" s="45" t="s">
        <v>2505</v>
      </c>
      <c r="N52" s="45" t="s">
        <v>8809</v>
      </c>
      <c r="O52" s="45" t="s">
        <v>8810</v>
      </c>
      <c r="P52" s="45" t="s">
        <v>8811</v>
      </c>
      <c r="Q52" s="45" t="s">
        <v>8644</v>
      </c>
      <c r="R52" s="45" t="s">
        <v>8643</v>
      </c>
      <c r="S52" s="45" t="s">
        <v>8642</v>
      </c>
      <c r="T52" s="45" t="s">
        <v>8651</v>
      </c>
      <c r="U52" s="45" t="s">
        <v>8643</v>
      </c>
      <c r="V52" s="45" t="s">
        <v>8644</v>
      </c>
      <c r="W52" s="45" t="s">
        <v>8642</v>
      </c>
      <c r="X52" s="45" t="s">
        <v>8671</v>
      </c>
      <c r="Y52" s="45" t="s">
        <v>8644</v>
      </c>
      <c r="Z52" s="45" t="s">
        <v>2508</v>
      </c>
      <c r="AA52" s="45" t="s">
        <v>59</v>
      </c>
      <c r="AB52" s="45" t="n">
        <v>5</v>
      </c>
      <c r="AC52" s="45" t="n">
        <v>5</v>
      </c>
    </row>
    <row r="53" customFormat="false" ht="22.5" hidden="false" customHeight="true" outlineLevel="0" collapsed="false">
      <c r="A53" s="48" t="n">
        <v>46289.3881422338</v>
      </c>
      <c r="B53" s="45" t="n">
        <v>22</v>
      </c>
      <c r="C53" s="45" t="s">
        <v>437</v>
      </c>
      <c r="D53" s="45" t="s">
        <v>47</v>
      </c>
      <c r="E53" s="45" t="s">
        <v>83</v>
      </c>
      <c r="F53" s="45" t="s">
        <v>2242</v>
      </c>
      <c r="G53" s="45" t="s">
        <v>2242</v>
      </c>
      <c r="H53" s="45" t="s">
        <v>2510</v>
      </c>
      <c r="I53" s="45" t="s">
        <v>2539</v>
      </c>
      <c r="J53" s="45" t="s">
        <v>2533</v>
      </c>
      <c r="K53" s="45" t="s">
        <v>2242</v>
      </c>
      <c r="L53" s="45" t="s">
        <v>2683</v>
      </c>
      <c r="M53" s="45" t="s">
        <v>2242</v>
      </c>
      <c r="N53" s="45" t="s">
        <v>8812</v>
      </c>
      <c r="O53" s="45" t="s">
        <v>8812</v>
      </c>
      <c r="P53" s="45" t="s">
        <v>8812</v>
      </c>
      <c r="Q53" s="45" t="s">
        <v>8644</v>
      </c>
      <c r="R53" s="45" t="s">
        <v>8643</v>
      </c>
      <c r="S53" s="45" t="s">
        <v>8642</v>
      </c>
      <c r="T53" s="45" t="s">
        <v>8645</v>
      </c>
      <c r="U53" s="45" t="s">
        <v>8644</v>
      </c>
      <c r="V53" s="45" t="s">
        <v>8642</v>
      </c>
      <c r="W53" s="45" t="s">
        <v>8643</v>
      </c>
      <c r="X53" s="45" t="s">
        <v>8646</v>
      </c>
      <c r="Y53" s="45" t="s">
        <v>8642</v>
      </c>
      <c r="Z53" s="45" t="s">
        <v>2500</v>
      </c>
      <c r="AA53" s="45" t="s">
        <v>2242</v>
      </c>
      <c r="AB53" s="45" t="n">
        <v>5</v>
      </c>
      <c r="AC53" s="45" t="n">
        <v>5</v>
      </c>
    </row>
    <row r="54" customFormat="false" ht="22.5" hidden="false" customHeight="true" outlineLevel="0" collapsed="false">
      <c r="A54" s="48" t="n">
        <v>46289.3938620833</v>
      </c>
      <c r="B54" s="45" t="n">
        <v>24</v>
      </c>
      <c r="C54" s="45" t="s">
        <v>437</v>
      </c>
      <c r="D54" s="45" t="s">
        <v>437</v>
      </c>
      <c r="E54" s="45" t="s">
        <v>45</v>
      </c>
      <c r="F54" s="45" t="s">
        <v>8647</v>
      </c>
      <c r="G54" s="45" t="s">
        <v>2614</v>
      </c>
      <c r="H54" s="45" t="s">
        <v>2494</v>
      </c>
      <c r="I54" s="45" t="s">
        <v>2493</v>
      </c>
      <c r="J54" s="45" t="s">
        <v>2555</v>
      </c>
      <c r="K54" s="45" t="s">
        <v>1690</v>
      </c>
      <c r="L54" s="45" t="s">
        <v>2686</v>
      </c>
      <c r="M54" s="45" t="s">
        <v>2497</v>
      </c>
      <c r="N54" s="45" t="s">
        <v>8813</v>
      </c>
      <c r="O54" s="45" t="s">
        <v>8814</v>
      </c>
      <c r="P54" s="45" t="s">
        <v>8815</v>
      </c>
      <c r="Q54" s="45" t="s">
        <v>8642</v>
      </c>
      <c r="R54" s="45" t="s">
        <v>8643</v>
      </c>
      <c r="S54" s="45" t="s">
        <v>8644</v>
      </c>
      <c r="T54" s="45" t="s">
        <v>8816</v>
      </c>
      <c r="U54" s="45" t="s">
        <v>8643</v>
      </c>
      <c r="V54" s="45" t="s">
        <v>8644</v>
      </c>
      <c r="W54" s="45" t="s">
        <v>8642</v>
      </c>
      <c r="X54" s="45" t="s">
        <v>8817</v>
      </c>
      <c r="Y54" s="45" t="s">
        <v>8642</v>
      </c>
      <c r="Z54" s="45" t="s">
        <v>2628</v>
      </c>
      <c r="AA54" s="45" t="s">
        <v>59</v>
      </c>
      <c r="AB54" s="45" t="n">
        <v>3</v>
      </c>
      <c r="AC54" s="45" t="n">
        <v>3</v>
      </c>
    </row>
    <row r="55" customFormat="false" ht="22.5" hidden="false" customHeight="true" outlineLevel="0" collapsed="false">
      <c r="A55" s="48" t="n">
        <v>46289.3944340394</v>
      </c>
      <c r="B55" s="45" t="n">
        <v>22</v>
      </c>
      <c r="C55" s="45" t="s">
        <v>114</v>
      </c>
      <c r="D55" s="45" t="s">
        <v>49</v>
      </c>
      <c r="E55" s="45" t="s">
        <v>45</v>
      </c>
      <c r="F55" s="45" t="s">
        <v>8652</v>
      </c>
      <c r="G55" s="45" t="s">
        <v>2538</v>
      </c>
      <c r="H55" s="45" t="s">
        <v>2523</v>
      </c>
      <c r="I55" s="45" t="s">
        <v>2540</v>
      </c>
      <c r="J55" s="45" t="s">
        <v>2495</v>
      </c>
      <c r="K55" s="45" t="s">
        <v>59</v>
      </c>
      <c r="L55" s="45" t="s">
        <v>2690</v>
      </c>
      <c r="M55" s="45" t="s">
        <v>2505</v>
      </c>
      <c r="N55" s="45" t="s">
        <v>8818</v>
      </c>
      <c r="O55" s="45" t="s">
        <v>8819</v>
      </c>
      <c r="P55" s="45" t="s">
        <v>8820</v>
      </c>
      <c r="Q55" s="45" t="s">
        <v>8642</v>
      </c>
      <c r="R55" s="45" t="s">
        <v>8644</v>
      </c>
      <c r="S55" s="45" t="s">
        <v>8643</v>
      </c>
      <c r="T55" s="45" t="s">
        <v>8671</v>
      </c>
      <c r="U55" s="45" t="s">
        <v>8642</v>
      </c>
      <c r="V55" s="45" t="s">
        <v>8644</v>
      </c>
      <c r="W55" s="45" t="s">
        <v>8643</v>
      </c>
      <c r="X55" s="45" t="s">
        <v>8651</v>
      </c>
      <c r="Y55" s="45" t="s">
        <v>8642</v>
      </c>
      <c r="Z55" s="45" t="s">
        <v>2508</v>
      </c>
      <c r="AA55" s="45" t="s">
        <v>59</v>
      </c>
      <c r="AB55" s="45" t="n">
        <v>4</v>
      </c>
      <c r="AC55" s="45" t="n">
        <v>5</v>
      </c>
    </row>
    <row r="56" customFormat="false" ht="22.5" hidden="false" customHeight="true" outlineLevel="0" collapsed="false">
      <c r="A56" s="48" t="n">
        <v>46289.3965173264</v>
      </c>
      <c r="B56" s="45" t="n">
        <v>22</v>
      </c>
      <c r="C56" s="45" t="s">
        <v>437</v>
      </c>
      <c r="D56" s="45" t="s">
        <v>49</v>
      </c>
      <c r="E56" s="45" t="s">
        <v>45</v>
      </c>
      <c r="F56" s="45" t="s">
        <v>2242</v>
      </c>
      <c r="G56" s="45" t="s">
        <v>2538</v>
      </c>
      <c r="H56" s="45" t="s">
        <v>2503</v>
      </c>
      <c r="I56" s="45" t="s">
        <v>2503</v>
      </c>
      <c r="J56" s="45" t="s">
        <v>2495</v>
      </c>
      <c r="K56" s="45" t="s">
        <v>1690</v>
      </c>
      <c r="L56" s="45" t="s">
        <v>2496</v>
      </c>
      <c r="M56" s="45" t="s">
        <v>2551</v>
      </c>
      <c r="N56" s="45" t="s">
        <v>8821</v>
      </c>
      <c r="O56" s="45" t="s">
        <v>8822</v>
      </c>
      <c r="P56" s="45" t="s">
        <v>8823</v>
      </c>
      <c r="Q56" s="45" t="s">
        <v>8643</v>
      </c>
      <c r="R56" s="45" t="s">
        <v>8644</v>
      </c>
      <c r="S56" s="45" t="s">
        <v>8642</v>
      </c>
      <c r="T56" s="45" t="s">
        <v>8794</v>
      </c>
      <c r="U56" s="45" t="s">
        <v>8642</v>
      </c>
      <c r="V56" s="45" t="s">
        <v>8643</v>
      </c>
      <c r="W56" s="45" t="s">
        <v>8644</v>
      </c>
      <c r="X56" s="45" t="s">
        <v>8651</v>
      </c>
      <c r="Y56" s="45" t="s">
        <v>8643</v>
      </c>
      <c r="Z56" s="45" t="s">
        <v>2549</v>
      </c>
      <c r="AA56" s="45" t="s">
        <v>59</v>
      </c>
      <c r="AB56" s="45" t="n">
        <v>4</v>
      </c>
      <c r="AC56" s="45" t="n">
        <v>5</v>
      </c>
    </row>
    <row r="57" customFormat="false" ht="22.5" hidden="false" customHeight="true" outlineLevel="0" collapsed="false">
      <c r="A57" s="48" t="n">
        <v>46289.408687963</v>
      </c>
      <c r="B57" s="45" t="n">
        <v>22</v>
      </c>
      <c r="C57" s="45" t="s">
        <v>437</v>
      </c>
      <c r="D57" s="45" t="s">
        <v>47</v>
      </c>
      <c r="E57" s="45" t="s">
        <v>83</v>
      </c>
      <c r="F57" s="45" t="s">
        <v>8647</v>
      </c>
      <c r="G57" s="45" t="s">
        <v>806</v>
      </c>
      <c r="H57" s="45" t="s">
        <v>2539</v>
      </c>
      <c r="I57" s="45" t="s">
        <v>2493</v>
      </c>
      <c r="J57" s="45" t="s">
        <v>2544</v>
      </c>
      <c r="K57" s="45" t="s">
        <v>59</v>
      </c>
      <c r="L57" s="45" t="s">
        <v>2659</v>
      </c>
      <c r="M57" s="45" t="s">
        <v>2497</v>
      </c>
      <c r="N57" s="45" t="s">
        <v>8824</v>
      </c>
      <c r="O57" s="45" t="s">
        <v>8824</v>
      </c>
      <c r="P57" s="45" t="s">
        <v>8825</v>
      </c>
      <c r="Q57" s="45" t="s">
        <v>8642</v>
      </c>
      <c r="R57" s="45" t="s">
        <v>8643</v>
      </c>
      <c r="S57" s="45" t="s">
        <v>8644</v>
      </c>
      <c r="T57" s="45" t="s">
        <v>8645</v>
      </c>
      <c r="U57" s="45" t="s">
        <v>8642</v>
      </c>
      <c r="V57" s="45" t="s">
        <v>8643</v>
      </c>
      <c r="W57" s="45" t="s">
        <v>8644</v>
      </c>
      <c r="X57" s="45" t="s">
        <v>8651</v>
      </c>
      <c r="Y57" s="45" t="s">
        <v>8642</v>
      </c>
      <c r="Z57" s="45" t="s">
        <v>2508</v>
      </c>
      <c r="AA57" s="45" t="s">
        <v>59</v>
      </c>
      <c r="AB57" s="45" t="n">
        <v>4</v>
      </c>
      <c r="AC57" s="45" t="n">
        <v>4</v>
      </c>
    </row>
    <row r="58" customFormat="false" ht="22.5" hidden="false" customHeight="true" outlineLevel="0" collapsed="false">
      <c r="A58" s="48" t="n">
        <v>46289.4141170602</v>
      </c>
      <c r="B58" s="45" t="n">
        <v>22</v>
      </c>
      <c r="C58" s="45" t="s">
        <v>437</v>
      </c>
      <c r="D58" s="45" t="s">
        <v>49</v>
      </c>
      <c r="E58" s="45" t="s">
        <v>45</v>
      </c>
      <c r="F58" s="45" t="s">
        <v>8658</v>
      </c>
      <c r="G58" s="45" t="s">
        <v>2614</v>
      </c>
      <c r="H58" s="45" t="s">
        <v>2502</v>
      </c>
      <c r="I58" s="45" t="s">
        <v>2540</v>
      </c>
      <c r="J58" s="45" t="s">
        <v>2555</v>
      </c>
      <c r="L58" s="45" t="s">
        <v>2700</v>
      </c>
      <c r="M58" s="45" t="s">
        <v>2546</v>
      </c>
      <c r="Q58" s="45" t="s">
        <v>8644</v>
      </c>
      <c r="R58" s="45" t="s">
        <v>8644</v>
      </c>
      <c r="S58" s="45" t="s">
        <v>8644</v>
      </c>
      <c r="T58" s="45" t="s">
        <v>8662</v>
      </c>
      <c r="U58" s="45" t="s">
        <v>8644</v>
      </c>
      <c r="V58" s="45" t="s">
        <v>8644</v>
      </c>
      <c r="W58" s="45" t="s">
        <v>8644</v>
      </c>
      <c r="X58" s="45" t="s">
        <v>8646</v>
      </c>
      <c r="Y58" s="45" t="s">
        <v>8642</v>
      </c>
      <c r="Z58" s="45" t="s">
        <v>2549</v>
      </c>
      <c r="AA58" s="45" t="s">
        <v>59</v>
      </c>
      <c r="AB58" s="45" t="n">
        <v>3</v>
      </c>
      <c r="AC58" s="45" t="n">
        <v>3</v>
      </c>
    </row>
    <row r="59" customFormat="false" ht="22.5" hidden="false" customHeight="true" outlineLevel="0" collapsed="false">
      <c r="A59" s="48" t="n">
        <v>46289.4151246759</v>
      </c>
      <c r="B59" s="45" t="n">
        <v>22</v>
      </c>
      <c r="C59" s="45" t="s">
        <v>437</v>
      </c>
      <c r="D59" s="45" t="s">
        <v>47</v>
      </c>
      <c r="E59" s="45" t="s">
        <v>83</v>
      </c>
      <c r="F59" s="45" t="s">
        <v>8638</v>
      </c>
      <c r="G59" s="45" t="s">
        <v>2515</v>
      </c>
      <c r="H59" s="45" t="s">
        <v>2502</v>
      </c>
      <c r="I59" s="45" t="s">
        <v>2502</v>
      </c>
      <c r="J59" s="45" t="s">
        <v>2495</v>
      </c>
      <c r="K59" s="45" t="s">
        <v>59</v>
      </c>
      <c r="L59" s="45" t="s">
        <v>2504</v>
      </c>
      <c r="M59" s="45" t="s">
        <v>2546</v>
      </c>
      <c r="Q59" s="45" t="s">
        <v>8642</v>
      </c>
      <c r="R59" s="45" t="s">
        <v>8643</v>
      </c>
      <c r="S59" s="45" t="s">
        <v>8644</v>
      </c>
      <c r="T59" s="45" t="s">
        <v>8646</v>
      </c>
      <c r="U59" s="45" t="s">
        <v>8643</v>
      </c>
      <c r="V59" s="45" t="s">
        <v>8644</v>
      </c>
      <c r="W59" s="45" t="s">
        <v>8642</v>
      </c>
      <c r="X59" s="45" t="s">
        <v>8667</v>
      </c>
      <c r="Y59" s="45" t="s">
        <v>8642</v>
      </c>
      <c r="Z59" s="45" t="s">
        <v>2549</v>
      </c>
      <c r="AA59" s="45" t="s">
        <v>59</v>
      </c>
      <c r="AB59" s="45" t="n">
        <v>3</v>
      </c>
      <c r="AC59" s="45" t="n">
        <v>3</v>
      </c>
    </row>
    <row r="60" customFormat="false" ht="22.5" hidden="false" customHeight="true" outlineLevel="0" collapsed="false">
      <c r="A60" s="48" t="n">
        <v>46289.4216786921</v>
      </c>
      <c r="B60" s="45" t="n">
        <v>22</v>
      </c>
      <c r="C60" s="45" t="s">
        <v>437</v>
      </c>
      <c r="D60" s="45" t="s">
        <v>8826</v>
      </c>
      <c r="E60" s="45" t="s">
        <v>45</v>
      </c>
      <c r="F60" s="45" t="s">
        <v>8658</v>
      </c>
      <c r="G60" s="45" t="s">
        <v>2614</v>
      </c>
      <c r="H60" s="45" t="s">
        <v>2540</v>
      </c>
      <c r="I60" s="45" t="s">
        <v>2502</v>
      </c>
      <c r="J60" s="45" t="s">
        <v>2495</v>
      </c>
      <c r="K60" s="45" t="s">
        <v>1690</v>
      </c>
      <c r="L60" s="45" t="s">
        <v>2504</v>
      </c>
      <c r="M60" s="45" t="s">
        <v>2546</v>
      </c>
      <c r="N60" s="45" t="s">
        <v>8827</v>
      </c>
      <c r="O60" s="45" t="s">
        <v>8828</v>
      </c>
      <c r="P60" s="45" t="s">
        <v>8829</v>
      </c>
      <c r="Q60" s="45" t="s">
        <v>8643</v>
      </c>
      <c r="R60" s="45" t="s">
        <v>8644</v>
      </c>
      <c r="S60" s="45" t="s">
        <v>8642</v>
      </c>
      <c r="T60" s="45" t="s">
        <v>8656</v>
      </c>
      <c r="U60" s="45" t="s">
        <v>8644</v>
      </c>
      <c r="V60" s="45" t="s">
        <v>8643</v>
      </c>
      <c r="W60" s="45" t="s">
        <v>8642</v>
      </c>
      <c r="X60" s="45" t="s">
        <v>8709</v>
      </c>
      <c r="Y60" s="45" t="s">
        <v>8643</v>
      </c>
      <c r="Z60" s="45" t="s">
        <v>2508</v>
      </c>
      <c r="AA60" s="45" t="s">
        <v>59</v>
      </c>
      <c r="AB60" s="45" t="n">
        <v>3</v>
      </c>
      <c r="AC60" s="45" t="n">
        <v>5</v>
      </c>
    </row>
    <row r="61" customFormat="false" ht="22.5" hidden="false" customHeight="true" outlineLevel="0" collapsed="false">
      <c r="A61" s="48" t="n">
        <v>46289.4239772685</v>
      </c>
      <c r="B61" s="45" t="n">
        <v>22</v>
      </c>
      <c r="C61" s="45" t="s">
        <v>437</v>
      </c>
      <c r="D61" s="45" t="s">
        <v>47</v>
      </c>
      <c r="E61" s="45" t="s">
        <v>83</v>
      </c>
      <c r="F61" s="45" t="s">
        <v>8658</v>
      </c>
      <c r="G61" s="45" t="s">
        <v>2538</v>
      </c>
      <c r="H61" s="45" t="s">
        <v>2540</v>
      </c>
      <c r="I61" s="45" t="s">
        <v>2502</v>
      </c>
      <c r="J61" s="45" t="s">
        <v>2544</v>
      </c>
      <c r="K61" s="45" t="s">
        <v>1690</v>
      </c>
      <c r="L61" s="45" t="s">
        <v>2659</v>
      </c>
      <c r="M61" s="45" t="s">
        <v>2505</v>
      </c>
      <c r="N61" s="45" t="s">
        <v>8830</v>
      </c>
      <c r="O61" s="45" t="s">
        <v>8831</v>
      </c>
      <c r="P61" s="45" t="s">
        <v>8832</v>
      </c>
      <c r="Q61" s="45" t="s">
        <v>8643</v>
      </c>
      <c r="R61" s="45" t="s">
        <v>8642</v>
      </c>
      <c r="S61" s="45" t="s">
        <v>8644</v>
      </c>
      <c r="T61" s="45" t="s">
        <v>8671</v>
      </c>
      <c r="U61" s="45" t="s">
        <v>8644</v>
      </c>
      <c r="V61" s="45" t="s">
        <v>8643</v>
      </c>
      <c r="W61" s="45" t="s">
        <v>8642</v>
      </c>
      <c r="X61" s="45" t="s">
        <v>8833</v>
      </c>
      <c r="Y61" s="45" t="s">
        <v>8644</v>
      </c>
      <c r="Z61" s="45" t="s">
        <v>2549</v>
      </c>
      <c r="AA61" s="45" t="s">
        <v>98</v>
      </c>
      <c r="AB61" s="45" t="n">
        <v>1</v>
      </c>
      <c r="AC61" s="45" t="n">
        <v>4</v>
      </c>
    </row>
    <row r="62" customFormat="false" ht="22.5" hidden="false" customHeight="true" outlineLevel="0" collapsed="false">
      <c r="A62" s="48" t="n">
        <v>46289.4241718982</v>
      </c>
      <c r="B62" s="45" t="n">
        <v>23</v>
      </c>
      <c r="C62" s="45" t="s">
        <v>437</v>
      </c>
      <c r="D62" s="45" t="s">
        <v>47</v>
      </c>
      <c r="E62" s="45" t="s">
        <v>45</v>
      </c>
      <c r="F62" s="45" t="s">
        <v>8647</v>
      </c>
      <c r="G62" s="45" t="s">
        <v>2614</v>
      </c>
      <c r="H62" s="45" t="s">
        <v>2524</v>
      </c>
      <c r="I62" s="45" t="s">
        <v>2524</v>
      </c>
      <c r="J62" s="45" t="s">
        <v>2544</v>
      </c>
      <c r="K62" s="45" t="s">
        <v>2242</v>
      </c>
      <c r="L62" s="45" t="s">
        <v>2591</v>
      </c>
      <c r="M62" s="45" t="s">
        <v>2505</v>
      </c>
      <c r="N62" s="45" t="s">
        <v>8834</v>
      </c>
      <c r="O62" s="45" t="s">
        <v>8835</v>
      </c>
      <c r="P62" s="45" t="s">
        <v>8836</v>
      </c>
      <c r="Q62" s="45" t="s">
        <v>8644</v>
      </c>
      <c r="R62" s="45" t="s">
        <v>8643</v>
      </c>
      <c r="S62" s="45" t="s">
        <v>8642</v>
      </c>
      <c r="T62" s="45" t="s">
        <v>8656</v>
      </c>
      <c r="U62" s="45" t="s">
        <v>8644</v>
      </c>
      <c r="V62" s="45" t="s">
        <v>8643</v>
      </c>
      <c r="W62" s="45" t="s">
        <v>8642</v>
      </c>
      <c r="X62" s="45" t="s">
        <v>8646</v>
      </c>
      <c r="Y62" s="45" t="s">
        <v>8644</v>
      </c>
      <c r="Z62" s="45" t="s">
        <v>2549</v>
      </c>
      <c r="AA62" s="45" t="s">
        <v>59</v>
      </c>
      <c r="AB62" s="45" t="n">
        <v>3</v>
      </c>
      <c r="AC62" s="45" t="n">
        <v>5</v>
      </c>
    </row>
    <row r="63" customFormat="false" ht="22.5" hidden="false" customHeight="true" outlineLevel="0" collapsed="false">
      <c r="A63" s="48" t="n">
        <v>46289.4286827315</v>
      </c>
      <c r="B63" s="45" t="n">
        <v>23</v>
      </c>
      <c r="C63" s="45" t="s">
        <v>437</v>
      </c>
      <c r="D63" s="45" t="s">
        <v>49</v>
      </c>
      <c r="E63" s="45" t="s">
        <v>83</v>
      </c>
      <c r="F63" s="45" t="s">
        <v>8638</v>
      </c>
      <c r="G63" s="45" t="s">
        <v>2614</v>
      </c>
      <c r="H63" s="45" t="s">
        <v>2494</v>
      </c>
      <c r="I63" s="45" t="s">
        <v>2494</v>
      </c>
      <c r="J63" s="45" t="s">
        <v>2495</v>
      </c>
      <c r="K63" s="45" t="s">
        <v>59</v>
      </c>
      <c r="L63" s="45" t="s">
        <v>2504</v>
      </c>
      <c r="M63" s="45" t="s">
        <v>2497</v>
      </c>
      <c r="N63" s="45" t="s">
        <v>8837</v>
      </c>
      <c r="O63" s="45" t="s">
        <v>8838</v>
      </c>
      <c r="P63" s="45" t="s">
        <v>8839</v>
      </c>
      <c r="Q63" s="45" t="s">
        <v>8643</v>
      </c>
      <c r="R63" s="45" t="s">
        <v>8644</v>
      </c>
      <c r="S63" s="45" t="s">
        <v>8642</v>
      </c>
      <c r="T63" s="45" t="s">
        <v>8651</v>
      </c>
      <c r="U63" s="45" t="s">
        <v>8643</v>
      </c>
      <c r="V63" s="45" t="s">
        <v>8644</v>
      </c>
      <c r="W63" s="45" t="s">
        <v>8642</v>
      </c>
      <c r="X63" s="45" t="s">
        <v>8651</v>
      </c>
      <c r="Y63" s="45" t="s">
        <v>8644</v>
      </c>
      <c r="Z63" s="45" t="s">
        <v>2508</v>
      </c>
      <c r="AA63" s="45" t="s">
        <v>59</v>
      </c>
      <c r="AB63" s="45" t="n">
        <v>5</v>
      </c>
      <c r="AC63" s="45" t="n">
        <v>5</v>
      </c>
    </row>
    <row r="64" customFormat="false" ht="22.5" hidden="false" customHeight="true" outlineLevel="0" collapsed="false">
      <c r="A64" s="48" t="n">
        <v>46289.4293893287</v>
      </c>
      <c r="B64" s="45" t="n">
        <v>23</v>
      </c>
      <c r="C64" s="45" t="s">
        <v>437</v>
      </c>
      <c r="D64" s="45" t="s">
        <v>49</v>
      </c>
      <c r="E64" s="45" t="s">
        <v>45</v>
      </c>
      <c r="F64" s="45" t="s">
        <v>8658</v>
      </c>
      <c r="G64" s="45" t="s">
        <v>806</v>
      </c>
      <c r="H64" s="45" t="s">
        <v>2493</v>
      </c>
      <c r="I64" s="45" t="s">
        <v>2493</v>
      </c>
      <c r="J64" s="45" t="s">
        <v>2544</v>
      </c>
      <c r="K64" s="45" t="s">
        <v>59</v>
      </c>
      <c r="L64" s="45" t="s">
        <v>2504</v>
      </c>
      <c r="M64" s="45" t="s">
        <v>2546</v>
      </c>
      <c r="Q64" s="45" t="s">
        <v>8644</v>
      </c>
      <c r="R64" s="45" t="s">
        <v>8643</v>
      </c>
      <c r="S64" s="45" t="s">
        <v>8642</v>
      </c>
      <c r="T64" s="45" t="s">
        <v>8662</v>
      </c>
      <c r="U64" s="45" t="s">
        <v>8643</v>
      </c>
      <c r="V64" s="45" t="s">
        <v>8644</v>
      </c>
      <c r="W64" s="45" t="s">
        <v>8642</v>
      </c>
      <c r="X64" s="45" t="s">
        <v>8646</v>
      </c>
      <c r="Y64" s="45" t="s">
        <v>8644</v>
      </c>
      <c r="Z64" s="45" t="s">
        <v>2549</v>
      </c>
      <c r="AA64" s="45" t="s">
        <v>59</v>
      </c>
      <c r="AB64" s="45" t="n">
        <v>5</v>
      </c>
      <c r="AC64" s="45" t="n">
        <v>5</v>
      </c>
    </row>
    <row r="65" customFormat="false" ht="22.5" hidden="false" customHeight="true" outlineLevel="0" collapsed="false">
      <c r="A65" s="48" t="n">
        <v>46289.4413232639</v>
      </c>
      <c r="B65" s="45" t="n">
        <v>22</v>
      </c>
      <c r="C65" s="45" t="s">
        <v>71</v>
      </c>
      <c r="D65" s="45" t="s">
        <v>47</v>
      </c>
      <c r="E65" s="45" t="s">
        <v>45</v>
      </c>
      <c r="F65" s="45" t="s">
        <v>8647</v>
      </c>
      <c r="G65" s="45" t="s">
        <v>2538</v>
      </c>
      <c r="H65" s="45" t="s">
        <v>2494</v>
      </c>
      <c r="I65" s="45" t="s">
        <v>2540</v>
      </c>
      <c r="J65" s="45" t="s">
        <v>2495</v>
      </c>
      <c r="K65" s="45" t="s">
        <v>59</v>
      </c>
      <c r="L65" s="45" t="s">
        <v>2496</v>
      </c>
      <c r="M65" s="45" t="s">
        <v>2497</v>
      </c>
      <c r="N65" s="45" t="s">
        <v>2242</v>
      </c>
      <c r="O65" s="45" t="s">
        <v>8840</v>
      </c>
      <c r="P65" s="45" t="s">
        <v>8841</v>
      </c>
      <c r="Q65" s="45" t="s">
        <v>8643</v>
      </c>
      <c r="R65" s="45" t="s">
        <v>8642</v>
      </c>
      <c r="S65" s="45" t="s">
        <v>8644</v>
      </c>
      <c r="T65" s="45" t="s">
        <v>8673</v>
      </c>
      <c r="U65" s="45" t="s">
        <v>8643</v>
      </c>
      <c r="V65" s="45" t="s">
        <v>8644</v>
      </c>
      <c r="W65" s="45" t="s">
        <v>8642</v>
      </c>
      <c r="X65" s="45" t="s">
        <v>8709</v>
      </c>
      <c r="Y65" s="45" t="s">
        <v>8643</v>
      </c>
      <c r="Z65" s="45" t="s">
        <v>2508</v>
      </c>
      <c r="AA65" s="45" t="s">
        <v>59</v>
      </c>
      <c r="AB65" s="45" t="n">
        <v>3</v>
      </c>
      <c r="AC65" s="45" t="n">
        <v>4</v>
      </c>
    </row>
    <row r="66" customFormat="false" ht="22.5" hidden="false" customHeight="true" outlineLevel="0" collapsed="false">
      <c r="A66" s="48" t="n">
        <v>46289.4588284607</v>
      </c>
      <c r="B66" s="45" t="n">
        <v>23</v>
      </c>
      <c r="C66" s="45" t="s">
        <v>437</v>
      </c>
      <c r="D66" s="45" t="s">
        <v>49</v>
      </c>
      <c r="E66" s="45" t="s">
        <v>45</v>
      </c>
      <c r="F66" s="45" t="s">
        <v>8638</v>
      </c>
      <c r="G66" s="45" t="s">
        <v>2538</v>
      </c>
      <c r="H66" s="45" t="s">
        <v>2524</v>
      </c>
      <c r="I66" s="45" t="s">
        <v>2524</v>
      </c>
      <c r="J66" s="45" t="s">
        <v>2582</v>
      </c>
      <c r="K66" s="45" t="s">
        <v>1690</v>
      </c>
      <c r="L66" s="45" t="s">
        <v>2496</v>
      </c>
      <c r="M66" s="45" t="s">
        <v>2497</v>
      </c>
      <c r="Q66" s="45" t="s">
        <v>8643</v>
      </c>
      <c r="R66" s="45" t="s">
        <v>8642</v>
      </c>
      <c r="S66" s="45" t="s">
        <v>8644</v>
      </c>
      <c r="T66" s="45" t="s">
        <v>8842</v>
      </c>
      <c r="U66" s="45" t="s">
        <v>8644</v>
      </c>
      <c r="V66" s="45" t="s">
        <v>8642</v>
      </c>
      <c r="W66" s="45" t="s">
        <v>8643</v>
      </c>
      <c r="X66" s="45" t="s">
        <v>8687</v>
      </c>
      <c r="Y66" s="45" t="s">
        <v>8642</v>
      </c>
      <c r="Z66" s="45" t="s">
        <v>2508</v>
      </c>
      <c r="AA66" s="45" t="s">
        <v>59</v>
      </c>
      <c r="AB66" s="45" t="n">
        <v>4</v>
      </c>
      <c r="AC66" s="45" t="n">
        <v>5</v>
      </c>
    </row>
    <row r="67" customFormat="false" ht="22.5" hidden="false" customHeight="true" outlineLevel="0" collapsed="false">
      <c r="A67" s="48" t="n">
        <v>46289.4641748611</v>
      </c>
      <c r="B67" s="45" t="n">
        <v>22</v>
      </c>
      <c r="C67" s="45" t="s">
        <v>437</v>
      </c>
      <c r="D67" s="45" t="s">
        <v>49</v>
      </c>
      <c r="E67" s="45" t="s">
        <v>45</v>
      </c>
      <c r="F67" s="45" t="s">
        <v>8638</v>
      </c>
      <c r="G67" s="45" t="s">
        <v>2515</v>
      </c>
      <c r="H67" s="45" t="s">
        <v>2540</v>
      </c>
      <c r="I67" s="45" t="s">
        <v>2523</v>
      </c>
      <c r="J67" s="45" t="s">
        <v>2555</v>
      </c>
      <c r="K67" s="45" t="s">
        <v>59</v>
      </c>
      <c r="L67" s="45" t="s">
        <v>2641</v>
      </c>
      <c r="M67" s="45" t="s">
        <v>2497</v>
      </c>
      <c r="N67" s="45" t="s">
        <v>8843</v>
      </c>
      <c r="O67" s="45" t="s">
        <v>8844</v>
      </c>
      <c r="P67" s="45" t="s">
        <v>8845</v>
      </c>
      <c r="Q67" s="45" t="s">
        <v>8643</v>
      </c>
      <c r="R67" s="45" t="s">
        <v>8642</v>
      </c>
      <c r="S67" s="45" t="s">
        <v>8644</v>
      </c>
      <c r="T67" s="45" t="s">
        <v>8656</v>
      </c>
      <c r="U67" s="45" t="s">
        <v>8643</v>
      </c>
      <c r="V67" s="45" t="s">
        <v>8644</v>
      </c>
      <c r="W67" s="45" t="s">
        <v>8642</v>
      </c>
      <c r="X67" s="45" t="s">
        <v>8646</v>
      </c>
      <c r="Y67" s="45" t="s">
        <v>8643</v>
      </c>
      <c r="Z67" s="45" t="s">
        <v>2549</v>
      </c>
      <c r="AA67" s="45" t="s">
        <v>59</v>
      </c>
      <c r="AB67" s="45" t="n">
        <v>4</v>
      </c>
      <c r="AC67" s="45" t="n">
        <v>4</v>
      </c>
    </row>
    <row r="68" customFormat="false" ht="22.5" hidden="false" customHeight="true" outlineLevel="0" collapsed="false">
      <c r="A68" s="48" t="n">
        <v>46289.4720046528</v>
      </c>
      <c r="B68" s="45" t="n">
        <v>51</v>
      </c>
      <c r="C68" s="45" t="s">
        <v>437</v>
      </c>
      <c r="D68" s="45" t="s">
        <v>532</v>
      </c>
      <c r="E68" s="45" t="s">
        <v>83</v>
      </c>
      <c r="F68" s="45" t="s">
        <v>8647</v>
      </c>
      <c r="G68" s="45" t="s">
        <v>2538</v>
      </c>
      <c r="H68" s="45" t="s">
        <v>2540</v>
      </c>
      <c r="I68" s="45" t="s">
        <v>2524</v>
      </c>
      <c r="J68" s="45" t="s">
        <v>2495</v>
      </c>
      <c r="K68" s="45" t="s">
        <v>1690</v>
      </c>
      <c r="L68" s="45" t="s">
        <v>2723</v>
      </c>
      <c r="M68" s="45" t="s">
        <v>2546</v>
      </c>
      <c r="N68" s="45" t="s">
        <v>8846</v>
      </c>
      <c r="O68" s="45" t="s">
        <v>8847</v>
      </c>
      <c r="P68" s="45" t="s">
        <v>8848</v>
      </c>
      <c r="Q68" s="45" t="s">
        <v>8644</v>
      </c>
      <c r="R68" s="45" t="s">
        <v>8642</v>
      </c>
      <c r="S68" s="45" t="s">
        <v>8643</v>
      </c>
      <c r="T68" s="45" t="s">
        <v>8646</v>
      </c>
      <c r="U68" s="45" t="s">
        <v>8644</v>
      </c>
      <c r="V68" s="45" t="s">
        <v>8643</v>
      </c>
      <c r="W68" s="45" t="s">
        <v>8642</v>
      </c>
      <c r="X68" s="45" t="s">
        <v>8651</v>
      </c>
      <c r="Y68" s="45" t="s">
        <v>8644</v>
      </c>
      <c r="Z68" s="45" t="s">
        <v>2508</v>
      </c>
      <c r="AA68" s="45" t="s">
        <v>59</v>
      </c>
      <c r="AB68" s="45" t="n">
        <v>5</v>
      </c>
      <c r="AC68" s="45" t="n">
        <v>4</v>
      </c>
    </row>
    <row r="69" customFormat="false" ht="22.5" hidden="false" customHeight="true" outlineLevel="0" collapsed="false">
      <c r="A69" s="48" t="n">
        <v>46289.4769766782</v>
      </c>
      <c r="B69" s="45" t="n">
        <v>22</v>
      </c>
      <c r="C69" s="45" t="s">
        <v>437</v>
      </c>
      <c r="D69" s="45" t="s">
        <v>47</v>
      </c>
      <c r="E69" s="45" t="s">
        <v>83</v>
      </c>
      <c r="F69" s="45" t="s">
        <v>8658</v>
      </c>
      <c r="G69" s="45" t="s">
        <v>2538</v>
      </c>
      <c r="H69" s="45" t="s">
        <v>2510</v>
      </c>
      <c r="I69" s="45" t="s">
        <v>2510</v>
      </c>
      <c r="J69" s="45" t="s">
        <v>2495</v>
      </c>
      <c r="K69" s="45" t="s">
        <v>98</v>
      </c>
      <c r="L69" s="45" t="s">
        <v>2496</v>
      </c>
      <c r="Q69" s="45" t="s">
        <v>8644</v>
      </c>
      <c r="R69" s="45" t="s">
        <v>8642</v>
      </c>
      <c r="S69" s="45" t="s">
        <v>8643</v>
      </c>
      <c r="T69" s="45" t="s">
        <v>8646</v>
      </c>
      <c r="U69" s="45" t="s">
        <v>8644</v>
      </c>
      <c r="V69" s="45" t="s">
        <v>8643</v>
      </c>
      <c r="W69" s="45" t="s">
        <v>8643</v>
      </c>
      <c r="X69" s="45" t="s">
        <v>8662</v>
      </c>
      <c r="Y69" s="45" t="s">
        <v>8644</v>
      </c>
      <c r="Z69" s="45" t="s">
        <v>2549</v>
      </c>
      <c r="AA69" s="45" t="s">
        <v>59</v>
      </c>
      <c r="AB69" s="45" t="n">
        <v>5</v>
      </c>
      <c r="AC69" s="45" t="n">
        <v>5</v>
      </c>
    </row>
    <row r="70" customFormat="false" ht="22.5" hidden="false" customHeight="true" outlineLevel="0" collapsed="false">
      <c r="A70" s="48" t="n">
        <v>46289.4836808333</v>
      </c>
      <c r="B70" s="45" t="n">
        <v>21</v>
      </c>
      <c r="C70" s="45" t="s">
        <v>437</v>
      </c>
      <c r="D70" s="45" t="s">
        <v>453</v>
      </c>
      <c r="E70" s="45" t="s">
        <v>83</v>
      </c>
      <c r="F70" s="45" t="s">
        <v>8647</v>
      </c>
      <c r="G70" s="45" t="s">
        <v>2538</v>
      </c>
      <c r="H70" s="45" t="s">
        <v>2493</v>
      </c>
      <c r="I70" s="45" t="s">
        <v>2540</v>
      </c>
      <c r="J70" s="45" t="s">
        <v>2582</v>
      </c>
      <c r="K70" s="45" t="s">
        <v>1690</v>
      </c>
      <c r="L70" s="45" t="s">
        <v>2496</v>
      </c>
      <c r="M70" s="45" t="s">
        <v>2551</v>
      </c>
      <c r="Q70" s="45" t="s">
        <v>8642</v>
      </c>
      <c r="R70" s="45" t="s">
        <v>8643</v>
      </c>
      <c r="S70" s="45" t="s">
        <v>8644</v>
      </c>
      <c r="T70" s="45" t="s">
        <v>8646</v>
      </c>
      <c r="U70" s="45" t="s">
        <v>8644</v>
      </c>
      <c r="V70" s="45" t="s">
        <v>8642</v>
      </c>
      <c r="W70" s="45" t="s">
        <v>8643</v>
      </c>
      <c r="X70" s="45" t="s">
        <v>8681</v>
      </c>
      <c r="Y70" s="45" t="s">
        <v>8642</v>
      </c>
      <c r="Z70" s="45" t="s">
        <v>2608</v>
      </c>
      <c r="AA70" s="45" t="s">
        <v>59</v>
      </c>
      <c r="AB70" s="45" t="n">
        <v>3</v>
      </c>
      <c r="AC70" s="45" t="n">
        <v>5</v>
      </c>
    </row>
    <row r="71" customFormat="false" ht="22.5" hidden="false" customHeight="true" outlineLevel="0" collapsed="false">
      <c r="A71" s="48" t="n">
        <v>46289.4850380093</v>
      </c>
      <c r="B71" s="45" t="n">
        <v>22</v>
      </c>
      <c r="C71" s="45" t="s">
        <v>437</v>
      </c>
      <c r="D71" s="45" t="s">
        <v>49</v>
      </c>
      <c r="E71" s="45" t="s">
        <v>45</v>
      </c>
      <c r="F71" s="45" t="s">
        <v>8638</v>
      </c>
      <c r="G71" s="45" t="s">
        <v>2614</v>
      </c>
      <c r="H71" s="45" t="s">
        <v>2493</v>
      </c>
      <c r="I71" s="45" t="s">
        <v>2503</v>
      </c>
      <c r="J71" s="45" t="s">
        <v>2555</v>
      </c>
      <c r="K71" s="45" t="s">
        <v>1690</v>
      </c>
      <c r="L71" s="45" t="s">
        <v>2496</v>
      </c>
      <c r="M71" s="45" t="s">
        <v>2505</v>
      </c>
      <c r="N71" s="45" t="s">
        <v>8849</v>
      </c>
      <c r="O71" s="45" t="s">
        <v>8850</v>
      </c>
      <c r="P71" s="45" t="s">
        <v>8851</v>
      </c>
      <c r="Q71" s="45" t="s">
        <v>8642</v>
      </c>
      <c r="R71" s="45" t="s">
        <v>8644</v>
      </c>
      <c r="S71" s="45" t="s">
        <v>8643</v>
      </c>
      <c r="T71" s="45" t="s">
        <v>8852</v>
      </c>
      <c r="U71" s="45" t="s">
        <v>8644</v>
      </c>
      <c r="V71" s="45" t="s">
        <v>8642</v>
      </c>
      <c r="W71" s="45" t="s">
        <v>8643</v>
      </c>
      <c r="X71" s="45" t="s">
        <v>8691</v>
      </c>
      <c r="Y71" s="45" t="s">
        <v>8642</v>
      </c>
      <c r="Z71" s="45" t="s">
        <v>2549</v>
      </c>
      <c r="AA71" s="45" t="s">
        <v>59</v>
      </c>
      <c r="AB71" s="45" t="n">
        <v>4</v>
      </c>
      <c r="AC71" s="45" t="n">
        <v>3</v>
      </c>
    </row>
    <row r="72" customFormat="false" ht="22.5" hidden="false" customHeight="true" outlineLevel="0" collapsed="false">
      <c r="A72" s="48" t="n">
        <v>46289.486276088</v>
      </c>
      <c r="B72" s="45" t="n">
        <v>27</v>
      </c>
      <c r="C72" s="45" t="s">
        <v>8704</v>
      </c>
      <c r="D72" s="45" t="s">
        <v>8240</v>
      </c>
      <c r="E72" s="45" t="s">
        <v>83</v>
      </c>
      <c r="F72" s="45" t="s">
        <v>8647</v>
      </c>
      <c r="G72" s="45" t="s">
        <v>2515</v>
      </c>
      <c r="H72" s="45" t="s">
        <v>2494</v>
      </c>
      <c r="I72" s="45" t="s">
        <v>2502</v>
      </c>
      <c r="J72" s="45" t="s">
        <v>2555</v>
      </c>
      <c r="K72" s="45" t="s">
        <v>1690</v>
      </c>
      <c r="L72" s="45" t="s">
        <v>2496</v>
      </c>
      <c r="M72" s="45" t="s">
        <v>2505</v>
      </c>
      <c r="N72" s="45" t="s">
        <v>8853</v>
      </c>
      <c r="O72" s="45" t="s">
        <v>8854</v>
      </c>
      <c r="P72" s="45" t="s">
        <v>8855</v>
      </c>
      <c r="Q72" s="45" t="s">
        <v>8643</v>
      </c>
      <c r="R72" s="45" t="s">
        <v>8644</v>
      </c>
      <c r="S72" s="45" t="s">
        <v>8642</v>
      </c>
      <c r="T72" s="45" t="s">
        <v>8646</v>
      </c>
      <c r="U72" s="45" t="s">
        <v>8644</v>
      </c>
      <c r="V72" s="45" t="s">
        <v>8643</v>
      </c>
      <c r="W72" s="45" t="s">
        <v>8642</v>
      </c>
      <c r="X72" s="45" t="s">
        <v>8662</v>
      </c>
      <c r="Y72" s="45" t="s">
        <v>8643</v>
      </c>
      <c r="Z72" s="45" t="s">
        <v>2508</v>
      </c>
      <c r="AA72" s="45" t="s">
        <v>59</v>
      </c>
      <c r="AB72" s="45" t="n">
        <v>3</v>
      </c>
      <c r="AC72" s="45" t="n">
        <v>5</v>
      </c>
    </row>
    <row r="73" customFormat="false" ht="22.5" hidden="false" customHeight="true" outlineLevel="0" collapsed="false">
      <c r="A73" s="48" t="n">
        <v>46289.4890871991</v>
      </c>
      <c r="B73" s="45" t="n">
        <v>23</v>
      </c>
      <c r="C73" s="45" t="s">
        <v>437</v>
      </c>
      <c r="D73" s="45" t="s">
        <v>49</v>
      </c>
      <c r="E73" s="45" t="s">
        <v>83</v>
      </c>
      <c r="F73" s="45" t="s">
        <v>8658</v>
      </c>
      <c r="G73" s="45" t="s">
        <v>2734</v>
      </c>
      <c r="H73" s="45" t="s">
        <v>2494</v>
      </c>
      <c r="I73" s="45" t="s">
        <v>2539</v>
      </c>
      <c r="J73" s="45" t="s">
        <v>2495</v>
      </c>
      <c r="K73" s="45" t="s">
        <v>59</v>
      </c>
      <c r="L73" s="45" t="s">
        <v>2617</v>
      </c>
      <c r="M73" s="45" t="s">
        <v>2497</v>
      </c>
      <c r="N73" s="45" t="s">
        <v>8856</v>
      </c>
      <c r="O73" s="45" t="s">
        <v>8857</v>
      </c>
      <c r="P73" s="45" t="s">
        <v>8858</v>
      </c>
      <c r="Q73" s="45" t="s">
        <v>8643</v>
      </c>
      <c r="R73" s="45" t="s">
        <v>8642</v>
      </c>
      <c r="S73" s="45" t="s">
        <v>8644</v>
      </c>
      <c r="T73" s="45" t="s">
        <v>8691</v>
      </c>
      <c r="U73" s="45" t="s">
        <v>8643</v>
      </c>
      <c r="V73" s="45" t="s">
        <v>8644</v>
      </c>
      <c r="W73" s="45" t="s">
        <v>8642</v>
      </c>
      <c r="X73" s="45" t="s">
        <v>8717</v>
      </c>
      <c r="Y73" s="45" t="s">
        <v>8643</v>
      </c>
      <c r="Z73" s="45" t="s">
        <v>2508</v>
      </c>
      <c r="AA73" s="45" t="s">
        <v>59</v>
      </c>
      <c r="AB73" s="45" t="n">
        <v>3</v>
      </c>
      <c r="AC73" s="45" t="n">
        <v>3</v>
      </c>
    </row>
    <row r="74" customFormat="false" ht="22.5" hidden="false" customHeight="true" outlineLevel="0" collapsed="false">
      <c r="A74" s="48" t="n">
        <v>46289.4891516551</v>
      </c>
      <c r="B74" s="45" t="n">
        <v>22</v>
      </c>
      <c r="C74" s="45" t="s">
        <v>437</v>
      </c>
      <c r="D74" s="45" t="s">
        <v>49</v>
      </c>
      <c r="E74" s="45" t="s">
        <v>45</v>
      </c>
      <c r="F74" s="45" t="s">
        <v>8647</v>
      </c>
      <c r="G74" s="45" t="s">
        <v>2538</v>
      </c>
      <c r="H74" s="45" t="s">
        <v>2540</v>
      </c>
      <c r="I74" s="45" t="s">
        <v>2540</v>
      </c>
      <c r="J74" s="45" t="s">
        <v>2495</v>
      </c>
      <c r="K74" s="45" t="s">
        <v>2242</v>
      </c>
      <c r="L74" s="45" t="s">
        <v>2738</v>
      </c>
      <c r="M74" s="45" t="s">
        <v>2546</v>
      </c>
      <c r="N74" s="45" t="s">
        <v>8859</v>
      </c>
      <c r="O74" s="45" t="s">
        <v>8860</v>
      </c>
      <c r="P74" s="45" t="s">
        <v>8861</v>
      </c>
      <c r="Q74" s="45" t="s">
        <v>8643</v>
      </c>
      <c r="R74" s="45" t="s">
        <v>8644</v>
      </c>
      <c r="S74" s="45" t="s">
        <v>8642</v>
      </c>
      <c r="T74" s="45" t="s">
        <v>8709</v>
      </c>
      <c r="U74" s="45" t="s">
        <v>8643</v>
      </c>
      <c r="V74" s="45" t="s">
        <v>8644</v>
      </c>
      <c r="W74" s="45" t="s">
        <v>8642</v>
      </c>
      <c r="X74" s="45" t="s">
        <v>8709</v>
      </c>
      <c r="Y74" s="45" t="s">
        <v>8642</v>
      </c>
      <c r="Z74" s="45" t="s">
        <v>2519</v>
      </c>
      <c r="AA74" s="45" t="s">
        <v>59</v>
      </c>
      <c r="AB74" s="45" t="n">
        <v>3</v>
      </c>
      <c r="AC74" s="45" t="n">
        <v>4</v>
      </c>
    </row>
    <row r="75" customFormat="false" ht="22.5" hidden="false" customHeight="true" outlineLevel="0" collapsed="false">
      <c r="A75" s="48" t="n">
        <v>46289.4921359838</v>
      </c>
      <c r="B75" s="45" t="n">
        <v>21</v>
      </c>
      <c r="C75" s="45" t="s">
        <v>437</v>
      </c>
      <c r="D75" s="45" t="s">
        <v>453</v>
      </c>
      <c r="E75" s="45" t="s">
        <v>83</v>
      </c>
      <c r="F75" s="45" t="s">
        <v>8647</v>
      </c>
      <c r="G75" s="45" t="s">
        <v>2538</v>
      </c>
      <c r="H75" s="45" t="s">
        <v>2494</v>
      </c>
      <c r="I75" s="45" t="s">
        <v>2524</v>
      </c>
      <c r="J75" s="45" t="s">
        <v>2544</v>
      </c>
      <c r="K75" s="45" t="s">
        <v>1690</v>
      </c>
      <c r="L75" s="45" t="s">
        <v>2504</v>
      </c>
      <c r="M75" s="45" t="s">
        <v>2497</v>
      </c>
      <c r="P75" s="45" t="s">
        <v>8862</v>
      </c>
      <c r="Q75" s="45" t="s">
        <v>8642</v>
      </c>
      <c r="R75" s="45" t="s">
        <v>8643</v>
      </c>
      <c r="S75" s="45" t="s">
        <v>8644</v>
      </c>
      <c r="T75" s="45" t="s">
        <v>8816</v>
      </c>
      <c r="U75" s="45" t="s">
        <v>8642</v>
      </c>
      <c r="V75" s="45" t="s">
        <v>8643</v>
      </c>
      <c r="W75" s="45" t="s">
        <v>8644</v>
      </c>
      <c r="X75" s="45" t="s">
        <v>8863</v>
      </c>
      <c r="Y75" s="45" t="s">
        <v>8642</v>
      </c>
      <c r="Z75" s="45" t="s">
        <v>2608</v>
      </c>
      <c r="AA75" s="45" t="s">
        <v>98</v>
      </c>
      <c r="AB75" s="45" t="n">
        <v>4</v>
      </c>
      <c r="AC75" s="45" t="n">
        <v>4</v>
      </c>
    </row>
    <row r="76" customFormat="false" ht="22.5" hidden="false" customHeight="true" outlineLevel="0" collapsed="false">
      <c r="A76" s="48" t="n">
        <v>46289.5063812153</v>
      </c>
      <c r="B76" s="45" t="n">
        <v>22</v>
      </c>
      <c r="C76" s="45" t="s">
        <v>8637</v>
      </c>
      <c r="D76" s="45" t="s">
        <v>8637</v>
      </c>
      <c r="E76" s="45" t="s">
        <v>45</v>
      </c>
      <c r="F76" s="45" t="s">
        <v>8658</v>
      </c>
      <c r="G76" s="45" t="s">
        <v>2515</v>
      </c>
      <c r="H76" s="45" t="s">
        <v>2539</v>
      </c>
      <c r="I76" s="45" t="s">
        <v>2539</v>
      </c>
      <c r="J76" s="45" t="s">
        <v>2495</v>
      </c>
      <c r="K76" s="45" t="s">
        <v>59</v>
      </c>
      <c r="L76" s="45" t="s">
        <v>2516</v>
      </c>
      <c r="M76" s="45" t="s">
        <v>2497</v>
      </c>
      <c r="N76" s="45" t="s">
        <v>8864</v>
      </c>
      <c r="O76" s="45" t="s">
        <v>8865</v>
      </c>
      <c r="P76" s="45" t="s">
        <v>8866</v>
      </c>
      <c r="Q76" s="45" t="s">
        <v>8643</v>
      </c>
      <c r="R76" s="45" t="s">
        <v>8642</v>
      </c>
      <c r="S76" s="45" t="s">
        <v>8644</v>
      </c>
      <c r="T76" s="45" t="s">
        <v>8852</v>
      </c>
      <c r="U76" s="45" t="s">
        <v>8643</v>
      </c>
      <c r="V76" s="45" t="s">
        <v>8644</v>
      </c>
      <c r="W76" s="45" t="s">
        <v>8642</v>
      </c>
      <c r="X76" s="45" t="s">
        <v>8794</v>
      </c>
      <c r="Y76" s="45" t="s">
        <v>8642</v>
      </c>
      <c r="Z76" s="45" t="s">
        <v>2519</v>
      </c>
      <c r="AA76" s="45" t="s">
        <v>59</v>
      </c>
      <c r="AB76" s="45" t="n">
        <v>5</v>
      </c>
      <c r="AC76" s="45" t="n">
        <v>5</v>
      </c>
    </row>
    <row r="77" customFormat="false" ht="22.5" hidden="false" customHeight="true" outlineLevel="0" collapsed="false">
      <c r="A77" s="48" t="n">
        <v>46289.516215</v>
      </c>
      <c r="B77" s="45" t="n">
        <v>23</v>
      </c>
      <c r="C77" s="45" t="s">
        <v>437</v>
      </c>
      <c r="D77" s="45" t="s">
        <v>8867</v>
      </c>
      <c r="E77" s="45" t="s">
        <v>83</v>
      </c>
      <c r="F77" s="45" t="s">
        <v>8658</v>
      </c>
      <c r="G77" s="45" t="s">
        <v>2515</v>
      </c>
      <c r="H77" s="45" t="s">
        <v>2540</v>
      </c>
      <c r="I77" s="45" t="s">
        <v>2539</v>
      </c>
      <c r="J77" s="45" t="s">
        <v>2555</v>
      </c>
      <c r="K77" s="45" t="s">
        <v>59</v>
      </c>
      <c r="L77" s="45" t="s">
        <v>2511</v>
      </c>
      <c r="M77" s="45" t="s">
        <v>2497</v>
      </c>
      <c r="N77" s="45" t="s">
        <v>8868</v>
      </c>
      <c r="O77" s="45" t="s">
        <v>8869</v>
      </c>
      <c r="P77" s="45" t="s">
        <v>8870</v>
      </c>
      <c r="Q77" s="45" t="s">
        <v>8643</v>
      </c>
      <c r="R77" s="45" t="s">
        <v>8642</v>
      </c>
      <c r="S77" s="45" t="s">
        <v>8644</v>
      </c>
      <c r="T77" s="45" t="s">
        <v>8794</v>
      </c>
      <c r="U77" s="45" t="s">
        <v>8643</v>
      </c>
      <c r="V77" s="45" t="s">
        <v>8642</v>
      </c>
      <c r="W77" s="45" t="s">
        <v>8644</v>
      </c>
      <c r="X77" s="45" t="s">
        <v>8662</v>
      </c>
      <c r="Y77" s="45" t="s">
        <v>8643</v>
      </c>
      <c r="Z77" s="45" t="s">
        <v>2628</v>
      </c>
      <c r="AA77" s="45" t="s">
        <v>59</v>
      </c>
      <c r="AB77" s="45" t="n">
        <v>4</v>
      </c>
      <c r="AC77" s="45" t="n">
        <v>5</v>
      </c>
    </row>
    <row r="78" customFormat="false" ht="22.5" hidden="false" customHeight="true" outlineLevel="0" collapsed="false">
      <c r="A78" s="48" t="n">
        <v>46289.5167606713</v>
      </c>
      <c r="B78" s="45" t="n">
        <v>24</v>
      </c>
      <c r="C78" s="45" t="s">
        <v>437</v>
      </c>
      <c r="D78" s="45" t="s">
        <v>437</v>
      </c>
      <c r="E78" s="45" t="s">
        <v>83</v>
      </c>
      <c r="F78" s="45" t="s">
        <v>8658</v>
      </c>
      <c r="G78" s="45" t="s">
        <v>2515</v>
      </c>
      <c r="H78" s="45" t="s">
        <v>2523</v>
      </c>
      <c r="I78" s="45" t="s">
        <v>2539</v>
      </c>
      <c r="J78" s="45" t="s">
        <v>2751</v>
      </c>
      <c r="K78" s="45" t="s">
        <v>1690</v>
      </c>
      <c r="L78" s="45" t="s">
        <v>2496</v>
      </c>
      <c r="M78" s="45" t="s">
        <v>2497</v>
      </c>
      <c r="N78" s="45" t="s">
        <v>8871</v>
      </c>
      <c r="O78" s="45" t="s">
        <v>8872</v>
      </c>
      <c r="P78" s="45" t="s">
        <v>8873</v>
      </c>
      <c r="Q78" s="45" t="s">
        <v>8642</v>
      </c>
      <c r="R78" s="45" t="s">
        <v>8643</v>
      </c>
      <c r="S78" s="45" t="s">
        <v>8644</v>
      </c>
      <c r="T78" s="45" t="s">
        <v>8681</v>
      </c>
      <c r="U78" s="45" t="s">
        <v>8642</v>
      </c>
      <c r="V78" s="45" t="s">
        <v>8643</v>
      </c>
      <c r="W78" s="45" t="s">
        <v>8644</v>
      </c>
      <c r="X78" s="45" t="s">
        <v>8717</v>
      </c>
      <c r="Y78" s="45" t="s">
        <v>8642</v>
      </c>
      <c r="Z78" s="45" t="s">
        <v>2508</v>
      </c>
      <c r="AA78" s="45" t="s">
        <v>59</v>
      </c>
      <c r="AB78" s="45" t="n">
        <v>4</v>
      </c>
      <c r="AC78" s="45" t="n">
        <v>5</v>
      </c>
    </row>
    <row r="79" customFormat="false" ht="22.5" hidden="false" customHeight="true" outlineLevel="0" collapsed="false">
      <c r="A79" s="48" t="n">
        <v>46289.519487963</v>
      </c>
      <c r="B79" s="45" t="n">
        <v>23</v>
      </c>
      <c r="C79" s="45" t="s">
        <v>437</v>
      </c>
      <c r="D79" s="45" t="s">
        <v>8637</v>
      </c>
      <c r="E79" s="45" t="s">
        <v>45</v>
      </c>
      <c r="F79" s="45" t="s">
        <v>8658</v>
      </c>
      <c r="G79" s="45" t="s">
        <v>806</v>
      </c>
      <c r="H79" s="45" t="s">
        <v>2510</v>
      </c>
      <c r="I79" s="45" t="s">
        <v>2510</v>
      </c>
      <c r="J79" s="45" t="s">
        <v>2582</v>
      </c>
      <c r="K79" s="45" t="s">
        <v>1690</v>
      </c>
      <c r="L79" s="45" t="s">
        <v>2641</v>
      </c>
      <c r="M79" s="45" t="s">
        <v>2497</v>
      </c>
      <c r="N79" s="45" t="s">
        <v>8874</v>
      </c>
      <c r="O79" s="45" t="s">
        <v>8875</v>
      </c>
      <c r="P79" s="45" t="s">
        <v>8876</v>
      </c>
      <c r="Q79" s="45" t="s">
        <v>8643</v>
      </c>
      <c r="R79" s="45" t="s">
        <v>8644</v>
      </c>
      <c r="S79" s="45" t="s">
        <v>8642</v>
      </c>
      <c r="T79" s="45" t="s">
        <v>8681</v>
      </c>
      <c r="U79" s="45" t="s">
        <v>8643</v>
      </c>
      <c r="V79" s="45" t="s">
        <v>8642</v>
      </c>
      <c r="W79" s="45" t="s">
        <v>8644</v>
      </c>
      <c r="X79" s="45" t="s">
        <v>8687</v>
      </c>
      <c r="Y79" s="45" t="s">
        <v>8643</v>
      </c>
      <c r="Z79" s="45" t="s">
        <v>2628</v>
      </c>
      <c r="AA79" s="45" t="s">
        <v>59</v>
      </c>
      <c r="AB79" s="45" t="n">
        <v>4</v>
      </c>
      <c r="AC79" s="45" t="n">
        <v>5</v>
      </c>
    </row>
    <row r="80" customFormat="false" ht="22.5" hidden="false" customHeight="true" outlineLevel="0" collapsed="false">
      <c r="A80" s="48" t="n">
        <v>46289.5364919792</v>
      </c>
      <c r="B80" s="45" t="n">
        <v>27</v>
      </c>
      <c r="C80" s="45" t="s">
        <v>437</v>
      </c>
      <c r="D80" s="45" t="s">
        <v>453</v>
      </c>
      <c r="E80" s="45" t="s">
        <v>83</v>
      </c>
      <c r="F80" s="45" t="s">
        <v>8647</v>
      </c>
      <c r="G80" s="45" t="s">
        <v>2538</v>
      </c>
      <c r="H80" s="45" t="s">
        <v>2510</v>
      </c>
      <c r="I80" s="45" t="s">
        <v>2524</v>
      </c>
      <c r="J80" s="45" t="s">
        <v>2582</v>
      </c>
      <c r="K80" s="45" t="s">
        <v>59</v>
      </c>
      <c r="L80" s="45" t="s">
        <v>2683</v>
      </c>
      <c r="M80" s="45" t="s">
        <v>2546</v>
      </c>
      <c r="N80" s="45" t="s">
        <v>8877</v>
      </c>
      <c r="O80" s="45" t="s">
        <v>6234</v>
      </c>
      <c r="P80" s="45" t="s">
        <v>8878</v>
      </c>
      <c r="Q80" s="45" t="s">
        <v>8644</v>
      </c>
      <c r="R80" s="45" t="s">
        <v>8643</v>
      </c>
      <c r="S80" s="45" t="s">
        <v>8642</v>
      </c>
      <c r="T80" s="45" t="s">
        <v>8879</v>
      </c>
      <c r="U80" s="45" t="s">
        <v>8644</v>
      </c>
      <c r="V80" s="45" t="s">
        <v>8642</v>
      </c>
      <c r="W80" s="45" t="s">
        <v>8643</v>
      </c>
      <c r="X80" s="45" t="s">
        <v>8879</v>
      </c>
      <c r="Y80" s="45" t="s">
        <v>8644</v>
      </c>
      <c r="Z80" s="45" t="s">
        <v>2628</v>
      </c>
      <c r="AA80" s="45" t="s">
        <v>59</v>
      </c>
      <c r="AB80" s="45" t="n">
        <v>5</v>
      </c>
      <c r="AC80" s="45" t="n">
        <v>5</v>
      </c>
    </row>
    <row r="81" customFormat="false" ht="22.5" hidden="false" customHeight="true" outlineLevel="0" collapsed="false">
      <c r="A81" s="48" t="n">
        <v>46289.5498174769</v>
      </c>
      <c r="B81" s="45" t="n">
        <v>22</v>
      </c>
      <c r="C81" s="45" t="s">
        <v>437</v>
      </c>
      <c r="D81" s="45" t="s">
        <v>437</v>
      </c>
      <c r="E81" s="45" t="s">
        <v>83</v>
      </c>
      <c r="F81" s="45" t="s">
        <v>8658</v>
      </c>
      <c r="G81" s="45" t="s">
        <v>2614</v>
      </c>
      <c r="H81" s="45" t="s">
        <v>2540</v>
      </c>
      <c r="I81" s="45" t="s">
        <v>2493</v>
      </c>
      <c r="J81" s="45" t="s">
        <v>2555</v>
      </c>
      <c r="K81" s="45" t="s">
        <v>1690</v>
      </c>
      <c r="L81" s="45" t="s">
        <v>2529</v>
      </c>
      <c r="M81" s="45" t="s">
        <v>2505</v>
      </c>
      <c r="N81" s="45" t="s">
        <v>8880</v>
      </c>
      <c r="O81" s="45" t="s">
        <v>8881</v>
      </c>
      <c r="P81" s="45" t="s">
        <v>8882</v>
      </c>
      <c r="Q81" s="45" t="s">
        <v>8644</v>
      </c>
      <c r="R81" s="45" t="s">
        <v>8642</v>
      </c>
      <c r="S81" s="45" t="s">
        <v>8643</v>
      </c>
      <c r="T81" s="45" t="s">
        <v>8645</v>
      </c>
      <c r="U81" s="45" t="s">
        <v>8643</v>
      </c>
      <c r="V81" s="45" t="s">
        <v>8642</v>
      </c>
      <c r="W81" s="45" t="s">
        <v>8644</v>
      </c>
      <c r="X81" s="45" t="s">
        <v>8651</v>
      </c>
      <c r="Y81" s="45" t="s">
        <v>8642</v>
      </c>
      <c r="Z81" s="45" t="s">
        <v>2608</v>
      </c>
      <c r="AA81" s="45" t="s">
        <v>59</v>
      </c>
      <c r="AB81" s="45" t="n">
        <v>4</v>
      </c>
      <c r="AC81" s="45" t="n">
        <v>5</v>
      </c>
    </row>
    <row r="82" customFormat="false" ht="22.5" hidden="false" customHeight="true" outlineLevel="0" collapsed="false">
      <c r="A82" s="48" t="n">
        <v>46289.5775064005</v>
      </c>
      <c r="B82" s="45" t="n">
        <v>22</v>
      </c>
      <c r="C82" s="45" t="s">
        <v>437</v>
      </c>
      <c r="D82" s="45" t="s">
        <v>49</v>
      </c>
      <c r="E82" s="45" t="s">
        <v>45</v>
      </c>
      <c r="F82" s="45" t="s">
        <v>8638</v>
      </c>
      <c r="G82" s="45" t="s">
        <v>2538</v>
      </c>
      <c r="H82" s="45" t="s">
        <v>2503</v>
      </c>
      <c r="I82" s="45" t="s">
        <v>2540</v>
      </c>
      <c r="J82" s="45" t="s">
        <v>2544</v>
      </c>
      <c r="K82" s="45" t="s">
        <v>1690</v>
      </c>
      <c r="L82" s="45" t="s">
        <v>2610</v>
      </c>
      <c r="M82" s="45" t="s">
        <v>2497</v>
      </c>
    </row>
    <row r="83" customFormat="false" ht="22.5" hidden="false" customHeight="true" outlineLevel="0" collapsed="false">
      <c r="A83" s="48" t="n">
        <v>46289.5888099884</v>
      </c>
      <c r="B83" s="45" t="n">
        <v>22</v>
      </c>
      <c r="C83" s="45" t="s">
        <v>92</v>
      </c>
      <c r="D83" s="45" t="s">
        <v>8657</v>
      </c>
      <c r="E83" s="45" t="s">
        <v>45</v>
      </c>
      <c r="F83" s="45" t="s">
        <v>8647</v>
      </c>
      <c r="G83" s="45" t="s">
        <v>2538</v>
      </c>
      <c r="H83" s="45" t="s">
        <v>2523</v>
      </c>
      <c r="I83" s="45" t="s">
        <v>2539</v>
      </c>
      <c r="J83" s="45" t="s">
        <v>2533</v>
      </c>
      <c r="K83" s="45" t="s">
        <v>59</v>
      </c>
      <c r="L83" s="45" t="s">
        <v>2496</v>
      </c>
      <c r="M83" s="45" t="s">
        <v>2546</v>
      </c>
      <c r="N83" s="45" t="s">
        <v>8883</v>
      </c>
      <c r="O83" s="45" t="s">
        <v>8884</v>
      </c>
      <c r="P83" s="45" t="s">
        <v>8885</v>
      </c>
      <c r="Q83" s="45" t="s">
        <v>8886</v>
      </c>
      <c r="R83" s="45" t="s">
        <v>8643</v>
      </c>
      <c r="S83" s="45" t="s">
        <v>8642</v>
      </c>
      <c r="T83" s="45" t="s">
        <v>8794</v>
      </c>
      <c r="U83" s="45" t="s">
        <v>8644</v>
      </c>
      <c r="V83" s="45" t="s">
        <v>8643</v>
      </c>
      <c r="W83" s="45" t="s">
        <v>8642</v>
      </c>
      <c r="X83" s="45" t="s">
        <v>8682</v>
      </c>
      <c r="Y83" s="45" t="s">
        <v>8644</v>
      </c>
      <c r="Z83" s="45" t="s">
        <v>2508</v>
      </c>
      <c r="AA83" s="45" t="s">
        <v>59</v>
      </c>
      <c r="AB83" s="45" t="n">
        <v>4</v>
      </c>
      <c r="AC83" s="45" t="n">
        <v>4</v>
      </c>
    </row>
    <row r="84" customFormat="false" ht="22.5" hidden="false" customHeight="true" outlineLevel="0" collapsed="false">
      <c r="A84" s="48" t="n">
        <v>46289.6407066204</v>
      </c>
      <c r="B84" s="45" t="n">
        <v>24</v>
      </c>
      <c r="C84" s="45" t="s">
        <v>437</v>
      </c>
      <c r="D84" s="45" t="s">
        <v>47</v>
      </c>
      <c r="E84" s="45" t="s">
        <v>83</v>
      </c>
      <c r="F84" s="45" t="s">
        <v>8647</v>
      </c>
      <c r="G84" s="45" t="s">
        <v>2538</v>
      </c>
      <c r="H84" s="45" t="s">
        <v>2524</v>
      </c>
      <c r="I84" s="45" t="s">
        <v>2524</v>
      </c>
      <c r="J84" s="45" t="s">
        <v>2544</v>
      </c>
      <c r="K84" s="45" t="s">
        <v>1690</v>
      </c>
      <c r="L84" s="45" t="s">
        <v>2504</v>
      </c>
      <c r="M84" s="45" t="s">
        <v>2546</v>
      </c>
      <c r="N84" s="45" t="s">
        <v>8761</v>
      </c>
      <c r="O84" s="45" t="s">
        <v>8762</v>
      </c>
      <c r="P84" s="45" t="s">
        <v>8763</v>
      </c>
      <c r="Q84" s="45" t="s">
        <v>8643</v>
      </c>
      <c r="R84" s="45" t="s">
        <v>8642</v>
      </c>
      <c r="S84" s="45" t="s">
        <v>8644</v>
      </c>
      <c r="T84" s="45" t="s">
        <v>8662</v>
      </c>
      <c r="U84" s="45" t="s">
        <v>8643</v>
      </c>
      <c r="V84" s="45" t="s">
        <v>8642</v>
      </c>
      <c r="W84" s="45" t="s">
        <v>8644</v>
      </c>
      <c r="X84" s="45" t="s">
        <v>8709</v>
      </c>
      <c r="Y84" s="45" t="s">
        <v>8643</v>
      </c>
      <c r="Z84" s="45" t="s">
        <v>2508</v>
      </c>
      <c r="AA84" s="45" t="s">
        <v>59</v>
      </c>
      <c r="AB84" s="45" t="n">
        <v>4</v>
      </c>
      <c r="AC84" s="45" t="n">
        <v>5</v>
      </c>
    </row>
    <row r="85" customFormat="false" ht="22.5" hidden="false" customHeight="true" outlineLevel="0" collapsed="false">
      <c r="A85" s="48" t="n">
        <v>46289.7151608218</v>
      </c>
      <c r="B85" s="45" t="n">
        <v>21</v>
      </c>
      <c r="C85" s="45" t="s">
        <v>437</v>
      </c>
      <c r="D85" s="45" t="s">
        <v>47</v>
      </c>
      <c r="E85" s="45" t="s">
        <v>45</v>
      </c>
      <c r="F85" s="45" t="s">
        <v>8638</v>
      </c>
      <c r="G85" s="45" t="s">
        <v>2515</v>
      </c>
      <c r="H85" s="45" t="s">
        <v>2494</v>
      </c>
      <c r="I85" s="45" t="s">
        <v>2539</v>
      </c>
      <c r="J85" s="45" t="s">
        <v>2582</v>
      </c>
      <c r="K85" s="45" t="s">
        <v>59</v>
      </c>
      <c r="L85" s="45" t="s">
        <v>2516</v>
      </c>
      <c r="M85" s="45" t="s">
        <v>2551</v>
      </c>
      <c r="N85" s="45" t="s">
        <v>8887</v>
      </c>
      <c r="O85" s="45" t="s">
        <v>8888</v>
      </c>
      <c r="P85" s="45" t="s">
        <v>8889</v>
      </c>
      <c r="Q85" s="45" t="s">
        <v>8644</v>
      </c>
      <c r="R85" s="45" t="s">
        <v>8642</v>
      </c>
      <c r="S85" s="45" t="s">
        <v>8644</v>
      </c>
      <c r="T85" s="45" t="s">
        <v>8656</v>
      </c>
      <c r="U85" s="45" t="s">
        <v>8643</v>
      </c>
      <c r="V85" s="45" t="s">
        <v>8642</v>
      </c>
      <c r="W85" s="45" t="s">
        <v>8644</v>
      </c>
      <c r="X85" s="45" t="s">
        <v>8667</v>
      </c>
      <c r="Y85" s="45" t="s">
        <v>8643</v>
      </c>
      <c r="Z85" s="45" t="s">
        <v>2549</v>
      </c>
      <c r="AA85" s="45" t="s">
        <v>59</v>
      </c>
      <c r="AB85" s="45" t="n">
        <v>4</v>
      </c>
      <c r="AC85" s="45" t="n">
        <v>5</v>
      </c>
    </row>
    <row r="86" customFormat="false" ht="22.5" hidden="false" customHeight="true" outlineLevel="0" collapsed="false">
      <c r="A86" s="48" t="n">
        <v>46289.7926942245</v>
      </c>
      <c r="B86" s="45" t="n">
        <v>22</v>
      </c>
      <c r="C86" s="45" t="s">
        <v>437</v>
      </c>
      <c r="D86" s="45" t="s">
        <v>61</v>
      </c>
      <c r="E86" s="45" t="s">
        <v>45</v>
      </c>
      <c r="F86" s="45" t="s">
        <v>8647</v>
      </c>
      <c r="G86" s="45" t="s">
        <v>806</v>
      </c>
      <c r="H86" s="45" t="s">
        <v>2523</v>
      </c>
      <c r="I86" s="45" t="s">
        <v>2524</v>
      </c>
      <c r="J86" s="45" t="s">
        <v>2495</v>
      </c>
      <c r="K86" s="45" t="s">
        <v>59</v>
      </c>
      <c r="L86" s="45" t="s">
        <v>2496</v>
      </c>
      <c r="M86" s="45" t="s">
        <v>2546</v>
      </c>
      <c r="N86" s="45" t="s">
        <v>8890</v>
      </c>
      <c r="O86" s="45" t="s">
        <v>8891</v>
      </c>
      <c r="P86" s="45" t="s">
        <v>8892</v>
      </c>
      <c r="Q86" s="45" t="s">
        <v>8643</v>
      </c>
      <c r="R86" s="45" t="s">
        <v>8644</v>
      </c>
      <c r="S86" s="45" t="s">
        <v>8642</v>
      </c>
      <c r="T86" s="45" t="s">
        <v>8656</v>
      </c>
      <c r="U86" s="45" t="s">
        <v>8643</v>
      </c>
      <c r="V86" s="45" t="s">
        <v>8644</v>
      </c>
      <c r="W86" s="45" t="s">
        <v>8642</v>
      </c>
      <c r="X86" s="45" t="s">
        <v>8662</v>
      </c>
      <c r="Y86" s="45" t="s">
        <v>8643</v>
      </c>
      <c r="Z86" s="45" t="s">
        <v>2508</v>
      </c>
      <c r="AA86" s="45" t="s">
        <v>59</v>
      </c>
      <c r="AB86" s="45" t="n">
        <v>4</v>
      </c>
      <c r="AC86" s="45" t="n">
        <v>5</v>
      </c>
    </row>
    <row r="87" customFormat="false" ht="22.5" hidden="false" customHeight="true" outlineLevel="0" collapsed="false">
      <c r="A87" s="48" t="n">
        <v>46289.7953752199</v>
      </c>
      <c r="B87" s="45" t="n">
        <v>22</v>
      </c>
      <c r="C87" s="45" t="s">
        <v>437</v>
      </c>
      <c r="D87" s="45" t="s">
        <v>49</v>
      </c>
      <c r="E87" s="45" t="s">
        <v>83</v>
      </c>
      <c r="F87" s="45" t="s">
        <v>8652</v>
      </c>
      <c r="G87" s="45" t="s">
        <v>2538</v>
      </c>
      <c r="H87" s="45" t="s">
        <v>2539</v>
      </c>
      <c r="I87" s="45" t="s">
        <v>2539</v>
      </c>
      <c r="J87" s="45" t="s">
        <v>2582</v>
      </c>
      <c r="K87" s="45" t="s">
        <v>59</v>
      </c>
      <c r="L87" s="45" t="s">
        <v>2504</v>
      </c>
      <c r="M87" s="45" t="s">
        <v>2497</v>
      </c>
      <c r="N87" s="45" t="s">
        <v>8893</v>
      </c>
      <c r="O87" s="45" t="s">
        <v>8894</v>
      </c>
      <c r="P87" s="45" t="s">
        <v>8895</v>
      </c>
      <c r="Q87" s="45" t="s">
        <v>8642</v>
      </c>
      <c r="R87" s="45" t="s">
        <v>8644</v>
      </c>
      <c r="S87" s="45" t="s">
        <v>8643</v>
      </c>
      <c r="T87" s="45" t="s">
        <v>8671</v>
      </c>
      <c r="U87" s="45" t="s">
        <v>8643</v>
      </c>
      <c r="V87" s="45" t="s">
        <v>8644</v>
      </c>
      <c r="W87" s="45" t="s">
        <v>8642</v>
      </c>
      <c r="X87" s="45" t="s">
        <v>8651</v>
      </c>
      <c r="Y87" s="45" t="s">
        <v>8642</v>
      </c>
      <c r="Z87" s="45" t="s">
        <v>2508</v>
      </c>
      <c r="AA87" s="45" t="s">
        <v>59</v>
      </c>
      <c r="AB87" s="45" t="n">
        <v>5</v>
      </c>
      <c r="AC87" s="45" t="n">
        <v>5</v>
      </c>
    </row>
    <row r="88" customFormat="false" ht="22.5" hidden="false" customHeight="true" outlineLevel="0" collapsed="false">
      <c r="A88" s="48" t="n">
        <v>46289.798158831</v>
      </c>
      <c r="B88" s="45" t="n">
        <v>23</v>
      </c>
      <c r="C88" s="45" t="s">
        <v>437</v>
      </c>
      <c r="D88" s="45" t="s">
        <v>8896</v>
      </c>
      <c r="E88" s="45" t="s">
        <v>45</v>
      </c>
      <c r="F88" s="45" t="s">
        <v>8652</v>
      </c>
      <c r="G88" s="45" t="s">
        <v>2538</v>
      </c>
      <c r="H88" s="45" t="s">
        <v>2540</v>
      </c>
      <c r="I88" s="45" t="s">
        <v>2493</v>
      </c>
      <c r="J88" s="45" t="s">
        <v>2544</v>
      </c>
      <c r="K88" s="45" t="s">
        <v>59</v>
      </c>
      <c r="L88" s="45" t="s">
        <v>2777</v>
      </c>
      <c r="M88" s="45" t="s">
        <v>2505</v>
      </c>
      <c r="N88" s="45" t="n">
        <v>1</v>
      </c>
      <c r="O88" s="45" t="n">
        <v>1</v>
      </c>
      <c r="P88" s="45" t="n">
        <v>1</v>
      </c>
      <c r="Q88" s="45" t="s">
        <v>8644</v>
      </c>
      <c r="R88" s="45" t="s">
        <v>8644</v>
      </c>
      <c r="S88" s="45" t="s">
        <v>8644</v>
      </c>
      <c r="T88" s="45" t="s">
        <v>8646</v>
      </c>
      <c r="U88" s="45" t="s">
        <v>8643</v>
      </c>
      <c r="V88" s="45" t="s">
        <v>8643</v>
      </c>
      <c r="W88" s="45" t="s">
        <v>8643</v>
      </c>
      <c r="X88" s="45" t="s">
        <v>8897</v>
      </c>
      <c r="Y88" s="45" t="s">
        <v>8643</v>
      </c>
      <c r="Z88" s="45" t="s">
        <v>2628</v>
      </c>
      <c r="AA88" s="45" t="s">
        <v>98</v>
      </c>
      <c r="AB88" s="45" t="n">
        <v>3</v>
      </c>
      <c r="AC88" s="45" t="n">
        <v>1</v>
      </c>
    </row>
    <row r="89" customFormat="false" ht="22.5" hidden="false" customHeight="true" outlineLevel="0" collapsed="false">
      <c r="A89" s="48" t="n">
        <v>46289.7998443634</v>
      </c>
      <c r="B89" s="45" t="n">
        <v>21</v>
      </c>
      <c r="C89" s="45" t="s">
        <v>1569</v>
      </c>
      <c r="D89" s="45" t="s">
        <v>92</v>
      </c>
      <c r="E89" s="45" t="s">
        <v>45</v>
      </c>
      <c r="F89" s="45" t="s">
        <v>8658</v>
      </c>
      <c r="G89" s="45" t="s">
        <v>2515</v>
      </c>
      <c r="H89" s="45" t="s">
        <v>2493</v>
      </c>
      <c r="I89" s="45" t="s">
        <v>2540</v>
      </c>
      <c r="J89" s="45" t="s">
        <v>2544</v>
      </c>
      <c r="K89" s="45" t="s">
        <v>98</v>
      </c>
      <c r="L89" s="45" t="s">
        <v>2529</v>
      </c>
      <c r="M89" s="45" t="s">
        <v>2546</v>
      </c>
      <c r="N89" s="45" t="s">
        <v>8898</v>
      </c>
      <c r="O89" s="45" t="s">
        <v>8899</v>
      </c>
      <c r="P89" s="45" t="s">
        <v>8900</v>
      </c>
      <c r="Q89" s="45" t="s">
        <v>8643</v>
      </c>
      <c r="R89" s="45" t="s">
        <v>8644</v>
      </c>
      <c r="S89" s="45" t="s">
        <v>8642</v>
      </c>
      <c r="T89" s="45" t="s">
        <v>8687</v>
      </c>
      <c r="U89" s="45" t="s">
        <v>8644</v>
      </c>
      <c r="V89" s="45" t="s">
        <v>8643</v>
      </c>
      <c r="W89" s="45" t="s">
        <v>8642</v>
      </c>
      <c r="X89" s="45" t="s">
        <v>8734</v>
      </c>
      <c r="Y89" s="45" t="s">
        <v>8644</v>
      </c>
      <c r="Z89" s="45" t="s">
        <v>2508</v>
      </c>
      <c r="AA89" s="45" t="s">
        <v>59</v>
      </c>
      <c r="AB89" s="45" t="n">
        <v>5</v>
      </c>
      <c r="AC89" s="45" t="n">
        <v>5</v>
      </c>
    </row>
    <row r="90" customFormat="false" ht="22.5" hidden="false" customHeight="true" outlineLevel="0" collapsed="false">
      <c r="A90" s="48" t="n">
        <v>46289.8009889352</v>
      </c>
      <c r="B90" s="45" t="n">
        <v>22</v>
      </c>
      <c r="C90" s="45" t="s">
        <v>437</v>
      </c>
      <c r="D90" s="45" t="s">
        <v>47</v>
      </c>
      <c r="E90" s="45" t="s">
        <v>83</v>
      </c>
      <c r="F90" s="45" t="s">
        <v>8638</v>
      </c>
      <c r="G90" s="45" t="s">
        <v>2515</v>
      </c>
      <c r="H90" s="45" t="s">
        <v>2493</v>
      </c>
      <c r="I90" s="45" t="s">
        <v>2539</v>
      </c>
      <c r="J90" s="45" t="s">
        <v>2533</v>
      </c>
      <c r="K90" s="45" t="s">
        <v>59</v>
      </c>
      <c r="L90" s="45" t="s">
        <v>2516</v>
      </c>
      <c r="M90" s="45" t="s">
        <v>2497</v>
      </c>
      <c r="N90" s="45" t="s">
        <v>8901</v>
      </c>
      <c r="O90" s="45" t="s">
        <v>8902</v>
      </c>
      <c r="P90" s="45" t="s">
        <v>8903</v>
      </c>
      <c r="Q90" s="45" t="s">
        <v>8886</v>
      </c>
      <c r="R90" s="45" t="s">
        <v>8642</v>
      </c>
      <c r="T90" s="45" t="s">
        <v>8646</v>
      </c>
      <c r="U90" s="45" t="s">
        <v>8805</v>
      </c>
      <c r="X90" s="45" t="s">
        <v>8662</v>
      </c>
      <c r="Y90" s="45" t="s">
        <v>8643</v>
      </c>
      <c r="Z90" s="45" t="s">
        <v>2508</v>
      </c>
      <c r="AA90" s="45" t="s">
        <v>59</v>
      </c>
      <c r="AB90" s="45" t="n">
        <v>5</v>
      </c>
      <c r="AC90" s="45" t="n">
        <v>5</v>
      </c>
    </row>
    <row r="91" customFormat="false" ht="22.5" hidden="false" customHeight="true" outlineLevel="0" collapsed="false">
      <c r="A91" s="48" t="n">
        <v>46289.8072490046</v>
      </c>
      <c r="B91" s="45" t="n">
        <v>20</v>
      </c>
      <c r="C91" s="45" t="s">
        <v>437</v>
      </c>
      <c r="D91" s="45" t="s">
        <v>49</v>
      </c>
      <c r="E91" s="45" t="s">
        <v>83</v>
      </c>
      <c r="F91" s="45" t="s">
        <v>8658</v>
      </c>
      <c r="G91" s="45" t="s">
        <v>2614</v>
      </c>
      <c r="H91" s="45" t="s">
        <v>2540</v>
      </c>
      <c r="I91" s="45" t="s">
        <v>2540</v>
      </c>
      <c r="J91" s="45" t="s">
        <v>2495</v>
      </c>
      <c r="K91" s="45" t="s">
        <v>59</v>
      </c>
      <c r="L91" s="45" t="s">
        <v>2504</v>
      </c>
      <c r="M91" s="45" t="s">
        <v>2546</v>
      </c>
      <c r="N91" s="45" t="s">
        <v>8904</v>
      </c>
      <c r="O91" s="45" t="s">
        <v>8905</v>
      </c>
      <c r="P91" s="45" t="s">
        <v>8906</v>
      </c>
      <c r="Q91" s="45" t="s">
        <v>8643</v>
      </c>
      <c r="R91" s="45" t="s">
        <v>8644</v>
      </c>
      <c r="S91" s="45" t="s">
        <v>8642</v>
      </c>
      <c r="T91" s="45" t="s">
        <v>8686</v>
      </c>
      <c r="U91" s="45" t="s">
        <v>8643</v>
      </c>
      <c r="V91" s="45" t="s">
        <v>8642</v>
      </c>
      <c r="W91" s="45" t="s">
        <v>8644</v>
      </c>
      <c r="X91" s="45" t="s">
        <v>8662</v>
      </c>
      <c r="Y91" s="45" t="s">
        <v>8642</v>
      </c>
      <c r="Z91" s="45" t="s">
        <v>2628</v>
      </c>
      <c r="AA91" s="45" t="s">
        <v>59</v>
      </c>
      <c r="AB91" s="45" t="n">
        <v>5</v>
      </c>
      <c r="AC91" s="45" t="n">
        <v>5</v>
      </c>
    </row>
    <row r="92" customFormat="false" ht="22.5" hidden="false" customHeight="true" outlineLevel="0" collapsed="false">
      <c r="A92" s="48" t="n">
        <v>46289.8132053241</v>
      </c>
      <c r="B92" s="45" t="n">
        <v>21</v>
      </c>
      <c r="C92" s="45" t="s">
        <v>437</v>
      </c>
      <c r="D92" s="45" t="s">
        <v>8637</v>
      </c>
      <c r="E92" s="45" t="s">
        <v>45</v>
      </c>
      <c r="F92" s="45" t="s">
        <v>8658</v>
      </c>
      <c r="G92" s="45" t="s">
        <v>2515</v>
      </c>
      <c r="H92" s="45" t="s">
        <v>2510</v>
      </c>
      <c r="I92" s="45" t="s">
        <v>2523</v>
      </c>
      <c r="J92" s="45" t="s">
        <v>2544</v>
      </c>
      <c r="K92" s="45" t="s">
        <v>1690</v>
      </c>
      <c r="L92" s="45" t="s">
        <v>2789</v>
      </c>
      <c r="M92" s="45" t="s">
        <v>2546</v>
      </c>
      <c r="N92" s="45" t="s">
        <v>8907</v>
      </c>
      <c r="O92" s="45" t="s">
        <v>8908</v>
      </c>
      <c r="P92" s="45" t="s">
        <v>8909</v>
      </c>
      <c r="Q92" s="45" t="s">
        <v>8644</v>
      </c>
      <c r="R92" s="45" t="s">
        <v>8642</v>
      </c>
      <c r="S92" s="45" t="s">
        <v>8643</v>
      </c>
      <c r="T92" s="45" t="s">
        <v>8686</v>
      </c>
      <c r="U92" s="45" t="s">
        <v>8642</v>
      </c>
      <c r="V92" s="45" t="s">
        <v>8644</v>
      </c>
      <c r="W92" s="45" t="s">
        <v>8643</v>
      </c>
      <c r="X92" s="45" t="s">
        <v>8863</v>
      </c>
      <c r="Y92" s="45" t="s">
        <v>8644</v>
      </c>
      <c r="Z92" s="45" t="s">
        <v>2628</v>
      </c>
      <c r="AA92" s="45" t="s">
        <v>59</v>
      </c>
      <c r="AB92" s="45" t="n">
        <v>5</v>
      </c>
      <c r="AC92" s="45" t="n">
        <v>5</v>
      </c>
    </row>
    <row r="93" customFormat="false" ht="22.5" hidden="false" customHeight="true" outlineLevel="0" collapsed="false">
      <c r="A93" s="48" t="n">
        <v>46289.8281274769</v>
      </c>
      <c r="B93" s="45" t="n">
        <v>22</v>
      </c>
      <c r="C93" s="45" t="s">
        <v>437</v>
      </c>
      <c r="D93" s="45" t="s">
        <v>47</v>
      </c>
      <c r="E93" s="45" t="s">
        <v>83</v>
      </c>
      <c r="F93" s="45" t="s">
        <v>8658</v>
      </c>
      <c r="G93" s="45" t="s">
        <v>2515</v>
      </c>
      <c r="H93" s="45" t="s">
        <v>2503</v>
      </c>
      <c r="I93" s="45" t="s">
        <v>2493</v>
      </c>
      <c r="J93" s="45" t="s">
        <v>2544</v>
      </c>
      <c r="K93" s="45" t="s">
        <v>1690</v>
      </c>
      <c r="L93" s="45" t="s">
        <v>2516</v>
      </c>
      <c r="M93" s="45" t="s">
        <v>2497</v>
      </c>
      <c r="N93" s="45" t="s">
        <v>3252</v>
      </c>
      <c r="O93" s="45" t="s">
        <v>3252</v>
      </c>
      <c r="P93" s="45" t="s">
        <v>3252</v>
      </c>
      <c r="Q93" s="45" t="s">
        <v>8644</v>
      </c>
      <c r="R93" s="45" t="s">
        <v>8642</v>
      </c>
      <c r="S93" s="45" t="s">
        <v>8643</v>
      </c>
      <c r="T93" s="45" t="s">
        <v>8646</v>
      </c>
      <c r="U93" s="45" t="s">
        <v>8805</v>
      </c>
      <c r="V93" s="45" t="s">
        <v>8642</v>
      </c>
      <c r="X93" s="45" t="s">
        <v>8692</v>
      </c>
      <c r="Y93" s="45" t="s">
        <v>8642</v>
      </c>
      <c r="Z93" s="45" t="s">
        <v>2628</v>
      </c>
      <c r="AA93" s="45" t="s">
        <v>2242</v>
      </c>
      <c r="AB93" s="45" t="n">
        <v>5</v>
      </c>
      <c r="AC93" s="45" t="n">
        <v>3</v>
      </c>
    </row>
    <row r="94" customFormat="false" ht="22.5" hidden="false" customHeight="true" outlineLevel="0" collapsed="false">
      <c r="A94" s="48" t="n">
        <v>46289.9341183218</v>
      </c>
      <c r="B94" s="45" t="n">
        <v>22</v>
      </c>
      <c r="C94" s="45" t="s">
        <v>8910</v>
      </c>
      <c r="D94" s="45" t="s">
        <v>47</v>
      </c>
      <c r="E94" s="45" t="s">
        <v>83</v>
      </c>
      <c r="F94" s="45" t="s">
        <v>8647</v>
      </c>
      <c r="G94" s="45" t="s">
        <v>806</v>
      </c>
      <c r="H94" s="45" t="s">
        <v>2524</v>
      </c>
      <c r="I94" s="45" t="s">
        <v>2539</v>
      </c>
      <c r="J94" s="45" t="s">
        <v>2544</v>
      </c>
      <c r="K94" s="45" t="s">
        <v>1690</v>
      </c>
      <c r="L94" s="45" t="s">
        <v>2796</v>
      </c>
      <c r="M94" s="45" t="s">
        <v>2497</v>
      </c>
      <c r="Q94" s="45" t="s">
        <v>8643</v>
      </c>
      <c r="R94" s="45" t="s">
        <v>8644</v>
      </c>
      <c r="S94" s="45" t="s">
        <v>8643</v>
      </c>
      <c r="T94" s="45" t="s">
        <v>8651</v>
      </c>
      <c r="U94" s="45" t="s">
        <v>8643</v>
      </c>
      <c r="V94" s="45" t="s">
        <v>8642</v>
      </c>
      <c r="W94" s="45" t="s">
        <v>8643</v>
      </c>
      <c r="X94" s="45" t="s">
        <v>8645</v>
      </c>
      <c r="Y94" s="45" t="s">
        <v>8642</v>
      </c>
      <c r="Z94" s="45" t="s">
        <v>2549</v>
      </c>
      <c r="AA94" s="45" t="s">
        <v>59</v>
      </c>
      <c r="AB94" s="45" t="n">
        <v>1</v>
      </c>
      <c r="AC94" s="45" t="n">
        <v>4</v>
      </c>
    </row>
    <row r="95" customFormat="false" ht="22.5" hidden="false" customHeight="true" outlineLevel="0" collapsed="false">
      <c r="A95" s="48" t="n">
        <v>46290.3580512963</v>
      </c>
      <c r="B95" s="45" t="n">
        <v>22</v>
      </c>
      <c r="C95" s="45" t="s">
        <v>437</v>
      </c>
      <c r="D95" s="45" t="s">
        <v>49</v>
      </c>
      <c r="E95" s="45" t="s">
        <v>83</v>
      </c>
      <c r="F95" s="45" t="s">
        <v>8638</v>
      </c>
      <c r="G95" s="45" t="s">
        <v>2614</v>
      </c>
      <c r="H95" s="45" t="s">
        <v>2523</v>
      </c>
      <c r="I95" s="45" t="s">
        <v>2540</v>
      </c>
      <c r="J95" s="45" t="s">
        <v>2582</v>
      </c>
      <c r="K95" s="45" t="s">
        <v>1690</v>
      </c>
      <c r="L95" s="45" t="s">
        <v>2641</v>
      </c>
      <c r="M95" s="45" t="s">
        <v>2505</v>
      </c>
      <c r="N95" s="45" t="s">
        <v>8911</v>
      </c>
      <c r="O95" s="45" t="s">
        <v>8912</v>
      </c>
      <c r="P95" s="45" t="s">
        <v>8913</v>
      </c>
      <c r="Q95" s="45" t="s">
        <v>8643</v>
      </c>
      <c r="R95" s="45" t="s">
        <v>8644</v>
      </c>
      <c r="S95" s="45" t="s">
        <v>8642</v>
      </c>
      <c r="T95" s="45" t="s">
        <v>8645</v>
      </c>
      <c r="U95" s="45" t="s">
        <v>8643</v>
      </c>
      <c r="V95" s="45" t="s">
        <v>8644</v>
      </c>
      <c r="W95" s="45" t="s">
        <v>8642</v>
      </c>
      <c r="X95" s="45" t="s">
        <v>8646</v>
      </c>
      <c r="Y95" s="45" t="s">
        <v>8643</v>
      </c>
      <c r="Z95" s="45" t="s">
        <v>2508</v>
      </c>
      <c r="AA95" s="45" t="s">
        <v>59</v>
      </c>
      <c r="AB95" s="45" t="n">
        <v>4</v>
      </c>
      <c r="AC95" s="45" t="n">
        <v>5</v>
      </c>
    </row>
    <row r="96" customFormat="false" ht="22.5" hidden="false" customHeight="true" outlineLevel="0" collapsed="false">
      <c r="A96" s="48" t="n">
        <v>46291.0430507292</v>
      </c>
      <c r="B96" s="45" t="n">
        <v>22</v>
      </c>
      <c r="C96" s="45" t="s">
        <v>437</v>
      </c>
      <c r="D96" s="45" t="s">
        <v>2651</v>
      </c>
      <c r="E96" s="45" t="s">
        <v>45</v>
      </c>
      <c r="F96" s="45" t="s">
        <v>8658</v>
      </c>
      <c r="G96" s="45" t="s">
        <v>2538</v>
      </c>
      <c r="H96" s="45" t="s">
        <v>2523</v>
      </c>
      <c r="I96" s="45" t="s">
        <v>2523</v>
      </c>
      <c r="J96" s="45" t="s">
        <v>2495</v>
      </c>
      <c r="K96" s="45" t="s">
        <v>1690</v>
      </c>
      <c r="L96" s="45" t="s">
        <v>2801</v>
      </c>
      <c r="M96" s="45" t="s">
        <v>2497</v>
      </c>
      <c r="N96" s="45" t="s">
        <v>8914</v>
      </c>
      <c r="O96" s="45" t="s">
        <v>8915</v>
      </c>
      <c r="P96" s="45" t="s">
        <v>8916</v>
      </c>
      <c r="Q96" s="45" t="s">
        <v>8643</v>
      </c>
      <c r="R96" s="45" t="s">
        <v>8642</v>
      </c>
      <c r="S96" s="45" t="s">
        <v>8644</v>
      </c>
      <c r="T96" s="45" t="s">
        <v>8662</v>
      </c>
      <c r="U96" s="45" t="s">
        <v>8644</v>
      </c>
      <c r="V96" s="45" t="s">
        <v>8643</v>
      </c>
      <c r="W96" s="45" t="s">
        <v>8642</v>
      </c>
      <c r="X96" s="45" t="s">
        <v>8645</v>
      </c>
      <c r="Y96" s="45" t="s">
        <v>8644</v>
      </c>
      <c r="Z96" s="45" t="s">
        <v>2508</v>
      </c>
      <c r="AA96" s="45" t="s">
        <v>59</v>
      </c>
      <c r="AB96" s="45" t="n">
        <v>4</v>
      </c>
      <c r="AC96" s="45" t="n">
        <v>5</v>
      </c>
    </row>
    <row r="97" customFormat="false" ht="22.5" hidden="false" customHeight="true" outlineLevel="0" collapsed="false">
      <c r="A97" s="48" t="n">
        <v>46291.4678962847</v>
      </c>
      <c r="B97" s="45" t="n">
        <v>31</v>
      </c>
      <c r="C97" s="45" t="s">
        <v>437</v>
      </c>
      <c r="D97" s="45" t="s">
        <v>437</v>
      </c>
      <c r="E97" s="45" t="s">
        <v>83</v>
      </c>
      <c r="F97" s="45" t="s">
        <v>8652</v>
      </c>
      <c r="G97" s="45" t="s">
        <v>2614</v>
      </c>
      <c r="H97" s="45" t="s">
        <v>2493</v>
      </c>
      <c r="I97" s="45" t="s">
        <v>2539</v>
      </c>
      <c r="J97" s="45" t="s">
        <v>2495</v>
      </c>
      <c r="K97" s="45" t="s">
        <v>1690</v>
      </c>
      <c r="L97" s="45" t="s">
        <v>2529</v>
      </c>
      <c r="M97" s="45" t="s">
        <v>2497</v>
      </c>
      <c r="N97" s="45" t="s">
        <v>8917</v>
      </c>
      <c r="O97" s="45" t="s">
        <v>8918</v>
      </c>
      <c r="P97" s="45" t="s">
        <v>8919</v>
      </c>
      <c r="Q97" s="45" t="s">
        <v>8643</v>
      </c>
      <c r="R97" s="45" t="s">
        <v>8642</v>
      </c>
      <c r="S97" s="45" t="s">
        <v>8644</v>
      </c>
      <c r="T97" s="45" t="s">
        <v>8696</v>
      </c>
      <c r="U97" s="45" t="s">
        <v>8643</v>
      </c>
      <c r="V97" s="45" t="s">
        <v>8644</v>
      </c>
      <c r="W97" s="45" t="s">
        <v>8642</v>
      </c>
      <c r="X97" s="45" t="s">
        <v>8691</v>
      </c>
      <c r="Y97" s="45" t="s">
        <v>8643</v>
      </c>
      <c r="Z97" s="45" t="s">
        <v>2508</v>
      </c>
      <c r="AA97" s="45" t="s">
        <v>2242</v>
      </c>
      <c r="AB97" s="45" t="n">
        <v>5</v>
      </c>
      <c r="AC97" s="45" t="n">
        <v>5</v>
      </c>
    </row>
    <row r="98" customFormat="false" ht="22.5" hidden="false" customHeight="true" outlineLevel="0" collapsed="false">
      <c r="A98" s="48" t="n">
        <v>46291.4762972801</v>
      </c>
      <c r="B98" s="45" t="n">
        <v>26</v>
      </c>
      <c r="C98" s="45" t="s">
        <v>437</v>
      </c>
      <c r="D98" s="45" t="s">
        <v>437</v>
      </c>
      <c r="E98" s="45" t="s">
        <v>83</v>
      </c>
      <c r="F98" s="45" t="s">
        <v>8658</v>
      </c>
      <c r="G98" s="45" t="s">
        <v>2538</v>
      </c>
      <c r="H98" s="45" t="s">
        <v>2493</v>
      </c>
      <c r="I98" s="45" t="s">
        <v>2493</v>
      </c>
      <c r="J98" s="45" t="s">
        <v>2555</v>
      </c>
      <c r="K98" s="45" t="s">
        <v>1690</v>
      </c>
      <c r="L98" s="45" t="s">
        <v>2602</v>
      </c>
      <c r="M98" s="45" t="s">
        <v>2546</v>
      </c>
      <c r="Q98" s="45" t="s">
        <v>8733</v>
      </c>
      <c r="R98" s="45" t="s">
        <v>8643</v>
      </c>
      <c r="T98" s="45" t="s">
        <v>8687</v>
      </c>
      <c r="U98" s="45" t="s">
        <v>8733</v>
      </c>
      <c r="V98" s="45" t="s">
        <v>8643</v>
      </c>
      <c r="X98" s="45" t="s">
        <v>8692</v>
      </c>
      <c r="Y98" s="45" t="s">
        <v>8642</v>
      </c>
      <c r="Z98" s="45" t="s">
        <v>2508</v>
      </c>
      <c r="AA98" s="45" t="s">
        <v>59</v>
      </c>
      <c r="AB98" s="45" t="n">
        <v>4</v>
      </c>
      <c r="AC98" s="45" t="n">
        <v>5</v>
      </c>
    </row>
    <row r="99" customFormat="false" ht="22.5" hidden="false" customHeight="true" outlineLevel="0" collapsed="false">
      <c r="A99" s="48" t="n">
        <v>46291.4813833912</v>
      </c>
      <c r="B99" s="45" t="n">
        <v>22</v>
      </c>
      <c r="C99" s="45" t="s">
        <v>437</v>
      </c>
      <c r="D99" s="45" t="s">
        <v>8920</v>
      </c>
      <c r="E99" s="45" t="s">
        <v>45</v>
      </c>
      <c r="F99" s="45" t="s">
        <v>8647</v>
      </c>
      <c r="G99" s="45" t="s">
        <v>2538</v>
      </c>
      <c r="H99" s="45" t="s">
        <v>2523</v>
      </c>
      <c r="I99" s="45" t="s">
        <v>2524</v>
      </c>
      <c r="J99" s="45" t="s">
        <v>2582</v>
      </c>
      <c r="K99" s="45" t="s">
        <v>1690</v>
      </c>
      <c r="L99" s="45" t="s">
        <v>2511</v>
      </c>
      <c r="M99" s="45" t="s">
        <v>2505</v>
      </c>
      <c r="N99" s="45" t="s">
        <v>8921</v>
      </c>
      <c r="O99" s="45" t="s">
        <v>8922</v>
      </c>
      <c r="P99" s="45" t="s">
        <v>8923</v>
      </c>
      <c r="Q99" s="45" t="s">
        <v>8643</v>
      </c>
      <c r="R99" s="45" t="s">
        <v>8644</v>
      </c>
      <c r="S99" s="45" t="s">
        <v>8642</v>
      </c>
      <c r="T99" s="45" t="s">
        <v>8667</v>
      </c>
      <c r="U99" s="45" t="s">
        <v>8643</v>
      </c>
      <c r="V99" s="45" t="s">
        <v>8644</v>
      </c>
      <c r="W99" s="45" t="s">
        <v>8642</v>
      </c>
      <c r="X99" s="45" t="s">
        <v>8667</v>
      </c>
      <c r="Y99" s="45" t="s">
        <v>8642</v>
      </c>
      <c r="Z99" s="45" t="s">
        <v>2549</v>
      </c>
      <c r="AA99" s="45" t="s">
        <v>59</v>
      </c>
      <c r="AB99" s="45" t="n">
        <v>3</v>
      </c>
      <c r="AC99" s="45" t="n">
        <v>1</v>
      </c>
    </row>
    <row r="100" customFormat="false" ht="22.5" hidden="false" customHeight="true" outlineLevel="0" collapsed="false">
      <c r="A100" s="48" t="n">
        <v>46291.5500200694</v>
      </c>
      <c r="B100" s="45" t="n">
        <v>22</v>
      </c>
      <c r="C100" s="45" t="s">
        <v>437</v>
      </c>
      <c r="D100" s="45" t="s">
        <v>47</v>
      </c>
      <c r="E100" s="45" t="s">
        <v>45</v>
      </c>
      <c r="F100" s="45" t="s">
        <v>8658</v>
      </c>
      <c r="G100" s="45" t="s">
        <v>2515</v>
      </c>
      <c r="H100" s="45" t="s">
        <v>2493</v>
      </c>
      <c r="I100" s="45" t="s">
        <v>2503</v>
      </c>
      <c r="J100" s="45" t="s">
        <v>2495</v>
      </c>
      <c r="K100" s="45" t="s">
        <v>1690</v>
      </c>
      <c r="L100" s="45" t="s">
        <v>2504</v>
      </c>
      <c r="M100" s="45" t="s">
        <v>2242</v>
      </c>
      <c r="N100" s="45" t="s">
        <v>8924</v>
      </c>
      <c r="O100" s="45" t="s">
        <v>8925</v>
      </c>
      <c r="P100" s="45" t="s">
        <v>8926</v>
      </c>
      <c r="Q100" s="45" t="s">
        <v>8643</v>
      </c>
      <c r="R100" s="45" t="s">
        <v>8644</v>
      </c>
      <c r="S100" s="45" t="s">
        <v>8642</v>
      </c>
      <c r="T100" s="45" t="s">
        <v>8662</v>
      </c>
      <c r="U100" s="45" t="s">
        <v>8643</v>
      </c>
      <c r="V100" s="45" t="s">
        <v>8642</v>
      </c>
      <c r="W100" s="45" t="s">
        <v>8644</v>
      </c>
      <c r="X100" s="45" t="s">
        <v>8692</v>
      </c>
      <c r="Y100" s="45" t="s">
        <v>8643</v>
      </c>
      <c r="Z100" s="45" t="s">
        <v>2549</v>
      </c>
      <c r="AA100" s="45" t="s">
        <v>59</v>
      </c>
      <c r="AB100" s="45" t="n">
        <v>4</v>
      </c>
      <c r="AC100" s="45" t="n">
        <v>5</v>
      </c>
    </row>
    <row r="101" customFormat="false" ht="22.5" hidden="false" customHeight="true" outlineLevel="0" collapsed="false">
      <c r="A101" s="48" t="n">
        <v>46291.6537164005</v>
      </c>
      <c r="B101" s="45" t="n">
        <v>22</v>
      </c>
      <c r="C101" s="45" t="s">
        <v>437</v>
      </c>
      <c r="D101" s="45" t="s">
        <v>71</v>
      </c>
      <c r="E101" s="45" t="s">
        <v>45</v>
      </c>
      <c r="F101" s="45" t="s">
        <v>8638</v>
      </c>
      <c r="G101" s="45" t="s">
        <v>806</v>
      </c>
      <c r="H101" s="45" t="s">
        <v>2540</v>
      </c>
      <c r="I101" s="45" t="s">
        <v>2540</v>
      </c>
      <c r="J101" s="45" t="s">
        <v>2495</v>
      </c>
      <c r="K101" s="45" t="s">
        <v>59</v>
      </c>
      <c r="L101" s="45" t="s">
        <v>2610</v>
      </c>
      <c r="M101" s="45" t="s">
        <v>2551</v>
      </c>
      <c r="Q101" s="45" t="s">
        <v>8643</v>
      </c>
      <c r="R101" s="45" t="s">
        <v>8644</v>
      </c>
      <c r="S101" s="45" t="s">
        <v>8642</v>
      </c>
      <c r="T101" s="45" t="s">
        <v>8760</v>
      </c>
      <c r="U101" s="45" t="s">
        <v>8643</v>
      </c>
      <c r="V101" s="45" t="s">
        <v>8642</v>
      </c>
      <c r="W101" s="45" t="s">
        <v>8644</v>
      </c>
      <c r="X101" s="45" t="s">
        <v>8646</v>
      </c>
      <c r="Y101" s="45" t="s">
        <v>8643</v>
      </c>
      <c r="Z101" s="45" t="s">
        <v>2500</v>
      </c>
      <c r="AA101" s="45" t="s">
        <v>98</v>
      </c>
      <c r="AB101" s="45" t="n">
        <v>5</v>
      </c>
      <c r="AC101" s="45" t="n">
        <v>5</v>
      </c>
    </row>
    <row r="102" customFormat="false" ht="22.5" hidden="false" customHeight="true" outlineLevel="0" collapsed="false">
      <c r="A102" s="48" t="n">
        <v>46291.7850717824</v>
      </c>
      <c r="B102" s="45" t="n">
        <v>22</v>
      </c>
      <c r="C102" s="45" t="s">
        <v>437</v>
      </c>
      <c r="D102" s="45" t="s">
        <v>71</v>
      </c>
      <c r="E102" s="45" t="s">
        <v>83</v>
      </c>
      <c r="F102" s="45" t="s">
        <v>8647</v>
      </c>
      <c r="G102" s="45" t="s">
        <v>2515</v>
      </c>
      <c r="H102" s="45" t="s">
        <v>2523</v>
      </c>
      <c r="I102" s="45" t="s">
        <v>2523</v>
      </c>
      <c r="J102" s="45" t="s">
        <v>2495</v>
      </c>
      <c r="K102" s="45" t="s">
        <v>2242</v>
      </c>
      <c r="L102" s="45" t="s">
        <v>2496</v>
      </c>
      <c r="M102" s="45" t="s">
        <v>2497</v>
      </c>
      <c r="Q102" s="45" t="s">
        <v>8642</v>
      </c>
      <c r="R102" s="45" t="s">
        <v>8643</v>
      </c>
      <c r="S102" s="45" t="s">
        <v>8644</v>
      </c>
      <c r="T102" s="45" t="s">
        <v>8662</v>
      </c>
      <c r="U102" s="45" t="s">
        <v>8644</v>
      </c>
      <c r="V102" s="45" t="s">
        <v>8643</v>
      </c>
      <c r="W102" s="45" t="s">
        <v>8642</v>
      </c>
      <c r="X102" s="45" t="s">
        <v>8927</v>
      </c>
      <c r="Y102" s="45" t="s">
        <v>8642</v>
      </c>
      <c r="Z102" s="45" t="s">
        <v>2508</v>
      </c>
      <c r="AA102" s="45" t="s">
        <v>59</v>
      </c>
      <c r="AB102" s="45" t="n">
        <v>3</v>
      </c>
      <c r="AC102" s="45" t="n">
        <v>3</v>
      </c>
    </row>
    <row r="103" customFormat="false" ht="22.5" hidden="false" customHeight="true" outlineLevel="0" collapsed="false">
      <c r="A103" s="48" t="n">
        <v>46291.9280682523</v>
      </c>
      <c r="B103" s="45" t="n">
        <v>52</v>
      </c>
      <c r="C103" s="45" t="s">
        <v>436</v>
      </c>
      <c r="D103" s="45" t="s">
        <v>437</v>
      </c>
      <c r="E103" s="45" t="s">
        <v>45</v>
      </c>
      <c r="F103" s="45" t="s">
        <v>8647</v>
      </c>
      <c r="G103" s="45" t="s">
        <v>2614</v>
      </c>
      <c r="H103" s="45" t="s">
        <v>2523</v>
      </c>
      <c r="I103" s="45" t="s">
        <v>2523</v>
      </c>
      <c r="J103" s="45" t="s">
        <v>2533</v>
      </c>
      <c r="K103" s="45" t="s">
        <v>2242</v>
      </c>
      <c r="L103" s="45" t="s">
        <v>2525</v>
      </c>
      <c r="M103" s="45" t="s">
        <v>2546</v>
      </c>
      <c r="N103" s="45" t="s">
        <v>8928</v>
      </c>
      <c r="O103" s="45" t="s">
        <v>8929</v>
      </c>
      <c r="P103" s="45" t="s">
        <v>8930</v>
      </c>
      <c r="Q103" s="45" t="s">
        <v>8644</v>
      </c>
      <c r="R103" s="45" t="s">
        <v>8642</v>
      </c>
      <c r="S103" s="45" t="s">
        <v>8643</v>
      </c>
      <c r="T103" s="45" t="s">
        <v>8646</v>
      </c>
      <c r="U103" s="45" t="s">
        <v>8643</v>
      </c>
      <c r="V103" s="45" t="s">
        <v>8644</v>
      </c>
      <c r="W103" s="45" t="s">
        <v>8642</v>
      </c>
      <c r="X103" s="45" t="s">
        <v>8651</v>
      </c>
      <c r="Y103" s="45" t="s">
        <v>8643</v>
      </c>
      <c r="Z103" s="45" t="s">
        <v>2508</v>
      </c>
      <c r="AA103" s="45" t="s">
        <v>59</v>
      </c>
      <c r="AB103" s="45" t="n">
        <v>5</v>
      </c>
      <c r="AC103" s="45" t="n">
        <v>5</v>
      </c>
    </row>
    <row r="104" customFormat="false" ht="22.5" hidden="false" customHeight="true" outlineLevel="0" collapsed="false">
      <c r="A104" s="48" t="n">
        <v>46292.0794932407</v>
      </c>
      <c r="B104" s="45" t="n">
        <v>25</v>
      </c>
      <c r="C104" s="45" t="s">
        <v>8240</v>
      </c>
      <c r="D104" s="45" t="s">
        <v>8240</v>
      </c>
      <c r="E104" s="45" t="s">
        <v>83</v>
      </c>
      <c r="F104" s="45" t="s">
        <v>8647</v>
      </c>
      <c r="G104" s="45" t="s">
        <v>2515</v>
      </c>
      <c r="H104" s="45" t="s">
        <v>2523</v>
      </c>
      <c r="I104" s="45" t="s">
        <v>2503</v>
      </c>
      <c r="J104" s="45" t="s">
        <v>2533</v>
      </c>
      <c r="K104" s="45" t="s">
        <v>2242</v>
      </c>
      <c r="L104" s="45" t="s">
        <v>2516</v>
      </c>
      <c r="M104" s="45" t="s">
        <v>2546</v>
      </c>
      <c r="N104" s="45" t="s">
        <v>8931</v>
      </c>
      <c r="O104" s="45" t="s">
        <v>8932</v>
      </c>
      <c r="P104" s="45" t="s">
        <v>8933</v>
      </c>
      <c r="Q104" s="45" t="s">
        <v>8642</v>
      </c>
      <c r="R104" s="45" t="s">
        <v>8643</v>
      </c>
      <c r="S104" s="45" t="s">
        <v>8644</v>
      </c>
      <c r="T104" s="45" t="s">
        <v>8772</v>
      </c>
      <c r="U104" s="45" t="s">
        <v>8642</v>
      </c>
      <c r="V104" s="45" t="s">
        <v>8643</v>
      </c>
      <c r="W104" s="45" t="s">
        <v>8644</v>
      </c>
      <c r="X104" s="45" t="s">
        <v>8863</v>
      </c>
      <c r="Y104" s="45" t="s">
        <v>8642</v>
      </c>
      <c r="Z104" s="45" t="s">
        <v>2628</v>
      </c>
      <c r="AA104" s="45" t="s">
        <v>59</v>
      </c>
      <c r="AB104" s="45" t="n">
        <v>4</v>
      </c>
      <c r="AC104" s="45" t="n">
        <v>4</v>
      </c>
    </row>
    <row r="105" customFormat="false" ht="22.5" hidden="false" customHeight="true" outlineLevel="0" collapsed="false">
      <c r="A105" s="48" t="n">
        <v>46292.1231856713</v>
      </c>
      <c r="B105" s="45" t="n">
        <v>43</v>
      </c>
      <c r="C105" s="45" t="s">
        <v>437</v>
      </c>
      <c r="D105" s="45" t="s">
        <v>47</v>
      </c>
      <c r="E105" s="45" t="s">
        <v>45</v>
      </c>
      <c r="F105" s="45" t="s">
        <v>8658</v>
      </c>
      <c r="G105" s="45" t="s">
        <v>2515</v>
      </c>
      <c r="H105" s="45" t="s">
        <v>2494</v>
      </c>
      <c r="I105" s="45" t="s">
        <v>2494</v>
      </c>
      <c r="J105" s="45" t="s">
        <v>2495</v>
      </c>
      <c r="K105" s="45" t="s">
        <v>59</v>
      </c>
      <c r="L105" s="45" t="s">
        <v>2617</v>
      </c>
      <c r="M105" s="45" t="s">
        <v>2497</v>
      </c>
      <c r="Q105" s="45" t="s">
        <v>8643</v>
      </c>
      <c r="R105" s="45" t="s">
        <v>8642</v>
      </c>
      <c r="S105" s="45" t="s">
        <v>8644</v>
      </c>
      <c r="T105" s="45" t="s">
        <v>8646</v>
      </c>
      <c r="U105" s="45" t="s">
        <v>8643</v>
      </c>
      <c r="V105" s="45" t="s">
        <v>8642</v>
      </c>
      <c r="W105" s="45" t="s">
        <v>8644</v>
      </c>
      <c r="X105" s="45" t="s">
        <v>8651</v>
      </c>
      <c r="Y105" s="45" t="s">
        <v>8643</v>
      </c>
      <c r="Z105" s="45" t="s">
        <v>2628</v>
      </c>
      <c r="AA105" s="45" t="s">
        <v>59</v>
      </c>
      <c r="AB105" s="45" t="n">
        <v>2</v>
      </c>
      <c r="AC105" s="45" t="n">
        <v>1</v>
      </c>
    </row>
    <row r="106" customFormat="false" ht="22.5" hidden="false" customHeight="true" outlineLevel="0" collapsed="false">
      <c r="A106" s="48" t="n">
        <v>46292.5070564236</v>
      </c>
      <c r="B106" s="45" t="n">
        <v>28</v>
      </c>
      <c r="C106" s="45" t="s">
        <v>49</v>
      </c>
      <c r="D106" s="45" t="s">
        <v>49</v>
      </c>
      <c r="E106" s="45" t="s">
        <v>83</v>
      </c>
      <c r="F106" s="45" t="s">
        <v>8652</v>
      </c>
      <c r="G106" s="45" t="s">
        <v>2515</v>
      </c>
      <c r="H106" s="45" t="s">
        <v>2494</v>
      </c>
      <c r="I106" s="45" t="s">
        <v>2539</v>
      </c>
      <c r="J106" s="45" t="s">
        <v>2495</v>
      </c>
      <c r="K106" s="45" t="s">
        <v>1690</v>
      </c>
      <c r="L106" s="45" t="s">
        <v>2496</v>
      </c>
      <c r="M106" s="45" t="s">
        <v>2497</v>
      </c>
      <c r="N106" s="45" t="s">
        <v>8934</v>
      </c>
      <c r="O106" s="45" t="s">
        <v>8935</v>
      </c>
      <c r="P106" s="45" t="s">
        <v>8936</v>
      </c>
      <c r="Q106" s="45" t="s">
        <v>8643</v>
      </c>
      <c r="R106" s="45" t="s">
        <v>8642</v>
      </c>
      <c r="S106" s="45" t="s">
        <v>8644</v>
      </c>
      <c r="T106" s="45" t="s">
        <v>8724</v>
      </c>
      <c r="U106" s="45" t="s">
        <v>8643</v>
      </c>
      <c r="V106" s="45" t="s">
        <v>8644</v>
      </c>
      <c r="W106" s="45" t="s">
        <v>8642</v>
      </c>
      <c r="X106" s="45" t="s">
        <v>8709</v>
      </c>
      <c r="Y106" s="45" t="s">
        <v>8642</v>
      </c>
      <c r="Z106" s="45" t="s">
        <v>2608</v>
      </c>
      <c r="AA106" s="45" t="s">
        <v>59</v>
      </c>
      <c r="AB106" s="45" t="n">
        <v>4</v>
      </c>
      <c r="AC106" s="45" t="n">
        <v>5</v>
      </c>
    </row>
    <row r="107" customFormat="false" ht="22.5" hidden="false" customHeight="true" outlineLevel="0" collapsed="false">
      <c r="A107" s="48" t="n">
        <v>46293.7361253588</v>
      </c>
      <c r="B107" s="45" t="n">
        <v>24</v>
      </c>
      <c r="C107" s="45" t="s">
        <v>437</v>
      </c>
      <c r="D107" s="45" t="s">
        <v>47</v>
      </c>
      <c r="E107" s="45" t="s">
        <v>83</v>
      </c>
      <c r="F107" s="45" t="s">
        <v>8647</v>
      </c>
      <c r="G107" s="45" t="s">
        <v>2538</v>
      </c>
      <c r="H107" s="45" t="s">
        <v>2493</v>
      </c>
      <c r="I107" s="45" t="s">
        <v>2524</v>
      </c>
      <c r="J107" s="45" t="s">
        <v>2495</v>
      </c>
      <c r="K107" s="45" t="s">
        <v>1690</v>
      </c>
      <c r="L107" s="45" t="s">
        <v>2516</v>
      </c>
      <c r="M107" s="45" t="s">
        <v>2546</v>
      </c>
      <c r="N107" s="45" t="s">
        <v>8937</v>
      </c>
      <c r="O107" s="45" t="s">
        <v>8938</v>
      </c>
      <c r="P107" s="45" t="s">
        <v>8939</v>
      </c>
      <c r="Q107" s="45" t="s">
        <v>8642</v>
      </c>
      <c r="R107" s="45" t="s">
        <v>8643</v>
      </c>
      <c r="S107" s="45" t="s">
        <v>8644</v>
      </c>
      <c r="T107" s="45" t="s">
        <v>8724</v>
      </c>
      <c r="U107" s="45" t="s">
        <v>8643</v>
      </c>
      <c r="V107" s="45" t="s">
        <v>8642</v>
      </c>
      <c r="W107" s="45" t="s">
        <v>8644</v>
      </c>
      <c r="X107" s="45" t="s">
        <v>8709</v>
      </c>
      <c r="Y107" s="45" t="s">
        <v>8642</v>
      </c>
      <c r="Z107" s="45" t="s">
        <v>2519</v>
      </c>
      <c r="AA107" s="45" t="s">
        <v>59</v>
      </c>
      <c r="AB107" s="45" t="n">
        <v>5</v>
      </c>
      <c r="AC107" s="45"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2"/>
  <sheetViews>
    <sheetView showFormulas="false" showGridLines="true" showRowColHeaders="true" showZeros="true" rightToLeft="false" tabSelected="false" showOutlineSymbols="true" defaultGridColor="true" view="normal" topLeftCell="B68" colorId="64" zoomScale="100" zoomScaleNormal="100" zoomScalePageLayoutView="100" workbookViewId="0">
      <selection pane="topLeft" activeCell="B102" activeCellId="0" sqref="B102"/>
    </sheetView>
  </sheetViews>
  <sheetFormatPr defaultColWidth="22.00390625" defaultRowHeight="15.75" zeroHeight="false" outlineLevelRow="0" outlineLevelCol="0"/>
  <cols>
    <col collapsed="false" customWidth="true" hidden="true" outlineLevel="0" max="1" min="1" style="49" width="13"/>
    <col collapsed="false" customWidth="false" hidden="false" outlineLevel="0" max="16384" min="2" style="49" width="22"/>
  </cols>
  <sheetData>
    <row r="1" s="33" customFormat="true" ht="15.75" hidden="false" customHeight="true" outlineLevel="0" collapsed="false">
      <c r="A1" s="50"/>
      <c r="B1" s="51" t="s">
        <v>8940</v>
      </c>
      <c r="C1" s="52" t="s">
        <v>8941</v>
      </c>
      <c r="D1" s="53" t="s">
        <v>7728</v>
      </c>
      <c r="E1" s="51" t="s">
        <v>7729</v>
      </c>
      <c r="F1" s="52" t="s">
        <v>7730</v>
      </c>
      <c r="G1" s="52" t="s">
        <v>8942</v>
      </c>
      <c r="H1" s="52" t="s">
        <v>7732</v>
      </c>
      <c r="I1" s="51" t="s">
        <v>8943</v>
      </c>
      <c r="J1" s="52" t="s">
        <v>7734</v>
      </c>
      <c r="K1" s="52" t="s">
        <v>8944</v>
      </c>
      <c r="L1" s="51" t="s">
        <v>8945</v>
      </c>
      <c r="M1" s="52" t="s">
        <v>8946</v>
      </c>
      <c r="N1" s="52" t="s">
        <v>8947</v>
      </c>
      <c r="O1" s="52" t="s">
        <v>8948</v>
      </c>
      <c r="P1" s="51" t="s">
        <v>8949</v>
      </c>
      <c r="Q1" s="51" t="s">
        <v>8950</v>
      </c>
      <c r="R1" s="51" t="s">
        <v>8951</v>
      </c>
      <c r="S1" s="52" t="s">
        <v>8952</v>
      </c>
      <c r="T1" s="51" t="s">
        <v>8953</v>
      </c>
      <c r="U1" s="51" t="s">
        <v>8954</v>
      </c>
    </row>
    <row r="2" customFormat="false" ht="15.75" hidden="false" customHeight="true" outlineLevel="0" collapsed="false">
      <c r="A2" s="54"/>
      <c r="B2" s="55" t="n">
        <v>24</v>
      </c>
      <c r="C2" s="55" t="s">
        <v>45</v>
      </c>
      <c r="D2" s="55" t="s">
        <v>8240</v>
      </c>
      <c r="E2" s="55" t="s">
        <v>49</v>
      </c>
      <c r="F2" s="55" t="s">
        <v>8955</v>
      </c>
      <c r="G2" s="56" t="n">
        <v>0.75</v>
      </c>
      <c r="H2" s="55" t="s">
        <v>8956</v>
      </c>
      <c r="I2" s="55" t="s">
        <v>8957</v>
      </c>
      <c r="J2" s="55" t="s">
        <v>98</v>
      </c>
      <c r="K2" s="55" t="s">
        <v>8958</v>
      </c>
      <c r="L2" s="55" t="s">
        <v>2837</v>
      </c>
      <c r="M2" s="55" t="s">
        <v>8959</v>
      </c>
      <c r="N2" s="55" t="s">
        <v>8960</v>
      </c>
      <c r="O2" s="55" t="s">
        <v>8961</v>
      </c>
      <c r="P2" s="55" t="s">
        <v>8962</v>
      </c>
      <c r="Q2" s="55" t="s">
        <v>8963</v>
      </c>
      <c r="R2" s="55" t="s">
        <v>8964</v>
      </c>
      <c r="S2" s="55" t="s">
        <v>8367</v>
      </c>
      <c r="T2" s="55" t="s">
        <v>59</v>
      </c>
      <c r="U2" s="57" t="s">
        <v>59</v>
      </c>
    </row>
    <row r="3" customFormat="false" ht="15.75" hidden="false" customHeight="true" outlineLevel="0" collapsed="false">
      <c r="A3" s="58"/>
      <c r="B3" s="59" t="n">
        <v>56</v>
      </c>
      <c r="C3" s="59" t="s">
        <v>83</v>
      </c>
      <c r="D3" s="59" t="s">
        <v>159</v>
      </c>
      <c r="E3" s="59" t="s">
        <v>71</v>
      </c>
      <c r="F3" s="59" t="s">
        <v>8965</v>
      </c>
      <c r="G3" s="60" t="n">
        <v>0.4</v>
      </c>
      <c r="H3" s="59" t="s">
        <v>8966</v>
      </c>
      <c r="I3" s="59" t="s">
        <v>8967</v>
      </c>
      <c r="J3" s="59" t="s">
        <v>8968</v>
      </c>
      <c r="K3" s="59" t="s">
        <v>8969</v>
      </c>
      <c r="L3" s="59" t="s">
        <v>8970</v>
      </c>
      <c r="M3" s="59" t="s">
        <v>8971</v>
      </c>
      <c r="N3" s="59" t="s">
        <v>8972</v>
      </c>
      <c r="O3" s="59" t="s">
        <v>8123</v>
      </c>
      <c r="P3" s="59" t="s">
        <v>2850</v>
      </c>
      <c r="Q3" s="59" t="s">
        <v>2851</v>
      </c>
      <c r="R3" s="59" t="s">
        <v>8973</v>
      </c>
      <c r="S3" s="59" t="s">
        <v>8974</v>
      </c>
      <c r="T3" s="59" t="s">
        <v>8975</v>
      </c>
      <c r="U3" s="61" t="s">
        <v>8976</v>
      </c>
    </row>
    <row r="4" customFormat="false" ht="15.75" hidden="false" customHeight="true" outlineLevel="0" collapsed="false">
      <c r="A4" s="54"/>
      <c r="B4" s="62" t="n">
        <v>23</v>
      </c>
      <c r="C4" s="62" t="s">
        <v>83</v>
      </c>
      <c r="D4" s="62" t="s">
        <v>8977</v>
      </c>
      <c r="E4" s="62" t="s">
        <v>8977</v>
      </c>
      <c r="F4" s="62" t="s">
        <v>2856</v>
      </c>
      <c r="G4" s="63" t="n">
        <v>0.65</v>
      </c>
      <c r="H4" s="62" t="s">
        <v>2857</v>
      </c>
      <c r="I4" s="62" t="s">
        <v>2858</v>
      </c>
      <c r="J4" s="62" t="s">
        <v>8978</v>
      </c>
      <c r="K4" s="62" t="s">
        <v>8979</v>
      </c>
      <c r="L4" s="62" t="s">
        <v>2861</v>
      </c>
      <c r="M4" s="62" t="s">
        <v>2862</v>
      </c>
      <c r="N4" s="62" t="s">
        <v>8114</v>
      </c>
      <c r="O4" s="62" t="s">
        <v>8214</v>
      </c>
      <c r="P4" s="62" t="s">
        <v>8980</v>
      </c>
      <c r="Q4" s="62" t="s">
        <v>8981</v>
      </c>
      <c r="R4" s="62" t="s">
        <v>8982</v>
      </c>
      <c r="S4" s="62" t="s">
        <v>8983</v>
      </c>
      <c r="T4" s="62" t="s">
        <v>2867</v>
      </c>
      <c r="U4" s="64" t="s">
        <v>2868</v>
      </c>
    </row>
    <row r="5" customFormat="false" ht="15.75" hidden="false" customHeight="true" outlineLevel="0" collapsed="false">
      <c r="A5" s="58"/>
      <c r="B5" s="59" t="n">
        <v>50</v>
      </c>
      <c r="C5" s="59" t="s">
        <v>8338</v>
      </c>
      <c r="D5" s="59" t="s">
        <v>8240</v>
      </c>
      <c r="E5" s="59" t="s">
        <v>8240</v>
      </c>
      <c r="F5" s="59" t="s">
        <v>8984</v>
      </c>
      <c r="G5" s="59" t="n">
        <v>40</v>
      </c>
      <c r="H5" s="59" t="s">
        <v>8985</v>
      </c>
      <c r="I5" s="59" t="s">
        <v>8986</v>
      </c>
      <c r="J5" s="59" t="s">
        <v>8987</v>
      </c>
      <c r="K5" s="59" t="s">
        <v>8988</v>
      </c>
      <c r="L5" s="59" t="s">
        <v>8989</v>
      </c>
      <c r="M5" s="59" t="s">
        <v>8990</v>
      </c>
      <c r="N5" s="59" t="s">
        <v>8991</v>
      </c>
      <c r="O5" s="59" t="s">
        <v>8992</v>
      </c>
      <c r="P5" s="59" t="s">
        <v>8993</v>
      </c>
      <c r="Q5" s="59" t="s">
        <v>8994</v>
      </c>
      <c r="R5" s="59" t="s">
        <v>8995</v>
      </c>
      <c r="S5" s="59" t="s">
        <v>8996</v>
      </c>
      <c r="T5" s="59" t="s">
        <v>8997</v>
      </c>
      <c r="U5" s="61" t="s">
        <v>8998</v>
      </c>
    </row>
    <row r="6" customFormat="false" ht="15.75" hidden="false" customHeight="true" outlineLevel="0" collapsed="false">
      <c r="A6" s="54"/>
      <c r="B6" s="62" t="n">
        <v>57</v>
      </c>
      <c r="C6" s="62" t="s">
        <v>45</v>
      </c>
      <c r="D6" s="62" t="s">
        <v>8999</v>
      </c>
      <c r="E6" s="62" t="s">
        <v>9000</v>
      </c>
      <c r="F6" s="62" t="s">
        <v>9001</v>
      </c>
      <c r="G6" s="62" t="n">
        <v>30</v>
      </c>
      <c r="H6" s="62" t="s">
        <v>8591</v>
      </c>
      <c r="I6" s="62" t="s">
        <v>9002</v>
      </c>
      <c r="J6" s="62" t="s">
        <v>9003</v>
      </c>
      <c r="K6" s="62" t="s">
        <v>9002</v>
      </c>
      <c r="L6" s="62" t="s">
        <v>9004</v>
      </c>
      <c r="M6" s="62" t="s">
        <v>9005</v>
      </c>
      <c r="N6" s="62" t="s">
        <v>9006</v>
      </c>
      <c r="O6" s="62" t="s">
        <v>9007</v>
      </c>
      <c r="P6" s="62" t="s">
        <v>2890</v>
      </c>
      <c r="Q6" s="62" t="s">
        <v>2891</v>
      </c>
      <c r="R6" s="62" t="s">
        <v>2892</v>
      </c>
      <c r="S6" s="62" t="s">
        <v>2893</v>
      </c>
      <c r="T6" s="62" t="s">
        <v>2894</v>
      </c>
      <c r="U6" s="64" t="s">
        <v>2895</v>
      </c>
    </row>
    <row r="7" customFormat="false" ht="15.75" hidden="false" customHeight="true" outlineLevel="0" collapsed="false">
      <c r="A7" s="58"/>
      <c r="B7" s="59" t="n">
        <v>17</v>
      </c>
      <c r="C7" s="59" t="s">
        <v>8295</v>
      </c>
      <c r="D7" s="59" t="s">
        <v>9008</v>
      </c>
      <c r="E7" s="59" t="s">
        <v>9009</v>
      </c>
      <c r="F7" s="59" t="s">
        <v>2898</v>
      </c>
      <c r="G7" s="60" t="n">
        <v>0.3</v>
      </c>
      <c r="H7" s="59" t="s">
        <v>2899</v>
      </c>
      <c r="I7" s="59" t="s">
        <v>2900</v>
      </c>
      <c r="J7" s="59" t="s">
        <v>2901</v>
      </c>
      <c r="K7" s="59" t="s">
        <v>2902</v>
      </c>
      <c r="L7" s="59" t="s">
        <v>2903</v>
      </c>
      <c r="M7" s="59" t="s">
        <v>2904</v>
      </c>
      <c r="N7" s="59" t="s">
        <v>8113</v>
      </c>
      <c r="O7" s="59" t="s">
        <v>9010</v>
      </c>
      <c r="P7" s="59" t="s">
        <v>2905</v>
      </c>
      <c r="Q7" s="59" t="s">
        <v>2906</v>
      </c>
      <c r="R7" s="59" t="s">
        <v>2907</v>
      </c>
      <c r="S7" s="59" t="s">
        <v>2908</v>
      </c>
      <c r="T7" s="59" t="s">
        <v>2909</v>
      </c>
      <c r="U7" s="61" t="s">
        <v>8417</v>
      </c>
    </row>
    <row r="8" customFormat="false" ht="15.75" hidden="false" customHeight="true" outlineLevel="0" collapsed="false">
      <c r="A8" s="54"/>
      <c r="B8" s="62" t="n">
        <v>48</v>
      </c>
      <c r="C8" s="62" t="s">
        <v>45</v>
      </c>
      <c r="D8" s="62" t="s">
        <v>2911</v>
      </c>
      <c r="E8" s="62" t="s">
        <v>8240</v>
      </c>
      <c r="F8" s="62" t="s">
        <v>9011</v>
      </c>
      <c r="G8" s="63" t="n">
        <v>0.3</v>
      </c>
      <c r="H8" s="65" t="s">
        <v>9012</v>
      </c>
      <c r="I8" s="62" t="s">
        <v>2914</v>
      </c>
      <c r="J8" s="62" t="s">
        <v>1768</v>
      </c>
      <c r="K8" s="62" t="s">
        <v>2915</v>
      </c>
      <c r="L8" s="62" t="s">
        <v>2916</v>
      </c>
      <c r="M8" s="62" t="s">
        <v>9013</v>
      </c>
      <c r="N8" s="62" t="s">
        <v>8094</v>
      </c>
      <c r="O8" s="62" t="s">
        <v>9014</v>
      </c>
      <c r="P8" s="62" t="s">
        <v>9015</v>
      </c>
      <c r="Q8" s="62" t="s">
        <v>9016</v>
      </c>
      <c r="R8" s="62" t="s">
        <v>9017</v>
      </c>
      <c r="S8" s="62" t="s">
        <v>2921</v>
      </c>
      <c r="T8" s="62" t="s">
        <v>9018</v>
      </c>
      <c r="U8" s="64" t="s">
        <v>9019</v>
      </c>
    </row>
    <row r="9" customFormat="false" ht="15.75" hidden="false" customHeight="true" outlineLevel="0" collapsed="false">
      <c r="A9" s="58"/>
      <c r="B9" s="59" t="n">
        <v>15</v>
      </c>
      <c r="C9" s="59" t="s">
        <v>83</v>
      </c>
      <c r="D9" s="59" t="s">
        <v>71</v>
      </c>
      <c r="E9" s="59" t="s">
        <v>71</v>
      </c>
      <c r="F9" s="59" t="s">
        <v>2925</v>
      </c>
      <c r="G9" s="60" t="n">
        <v>0.75</v>
      </c>
      <c r="H9" s="59" t="s">
        <v>2926</v>
      </c>
      <c r="I9" s="59" t="s">
        <v>2927</v>
      </c>
      <c r="J9" s="59" t="s">
        <v>2928</v>
      </c>
      <c r="K9" s="59" t="s">
        <v>9020</v>
      </c>
      <c r="L9" s="59" t="s">
        <v>2930</v>
      </c>
      <c r="M9" s="59" t="s">
        <v>2931</v>
      </c>
      <c r="N9" s="59" t="s">
        <v>8003</v>
      </c>
      <c r="O9" s="59" t="s">
        <v>8003</v>
      </c>
      <c r="P9" s="59" t="s">
        <v>2932</v>
      </c>
      <c r="Q9" s="59" t="s">
        <v>2933</v>
      </c>
      <c r="R9" s="59" t="s">
        <v>2934</v>
      </c>
      <c r="S9" s="59" t="s">
        <v>9021</v>
      </c>
      <c r="T9" s="59" t="s">
        <v>59</v>
      </c>
      <c r="U9" s="61" t="s">
        <v>59</v>
      </c>
    </row>
    <row r="10" customFormat="false" ht="15.75" hidden="false" customHeight="true" outlineLevel="0" collapsed="false">
      <c r="A10" s="54"/>
      <c r="B10" s="62" t="n">
        <v>51</v>
      </c>
      <c r="C10" s="62" t="s">
        <v>83</v>
      </c>
      <c r="D10" s="62" t="s">
        <v>71</v>
      </c>
      <c r="E10" s="62" t="s">
        <v>71</v>
      </c>
      <c r="F10" s="62" t="s">
        <v>9022</v>
      </c>
      <c r="G10" s="62" t="s">
        <v>9023</v>
      </c>
      <c r="H10" s="62" t="s">
        <v>2938</v>
      </c>
      <c r="I10" s="62" t="s">
        <v>9024</v>
      </c>
      <c r="J10" s="62" t="s">
        <v>9025</v>
      </c>
      <c r="K10" s="62" t="s">
        <v>9026</v>
      </c>
      <c r="L10" s="62" t="s">
        <v>9027</v>
      </c>
      <c r="M10" s="62" t="s">
        <v>9028</v>
      </c>
      <c r="N10" s="62" t="s">
        <v>8213</v>
      </c>
      <c r="O10" s="62" t="s">
        <v>8961</v>
      </c>
      <c r="P10" s="62" t="s">
        <v>2944</v>
      </c>
      <c r="Q10" s="62" t="s">
        <v>9029</v>
      </c>
      <c r="R10" s="62" t="s">
        <v>9030</v>
      </c>
      <c r="S10" s="62" t="s">
        <v>9031</v>
      </c>
      <c r="T10" s="62" t="s">
        <v>59</v>
      </c>
      <c r="U10" s="64" t="s">
        <v>9032</v>
      </c>
    </row>
    <row r="11" customFormat="false" ht="15.75" hidden="false" customHeight="true" outlineLevel="0" collapsed="false">
      <c r="A11" s="58"/>
      <c r="B11" s="59" t="n">
        <v>28</v>
      </c>
      <c r="C11" s="59" t="s">
        <v>45</v>
      </c>
      <c r="D11" s="59" t="s">
        <v>47</v>
      </c>
      <c r="E11" s="59" t="s">
        <v>8240</v>
      </c>
      <c r="F11" s="59" t="s">
        <v>2037</v>
      </c>
      <c r="G11" s="59" t="s">
        <v>9033</v>
      </c>
      <c r="H11" s="59" t="s">
        <v>9034</v>
      </c>
      <c r="I11" s="59" t="s">
        <v>8356</v>
      </c>
      <c r="J11" s="59" t="s">
        <v>9035</v>
      </c>
      <c r="K11" s="59" t="s">
        <v>9036</v>
      </c>
      <c r="L11" s="59" t="s">
        <v>9037</v>
      </c>
      <c r="M11" s="59" t="s">
        <v>9038</v>
      </c>
      <c r="N11" s="59" t="s">
        <v>9039</v>
      </c>
      <c r="O11" s="59" t="s">
        <v>9040</v>
      </c>
      <c r="P11" s="59" t="s">
        <v>9041</v>
      </c>
      <c r="Q11" s="59" t="s">
        <v>9042</v>
      </c>
      <c r="R11" s="59" t="s">
        <v>9042</v>
      </c>
      <c r="S11" s="59" t="s">
        <v>9043</v>
      </c>
      <c r="T11" s="59" t="s">
        <v>98</v>
      </c>
      <c r="U11" s="61" t="s">
        <v>9044</v>
      </c>
    </row>
    <row r="12" customFormat="false" ht="15.75" hidden="false" customHeight="true" outlineLevel="0" collapsed="false">
      <c r="A12" s="54"/>
      <c r="B12" s="62" t="n">
        <v>28</v>
      </c>
      <c r="C12" s="62" t="s">
        <v>45</v>
      </c>
      <c r="D12" s="62" t="s">
        <v>9045</v>
      </c>
      <c r="E12" s="62" t="s">
        <v>71</v>
      </c>
      <c r="F12" s="62" t="s">
        <v>2958</v>
      </c>
      <c r="G12" s="63" t="n">
        <v>0.35</v>
      </c>
      <c r="H12" s="62" t="s">
        <v>2959</v>
      </c>
      <c r="I12" s="62" t="s">
        <v>9046</v>
      </c>
      <c r="J12" s="62" t="s">
        <v>9047</v>
      </c>
      <c r="K12" s="62" t="s">
        <v>9048</v>
      </c>
      <c r="L12" s="62" t="s">
        <v>9049</v>
      </c>
      <c r="M12" s="62" t="s">
        <v>9050</v>
      </c>
      <c r="N12" s="62" t="s">
        <v>9051</v>
      </c>
      <c r="O12" s="62" t="s">
        <v>9052</v>
      </c>
      <c r="P12" s="62" t="s">
        <v>9053</v>
      </c>
      <c r="Q12" s="62" t="s">
        <v>1731</v>
      </c>
      <c r="R12" s="62" t="s">
        <v>9054</v>
      </c>
      <c r="S12" s="62" t="s">
        <v>9055</v>
      </c>
      <c r="T12" s="62" t="s">
        <v>59</v>
      </c>
      <c r="U12" s="64" t="s">
        <v>59</v>
      </c>
    </row>
    <row r="13" customFormat="false" ht="15.75" hidden="false" customHeight="true" outlineLevel="0" collapsed="false">
      <c r="A13" s="58"/>
      <c r="B13" s="59" t="n">
        <v>45</v>
      </c>
      <c r="C13" s="59" t="s">
        <v>83</v>
      </c>
      <c r="D13" s="59" t="s">
        <v>8595</v>
      </c>
      <c r="E13" s="59" t="s">
        <v>8595</v>
      </c>
      <c r="F13" s="59" t="s">
        <v>2969</v>
      </c>
      <c r="G13" s="60" t="n">
        <v>0.3</v>
      </c>
      <c r="H13" s="59" t="s">
        <v>2970</v>
      </c>
      <c r="I13" s="59" t="s">
        <v>2971</v>
      </c>
      <c r="J13" s="59" t="s">
        <v>9056</v>
      </c>
      <c r="K13" s="59" t="s">
        <v>2973</v>
      </c>
      <c r="L13" s="59" t="s">
        <v>9057</v>
      </c>
      <c r="M13" s="59" t="s">
        <v>9058</v>
      </c>
      <c r="N13" s="59" t="s">
        <v>8113</v>
      </c>
      <c r="O13" s="59" t="s">
        <v>8113</v>
      </c>
      <c r="P13" s="59" t="s">
        <v>2975</v>
      </c>
      <c r="Q13" s="59" t="n">
        <v>3</v>
      </c>
      <c r="R13" s="59" t="s">
        <v>2976</v>
      </c>
      <c r="S13" s="59" t="s">
        <v>59</v>
      </c>
      <c r="T13" s="59" t="s">
        <v>1690</v>
      </c>
      <c r="U13" s="61" t="s">
        <v>59</v>
      </c>
    </row>
    <row r="14" customFormat="false" ht="15.75" hidden="false" customHeight="true" outlineLevel="0" collapsed="false">
      <c r="A14" s="54"/>
      <c r="B14" s="62" t="n">
        <v>38</v>
      </c>
      <c r="C14" s="62" t="s">
        <v>45</v>
      </c>
      <c r="D14" s="62" t="s">
        <v>2978</v>
      </c>
      <c r="E14" s="62" t="s">
        <v>71</v>
      </c>
      <c r="F14" s="62" t="s">
        <v>9059</v>
      </c>
      <c r="G14" s="62" t="n">
        <v>30</v>
      </c>
      <c r="H14" s="62" t="s">
        <v>9060</v>
      </c>
      <c r="I14" s="62" t="s">
        <v>9061</v>
      </c>
      <c r="J14" s="62" t="s">
        <v>9062</v>
      </c>
      <c r="K14" s="62" t="s">
        <v>2983</v>
      </c>
      <c r="L14" s="62" t="s">
        <v>9063</v>
      </c>
      <c r="M14" s="65" t="s">
        <v>9064</v>
      </c>
      <c r="N14" s="62" t="s">
        <v>8019</v>
      </c>
      <c r="O14" s="62" t="s">
        <v>8133</v>
      </c>
      <c r="P14" s="62" t="s">
        <v>2986</v>
      </c>
      <c r="Q14" s="62" t="s">
        <v>2987</v>
      </c>
      <c r="R14" s="62" t="s">
        <v>9065</v>
      </c>
      <c r="S14" s="62" t="s">
        <v>59</v>
      </c>
      <c r="T14" s="62" t="s">
        <v>59</v>
      </c>
      <c r="U14" s="64" t="s">
        <v>59</v>
      </c>
    </row>
    <row r="15" customFormat="false" ht="15.75" hidden="false" customHeight="true" outlineLevel="0" collapsed="false">
      <c r="A15" s="58"/>
      <c r="B15" s="59" t="n">
        <v>43</v>
      </c>
      <c r="C15" s="59" t="s">
        <v>83</v>
      </c>
      <c r="D15" s="59" t="s">
        <v>8240</v>
      </c>
      <c r="E15" s="59" t="s">
        <v>8240</v>
      </c>
      <c r="F15" s="59" t="s">
        <v>2990</v>
      </c>
      <c r="G15" s="59" t="s">
        <v>9066</v>
      </c>
      <c r="H15" s="59" t="s">
        <v>2991</v>
      </c>
      <c r="I15" s="59" t="s">
        <v>9067</v>
      </c>
      <c r="J15" s="59" t="s">
        <v>2993</v>
      </c>
      <c r="K15" s="59" t="s">
        <v>2994</v>
      </c>
      <c r="L15" s="59" t="s">
        <v>9068</v>
      </c>
      <c r="M15" s="59" t="s">
        <v>2996</v>
      </c>
      <c r="N15" s="66" t="s">
        <v>9069</v>
      </c>
      <c r="O15" s="66" t="s">
        <v>9069</v>
      </c>
      <c r="P15" s="59" t="s">
        <v>2997</v>
      </c>
      <c r="Q15" s="59" t="s">
        <v>9070</v>
      </c>
      <c r="R15" s="59" t="s">
        <v>2999</v>
      </c>
      <c r="S15" s="59" t="s">
        <v>9071</v>
      </c>
      <c r="T15" s="59" t="s">
        <v>59</v>
      </c>
      <c r="U15" s="61" t="s">
        <v>3001</v>
      </c>
    </row>
    <row r="16" customFormat="false" ht="15.75" hidden="false" customHeight="true" outlineLevel="0" collapsed="false">
      <c r="A16" s="54"/>
      <c r="B16" s="62" t="n">
        <v>52</v>
      </c>
      <c r="C16" s="62" t="s">
        <v>9072</v>
      </c>
      <c r="D16" s="62" t="s">
        <v>9073</v>
      </c>
      <c r="E16" s="62" t="s">
        <v>9073</v>
      </c>
      <c r="F16" s="62" t="s">
        <v>9074</v>
      </c>
      <c r="G16" s="63" t="n">
        <v>0.2</v>
      </c>
      <c r="H16" s="62" t="s">
        <v>9075</v>
      </c>
      <c r="I16" s="62" t="s">
        <v>9076</v>
      </c>
      <c r="J16" s="62" t="s">
        <v>98</v>
      </c>
      <c r="K16" s="62" t="s">
        <v>9077</v>
      </c>
      <c r="L16" s="62" t="s">
        <v>9078</v>
      </c>
      <c r="M16" s="62" t="s">
        <v>9079</v>
      </c>
      <c r="N16" s="62" t="s">
        <v>8019</v>
      </c>
      <c r="O16" s="62" t="s">
        <v>8019</v>
      </c>
      <c r="P16" s="62" t="s">
        <v>9080</v>
      </c>
      <c r="Q16" s="62" t="s">
        <v>9081</v>
      </c>
      <c r="R16" s="62" t="s">
        <v>3010</v>
      </c>
      <c r="S16" s="62" t="s">
        <v>9082</v>
      </c>
      <c r="T16" s="62" t="s">
        <v>9083</v>
      </c>
      <c r="U16" s="64" t="s">
        <v>9084</v>
      </c>
    </row>
    <row r="17" customFormat="false" ht="15.75" hidden="false" customHeight="true" outlineLevel="0" collapsed="false">
      <c r="A17" s="58"/>
      <c r="B17" s="59" t="n">
        <v>67</v>
      </c>
      <c r="C17" s="59" t="s">
        <v>9072</v>
      </c>
      <c r="D17" s="59" t="s">
        <v>9009</v>
      </c>
      <c r="E17" s="59" t="s">
        <v>9009</v>
      </c>
      <c r="F17" s="59" t="s">
        <v>9085</v>
      </c>
      <c r="G17" s="60" t="n">
        <v>0.27</v>
      </c>
      <c r="H17" s="59" t="s">
        <v>3015</v>
      </c>
      <c r="I17" s="59" t="s">
        <v>9086</v>
      </c>
      <c r="J17" s="59" t="s">
        <v>9087</v>
      </c>
      <c r="K17" s="59" t="s">
        <v>3018</v>
      </c>
      <c r="L17" s="66" t="s">
        <v>3019</v>
      </c>
      <c r="M17" s="59" t="s">
        <v>3020</v>
      </c>
      <c r="N17" s="66" t="s">
        <v>9088</v>
      </c>
      <c r="O17" s="59" t="s">
        <v>9089</v>
      </c>
      <c r="P17" s="66" t="s">
        <v>3021</v>
      </c>
      <c r="Q17" s="59" t="s">
        <v>3022</v>
      </c>
      <c r="R17" s="59" t="s">
        <v>3023</v>
      </c>
      <c r="S17" s="59" t="s">
        <v>9090</v>
      </c>
      <c r="T17" s="59" t="s">
        <v>9091</v>
      </c>
      <c r="U17" s="61" t="s">
        <v>9092</v>
      </c>
    </row>
    <row r="18" customFormat="false" ht="15.75" hidden="false" customHeight="true" outlineLevel="0" collapsed="false">
      <c r="A18" s="54"/>
      <c r="B18" s="62" t="n">
        <v>55</v>
      </c>
      <c r="C18" s="62" t="s">
        <v>9093</v>
      </c>
      <c r="D18" s="62" t="s">
        <v>9094</v>
      </c>
      <c r="E18" s="62" t="s">
        <v>9009</v>
      </c>
      <c r="F18" s="62" t="s">
        <v>3029</v>
      </c>
      <c r="G18" s="63" t="n">
        <v>0.35</v>
      </c>
      <c r="H18" s="62" t="s">
        <v>3030</v>
      </c>
      <c r="I18" s="62" t="s">
        <v>9095</v>
      </c>
      <c r="J18" s="62" t="s">
        <v>9096</v>
      </c>
      <c r="K18" s="62" t="s">
        <v>9097</v>
      </c>
      <c r="L18" s="62" t="s">
        <v>3034</v>
      </c>
      <c r="M18" s="62" t="s">
        <v>3035</v>
      </c>
      <c r="N18" s="62" t="s">
        <v>8019</v>
      </c>
      <c r="O18" s="62" t="s">
        <v>8036</v>
      </c>
      <c r="P18" s="62" t="s">
        <v>3036</v>
      </c>
      <c r="Q18" s="62" t="s">
        <v>2225</v>
      </c>
      <c r="R18" s="62" t="s">
        <v>2225</v>
      </c>
      <c r="S18" s="62" t="s">
        <v>9098</v>
      </c>
      <c r="T18" s="62" t="s">
        <v>9099</v>
      </c>
      <c r="U18" s="64" t="s">
        <v>3039</v>
      </c>
    </row>
    <row r="19" customFormat="false" ht="15.75" hidden="false" customHeight="true" outlineLevel="0" collapsed="false">
      <c r="A19" s="58"/>
      <c r="B19" s="59" t="n">
        <v>70</v>
      </c>
      <c r="C19" s="59" t="s">
        <v>83</v>
      </c>
      <c r="D19" s="59" t="s">
        <v>9100</v>
      </c>
      <c r="E19" s="59" t="s">
        <v>8498</v>
      </c>
      <c r="F19" s="59" t="s">
        <v>3043</v>
      </c>
      <c r="G19" s="60" t="n">
        <v>0.15</v>
      </c>
      <c r="H19" s="59" t="s">
        <v>9101</v>
      </c>
      <c r="I19" s="59" t="s">
        <v>9102</v>
      </c>
      <c r="J19" s="59" t="s">
        <v>3046</v>
      </c>
      <c r="K19" s="59" t="s">
        <v>9103</v>
      </c>
      <c r="L19" s="59" t="s">
        <v>9104</v>
      </c>
      <c r="M19" s="59" t="s">
        <v>9105</v>
      </c>
      <c r="N19" s="59" t="s">
        <v>9106</v>
      </c>
      <c r="O19" s="59" t="s">
        <v>9107</v>
      </c>
      <c r="P19" s="59" t="s">
        <v>9108</v>
      </c>
      <c r="Q19" s="59" t="s">
        <v>3051</v>
      </c>
      <c r="R19" s="59" t="s">
        <v>3052</v>
      </c>
      <c r="S19" s="59" t="s">
        <v>3053</v>
      </c>
      <c r="T19" s="59" t="s">
        <v>3054</v>
      </c>
      <c r="U19" s="61" t="s">
        <v>3055</v>
      </c>
    </row>
    <row r="20" customFormat="false" ht="15.75" hidden="false" customHeight="true" outlineLevel="0" collapsed="false">
      <c r="A20" s="67"/>
      <c r="B20" s="68" t="n">
        <v>47</v>
      </c>
      <c r="C20" s="68" t="s">
        <v>9109</v>
      </c>
      <c r="D20" s="68" t="s">
        <v>9009</v>
      </c>
      <c r="E20" s="68" t="s">
        <v>9009</v>
      </c>
      <c r="F20" s="68" t="s">
        <v>9110</v>
      </c>
      <c r="G20" s="69" t="n">
        <v>0.2</v>
      </c>
      <c r="H20" s="68" t="s">
        <v>9111</v>
      </c>
      <c r="I20" s="68" t="s">
        <v>9112</v>
      </c>
      <c r="J20" s="68" t="s">
        <v>9113</v>
      </c>
      <c r="K20" s="68" t="s">
        <v>9114</v>
      </c>
      <c r="L20" s="68" t="s">
        <v>9115</v>
      </c>
      <c r="M20" s="68" t="s">
        <v>9116</v>
      </c>
      <c r="N20" s="68" t="s">
        <v>9117</v>
      </c>
      <c r="O20" s="68" t="s">
        <v>9118</v>
      </c>
      <c r="P20" s="68" t="s">
        <v>9119</v>
      </c>
      <c r="Q20" s="68" t="s">
        <v>9120</v>
      </c>
      <c r="R20" s="68" t="s">
        <v>3066</v>
      </c>
      <c r="S20" s="68" t="s">
        <v>9121</v>
      </c>
      <c r="T20" s="68" t="s">
        <v>59</v>
      </c>
      <c r="U20" s="70" t="s">
        <v>9122</v>
      </c>
    </row>
    <row r="21" customFormat="false" ht="15.75" hidden="false" customHeight="true" outlineLevel="0" collapsed="false">
      <c r="A21" s="71"/>
      <c r="B21" s="72" t="n">
        <v>67</v>
      </c>
      <c r="C21" s="72" t="s">
        <v>45</v>
      </c>
      <c r="D21" s="72" t="s">
        <v>71</v>
      </c>
      <c r="E21" s="72" t="s">
        <v>71</v>
      </c>
      <c r="F21" s="72" t="s">
        <v>3070</v>
      </c>
      <c r="G21" s="73" t="n">
        <v>0.25</v>
      </c>
      <c r="H21" s="72" t="s">
        <v>3071</v>
      </c>
      <c r="I21" s="72" t="s">
        <v>3072</v>
      </c>
      <c r="J21" s="72" t="s">
        <v>3073</v>
      </c>
      <c r="K21" s="72" t="s">
        <v>3074</v>
      </c>
      <c r="L21" s="72" t="s">
        <v>3075</v>
      </c>
      <c r="M21" s="72" t="s">
        <v>3076</v>
      </c>
      <c r="N21" s="72" t="s">
        <v>8003</v>
      </c>
      <c r="O21" s="72" t="s">
        <v>8019</v>
      </c>
      <c r="P21" s="72" t="s">
        <v>9123</v>
      </c>
      <c r="Q21" s="72" t="s">
        <v>3078</v>
      </c>
      <c r="R21" s="72" t="s">
        <v>3079</v>
      </c>
      <c r="S21" s="72" t="s">
        <v>3080</v>
      </c>
      <c r="T21" s="72" t="s">
        <v>3081</v>
      </c>
      <c r="U21" s="72" t="s">
        <v>3082</v>
      </c>
    </row>
    <row r="22" customFormat="false" ht="15.75" hidden="false" customHeight="true" outlineLevel="0" collapsed="false">
      <c r="A22" s="74"/>
      <c r="B22" s="49" t="n">
        <v>22</v>
      </c>
      <c r="C22" s="49" t="s">
        <v>83</v>
      </c>
      <c r="D22" s="49" t="s">
        <v>437</v>
      </c>
      <c r="E22" s="49" t="s">
        <v>49</v>
      </c>
      <c r="F22" s="49" t="s">
        <v>3084</v>
      </c>
      <c r="G22" s="75" t="n">
        <v>0.2</v>
      </c>
      <c r="H22" s="49" t="s">
        <v>130</v>
      </c>
      <c r="I22" s="49" t="s">
        <v>3085</v>
      </c>
      <c r="J22" s="49" t="s">
        <v>3086</v>
      </c>
      <c r="K22" s="49" t="s">
        <v>3087</v>
      </c>
      <c r="L22" s="49" t="s">
        <v>3088</v>
      </c>
      <c r="M22" s="49" t="s">
        <v>3089</v>
      </c>
      <c r="N22" s="76" t="s">
        <v>8114</v>
      </c>
      <c r="O22" s="76" t="s">
        <v>8114</v>
      </c>
      <c r="P22" s="49" t="s">
        <v>3090</v>
      </c>
      <c r="Q22" s="49" t="s">
        <v>3091</v>
      </c>
      <c r="R22" s="49" t="s">
        <v>3092</v>
      </c>
      <c r="S22" s="49" t="s">
        <v>3093</v>
      </c>
      <c r="T22" s="49" t="s">
        <v>59</v>
      </c>
      <c r="U22" s="49" t="s">
        <v>59</v>
      </c>
    </row>
    <row r="23" customFormat="false" ht="15.75" hidden="false" customHeight="true" outlineLevel="0" collapsed="false">
      <c r="A23" s="74"/>
      <c r="B23" s="49" t="n">
        <v>25</v>
      </c>
      <c r="C23" s="49" t="s">
        <v>45</v>
      </c>
      <c r="D23" s="49" t="s">
        <v>437</v>
      </c>
      <c r="E23" s="49" t="s">
        <v>8380</v>
      </c>
      <c r="F23" s="49" t="s">
        <v>9124</v>
      </c>
      <c r="G23" s="75" t="n">
        <v>0.3</v>
      </c>
      <c r="H23" s="49" t="s">
        <v>3096</v>
      </c>
      <c r="I23" s="49" t="s">
        <v>3097</v>
      </c>
      <c r="J23" s="49" t="s">
        <v>98</v>
      </c>
      <c r="K23" s="49" t="s">
        <v>3098</v>
      </c>
      <c r="L23" s="49" t="s">
        <v>3099</v>
      </c>
      <c r="M23" s="49" t="s">
        <v>3100</v>
      </c>
      <c r="N23" s="76" t="s">
        <v>9125</v>
      </c>
      <c r="O23" s="76" t="s">
        <v>8960</v>
      </c>
      <c r="P23" s="49" t="s">
        <v>9126</v>
      </c>
      <c r="Q23" s="49" t="n">
        <v>3</v>
      </c>
      <c r="R23" s="49" t="n">
        <v>1</v>
      </c>
      <c r="S23" s="49" t="s">
        <v>3103</v>
      </c>
      <c r="T23" s="49" t="s">
        <v>59</v>
      </c>
      <c r="U23" s="49" t="s">
        <v>59</v>
      </c>
    </row>
    <row r="24" customFormat="false" ht="15.75" hidden="false" customHeight="true" outlineLevel="0" collapsed="false">
      <c r="A24" s="74"/>
      <c r="B24" s="49" t="n">
        <v>26</v>
      </c>
      <c r="C24" s="49" t="s">
        <v>45</v>
      </c>
      <c r="D24" s="49" t="s">
        <v>437</v>
      </c>
      <c r="E24" s="49" t="s">
        <v>7902</v>
      </c>
      <c r="F24" s="49" t="s">
        <v>3105</v>
      </c>
      <c r="G24" s="75" t="n">
        <v>0.2</v>
      </c>
      <c r="H24" s="49" t="s">
        <v>3106</v>
      </c>
      <c r="I24" s="49" t="s">
        <v>3107</v>
      </c>
      <c r="J24" s="49" t="s">
        <v>3108</v>
      </c>
      <c r="K24" s="49" t="s">
        <v>3109</v>
      </c>
      <c r="L24" s="49" t="s">
        <v>3110</v>
      </c>
      <c r="M24" s="49" t="s">
        <v>3111</v>
      </c>
      <c r="N24" s="76" t="s">
        <v>8960</v>
      </c>
      <c r="O24" s="76" t="s">
        <v>8960</v>
      </c>
      <c r="P24" s="49" t="s">
        <v>3112</v>
      </c>
      <c r="Q24" s="49" t="n">
        <v>1</v>
      </c>
      <c r="R24" s="49" t="n">
        <v>3</v>
      </c>
      <c r="S24" s="49" t="s">
        <v>3113</v>
      </c>
      <c r="T24" s="49" t="s">
        <v>59</v>
      </c>
      <c r="U24" s="49" t="s">
        <v>59</v>
      </c>
    </row>
    <row r="25" customFormat="false" ht="15.75" hidden="false" customHeight="true" outlineLevel="0" collapsed="false">
      <c r="A25" s="74"/>
      <c r="B25" s="49" t="n">
        <v>23</v>
      </c>
      <c r="C25" s="49" t="s">
        <v>83</v>
      </c>
      <c r="D25" s="49" t="s">
        <v>437</v>
      </c>
      <c r="E25" s="49" t="s">
        <v>9127</v>
      </c>
      <c r="F25" s="49" t="s">
        <v>3117</v>
      </c>
      <c r="G25" s="49" t="n">
        <v>25</v>
      </c>
      <c r="H25" s="49" t="s">
        <v>3118</v>
      </c>
      <c r="I25" s="49" t="s">
        <v>3119</v>
      </c>
      <c r="J25" s="49" t="s">
        <v>3120</v>
      </c>
      <c r="K25" s="49" t="s">
        <v>3121</v>
      </c>
      <c r="L25" s="49" t="s">
        <v>3122</v>
      </c>
      <c r="M25" s="49" t="s">
        <v>3123</v>
      </c>
      <c r="N25" s="76" t="s">
        <v>8213</v>
      </c>
      <c r="O25" s="76" t="s">
        <v>8213</v>
      </c>
      <c r="P25" s="49" t="s">
        <v>3124</v>
      </c>
      <c r="Q25" s="49" t="s">
        <v>3125</v>
      </c>
      <c r="R25" s="49" t="s">
        <v>3126</v>
      </c>
      <c r="S25" s="49" t="s">
        <v>3127</v>
      </c>
      <c r="T25" s="49" t="s">
        <v>3128</v>
      </c>
      <c r="U25" s="49" t="s">
        <v>3129</v>
      </c>
    </row>
    <row r="26" customFormat="false" ht="15.75" hidden="false" customHeight="true" outlineLevel="0" collapsed="false">
      <c r="A26" s="74"/>
      <c r="B26" s="49" t="n">
        <v>23</v>
      </c>
      <c r="C26" s="49" t="s">
        <v>83</v>
      </c>
      <c r="D26" s="49" t="s">
        <v>437</v>
      </c>
      <c r="E26" s="49" t="s">
        <v>49</v>
      </c>
      <c r="F26" s="49" t="s">
        <v>3131</v>
      </c>
      <c r="G26" s="75" t="n">
        <v>0.25</v>
      </c>
      <c r="H26" s="49" t="s">
        <v>3132</v>
      </c>
      <c r="I26" s="49" t="s">
        <v>3133</v>
      </c>
      <c r="J26" s="49" t="s">
        <v>3134</v>
      </c>
      <c r="K26" s="18" t="s">
        <v>9128</v>
      </c>
      <c r="L26" s="49" t="s">
        <v>3136</v>
      </c>
      <c r="M26" s="49" t="s">
        <v>3137</v>
      </c>
      <c r="N26" s="76" t="s">
        <v>8213</v>
      </c>
      <c r="O26" s="76" t="s">
        <v>8960</v>
      </c>
      <c r="P26" s="49" t="s">
        <v>3138</v>
      </c>
      <c r="Q26" s="49" t="s">
        <v>3139</v>
      </c>
      <c r="R26" s="49" t="s">
        <v>3140</v>
      </c>
      <c r="S26" s="49" t="s">
        <v>3141</v>
      </c>
      <c r="T26" s="49" t="s">
        <v>3142</v>
      </c>
      <c r="U26" s="49" t="s">
        <v>59</v>
      </c>
    </row>
    <row r="27" customFormat="false" ht="15.75" hidden="false" customHeight="true" outlineLevel="0" collapsed="false">
      <c r="A27" s="74"/>
      <c r="B27" s="49" t="n">
        <v>22</v>
      </c>
      <c r="C27" s="49" t="s">
        <v>45</v>
      </c>
      <c r="D27" s="49" t="s">
        <v>453</v>
      </c>
      <c r="E27" s="49" t="s">
        <v>49</v>
      </c>
      <c r="F27" s="49" t="s">
        <v>3144</v>
      </c>
      <c r="G27" s="49" t="n">
        <v>60</v>
      </c>
      <c r="H27" s="49" t="s">
        <v>3145</v>
      </c>
      <c r="I27" s="49" t="s">
        <v>3146</v>
      </c>
      <c r="J27" s="49" t="s">
        <v>3147</v>
      </c>
      <c r="K27" s="49" t="s">
        <v>3148</v>
      </c>
      <c r="L27" s="49" t="s">
        <v>3149</v>
      </c>
      <c r="M27" s="49" t="s">
        <v>3150</v>
      </c>
      <c r="N27" s="76" t="s">
        <v>8114</v>
      </c>
      <c r="O27" s="76" t="s">
        <v>9125</v>
      </c>
      <c r="P27" s="49" t="s">
        <v>3151</v>
      </c>
      <c r="Q27" s="49" t="s">
        <v>3152</v>
      </c>
      <c r="R27" s="49" t="s">
        <v>3153</v>
      </c>
      <c r="S27" s="49" t="s">
        <v>3154</v>
      </c>
      <c r="T27" s="49" t="s">
        <v>59</v>
      </c>
      <c r="U27" s="49" t="s">
        <v>59</v>
      </c>
    </row>
    <row r="28" customFormat="false" ht="15.75" hidden="false" customHeight="true" outlineLevel="0" collapsed="false">
      <c r="A28" s="74"/>
      <c r="B28" s="49" t="n">
        <v>25</v>
      </c>
      <c r="C28" s="49" t="s">
        <v>45</v>
      </c>
      <c r="D28" s="49" t="s">
        <v>2465</v>
      </c>
      <c r="E28" s="49" t="s">
        <v>49</v>
      </c>
      <c r="F28" s="49" t="s">
        <v>9129</v>
      </c>
      <c r="G28" s="49" t="n">
        <v>60</v>
      </c>
      <c r="H28" s="49" t="s">
        <v>525</v>
      </c>
      <c r="I28" s="49" t="s">
        <v>3157</v>
      </c>
      <c r="J28" s="49" t="s">
        <v>98</v>
      </c>
      <c r="K28" s="49" t="s">
        <v>3158</v>
      </c>
      <c r="L28" s="49" t="s">
        <v>3159</v>
      </c>
      <c r="M28" s="49" t="s">
        <v>3160</v>
      </c>
      <c r="N28" s="76" t="s">
        <v>8961</v>
      </c>
      <c r="O28" s="76" t="s">
        <v>8960</v>
      </c>
      <c r="P28" s="49" t="s">
        <v>3161</v>
      </c>
      <c r="Q28" s="49" t="s">
        <v>3162</v>
      </c>
      <c r="R28" s="49" t="s">
        <v>3163</v>
      </c>
      <c r="S28" s="49" t="s">
        <v>3164</v>
      </c>
      <c r="T28" s="49" t="s">
        <v>59</v>
      </c>
      <c r="U28" s="49" t="s">
        <v>59</v>
      </c>
    </row>
    <row r="29" customFormat="false" ht="15.75" hidden="false" customHeight="true" outlineLevel="0" collapsed="false">
      <c r="A29" s="74"/>
      <c r="B29" s="49" t="n">
        <v>23</v>
      </c>
      <c r="C29" s="49" t="s">
        <v>45</v>
      </c>
      <c r="D29" s="49" t="s">
        <v>437</v>
      </c>
      <c r="E29" s="49" t="s">
        <v>7853</v>
      </c>
      <c r="F29" s="49" t="s">
        <v>3166</v>
      </c>
      <c r="G29" s="75" t="n">
        <v>0.3</v>
      </c>
      <c r="H29" s="49" t="s">
        <v>3167</v>
      </c>
      <c r="I29" s="49" t="s">
        <v>3168</v>
      </c>
      <c r="J29" s="49" t="s">
        <v>3169</v>
      </c>
      <c r="K29" s="49" t="s">
        <v>3170</v>
      </c>
      <c r="L29" s="18" t="s">
        <v>9130</v>
      </c>
      <c r="M29" s="18" t="s">
        <v>9131</v>
      </c>
      <c r="N29" s="76" t="s">
        <v>9125</v>
      </c>
      <c r="O29" s="76" t="s">
        <v>8214</v>
      </c>
      <c r="P29" s="49" t="s">
        <v>3173</v>
      </c>
      <c r="Q29" s="49" t="s">
        <v>3174</v>
      </c>
      <c r="R29" s="18" t="s">
        <v>9132</v>
      </c>
      <c r="S29" s="18" t="s">
        <v>9133</v>
      </c>
      <c r="T29" s="49" t="s">
        <v>59</v>
      </c>
      <c r="U29" s="49" t="s">
        <v>59</v>
      </c>
    </row>
    <row r="30" customFormat="false" ht="15.75" hidden="false" customHeight="true" outlineLevel="0" collapsed="false">
      <c r="A30" s="74"/>
      <c r="B30" s="49" t="n">
        <v>23</v>
      </c>
      <c r="C30" s="49" t="s">
        <v>83</v>
      </c>
      <c r="D30" s="49" t="s">
        <v>437</v>
      </c>
      <c r="E30" s="49" t="s">
        <v>7756</v>
      </c>
      <c r="F30" s="49" t="s">
        <v>3178</v>
      </c>
      <c r="G30" s="49" t="n">
        <v>50</v>
      </c>
      <c r="H30" s="49" t="s">
        <v>3179</v>
      </c>
      <c r="I30" s="49" t="s">
        <v>3179</v>
      </c>
      <c r="J30" s="49" t="s">
        <v>3180</v>
      </c>
      <c r="K30" s="49" t="s">
        <v>3181</v>
      </c>
      <c r="L30" s="49" t="s">
        <v>3180</v>
      </c>
      <c r="M30" s="49" t="s">
        <v>3182</v>
      </c>
      <c r="N30" s="76" t="s">
        <v>8960</v>
      </c>
      <c r="O30" s="76" t="s">
        <v>8960</v>
      </c>
      <c r="P30" s="49" t="s">
        <v>3183</v>
      </c>
      <c r="Q30" s="49" t="s">
        <v>3184</v>
      </c>
      <c r="R30" s="49" t="s">
        <v>3185</v>
      </c>
      <c r="S30" s="49" t="s">
        <v>3186</v>
      </c>
      <c r="T30" s="49" t="s">
        <v>59</v>
      </c>
      <c r="U30" s="49" t="s">
        <v>59</v>
      </c>
    </row>
    <row r="31" customFormat="false" ht="15.75" hidden="false" customHeight="true" outlineLevel="0" collapsed="false">
      <c r="A31" s="74"/>
      <c r="B31" s="49" t="n">
        <v>34</v>
      </c>
      <c r="C31" s="49" t="s">
        <v>83</v>
      </c>
      <c r="D31" s="49" t="s">
        <v>437</v>
      </c>
      <c r="E31" s="49" t="s">
        <v>9134</v>
      </c>
      <c r="F31" s="49" t="s">
        <v>3188</v>
      </c>
      <c r="G31" s="49" t="n">
        <v>25</v>
      </c>
      <c r="H31" s="49" t="s">
        <v>893</v>
      </c>
      <c r="I31" s="49" t="s">
        <v>3189</v>
      </c>
      <c r="J31" s="49" t="s">
        <v>3190</v>
      </c>
      <c r="K31" s="49" t="s">
        <v>3191</v>
      </c>
      <c r="L31" s="49" t="s">
        <v>3192</v>
      </c>
      <c r="M31" s="49" t="s">
        <v>3193</v>
      </c>
      <c r="N31" s="76" t="s">
        <v>8214</v>
      </c>
      <c r="O31" s="76" t="s">
        <v>8960</v>
      </c>
      <c r="P31" s="49" t="s">
        <v>9135</v>
      </c>
      <c r="Q31" s="49" t="s">
        <v>3195</v>
      </c>
      <c r="R31" s="49" t="s">
        <v>3196</v>
      </c>
      <c r="S31" s="49" t="s">
        <v>3197</v>
      </c>
      <c r="T31" s="49" t="s">
        <v>59</v>
      </c>
      <c r="U31" s="49" t="s">
        <v>59</v>
      </c>
    </row>
    <row r="32" customFormat="false" ht="15.75" hidden="false" customHeight="true" outlineLevel="0" collapsed="false">
      <c r="A32" s="74"/>
      <c r="B32" s="49" t="n">
        <v>21</v>
      </c>
      <c r="C32" s="49" t="s">
        <v>45</v>
      </c>
      <c r="D32" s="49" t="s">
        <v>437</v>
      </c>
      <c r="E32" s="49" t="s">
        <v>47</v>
      </c>
      <c r="F32" s="49" t="s">
        <v>2037</v>
      </c>
      <c r="G32" s="75" t="n">
        <v>0.2</v>
      </c>
      <c r="H32" s="49" t="s">
        <v>3199</v>
      </c>
      <c r="I32" s="49" t="s">
        <v>3200</v>
      </c>
      <c r="J32" s="49" t="s">
        <v>3201</v>
      </c>
      <c r="K32" s="18" t="s">
        <v>3202</v>
      </c>
      <c r="L32" s="49" t="s">
        <v>3203</v>
      </c>
      <c r="M32" s="18" t="s">
        <v>3204</v>
      </c>
      <c r="N32" s="76" t="s">
        <v>8214</v>
      </c>
      <c r="O32" s="76" t="s">
        <v>8114</v>
      </c>
      <c r="P32" s="49" t="s">
        <v>3205</v>
      </c>
      <c r="Q32" s="49" t="n">
        <v>3</v>
      </c>
      <c r="R32" s="49" t="n">
        <v>3</v>
      </c>
      <c r="S32" s="18" t="s">
        <v>3206</v>
      </c>
      <c r="T32" s="49" t="s">
        <v>59</v>
      </c>
      <c r="U32" s="49" t="s">
        <v>59</v>
      </c>
    </row>
    <row r="33" customFormat="false" ht="15.75" hidden="false" customHeight="true" outlineLevel="0" collapsed="false">
      <c r="A33" s="74"/>
      <c r="B33" s="49" t="n">
        <v>26</v>
      </c>
      <c r="C33" s="49" t="s">
        <v>45</v>
      </c>
      <c r="D33" s="49" t="s">
        <v>437</v>
      </c>
      <c r="E33" s="49" t="s">
        <v>7750</v>
      </c>
      <c r="F33" s="49" t="s">
        <v>3208</v>
      </c>
      <c r="G33" s="75" t="n">
        <v>0.3</v>
      </c>
      <c r="H33" s="49" t="s">
        <v>3209</v>
      </c>
      <c r="I33" s="49" t="s">
        <v>3210</v>
      </c>
      <c r="J33" s="49" t="s">
        <v>3211</v>
      </c>
      <c r="K33" s="49" t="s">
        <v>3212</v>
      </c>
      <c r="L33" s="49" t="s">
        <v>3213</v>
      </c>
      <c r="M33" s="49" t="s">
        <v>3214</v>
      </c>
      <c r="N33" s="76" t="s">
        <v>9125</v>
      </c>
      <c r="O33" s="76" t="s">
        <v>8214</v>
      </c>
      <c r="P33" s="49" t="s">
        <v>3215</v>
      </c>
      <c r="Q33" s="49" t="s">
        <v>3216</v>
      </c>
      <c r="R33" s="49" t="s">
        <v>3217</v>
      </c>
      <c r="S33" s="49" t="s">
        <v>3218</v>
      </c>
      <c r="T33" s="49" t="s">
        <v>59</v>
      </c>
      <c r="U33" s="49" t="s">
        <v>59</v>
      </c>
    </row>
    <row r="34" customFormat="false" ht="15.75" hidden="false" customHeight="true" outlineLevel="0" collapsed="false">
      <c r="A34" s="74"/>
      <c r="B34" s="49" t="n">
        <v>23</v>
      </c>
      <c r="C34" s="49" t="s">
        <v>45</v>
      </c>
      <c r="D34" s="49" t="s">
        <v>453</v>
      </c>
      <c r="E34" s="49" t="s">
        <v>453</v>
      </c>
      <c r="F34" s="49" t="s">
        <v>3220</v>
      </c>
      <c r="G34" s="75" t="n">
        <v>0.2</v>
      </c>
      <c r="H34" s="49" t="s">
        <v>3221</v>
      </c>
      <c r="I34" s="49" t="s">
        <v>3222</v>
      </c>
      <c r="J34" s="49" t="s">
        <v>3223</v>
      </c>
      <c r="K34" s="18" t="s">
        <v>3224</v>
      </c>
      <c r="L34" s="49" t="s">
        <v>3225</v>
      </c>
      <c r="M34" s="49" t="s">
        <v>3226</v>
      </c>
      <c r="N34" s="76" t="s">
        <v>8960</v>
      </c>
      <c r="O34" s="76" t="s">
        <v>8960</v>
      </c>
      <c r="P34" s="49" t="s">
        <v>3227</v>
      </c>
      <c r="Q34" s="49" t="s">
        <v>3228</v>
      </c>
      <c r="R34" s="49" t="s">
        <v>3229</v>
      </c>
      <c r="S34" s="49" t="s">
        <v>3230</v>
      </c>
      <c r="T34" s="49" t="s">
        <v>59</v>
      </c>
      <c r="U34" s="49" t="s">
        <v>59</v>
      </c>
    </row>
    <row r="35" customFormat="false" ht="15.75" hidden="false" customHeight="true" outlineLevel="0" collapsed="false">
      <c r="A35" s="74"/>
      <c r="B35" s="49" t="n">
        <v>23</v>
      </c>
      <c r="C35" s="49" t="s">
        <v>83</v>
      </c>
      <c r="D35" s="49" t="s">
        <v>437</v>
      </c>
      <c r="E35" s="49" t="s">
        <v>437</v>
      </c>
      <c r="F35" s="49" t="s">
        <v>3232</v>
      </c>
      <c r="G35" s="75" t="n">
        <v>0.35</v>
      </c>
      <c r="H35" s="49" t="s">
        <v>3233</v>
      </c>
      <c r="I35" s="49" t="s">
        <v>3234</v>
      </c>
      <c r="J35" s="49" t="s">
        <v>3235</v>
      </c>
      <c r="K35" s="49" t="s">
        <v>3236</v>
      </c>
      <c r="L35" s="49" t="s">
        <v>3237</v>
      </c>
      <c r="M35" s="49" t="s">
        <v>3238</v>
      </c>
      <c r="N35" s="76" t="s">
        <v>9125</v>
      </c>
      <c r="O35" s="76" t="s">
        <v>8213</v>
      </c>
      <c r="P35" s="49" t="s">
        <v>3239</v>
      </c>
      <c r="Q35" s="49" t="s">
        <v>3240</v>
      </c>
      <c r="R35" s="49" t="s">
        <v>3241</v>
      </c>
      <c r="S35" s="49" t="s">
        <v>3242</v>
      </c>
      <c r="T35" s="49" t="s">
        <v>59</v>
      </c>
      <c r="U35" s="49" t="s">
        <v>59</v>
      </c>
    </row>
    <row r="36" customFormat="false" ht="15.75" hidden="false" customHeight="true" outlineLevel="0" collapsed="false">
      <c r="A36" s="74"/>
      <c r="B36" s="49" t="n">
        <v>27</v>
      </c>
      <c r="C36" s="49" t="s">
        <v>45</v>
      </c>
      <c r="D36" s="49" t="s">
        <v>437</v>
      </c>
      <c r="E36" s="49" t="s">
        <v>7853</v>
      </c>
      <c r="F36" s="49" t="s">
        <v>3244</v>
      </c>
      <c r="G36" s="49" t="n">
        <v>30</v>
      </c>
      <c r="H36" s="49" t="s">
        <v>3245</v>
      </c>
      <c r="I36" s="49" t="s">
        <v>3246</v>
      </c>
      <c r="J36" s="49" t="s">
        <v>3247</v>
      </c>
      <c r="K36" s="49" t="s">
        <v>3248</v>
      </c>
      <c r="L36" s="49" t="s">
        <v>3249</v>
      </c>
      <c r="M36" s="49" t="s">
        <v>3250</v>
      </c>
      <c r="N36" s="76" t="s">
        <v>8214</v>
      </c>
      <c r="O36" s="76" t="s">
        <v>8960</v>
      </c>
      <c r="P36" s="49" t="s">
        <v>9136</v>
      </c>
      <c r="Q36" s="49" t="n">
        <v>2</v>
      </c>
      <c r="R36" s="49" t="n">
        <v>2</v>
      </c>
      <c r="S36" s="49" t="s">
        <v>3252</v>
      </c>
      <c r="T36" s="49" t="s">
        <v>59</v>
      </c>
      <c r="U36" s="49" t="s">
        <v>59</v>
      </c>
    </row>
    <row r="37" customFormat="false" ht="15.75" hidden="false" customHeight="true" outlineLevel="0" collapsed="false">
      <c r="A37" s="74"/>
      <c r="B37" s="49" t="n">
        <v>23</v>
      </c>
      <c r="C37" s="49" t="s">
        <v>83</v>
      </c>
      <c r="D37" s="49" t="s">
        <v>437</v>
      </c>
      <c r="E37" s="49" t="s">
        <v>7902</v>
      </c>
      <c r="F37" s="49" t="s">
        <v>3254</v>
      </c>
      <c r="G37" s="49" t="s">
        <v>9137</v>
      </c>
      <c r="H37" s="49" t="s">
        <v>3255</v>
      </c>
      <c r="I37" s="49" t="s">
        <v>3256</v>
      </c>
      <c r="J37" s="49" t="s">
        <v>3257</v>
      </c>
      <c r="K37" s="49" t="s">
        <v>9138</v>
      </c>
      <c r="L37" s="49" t="s">
        <v>3259</v>
      </c>
      <c r="M37" s="18" t="s">
        <v>3260</v>
      </c>
      <c r="N37" s="76" t="s">
        <v>8214</v>
      </c>
      <c r="O37" s="76" t="s">
        <v>8214</v>
      </c>
      <c r="P37" s="49" t="s">
        <v>3261</v>
      </c>
      <c r="Q37" s="49" t="s">
        <v>3262</v>
      </c>
      <c r="R37" s="18" t="s">
        <v>3263</v>
      </c>
      <c r="S37" s="49" t="s">
        <v>3264</v>
      </c>
      <c r="T37" s="49" t="s">
        <v>59</v>
      </c>
      <c r="U37" s="49" t="s">
        <v>59</v>
      </c>
    </row>
    <row r="38" customFormat="false" ht="15.75" hidden="false" customHeight="true" outlineLevel="0" collapsed="false">
      <c r="A38" s="74"/>
      <c r="B38" s="49" t="n">
        <v>23</v>
      </c>
      <c r="C38" s="49" t="s">
        <v>45</v>
      </c>
      <c r="D38" s="49" t="s">
        <v>437</v>
      </c>
      <c r="E38" s="49" t="s">
        <v>437</v>
      </c>
      <c r="F38" s="49" t="s">
        <v>3266</v>
      </c>
      <c r="G38" s="49" t="n">
        <v>20</v>
      </c>
      <c r="H38" s="49" t="s">
        <v>3267</v>
      </c>
      <c r="I38" s="49" t="s">
        <v>3268</v>
      </c>
      <c r="J38" s="49" t="s">
        <v>2952</v>
      </c>
      <c r="K38" s="49" t="s">
        <v>3269</v>
      </c>
      <c r="L38" s="49" t="s">
        <v>3270</v>
      </c>
      <c r="M38" s="49" t="s">
        <v>3271</v>
      </c>
      <c r="N38" s="76" t="s">
        <v>8960</v>
      </c>
      <c r="O38" s="76" t="s">
        <v>8114</v>
      </c>
      <c r="P38" s="49" t="s">
        <v>3272</v>
      </c>
      <c r="Q38" s="49" t="s">
        <v>3273</v>
      </c>
      <c r="R38" s="49" t="s">
        <v>3274</v>
      </c>
      <c r="S38" s="49" t="s">
        <v>3275</v>
      </c>
      <c r="T38" s="49" t="s">
        <v>2505</v>
      </c>
      <c r="U38" s="49" t="s">
        <v>59</v>
      </c>
    </row>
    <row r="39" customFormat="false" ht="15.75" hidden="false" customHeight="true" outlineLevel="0" collapsed="false">
      <c r="A39" s="74"/>
      <c r="B39" s="49" t="n">
        <v>27</v>
      </c>
      <c r="C39" s="49" t="s">
        <v>45</v>
      </c>
      <c r="D39" s="49" t="s">
        <v>437</v>
      </c>
      <c r="E39" s="49" t="s">
        <v>3277</v>
      </c>
      <c r="F39" s="49" t="s">
        <v>3278</v>
      </c>
      <c r="G39" s="75" t="n">
        <v>0.2</v>
      </c>
      <c r="H39" s="49" t="s">
        <v>3279</v>
      </c>
      <c r="I39" s="49" t="s">
        <v>3280</v>
      </c>
      <c r="J39" s="49" t="s">
        <v>3281</v>
      </c>
      <c r="K39" s="49" t="s">
        <v>3282</v>
      </c>
      <c r="L39" s="49" t="s">
        <v>3283</v>
      </c>
      <c r="M39" s="49" t="s">
        <v>3284</v>
      </c>
      <c r="N39" s="76" t="s">
        <v>8213</v>
      </c>
      <c r="O39" s="76" t="s">
        <v>9125</v>
      </c>
      <c r="P39" s="49" t="s">
        <v>3285</v>
      </c>
      <c r="Q39" s="49" t="s">
        <v>1845</v>
      </c>
      <c r="R39" s="49" t="s">
        <v>2215</v>
      </c>
      <c r="S39" s="49" t="s">
        <v>3286</v>
      </c>
      <c r="T39" s="49" t="s">
        <v>2505</v>
      </c>
      <c r="U39" s="49" t="s">
        <v>59</v>
      </c>
    </row>
    <row r="40" customFormat="false" ht="15.75" hidden="false" customHeight="true" outlineLevel="0" collapsed="false">
      <c r="A40" s="74"/>
      <c r="B40" s="49" t="n">
        <v>55</v>
      </c>
      <c r="C40" s="49" t="s">
        <v>45</v>
      </c>
      <c r="D40" s="49" t="s">
        <v>437</v>
      </c>
      <c r="E40" s="49" t="s">
        <v>453</v>
      </c>
      <c r="F40" s="49" t="s">
        <v>3288</v>
      </c>
      <c r="G40" s="75" t="n">
        <v>0.15</v>
      </c>
      <c r="H40" s="49" t="s">
        <v>3289</v>
      </c>
      <c r="I40" s="49" t="s">
        <v>1366</v>
      </c>
      <c r="J40" s="49" t="s">
        <v>3290</v>
      </c>
      <c r="K40" s="49" t="s">
        <v>3291</v>
      </c>
      <c r="L40" s="49" t="s">
        <v>3292</v>
      </c>
      <c r="M40" s="49" t="s">
        <v>3293</v>
      </c>
      <c r="N40" s="76" t="s">
        <v>9125</v>
      </c>
      <c r="O40" s="76" t="s">
        <v>8214</v>
      </c>
      <c r="P40" s="49" t="s">
        <v>3294</v>
      </c>
      <c r="Q40" s="49" t="s">
        <v>3295</v>
      </c>
      <c r="R40" s="49" t="s">
        <v>3296</v>
      </c>
      <c r="S40" s="49" t="s">
        <v>59</v>
      </c>
      <c r="T40" s="49" t="s">
        <v>59</v>
      </c>
      <c r="U40" s="49" t="s">
        <v>59</v>
      </c>
    </row>
    <row r="41" customFormat="false" ht="15.75" hidden="false" customHeight="true" outlineLevel="0" collapsed="false">
      <c r="A41" s="74"/>
      <c r="B41" s="49" t="n">
        <v>52</v>
      </c>
      <c r="C41" s="49" t="s">
        <v>45</v>
      </c>
      <c r="D41" s="49" t="s">
        <v>437</v>
      </c>
      <c r="E41" s="49" t="s">
        <v>453</v>
      </c>
      <c r="F41" s="49" t="s">
        <v>3298</v>
      </c>
      <c r="G41" s="49" t="s">
        <v>9139</v>
      </c>
      <c r="H41" s="49" t="s">
        <v>3299</v>
      </c>
      <c r="I41" s="49" t="s">
        <v>1860</v>
      </c>
      <c r="J41" s="49" t="s">
        <v>3300</v>
      </c>
      <c r="K41" s="49" t="s">
        <v>3301</v>
      </c>
      <c r="L41" s="49" t="s">
        <v>59</v>
      </c>
      <c r="M41" s="49" t="s">
        <v>3302</v>
      </c>
      <c r="N41" s="76" t="s">
        <v>8961</v>
      </c>
      <c r="O41" s="76" t="s">
        <v>8214</v>
      </c>
      <c r="P41" s="49" t="s">
        <v>3303</v>
      </c>
      <c r="Q41" s="49" t="s">
        <v>1845</v>
      </c>
      <c r="R41" s="49" t="s">
        <v>2215</v>
      </c>
      <c r="S41" s="49" t="s">
        <v>59</v>
      </c>
      <c r="T41" s="49" t="s">
        <v>2505</v>
      </c>
      <c r="U41" s="49" t="s">
        <v>2505</v>
      </c>
    </row>
    <row r="42" customFormat="false" ht="15.75" hidden="false" customHeight="true" outlineLevel="0" collapsed="false">
      <c r="A42" s="77"/>
      <c r="B42" s="78" t="n">
        <v>23</v>
      </c>
      <c r="C42" s="78" t="s">
        <v>83</v>
      </c>
      <c r="D42" s="78" t="s">
        <v>437</v>
      </c>
      <c r="E42" s="78" t="s">
        <v>437</v>
      </c>
      <c r="F42" s="78" t="s">
        <v>3305</v>
      </c>
      <c r="G42" s="78" t="n">
        <v>20</v>
      </c>
      <c r="H42" s="78" t="s">
        <v>3306</v>
      </c>
      <c r="I42" s="78" t="s">
        <v>3307</v>
      </c>
      <c r="J42" s="78" t="s">
        <v>3308</v>
      </c>
      <c r="K42" s="78" t="s">
        <v>3309</v>
      </c>
      <c r="L42" s="78" t="s">
        <v>59</v>
      </c>
      <c r="M42" s="78" t="s">
        <v>3310</v>
      </c>
      <c r="N42" s="78" t="s">
        <v>8961</v>
      </c>
      <c r="O42" s="78" t="s">
        <v>8214</v>
      </c>
      <c r="P42" s="78" t="s">
        <v>3311</v>
      </c>
      <c r="Q42" s="78" t="s">
        <v>1845</v>
      </c>
      <c r="R42" s="78" t="s">
        <v>3312</v>
      </c>
      <c r="S42" s="78" t="s">
        <v>59</v>
      </c>
      <c r="T42" s="78" t="s">
        <v>59</v>
      </c>
      <c r="U42" s="78" t="s">
        <v>59</v>
      </c>
    </row>
    <row r="43" customFormat="false" ht="15.75" hidden="false" customHeight="true" outlineLevel="0" collapsed="false">
      <c r="A43" s="77"/>
      <c r="B43" s="78" t="n">
        <v>22</v>
      </c>
      <c r="C43" s="78" t="s">
        <v>45</v>
      </c>
      <c r="D43" s="78" t="s">
        <v>437</v>
      </c>
      <c r="E43" s="78" t="s">
        <v>437</v>
      </c>
      <c r="F43" s="78" t="s">
        <v>3314</v>
      </c>
      <c r="G43" s="78" t="n">
        <v>30</v>
      </c>
      <c r="H43" s="78" t="s">
        <v>3315</v>
      </c>
      <c r="I43" s="78" t="s">
        <v>3316</v>
      </c>
      <c r="J43" s="78" t="s">
        <v>3317</v>
      </c>
      <c r="K43" s="78" t="s">
        <v>3318</v>
      </c>
      <c r="L43" s="78" t="s">
        <v>59</v>
      </c>
      <c r="M43" s="78" t="s">
        <v>3319</v>
      </c>
      <c r="N43" s="78" t="s">
        <v>8960</v>
      </c>
      <c r="O43" s="78" t="s">
        <v>8960</v>
      </c>
      <c r="P43" s="78" t="s">
        <v>3320</v>
      </c>
      <c r="Q43" s="78" t="s">
        <v>1844</v>
      </c>
      <c r="R43" s="78" t="s">
        <v>3321</v>
      </c>
      <c r="S43" s="78" t="s">
        <v>59</v>
      </c>
      <c r="T43" s="78" t="s">
        <v>59</v>
      </c>
      <c r="U43" s="78" t="s">
        <v>59</v>
      </c>
    </row>
    <row r="44" customFormat="false" ht="15.75" hidden="false" customHeight="true" outlineLevel="0" collapsed="false">
      <c r="A44" s="77"/>
      <c r="B44" s="78" t="n">
        <v>25</v>
      </c>
      <c r="C44" s="78" t="s">
        <v>45</v>
      </c>
      <c r="D44" s="78" t="s">
        <v>437</v>
      </c>
      <c r="E44" s="78" t="s">
        <v>437</v>
      </c>
      <c r="F44" s="78" t="s">
        <v>3323</v>
      </c>
      <c r="G44" s="78" t="n">
        <v>60</v>
      </c>
      <c r="H44" s="78" t="s">
        <v>3324</v>
      </c>
      <c r="I44" s="78" t="s">
        <v>3325</v>
      </c>
      <c r="J44" s="78" t="s">
        <v>3326</v>
      </c>
      <c r="K44" s="78" t="s">
        <v>3327</v>
      </c>
      <c r="L44" s="78" t="s">
        <v>59</v>
      </c>
      <c r="M44" s="78" t="s">
        <v>3328</v>
      </c>
      <c r="N44" s="78" t="s">
        <v>8214</v>
      </c>
      <c r="O44" s="78" t="s">
        <v>8214</v>
      </c>
      <c r="P44" s="78" t="s">
        <v>3329</v>
      </c>
      <c r="Q44" s="78" t="s">
        <v>2215</v>
      </c>
      <c r="R44" s="78" t="s">
        <v>3330</v>
      </c>
      <c r="S44" s="78" t="s">
        <v>59</v>
      </c>
      <c r="T44" s="78" t="s">
        <v>98</v>
      </c>
      <c r="U44" s="78" t="s">
        <v>59</v>
      </c>
    </row>
    <row r="45" customFormat="false" ht="15.75" hidden="false" customHeight="true" outlineLevel="0" collapsed="false">
      <c r="A45" s="77"/>
      <c r="B45" s="78" t="n">
        <v>24</v>
      </c>
      <c r="C45" s="78" t="s">
        <v>83</v>
      </c>
      <c r="D45" s="78" t="s">
        <v>437</v>
      </c>
      <c r="E45" s="78" t="s">
        <v>437</v>
      </c>
      <c r="F45" s="78" t="s">
        <v>3332</v>
      </c>
      <c r="G45" s="78" t="n">
        <v>35</v>
      </c>
      <c r="H45" s="78" t="s">
        <v>3333</v>
      </c>
      <c r="I45" s="78" t="s">
        <v>3334</v>
      </c>
      <c r="J45" s="78" t="s">
        <v>3335</v>
      </c>
      <c r="K45" s="78" t="s">
        <v>3336</v>
      </c>
      <c r="L45" s="78" t="s">
        <v>59</v>
      </c>
      <c r="M45" s="78" t="s">
        <v>3337</v>
      </c>
      <c r="N45" s="78" t="s">
        <v>9140</v>
      </c>
      <c r="O45" s="78" t="s">
        <v>9140</v>
      </c>
      <c r="P45" s="78" t="s">
        <v>3338</v>
      </c>
      <c r="Q45" s="78" t="s">
        <v>1845</v>
      </c>
      <c r="R45" s="78" t="s">
        <v>3339</v>
      </c>
      <c r="S45" s="78" t="s">
        <v>59</v>
      </c>
      <c r="T45" s="78" t="s">
        <v>59</v>
      </c>
      <c r="U45" s="78" t="s">
        <v>59</v>
      </c>
    </row>
    <row r="46" customFormat="false" ht="15.75" hidden="false" customHeight="true" outlineLevel="0" collapsed="false">
      <c r="A46" s="77"/>
      <c r="B46" s="78" t="n">
        <v>25</v>
      </c>
      <c r="C46" s="78" t="s">
        <v>45</v>
      </c>
      <c r="D46" s="78" t="s">
        <v>437</v>
      </c>
      <c r="E46" s="78" t="s">
        <v>437</v>
      </c>
      <c r="F46" s="78" t="s">
        <v>3342</v>
      </c>
      <c r="G46" s="78" t="n">
        <v>15</v>
      </c>
      <c r="H46" s="78" t="s">
        <v>3343</v>
      </c>
      <c r="I46" s="78" t="s">
        <v>3344</v>
      </c>
      <c r="J46" s="78" t="s">
        <v>3345</v>
      </c>
      <c r="K46" s="78" t="s">
        <v>3346</v>
      </c>
      <c r="L46" s="78" t="s">
        <v>59</v>
      </c>
      <c r="M46" s="78" t="s">
        <v>3319</v>
      </c>
      <c r="N46" s="78" t="s">
        <v>9125</v>
      </c>
      <c r="O46" s="78" t="s">
        <v>9125</v>
      </c>
      <c r="P46" s="78" t="s">
        <v>3347</v>
      </c>
      <c r="Q46" s="78" t="s">
        <v>1845</v>
      </c>
      <c r="R46" s="78" t="s">
        <v>3348</v>
      </c>
      <c r="S46" s="78" t="s">
        <v>59</v>
      </c>
      <c r="T46" s="78" t="s">
        <v>59</v>
      </c>
      <c r="U46" s="78" t="s">
        <v>59</v>
      </c>
    </row>
    <row r="47" customFormat="false" ht="15.75" hidden="false" customHeight="true" outlineLevel="0" collapsed="false">
      <c r="A47" s="77"/>
      <c r="B47" s="78" t="n">
        <v>24</v>
      </c>
      <c r="C47" s="78" t="s">
        <v>45</v>
      </c>
      <c r="D47" s="78" t="s">
        <v>437</v>
      </c>
      <c r="E47" s="78" t="s">
        <v>437</v>
      </c>
      <c r="F47" s="78" t="s">
        <v>3350</v>
      </c>
      <c r="G47" s="78" t="n">
        <v>43</v>
      </c>
      <c r="H47" s="78" t="s">
        <v>3351</v>
      </c>
      <c r="I47" s="78" t="s">
        <v>3352</v>
      </c>
      <c r="J47" s="78" t="s">
        <v>3353</v>
      </c>
      <c r="K47" s="78" t="s">
        <v>3354</v>
      </c>
      <c r="L47" s="78" t="s">
        <v>59</v>
      </c>
      <c r="M47" s="78" t="s">
        <v>3355</v>
      </c>
      <c r="N47" s="78" t="s">
        <v>8214</v>
      </c>
      <c r="O47" s="78" t="s">
        <v>8214</v>
      </c>
      <c r="P47" s="78" t="s">
        <v>3356</v>
      </c>
      <c r="Q47" s="78" t="s">
        <v>2215</v>
      </c>
      <c r="R47" s="78" t="s">
        <v>3357</v>
      </c>
      <c r="S47" s="78" t="s">
        <v>59</v>
      </c>
      <c r="T47" s="78" t="s">
        <v>1625</v>
      </c>
      <c r="U47" s="78" t="s">
        <v>59</v>
      </c>
    </row>
    <row r="48" customFormat="false" ht="15.75" hidden="false" customHeight="true" outlineLevel="0" collapsed="false">
      <c r="A48" s="77"/>
      <c r="B48" s="78" t="n">
        <v>22</v>
      </c>
      <c r="C48" s="78" t="s">
        <v>45</v>
      </c>
      <c r="D48" s="78" t="s">
        <v>437</v>
      </c>
      <c r="E48" s="78" t="s">
        <v>437</v>
      </c>
      <c r="F48" s="78" t="s">
        <v>3359</v>
      </c>
      <c r="G48" s="78" t="n">
        <v>45</v>
      </c>
      <c r="H48" s="78" t="s">
        <v>3360</v>
      </c>
      <c r="I48" s="78" t="s">
        <v>3361</v>
      </c>
      <c r="J48" s="78" t="s">
        <v>3308</v>
      </c>
      <c r="K48" s="78" t="s">
        <v>3362</v>
      </c>
      <c r="L48" s="78" t="s">
        <v>59</v>
      </c>
      <c r="M48" s="78" t="s">
        <v>3363</v>
      </c>
      <c r="N48" s="78" t="s">
        <v>8114</v>
      </c>
      <c r="O48" s="78" t="s">
        <v>9140</v>
      </c>
      <c r="P48" s="78" t="s">
        <v>3364</v>
      </c>
      <c r="Q48" s="78" t="s">
        <v>1845</v>
      </c>
      <c r="R48" s="78" t="s">
        <v>3365</v>
      </c>
      <c r="S48" s="78" t="s">
        <v>59</v>
      </c>
      <c r="T48" s="78" t="s">
        <v>59</v>
      </c>
      <c r="U48" s="78" t="s">
        <v>59</v>
      </c>
    </row>
    <row r="49" customFormat="false" ht="15.75" hidden="false" customHeight="true" outlineLevel="0" collapsed="false">
      <c r="A49" s="77"/>
      <c r="B49" s="78" t="n">
        <v>25</v>
      </c>
      <c r="C49" s="78" t="s">
        <v>83</v>
      </c>
      <c r="D49" s="78" t="s">
        <v>437</v>
      </c>
      <c r="E49" s="78" t="s">
        <v>437</v>
      </c>
      <c r="F49" s="78" t="s">
        <v>3368</v>
      </c>
      <c r="G49" s="78" t="n">
        <v>30</v>
      </c>
      <c r="H49" s="78" t="s">
        <v>3369</v>
      </c>
      <c r="I49" s="78" t="s">
        <v>3370</v>
      </c>
      <c r="J49" s="78" t="s">
        <v>3371</v>
      </c>
      <c r="K49" s="78" t="s">
        <v>3372</v>
      </c>
      <c r="L49" s="78" t="s">
        <v>59</v>
      </c>
      <c r="M49" s="78" t="s">
        <v>3373</v>
      </c>
      <c r="N49" s="78" t="s">
        <v>9141</v>
      </c>
      <c r="O49" s="78" t="s">
        <v>9142</v>
      </c>
      <c r="P49" s="78" t="s">
        <v>3374</v>
      </c>
      <c r="Q49" s="78" t="s">
        <v>1845</v>
      </c>
      <c r="R49" s="78" t="s">
        <v>3375</v>
      </c>
      <c r="S49" s="78" t="s">
        <v>98</v>
      </c>
      <c r="T49" s="78" t="s">
        <v>98</v>
      </c>
      <c r="U49" s="78" t="s">
        <v>59</v>
      </c>
    </row>
    <row r="50" customFormat="false" ht="15.75" hidden="false" customHeight="true" outlineLevel="0" collapsed="false">
      <c r="A50" s="77"/>
      <c r="B50" s="78" t="n">
        <v>23</v>
      </c>
      <c r="C50" s="78" t="s">
        <v>83</v>
      </c>
      <c r="D50" s="78" t="s">
        <v>437</v>
      </c>
      <c r="E50" s="78" t="s">
        <v>437</v>
      </c>
      <c r="F50" s="78" t="s">
        <v>3378</v>
      </c>
      <c r="G50" s="78" t="n">
        <v>25</v>
      </c>
      <c r="H50" s="78" t="s">
        <v>3379</v>
      </c>
      <c r="I50" s="78" t="s">
        <v>3380</v>
      </c>
      <c r="J50" s="78" t="s">
        <v>3381</v>
      </c>
      <c r="K50" s="78" t="s">
        <v>3382</v>
      </c>
      <c r="L50" s="78" t="s">
        <v>59</v>
      </c>
      <c r="M50" s="78" t="s">
        <v>3310</v>
      </c>
      <c r="N50" s="78" t="s">
        <v>8114</v>
      </c>
      <c r="O50" s="78" t="s">
        <v>8960</v>
      </c>
      <c r="P50" s="78" t="s">
        <v>3383</v>
      </c>
      <c r="Q50" s="78" t="s">
        <v>1845</v>
      </c>
      <c r="R50" s="78" t="s">
        <v>3384</v>
      </c>
      <c r="S50" s="78" t="s">
        <v>59</v>
      </c>
      <c r="T50" s="78" t="s">
        <v>59</v>
      </c>
      <c r="U50" s="78" t="s">
        <v>59</v>
      </c>
    </row>
    <row r="51" customFormat="false" ht="15.75" hidden="false" customHeight="true" outlineLevel="0" collapsed="false">
      <c r="A51" s="77"/>
      <c r="B51" s="78" t="n">
        <v>24</v>
      </c>
      <c r="C51" s="78" t="s">
        <v>45</v>
      </c>
      <c r="D51" s="78" t="s">
        <v>437</v>
      </c>
      <c r="E51" s="78" t="s">
        <v>437</v>
      </c>
      <c r="F51" s="78" t="s">
        <v>2241</v>
      </c>
      <c r="G51" s="78" t="n">
        <v>50</v>
      </c>
      <c r="H51" s="78" t="s">
        <v>3386</v>
      </c>
      <c r="I51" s="78" t="s">
        <v>3387</v>
      </c>
      <c r="J51" s="78" t="s">
        <v>3388</v>
      </c>
      <c r="K51" s="78" t="s">
        <v>3389</v>
      </c>
      <c r="L51" s="78" t="s">
        <v>59</v>
      </c>
      <c r="M51" s="78" t="s">
        <v>3390</v>
      </c>
      <c r="N51" s="78" t="s">
        <v>8214</v>
      </c>
      <c r="O51" s="78" t="s">
        <v>8960</v>
      </c>
      <c r="P51" s="78" t="s">
        <v>3391</v>
      </c>
      <c r="Q51" s="78" t="s">
        <v>1845</v>
      </c>
      <c r="R51" s="78" t="s">
        <v>3392</v>
      </c>
      <c r="S51" s="78" t="s">
        <v>59</v>
      </c>
      <c r="T51" s="78" t="s">
        <v>59</v>
      </c>
      <c r="U51" s="78" t="s">
        <v>59</v>
      </c>
    </row>
    <row r="52" customFormat="false" ht="15.75" hidden="false" customHeight="true" outlineLevel="0" collapsed="false">
      <c r="A52" s="77"/>
      <c r="B52" s="78" t="n">
        <v>24</v>
      </c>
      <c r="C52" s="78" t="s">
        <v>83</v>
      </c>
      <c r="D52" s="78" t="s">
        <v>437</v>
      </c>
      <c r="E52" s="78" t="s">
        <v>437</v>
      </c>
      <c r="F52" s="78" t="s">
        <v>3394</v>
      </c>
      <c r="G52" s="78" t="n">
        <v>40</v>
      </c>
      <c r="H52" s="78" t="s">
        <v>3395</v>
      </c>
      <c r="I52" s="78" t="s">
        <v>3396</v>
      </c>
      <c r="J52" s="78" t="s">
        <v>1390</v>
      </c>
      <c r="K52" s="78" t="s">
        <v>3397</v>
      </c>
      <c r="L52" s="78" t="s">
        <v>59</v>
      </c>
      <c r="M52" s="78" t="s">
        <v>3398</v>
      </c>
      <c r="N52" s="78" t="s">
        <v>8213</v>
      </c>
      <c r="O52" s="78" t="s">
        <v>8114</v>
      </c>
      <c r="P52" s="78" t="s">
        <v>3399</v>
      </c>
      <c r="Q52" s="78" t="s">
        <v>1845</v>
      </c>
      <c r="R52" s="78" t="s">
        <v>3400</v>
      </c>
      <c r="S52" s="78" t="s">
        <v>59</v>
      </c>
      <c r="T52" s="78" t="s">
        <v>59</v>
      </c>
      <c r="U52" s="78" t="s">
        <v>59</v>
      </c>
    </row>
    <row r="53" customFormat="false" ht="15.75" hidden="false" customHeight="true" outlineLevel="0" collapsed="false">
      <c r="A53" s="77"/>
      <c r="B53" s="78" t="n">
        <v>24</v>
      </c>
      <c r="C53" s="78" t="s">
        <v>45</v>
      </c>
      <c r="D53" s="78" t="s">
        <v>437</v>
      </c>
      <c r="E53" s="78" t="s">
        <v>437</v>
      </c>
      <c r="F53" s="78" t="s">
        <v>3402</v>
      </c>
      <c r="G53" s="78" t="n">
        <v>30</v>
      </c>
      <c r="H53" s="78" t="s">
        <v>3403</v>
      </c>
      <c r="I53" s="78" t="s">
        <v>3404</v>
      </c>
      <c r="J53" s="78" t="s">
        <v>3405</v>
      </c>
      <c r="K53" s="78" t="s">
        <v>3406</v>
      </c>
      <c r="L53" s="78" t="s">
        <v>59</v>
      </c>
      <c r="M53" s="78" t="s">
        <v>3407</v>
      </c>
      <c r="N53" s="78" t="s">
        <v>8213</v>
      </c>
      <c r="O53" s="78" t="s">
        <v>9125</v>
      </c>
      <c r="P53" s="78" t="s">
        <v>3408</v>
      </c>
      <c r="Q53" s="78" t="s">
        <v>1844</v>
      </c>
      <c r="R53" s="78" t="s">
        <v>3409</v>
      </c>
      <c r="S53" s="78" t="s">
        <v>59</v>
      </c>
      <c r="T53" s="78" t="s">
        <v>59</v>
      </c>
      <c r="U53" s="78" t="s">
        <v>59</v>
      </c>
    </row>
    <row r="54" customFormat="false" ht="15.75" hidden="false" customHeight="true" outlineLevel="0" collapsed="false">
      <c r="A54" s="77"/>
      <c r="B54" s="78" t="n">
        <v>24</v>
      </c>
      <c r="C54" s="78" t="s">
        <v>83</v>
      </c>
      <c r="D54" s="78" t="s">
        <v>437</v>
      </c>
      <c r="E54" s="78" t="s">
        <v>437</v>
      </c>
      <c r="F54" s="78" t="s">
        <v>3411</v>
      </c>
      <c r="G54" s="78" t="n">
        <v>25</v>
      </c>
      <c r="H54" s="78" t="s">
        <v>3412</v>
      </c>
      <c r="I54" s="78" t="s">
        <v>3413</v>
      </c>
      <c r="J54" s="78" t="s">
        <v>3414</v>
      </c>
      <c r="K54" s="78" t="s">
        <v>3415</v>
      </c>
      <c r="L54" s="78" t="s">
        <v>59</v>
      </c>
      <c r="M54" s="78" t="s">
        <v>3416</v>
      </c>
      <c r="N54" s="78" t="s">
        <v>8960</v>
      </c>
      <c r="O54" s="78" t="s">
        <v>8960</v>
      </c>
      <c r="P54" s="78" t="s">
        <v>3311</v>
      </c>
      <c r="Q54" s="78" t="s">
        <v>1844</v>
      </c>
      <c r="R54" s="78" t="s">
        <v>3417</v>
      </c>
      <c r="S54" s="78" t="s">
        <v>59</v>
      </c>
      <c r="T54" s="78" t="s">
        <v>59</v>
      </c>
      <c r="U54" s="78" t="s">
        <v>59</v>
      </c>
    </row>
    <row r="55" customFormat="false" ht="15.75" hidden="false" customHeight="true" outlineLevel="0" collapsed="false">
      <c r="A55" s="77"/>
      <c r="B55" s="78" t="n">
        <v>22</v>
      </c>
      <c r="C55" s="78" t="s">
        <v>45</v>
      </c>
      <c r="D55" s="78" t="s">
        <v>437</v>
      </c>
      <c r="E55" s="78" t="s">
        <v>437</v>
      </c>
      <c r="F55" s="78" t="s">
        <v>3419</v>
      </c>
      <c r="G55" s="78" t="n">
        <v>55</v>
      </c>
      <c r="H55" s="78" t="s">
        <v>3420</v>
      </c>
      <c r="I55" s="78" t="s">
        <v>3420</v>
      </c>
      <c r="J55" s="78" t="s">
        <v>3421</v>
      </c>
      <c r="K55" s="78" t="s">
        <v>3422</v>
      </c>
      <c r="L55" s="78" t="s">
        <v>59</v>
      </c>
      <c r="M55" s="78" t="s">
        <v>3310</v>
      </c>
      <c r="N55" s="78" t="s">
        <v>8960</v>
      </c>
      <c r="O55" s="78" t="s">
        <v>8960</v>
      </c>
      <c r="P55" s="78" t="s">
        <v>3423</v>
      </c>
      <c r="Q55" s="78" t="s">
        <v>2215</v>
      </c>
      <c r="R55" s="78" t="s">
        <v>3424</v>
      </c>
      <c r="S55" s="78" t="s">
        <v>59</v>
      </c>
      <c r="T55" s="78" t="s">
        <v>59</v>
      </c>
      <c r="U55" s="78" t="s">
        <v>59</v>
      </c>
    </row>
    <row r="56" customFormat="false" ht="15.75" hidden="false" customHeight="true" outlineLevel="0" collapsed="false">
      <c r="A56" s="77"/>
      <c r="B56" s="78" t="n">
        <v>24</v>
      </c>
      <c r="C56" s="78" t="s">
        <v>83</v>
      </c>
      <c r="D56" s="78" t="s">
        <v>437</v>
      </c>
      <c r="E56" s="78" t="s">
        <v>437</v>
      </c>
      <c r="F56" s="78" t="s">
        <v>3426</v>
      </c>
      <c r="G56" s="78" t="n">
        <v>40</v>
      </c>
      <c r="H56" s="78" t="s">
        <v>3427</v>
      </c>
      <c r="I56" s="78" t="s">
        <v>3428</v>
      </c>
      <c r="J56" s="78" t="s">
        <v>1390</v>
      </c>
      <c r="K56" s="78" t="s">
        <v>3429</v>
      </c>
      <c r="L56" s="78" t="s">
        <v>59</v>
      </c>
      <c r="M56" s="78" t="s">
        <v>3430</v>
      </c>
      <c r="N56" s="78" t="s">
        <v>8960</v>
      </c>
      <c r="O56" s="78" t="s">
        <v>8114</v>
      </c>
      <c r="P56" s="78" t="s">
        <v>3431</v>
      </c>
      <c r="Q56" s="78" t="s">
        <v>1844</v>
      </c>
      <c r="R56" s="78" t="s">
        <v>3432</v>
      </c>
      <c r="S56" s="78" t="s">
        <v>59</v>
      </c>
      <c r="T56" s="78" t="s">
        <v>59</v>
      </c>
      <c r="U56" s="78" t="s">
        <v>59</v>
      </c>
    </row>
    <row r="57" customFormat="false" ht="15.75" hidden="false" customHeight="true" outlineLevel="0" collapsed="false">
      <c r="A57" s="77"/>
      <c r="B57" s="78" t="n">
        <v>25</v>
      </c>
      <c r="C57" s="78" t="s">
        <v>83</v>
      </c>
      <c r="D57" s="78" t="s">
        <v>437</v>
      </c>
      <c r="E57" s="78" t="s">
        <v>437</v>
      </c>
      <c r="F57" s="78" t="s">
        <v>3434</v>
      </c>
      <c r="G57" s="78" t="n">
        <v>40</v>
      </c>
      <c r="H57" s="78" t="s">
        <v>3435</v>
      </c>
      <c r="I57" s="78" t="s">
        <v>3436</v>
      </c>
      <c r="J57" s="78" t="s">
        <v>3437</v>
      </c>
      <c r="K57" s="78" t="s">
        <v>3438</v>
      </c>
      <c r="L57" s="78" t="s">
        <v>59</v>
      </c>
      <c r="M57" s="78" t="s">
        <v>3439</v>
      </c>
      <c r="N57" s="78" t="s">
        <v>9125</v>
      </c>
      <c r="O57" s="78" t="s">
        <v>8114</v>
      </c>
      <c r="P57" s="78" t="s">
        <v>3440</v>
      </c>
      <c r="Q57" s="78" t="s">
        <v>1845</v>
      </c>
      <c r="R57" s="78" t="s">
        <v>3441</v>
      </c>
      <c r="S57" s="78" t="s">
        <v>59</v>
      </c>
      <c r="T57" s="78" t="s">
        <v>59</v>
      </c>
      <c r="U57" s="78" t="s">
        <v>59</v>
      </c>
    </row>
    <row r="58" customFormat="false" ht="15.75" hidden="false" customHeight="true" outlineLevel="0" collapsed="false">
      <c r="A58" s="77"/>
      <c r="B58" s="78" t="n">
        <v>24</v>
      </c>
      <c r="C58" s="78" t="s">
        <v>45</v>
      </c>
      <c r="D58" s="78" t="s">
        <v>437</v>
      </c>
      <c r="E58" s="78" t="s">
        <v>437</v>
      </c>
      <c r="F58" s="78" t="s">
        <v>3443</v>
      </c>
      <c r="G58" s="78" t="n">
        <v>52</v>
      </c>
      <c r="H58" s="78" t="s">
        <v>3444</v>
      </c>
      <c r="I58" s="78" t="s">
        <v>3445</v>
      </c>
      <c r="J58" s="78" t="s">
        <v>3446</v>
      </c>
      <c r="K58" s="78" t="s">
        <v>3447</v>
      </c>
      <c r="L58" s="78" t="s">
        <v>59</v>
      </c>
      <c r="M58" s="78" t="s">
        <v>3448</v>
      </c>
      <c r="N58" s="78" t="s">
        <v>8961</v>
      </c>
      <c r="O58" s="78" t="s">
        <v>8114</v>
      </c>
      <c r="P58" s="78" t="s">
        <v>3449</v>
      </c>
      <c r="Q58" s="78" t="s">
        <v>1844</v>
      </c>
      <c r="R58" s="78" t="s">
        <v>3450</v>
      </c>
      <c r="S58" s="78" t="s">
        <v>59</v>
      </c>
      <c r="T58" s="78" t="s">
        <v>59</v>
      </c>
      <c r="U58" s="78" t="s">
        <v>59</v>
      </c>
    </row>
    <row r="59" customFormat="false" ht="15.75" hidden="false" customHeight="true" outlineLevel="0" collapsed="false">
      <c r="A59" s="77"/>
      <c r="B59" s="78" t="n">
        <v>24</v>
      </c>
      <c r="C59" s="78" t="s">
        <v>83</v>
      </c>
      <c r="D59" s="78" t="s">
        <v>1687</v>
      </c>
      <c r="E59" s="78" t="s">
        <v>437</v>
      </c>
      <c r="F59" s="78" t="s">
        <v>3452</v>
      </c>
      <c r="G59" s="78" t="n">
        <v>30</v>
      </c>
      <c r="H59" s="78" t="s">
        <v>3453</v>
      </c>
      <c r="I59" s="78" t="s">
        <v>3454</v>
      </c>
      <c r="J59" s="78" t="s">
        <v>3455</v>
      </c>
      <c r="K59" s="78" t="s">
        <v>3456</v>
      </c>
      <c r="L59" s="78" t="s">
        <v>59</v>
      </c>
      <c r="M59" s="78" t="s">
        <v>3457</v>
      </c>
      <c r="N59" s="78" t="s">
        <v>8960</v>
      </c>
      <c r="O59" s="78" t="s">
        <v>8214</v>
      </c>
      <c r="P59" s="78" t="s">
        <v>3458</v>
      </c>
      <c r="Q59" s="78" t="s">
        <v>2215</v>
      </c>
      <c r="R59" s="78" t="s">
        <v>3459</v>
      </c>
      <c r="S59" s="78" t="s">
        <v>59</v>
      </c>
      <c r="T59" s="78" t="s">
        <v>59</v>
      </c>
      <c r="U59" s="78" t="s">
        <v>59</v>
      </c>
    </row>
    <row r="60" customFormat="false" ht="15.75" hidden="false" customHeight="true" outlineLevel="0" collapsed="false">
      <c r="A60" s="77"/>
      <c r="B60" s="78" t="n">
        <v>24</v>
      </c>
      <c r="C60" s="78" t="s">
        <v>83</v>
      </c>
      <c r="D60" s="78" t="s">
        <v>437</v>
      </c>
      <c r="E60" s="78" t="s">
        <v>437</v>
      </c>
      <c r="F60" s="78" t="s">
        <v>3461</v>
      </c>
      <c r="G60" s="78" t="n">
        <v>15</v>
      </c>
      <c r="H60" s="78" t="s">
        <v>3462</v>
      </c>
      <c r="I60" s="78" t="s">
        <v>3463</v>
      </c>
      <c r="J60" s="78" t="s">
        <v>3464</v>
      </c>
      <c r="K60" s="78" t="s">
        <v>3465</v>
      </c>
      <c r="L60" s="78" t="s">
        <v>59</v>
      </c>
      <c r="M60" s="78" t="s">
        <v>3466</v>
      </c>
      <c r="N60" s="78" t="s">
        <v>8114</v>
      </c>
      <c r="O60" s="78" t="s">
        <v>8114</v>
      </c>
      <c r="P60" s="78" t="s">
        <v>3467</v>
      </c>
      <c r="Q60" s="78" t="s">
        <v>2215</v>
      </c>
      <c r="R60" s="78" t="s">
        <v>3468</v>
      </c>
      <c r="S60" s="78" t="s">
        <v>59</v>
      </c>
      <c r="T60" s="78" t="s">
        <v>59</v>
      </c>
      <c r="U60" s="78" t="s">
        <v>59</v>
      </c>
    </row>
    <row r="61" customFormat="false" ht="15.75" hidden="false" customHeight="true" outlineLevel="0" collapsed="false">
      <c r="A61" s="77"/>
      <c r="B61" s="78" t="n">
        <v>25</v>
      </c>
      <c r="C61" s="78" t="s">
        <v>83</v>
      </c>
      <c r="D61" s="78" t="s">
        <v>437</v>
      </c>
      <c r="E61" s="78" t="s">
        <v>437</v>
      </c>
      <c r="F61" s="78" t="s">
        <v>3470</v>
      </c>
      <c r="G61" s="78" t="n">
        <v>25</v>
      </c>
      <c r="H61" s="78" t="s">
        <v>3471</v>
      </c>
      <c r="I61" s="78" t="s">
        <v>3472</v>
      </c>
      <c r="J61" s="78" t="s">
        <v>3473</v>
      </c>
      <c r="K61" s="78" t="s">
        <v>3474</v>
      </c>
      <c r="L61" s="49" t="s">
        <v>3475</v>
      </c>
      <c r="M61" s="78" t="s">
        <v>3476</v>
      </c>
      <c r="N61" s="78" t="s">
        <v>8214</v>
      </c>
      <c r="O61" s="78" t="s">
        <v>8960</v>
      </c>
      <c r="P61" s="78" t="s">
        <v>3311</v>
      </c>
      <c r="Q61" s="78" t="s">
        <v>2215</v>
      </c>
      <c r="R61" s="78" t="s">
        <v>3477</v>
      </c>
      <c r="S61" s="78" t="s">
        <v>59</v>
      </c>
      <c r="T61" s="78" t="s">
        <v>59</v>
      </c>
      <c r="U61" s="78" t="s">
        <v>59</v>
      </c>
    </row>
    <row r="62" customFormat="false" ht="15.75" hidden="false" customHeight="true" outlineLevel="0" collapsed="false">
      <c r="A62" s="78"/>
      <c r="B62" s="78" t="n">
        <v>22</v>
      </c>
      <c r="C62" s="78" t="s">
        <v>83</v>
      </c>
      <c r="D62" s="78" t="s">
        <v>3480</v>
      </c>
      <c r="E62" s="78" t="s">
        <v>7750</v>
      </c>
      <c r="F62" s="78" t="s">
        <v>3481</v>
      </c>
      <c r="G62" s="78" t="n">
        <v>15</v>
      </c>
      <c r="H62" s="78" t="s">
        <v>3482</v>
      </c>
      <c r="I62" s="78" t="s">
        <v>3483</v>
      </c>
      <c r="J62" s="78" t="s">
        <v>3484</v>
      </c>
      <c r="K62" s="79" t="s">
        <v>9143</v>
      </c>
      <c r="L62" s="49" t="s">
        <v>3475</v>
      </c>
      <c r="M62" s="79" t="s">
        <v>9144</v>
      </c>
      <c r="N62" s="78" t="s">
        <v>8114</v>
      </c>
      <c r="O62" s="78" t="s">
        <v>8214</v>
      </c>
      <c r="P62" s="18" t="s">
        <v>9145</v>
      </c>
      <c r="Q62" s="78" t="s">
        <v>3488</v>
      </c>
      <c r="R62" s="78" t="s">
        <v>3489</v>
      </c>
      <c r="S62" s="78" t="s">
        <v>3490</v>
      </c>
      <c r="T62" s="78" t="s">
        <v>3491</v>
      </c>
      <c r="U62" s="78" t="s">
        <v>3492</v>
      </c>
    </row>
    <row r="63" customFormat="false" ht="15.75" hidden="false" customHeight="true" outlineLevel="0" collapsed="false">
      <c r="B63" s="78" t="n">
        <v>22</v>
      </c>
      <c r="C63" s="78" t="s">
        <v>83</v>
      </c>
      <c r="D63" s="78" t="s">
        <v>3495</v>
      </c>
      <c r="E63" s="78" t="s">
        <v>9146</v>
      </c>
      <c r="F63" s="78" t="s">
        <v>3496</v>
      </c>
      <c r="G63" s="78" t="n">
        <v>20</v>
      </c>
      <c r="H63" s="78" t="s">
        <v>3497</v>
      </c>
      <c r="I63" s="78" t="s">
        <v>3498</v>
      </c>
      <c r="J63" s="78" t="s">
        <v>3499</v>
      </c>
      <c r="K63" s="79" t="s">
        <v>9147</v>
      </c>
      <c r="L63" s="49" t="s">
        <v>3501</v>
      </c>
      <c r="M63" s="79" t="s">
        <v>9148</v>
      </c>
      <c r="N63" s="78" t="s">
        <v>8213</v>
      </c>
      <c r="O63" s="78" t="s">
        <v>9125</v>
      </c>
      <c r="P63" s="49" t="s">
        <v>9149</v>
      </c>
      <c r="Q63" s="78" t="s">
        <v>3504</v>
      </c>
      <c r="R63" s="78" t="s">
        <v>3505</v>
      </c>
      <c r="S63" s="78" t="s">
        <v>3506</v>
      </c>
      <c r="T63" s="78" t="s">
        <v>3507</v>
      </c>
      <c r="U63" s="78" t="s">
        <v>3508</v>
      </c>
    </row>
    <row r="64" customFormat="false" ht="15.75" hidden="false" customHeight="true" outlineLevel="0" collapsed="false">
      <c r="B64" s="78" t="n">
        <v>23</v>
      </c>
      <c r="C64" s="78" t="s">
        <v>45</v>
      </c>
      <c r="D64" s="78" t="s">
        <v>438</v>
      </c>
      <c r="E64" s="78" t="s">
        <v>9150</v>
      </c>
      <c r="F64" s="78" t="s">
        <v>3512</v>
      </c>
      <c r="G64" s="78" t="n">
        <v>30</v>
      </c>
      <c r="H64" s="78" t="s">
        <v>3513</v>
      </c>
      <c r="I64" s="78" t="s">
        <v>3514</v>
      </c>
      <c r="J64" s="78" t="s">
        <v>3515</v>
      </c>
      <c r="K64" s="79" t="s">
        <v>9151</v>
      </c>
      <c r="L64" s="49" t="s">
        <v>3517</v>
      </c>
      <c r="M64" s="78" t="s">
        <v>9152</v>
      </c>
      <c r="N64" s="78" t="s">
        <v>8114</v>
      </c>
      <c r="O64" s="78" t="s">
        <v>8114</v>
      </c>
      <c r="P64" s="49" t="s">
        <v>9153</v>
      </c>
      <c r="Q64" s="78" t="s">
        <v>3520</v>
      </c>
      <c r="R64" s="78" t="s">
        <v>3521</v>
      </c>
      <c r="S64" s="78" t="s">
        <v>3522</v>
      </c>
      <c r="T64" s="78" t="s">
        <v>3523</v>
      </c>
      <c r="U64" s="78" t="s">
        <v>3524</v>
      </c>
    </row>
    <row r="65" customFormat="false" ht="15.75" hidden="false" customHeight="true" outlineLevel="0" collapsed="false">
      <c r="B65" s="78" t="n">
        <v>82</v>
      </c>
      <c r="C65" s="78" t="s">
        <v>45</v>
      </c>
      <c r="D65" s="78" t="s">
        <v>3480</v>
      </c>
      <c r="E65" s="78" t="s">
        <v>3480</v>
      </c>
      <c r="F65" s="78" t="s">
        <v>3526</v>
      </c>
      <c r="G65" s="78" t="n">
        <v>20</v>
      </c>
      <c r="H65" s="78" t="s">
        <v>3527</v>
      </c>
      <c r="I65" s="78" t="s">
        <v>3528</v>
      </c>
      <c r="J65" s="78" t="s">
        <v>3529</v>
      </c>
      <c r="K65" s="79" t="s">
        <v>9154</v>
      </c>
      <c r="L65" s="49" t="s">
        <v>3531</v>
      </c>
      <c r="M65" s="78" t="s">
        <v>9155</v>
      </c>
      <c r="N65" s="78" t="s">
        <v>8114</v>
      </c>
      <c r="O65" s="78" t="s">
        <v>8214</v>
      </c>
      <c r="P65" s="18" t="s">
        <v>9156</v>
      </c>
      <c r="Q65" s="78" t="s">
        <v>3534</v>
      </c>
      <c r="R65" s="78" t="s">
        <v>3535</v>
      </c>
      <c r="S65" s="78" t="s">
        <v>3536</v>
      </c>
      <c r="T65" s="78" t="s">
        <v>3537</v>
      </c>
      <c r="U65" s="78" t="s">
        <v>3538</v>
      </c>
    </row>
    <row r="66" customFormat="false" ht="15.75" hidden="false" customHeight="true" outlineLevel="0" collapsed="false">
      <c r="B66" s="78" t="n">
        <v>93</v>
      </c>
      <c r="C66" s="78" t="s">
        <v>83</v>
      </c>
      <c r="D66" s="78" t="s">
        <v>3480</v>
      </c>
      <c r="E66" s="78" t="s">
        <v>3480</v>
      </c>
      <c r="F66" s="78" t="s">
        <v>3540</v>
      </c>
      <c r="G66" s="78" t="s">
        <v>3740</v>
      </c>
      <c r="H66" s="78" t="s">
        <v>3541</v>
      </c>
      <c r="I66" s="78" t="s">
        <v>3542</v>
      </c>
      <c r="J66" s="78" t="s">
        <v>3543</v>
      </c>
      <c r="K66" s="79" t="s">
        <v>9157</v>
      </c>
      <c r="L66" s="49" t="s">
        <v>3545</v>
      </c>
      <c r="M66" s="79" t="s">
        <v>9158</v>
      </c>
      <c r="N66" s="78" t="s">
        <v>8114</v>
      </c>
      <c r="O66" s="78" t="s">
        <v>8214</v>
      </c>
      <c r="P66" s="18" t="s">
        <v>9159</v>
      </c>
      <c r="Q66" s="78" t="s">
        <v>98</v>
      </c>
      <c r="R66" s="78" t="s">
        <v>3548</v>
      </c>
      <c r="S66" s="78" t="s">
        <v>3549</v>
      </c>
      <c r="T66" s="78" t="s">
        <v>571</v>
      </c>
      <c r="U66" s="78" t="s">
        <v>3550</v>
      </c>
    </row>
    <row r="67" customFormat="false" ht="15.75" hidden="false" customHeight="true" outlineLevel="0" collapsed="false">
      <c r="B67" s="78" t="n">
        <v>67</v>
      </c>
      <c r="C67" s="78" t="s">
        <v>83</v>
      </c>
      <c r="D67" s="78" t="s">
        <v>3554</v>
      </c>
      <c r="E67" s="78" t="s">
        <v>3554</v>
      </c>
      <c r="F67" s="78" t="s">
        <v>3555</v>
      </c>
      <c r="G67" s="78" t="n">
        <v>22</v>
      </c>
      <c r="H67" s="78" t="s">
        <v>3556</v>
      </c>
      <c r="I67" s="78" t="s">
        <v>3557</v>
      </c>
      <c r="J67" s="78" t="s">
        <v>3558</v>
      </c>
      <c r="K67" s="79" t="s">
        <v>9160</v>
      </c>
      <c r="L67" s="49" t="s">
        <v>3560</v>
      </c>
      <c r="M67" s="78" t="s">
        <v>9161</v>
      </c>
      <c r="N67" s="78" t="s">
        <v>9125</v>
      </c>
      <c r="O67" s="78" t="s">
        <v>9125</v>
      </c>
      <c r="P67" s="18" t="s">
        <v>9162</v>
      </c>
      <c r="Q67" s="49" t="s">
        <v>3563</v>
      </c>
      <c r="R67" s="78" t="s">
        <v>3564</v>
      </c>
      <c r="S67" s="78" t="s">
        <v>3565</v>
      </c>
      <c r="T67" s="78" t="s">
        <v>3566</v>
      </c>
      <c r="U67" s="78" t="s">
        <v>3567</v>
      </c>
    </row>
    <row r="68" customFormat="false" ht="15.75" hidden="false" customHeight="true" outlineLevel="0" collapsed="false">
      <c r="B68" s="78" t="n">
        <v>22</v>
      </c>
      <c r="C68" s="78" t="s">
        <v>45</v>
      </c>
      <c r="D68" s="78" t="s">
        <v>3480</v>
      </c>
      <c r="E68" s="78" t="s">
        <v>9163</v>
      </c>
      <c r="F68" s="78" t="s">
        <v>3569</v>
      </c>
      <c r="G68" s="78" t="n">
        <v>45</v>
      </c>
      <c r="H68" s="78" t="s">
        <v>3570</v>
      </c>
      <c r="I68" s="78" t="s">
        <v>3571</v>
      </c>
      <c r="J68" s="78" t="s">
        <v>3572</v>
      </c>
      <c r="K68" s="79" t="s">
        <v>9164</v>
      </c>
      <c r="L68" s="49" t="s">
        <v>3574</v>
      </c>
      <c r="M68" s="18" t="s">
        <v>9165</v>
      </c>
      <c r="N68" s="78" t="s">
        <v>8213</v>
      </c>
      <c r="O68" s="78" t="s">
        <v>8114</v>
      </c>
      <c r="P68" s="18" t="s">
        <v>9166</v>
      </c>
      <c r="Q68" s="49" t="s">
        <v>3577</v>
      </c>
      <c r="R68" s="49" t="s">
        <v>3578</v>
      </c>
      <c r="S68" s="78" t="s">
        <v>3579</v>
      </c>
      <c r="T68" s="78" t="s">
        <v>3580</v>
      </c>
      <c r="U68" s="78" t="s">
        <v>3581</v>
      </c>
    </row>
    <row r="69" customFormat="false" ht="15.75" hidden="false" customHeight="true" outlineLevel="0" collapsed="false">
      <c r="B69" s="78" t="n">
        <v>22</v>
      </c>
      <c r="C69" s="78" t="s">
        <v>45</v>
      </c>
      <c r="D69" s="78" t="s">
        <v>3495</v>
      </c>
      <c r="E69" s="78" t="s">
        <v>3495</v>
      </c>
      <c r="F69" s="78" t="s">
        <v>3583</v>
      </c>
      <c r="G69" s="78" t="n">
        <v>25</v>
      </c>
      <c r="H69" s="78" t="s">
        <v>3584</v>
      </c>
      <c r="I69" s="78" t="s">
        <v>3585</v>
      </c>
      <c r="J69" s="78" t="s">
        <v>3586</v>
      </c>
      <c r="K69" s="79" t="s">
        <v>9167</v>
      </c>
      <c r="L69" s="49" t="s">
        <v>3588</v>
      </c>
      <c r="M69" s="18" t="s">
        <v>9168</v>
      </c>
      <c r="N69" s="78" t="s">
        <v>8213</v>
      </c>
      <c r="O69" s="78" t="s">
        <v>8213</v>
      </c>
      <c r="P69" s="18" t="s">
        <v>9169</v>
      </c>
      <c r="Q69" s="49" t="s">
        <v>3591</v>
      </c>
      <c r="R69" s="49" t="s">
        <v>3592</v>
      </c>
      <c r="S69" s="49" t="s">
        <v>3593</v>
      </c>
      <c r="T69" s="49" t="s">
        <v>3594</v>
      </c>
      <c r="U69" s="49" t="s">
        <v>3595</v>
      </c>
    </row>
    <row r="70" customFormat="false" ht="15.75" hidden="false" customHeight="true" outlineLevel="0" collapsed="false">
      <c r="B70" s="78" t="n">
        <v>22</v>
      </c>
      <c r="C70" s="78" t="s">
        <v>45</v>
      </c>
      <c r="D70" s="78" t="s">
        <v>3598</v>
      </c>
      <c r="E70" s="78" t="s">
        <v>9170</v>
      </c>
      <c r="F70" s="78" t="s">
        <v>3599</v>
      </c>
      <c r="G70" s="78" t="n">
        <v>18</v>
      </c>
      <c r="H70" s="78" t="s">
        <v>3600</v>
      </c>
      <c r="I70" s="78" t="s">
        <v>3601</v>
      </c>
      <c r="J70" s="78" t="s">
        <v>3602</v>
      </c>
      <c r="K70" s="79" t="s">
        <v>9171</v>
      </c>
      <c r="L70" s="49" t="s">
        <v>3604</v>
      </c>
      <c r="M70" s="18" t="s">
        <v>9172</v>
      </c>
      <c r="N70" s="78" t="s">
        <v>8960</v>
      </c>
      <c r="O70" s="78" t="s">
        <v>8960</v>
      </c>
      <c r="P70" s="18" t="s">
        <v>9173</v>
      </c>
      <c r="Q70" s="49" t="s">
        <v>3607</v>
      </c>
      <c r="R70" s="49" t="s">
        <v>3608</v>
      </c>
      <c r="S70" s="49" t="s">
        <v>3609</v>
      </c>
      <c r="T70" s="49" t="s">
        <v>3610</v>
      </c>
      <c r="U70" s="49" t="s">
        <v>3611</v>
      </c>
    </row>
    <row r="71" customFormat="false" ht="15.75" hidden="false" customHeight="true" outlineLevel="0" collapsed="false">
      <c r="B71" s="78" t="n">
        <v>23</v>
      </c>
      <c r="C71" s="78" t="s">
        <v>45</v>
      </c>
      <c r="D71" s="78" t="s">
        <v>3614</v>
      </c>
      <c r="E71" s="78" t="s">
        <v>3614</v>
      </c>
      <c r="F71" s="78" t="s">
        <v>3615</v>
      </c>
      <c r="G71" s="78" t="n">
        <v>12</v>
      </c>
      <c r="H71" s="78" t="s">
        <v>3616</v>
      </c>
      <c r="I71" s="78" t="s">
        <v>3617</v>
      </c>
      <c r="J71" s="78" t="s">
        <v>3618</v>
      </c>
      <c r="K71" s="79" t="s">
        <v>9174</v>
      </c>
      <c r="L71" s="49" t="s">
        <v>3620</v>
      </c>
      <c r="M71" s="49" t="s">
        <v>9175</v>
      </c>
      <c r="N71" s="78" t="s">
        <v>8114</v>
      </c>
      <c r="O71" s="78" t="s">
        <v>8961</v>
      </c>
      <c r="P71" s="18" t="s">
        <v>9176</v>
      </c>
      <c r="Q71" s="49" t="s">
        <v>3623</v>
      </c>
      <c r="R71" s="49" t="s">
        <v>3624</v>
      </c>
      <c r="S71" s="49" t="s">
        <v>3625</v>
      </c>
      <c r="T71" s="49" t="s">
        <v>3626</v>
      </c>
      <c r="U71" s="49" t="s">
        <v>3627</v>
      </c>
    </row>
    <row r="72" customFormat="false" ht="15.75" hidden="false" customHeight="true" outlineLevel="0" collapsed="false">
      <c r="B72" s="78" t="n">
        <v>8</v>
      </c>
      <c r="C72" s="78" t="s">
        <v>45</v>
      </c>
      <c r="D72" s="78" t="s">
        <v>9177</v>
      </c>
      <c r="E72" s="78" t="s">
        <v>9177</v>
      </c>
      <c r="F72" s="78" t="s">
        <v>3629</v>
      </c>
      <c r="G72" s="78" t="n">
        <v>10</v>
      </c>
      <c r="H72" s="78" t="s">
        <v>3630</v>
      </c>
      <c r="I72" s="78" t="s">
        <v>3631</v>
      </c>
      <c r="J72" s="78" t="s">
        <v>3632</v>
      </c>
      <c r="K72" s="79" t="s">
        <v>9178</v>
      </c>
      <c r="L72" s="49" t="s">
        <v>3634</v>
      </c>
      <c r="M72" s="18" t="s">
        <v>9179</v>
      </c>
      <c r="N72" s="78" t="s">
        <v>8114</v>
      </c>
      <c r="O72" s="78" t="s">
        <v>8214</v>
      </c>
      <c r="P72" s="49" t="s">
        <v>9180</v>
      </c>
      <c r="Q72" s="49" t="s">
        <v>3637</v>
      </c>
      <c r="R72" s="49" t="s">
        <v>3638</v>
      </c>
      <c r="S72" s="49" t="s">
        <v>3639</v>
      </c>
      <c r="T72" s="49" t="s">
        <v>3640</v>
      </c>
      <c r="U72" s="49" t="s">
        <v>3641</v>
      </c>
    </row>
    <row r="73" customFormat="false" ht="15.75" hidden="false" customHeight="true" outlineLevel="0" collapsed="false">
      <c r="B73" s="49" t="n">
        <v>33</v>
      </c>
      <c r="C73" s="49" t="s">
        <v>45</v>
      </c>
      <c r="D73" s="78" t="s">
        <v>3644</v>
      </c>
      <c r="E73" s="78" t="s">
        <v>3646</v>
      </c>
      <c r="F73" s="49" t="s">
        <v>3496</v>
      </c>
      <c r="G73" s="49" t="n">
        <v>30</v>
      </c>
      <c r="H73" s="78" t="s">
        <v>3647</v>
      </c>
      <c r="I73" s="78" t="s">
        <v>3420</v>
      </c>
      <c r="J73" s="78" t="s">
        <v>3499</v>
      </c>
      <c r="K73" s="78" t="s">
        <v>3648</v>
      </c>
      <c r="L73" s="49" t="s">
        <v>3649</v>
      </c>
      <c r="M73" s="49" t="s">
        <v>3650</v>
      </c>
      <c r="N73" s="78" t="s">
        <v>8960</v>
      </c>
      <c r="O73" s="78" t="s">
        <v>8960</v>
      </c>
      <c r="P73" s="49" t="s">
        <v>1768</v>
      </c>
      <c r="Q73" s="49" t="s">
        <v>3651</v>
      </c>
      <c r="R73" s="49" t="s">
        <v>3652</v>
      </c>
      <c r="S73" s="49" t="s">
        <v>98</v>
      </c>
      <c r="T73" s="49" t="s">
        <v>3653</v>
      </c>
      <c r="U73" s="49" t="s">
        <v>3641</v>
      </c>
    </row>
    <row r="74" customFormat="false" ht="15.75" hidden="false" customHeight="true" outlineLevel="0" collapsed="false">
      <c r="B74" s="49" t="n">
        <v>52</v>
      </c>
      <c r="C74" s="49" t="s">
        <v>83</v>
      </c>
      <c r="D74" s="78" t="s">
        <v>3480</v>
      </c>
      <c r="E74" s="78" t="s">
        <v>3646</v>
      </c>
      <c r="F74" s="49" t="s">
        <v>3496</v>
      </c>
      <c r="G74" s="49" t="n">
        <v>20</v>
      </c>
      <c r="H74" s="49" t="s">
        <v>3655</v>
      </c>
      <c r="I74" s="49" t="s">
        <v>3656</v>
      </c>
      <c r="J74" s="49" t="s">
        <v>3657</v>
      </c>
      <c r="K74" s="78" t="s">
        <v>3658</v>
      </c>
      <c r="L74" s="49" t="s">
        <v>3659</v>
      </c>
      <c r="M74" s="49" t="s">
        <v>3660</v>
      </c>
      <c r="N74" s="78" t="s">
        <v>8960</v>
      </c>
      <c r="O74" s="78" t="s">
        <v>8214</v>
      </c>
      <c r="P74" s="49" t="s">
        <v>1768</v>
      </c>
      <c r="Q74" s="49" t="s">
        <v>3661</v>
      </c>
      <c r="R74" s="49" t="s">
        <v>3662</v>
      </c>
      <c r="S74" s="49" t="s">
        <v>3663</v>
      </c>
      <c r="T74" s="49" t="s">
        <v>3664</v>
      </c>
      <c r="U74" s="49" t="s">
        <v>3665</v>
      </c>
    </row>
    <row r="75" customFormat="false" ht="15.75" hidden="false" customHeight="true" outlineLevel="0" collapsed="false">
      <c r="B75" s="49" t="n">
        <v>37</v>
      </c>
      <c r="C75" s="49" t="s">
        <v>83</v>
      </c>
      <c r="D75" s="78" t="s">
        <v>3646</v>
      </c>
      <c r="E75" s="78" t="s">
        <v>3646</v>
      </c>
      <c r="F75" s="49" t="s">
        <v>3667</v>
      </c>
      <c r="G75" s="49" t="n">
        <v>40</v>
      </c>
      <c r="H75" s="49" t="s">
        <v>3668</v>
      </c>
      <c r="I75" s="49" t="s">
        <v>3669</v>
      </c>
      <c r="J75" s="49" t="s">
        <v>3670</v>
      </c>
      <c r="K75" s="78" t="s">
        <v>3671</v>
      </c>
      <c r="L75" s="49" t="s">
        <v>3672</v>
      </c>
      <c r="M75" s="49" t="s">
        <v>3673</v>
      </c>
      <c r="N75" s="78" t="s">
        <v>8960</v>
      </c>
      <c r="O75" s="78" t="s">
        <v>9125</v>
      </c>
      <c r="P75" s="49" t="s">
        <v>3674</v>
      </c>
      <c r="Q75" s="49" t="s">
        <v>3675</v>
      </c>
      <c r="R75" s="49" t="s">
        <v>3676</v>
      </c>
      <c r="S75" s="49" t="s">
        <v>3677</v>
      </c>
      <c r="T75" s="49" t="s">
        <v>3678</v>
      </c>
      <c r="U75" s="49" t="s">
        <v>3679</v>
      </c>
    </row>
    <row r="76" customFormat="false" ht="15.75" hidden="false" customHeight="true" outlineLevel="0" collapsed="false">
      <c r="B76" s="49" t="n">
        <v>31</v>
      </c>
      <c r="C76" s="49" t="s">
        <v>45</v>
      </c>
      <c r="D76" s="49" t="s">
        <v>3646</v>
      </c>
      <c r="E76" s="49" t="s">
        <v>3646</v>
      </c>
      <c r="F76" s="49" t="s">
        <v>3681</v>
      </c>
      <c r="G76" s="49" t="n">
        <v>25</v>
      </c>
      <c r="H76" s="49" t="s">
        <v>3682</v>
      </c>
      <c r="I76" s="49" t="s">
        <v>3683</v>
      </c>
      <c r="J76" s="49" t="s">
        <v>3684</v>
      </c>
      <c r="K76" s="49" t="s">
        <v>3685</v>
      </c>
      <c r="L76" s="49" t="s">
        <v>3686</v>
      </c>
      <c r="M76" s="49" t="s">
        <v>3687</v>
      </c>
      <c r="N76" s="78" t="s">
        <v>8961</v>
      </c>
      <c r="O76" s="78" t="s">
        <v>8960</v>
      </c>
      <c r="P76" s="49" t="s">
        <v>3688</v>
      </c>
      <c r="Q76" s="49" t="s">
        <v>3689</v>
      </c>
      <c r="R76" s="49" t="s">
        <v>3690</v>
      </c>
      <c r="S76" s="49" t="s">
        <v>3691</v>
      </c>
      <c r="T76" s="49" t="s">
        <v>3692</v>
      </c>
      <c r="U76" s="49" t="s">
        <v>3693</v>
      </c>
    </row>
    <row r="77" customFormat="false" ht="15.75" hidden="false" customHeight="true" outlineLevel="0" collapsed="false">
      <c r="B77" s="49" t="n">
        <v>41</v>
      </c>
      <c r="C77" s="49" t="s">
        <v>83</v>
      </c>
      <c r="D77" s="49" t="s">
        <v>3646</v>
      </c>
      <c r="E77" s="49" t="s">
        <v>3646</v>
      </c>
      <c r="F77" s="49" t="s">
        <v>3695</v>
      </c>
      <c r="G77" s="49" t="n">
        <v>30</v>
      </c>
      <c r="H77" s="49" t="s">
        <v>3696</v>
      </c>
      <c r="I77" s="49" t="s">
        <v>3697</v>
      </c>
      <c r="J77" s="49" t="s">
        <v>3698</v>
      </c>
      <c r="K77" s="49" t="s">
        <v>3699</v>
      </c>
      <c r="L77" s="49" t="s">
        <v>3700</v>
      </c>
      <c r="M77" s="49" t="s">
        <v>3701</v>
      </c>
      <c r="N77" s="78" t="s">
        <v>8961</v>
      </c>
      <c r="O77" s="78" t="s">
        <v>8114</v>
      </c>
      <c r="P77" s="49" t="s">
        <v>3702</v>
      </c>
      <c r="Q77" s="49" t="s">
        <v>3703</v>
      </c>
      <c r="R77" s="49" t="s">
        <v>3704</v>
      </c>
      <c r="S77" s="49" t="s">
        <v>3705</v>
      </c>
      <c r="T77" s="49" t="s">
        <v>3706</v>
      </c>
      <c r="U77" s="49" t="s">
        <v>3707</v>
      </c>
    </row>
    <row r="78" customFormat="false" ht="15.75" hidden="false" customHeight="true" outlineLevel="0" collapsed="false">
      <c r="B78" s="49" t="n">
        <v>40</v>
      </c>
      <c r="C78" s="49" t="s">
        <v>45</v>
      </c>
      <c r="D78" s="49" t="s">
        <v>3646</v>
      </c>
      <c r="E78" s="49" t="s">
        <v>3646</v>
      </c>
      <c r="F78" s="49" t="s">
        <v>3709</v>
      </c>
      <c r="G78" s="49" t="n">
        <v>10</v>
      </c>
      <c r="H78" s="49" t="s">
        <v>3710</v>
      </c>
      <c r="I78" s="49" t="s">
        <v>3711</v>
      </c>
      <c r="J78" s="49" t="s">
        <v>3712</v>
      </c>
      <c r="K78" s="49" t="s">
        <v>3713</v>
      </c>
      <c r="L78" s="49" t="s">
        <v>3714</v>
      </c>
      <c r="M78" s="49" t="s">
        <v>3715</v>
      </c>
      <c r="N78" s="78" t="s">
        <v>8960</v>
      </c>
      <c r="O78" s="78" t="s">
        <v>9125</v>
      </c>
      <c r="P78" s="49" t="s">
        <v>3716</v>
      </c>
      <c r="Q78" s="49" t="s">
        <v>3717</v>
      </c>
      <c r="R78" s="49" t="s">
        <v>3718</v>
      </c>
      <c r="S78" s="49" t="s">
        <v>3719</v>
      </c>
      <c r="T78" s="49" t="s">
        <v>3720</v>
      </c>
      <c r="U78" s="49" t="s">
        <v>3721</v>
      </c>
    </row>
    <row r="79" customFormat="false" ht="15.75" hidden="false" customHeight="true" outlineLevel="0" collapsed="false">
      <c r="B79" s="49" t="n">
        <v>37</v>
      </c>
      <c r="C79" s="49" t="s">
        <v>45</v>
      </c>
      <c r="D79" s="49" t="s">
        <v>3646</v>
      </c>
      <c r="E79" s="49" t="s">
        <v>3646</v>
      </c>
      <c r="F79" s="49" t="s">
        <v>3723</v>
      </c>
      <c r="G79" s="49" t="n">
        <v>30</v>
      </c>
      <c r="H79" s="49" t="s">
        <v>3724</v>
      </c>
      <c r="I79" s="49" t="s">
        <v>3725</v>
      </c>
      <c r="J79" s="49" t="s">
        <v>3726</v>
      </c>
      <c r="K79" s="49" t="s">
        <v>3727</v>
      </c>
      <c r="L79" s="49" t="s">
        <v>3728</v>
      </c>
      <c r="M79" s="49" t="s">
        <v>3729</v>
      </c>
      <c r="N79" s="78" t="s">
        <v>8213</v>
      </c>
      <c r="O79" s="78" t="s">
        <v>8213</v>
      </c>
      <c r="P79" s="49" t="s">
        <v>3730</v>
      </c>
      <c r="Q79" s="49" t="s">
        <v>3731</v>
      </c>
      <c r="R79" s="49" t="s">
        <v>3732</v>
      </c>
      <c r="S79" s="49" t="s">
        <v>3733</v>
      </c>
      <c r="T79" s="49" t="s">
        <v>3734</v>
      </c>
      <c r="U79" s="49" t="s">
        <v>3735</v>
      </c>
    </row>
    <row r="80" customFormat="false" ht="15.75" hidden="false" customHeight="true" outlineLevel="0" collapsed="false">
      <c r="B80" s="49" t="n">
        <v>44</v>
      </c>
      <c r="C80" s="49" t="s">
        <v>45</v>
      </c>
      <c r="D80" s="49" t="s">
        <v>3646</v>
      </c>
      <c r="E80" s="49" t="s">
        <v>3646</v>
      </c>
      <c r="F80" s="49" t="s">
        <v>3737</v>
      </c>
      <c r="G80" s="49" t="n">
        <v>10</v>
      </c>
      <c r="H80" s="49" t="s">
        <v>3738</v>
      </c>
      <c r="I80" s="49" t="s">
        <v>3739</v>
      </c>
      <c r="J80" s="49" t="s">
        <v>3740</v>
      </c>
      <c r="K80" s="49" t="s">
        <v>3741</v>
      </c>
      <c r="L80" s="49" t="s">
        <v>3742</v>
      </c>
      <c r="M80" s="49" t="s">
        <v>3743</v>
      </c>
      <c r="N80" s="78" t="s">
        <v>8960</v>
      </c>
      <c r="O80" s="78" t="s">
        <v>8960</v>
      </c>
      <c r="P80" s="49" t="s">
        <v>3744</v>
      </c>
      <c r="Q80" s="49" t="s">
        <v>3745</v>
      </c>
      <c r="R80" s="49" t="s">
        <v>3746</v>
      </c>
      <c r="S80" s="49" t="s">
        <v>3747</v>
      </c>
      <c r="T80" s="49" t="s">
        <v>3748</v>
      </c>
      <c r="U80" s="49" t="s">
        <v>3749</v>
      </c>
    </row>
    <row r="81" customFormat="false" ht="15.75" hidden="false" customHeight="true" outlineLevel="0" collapsed="false">
      <c r="B81" s="49" t="n">
        <v>49</v>
      </c>
      <c r="C81" s="49" t="s">
        <v>45</v>
      </c>
      <c r="D81" s="49" t="s">
        <v>3646</v>
      </c>
      <c r="E81" s="49" t="s">
        <v>3646</v>
      </c>
      <c r="F81" s="49" t="s">
        <v>3751</v>
      </c>
      <c r="G81" s="49" t="n">
        <v>19</v>
      </c>
      <c r="H81" s="49" t="s">
        <v>3752</v>
      </c>
      <c r="I81" s="49" t="s">
        <v>3753</v>
      </c>
      <c r="J81" s="49" t="s">
        <v>3499</v>
      </c>
      <c r="K81" s="49" t="s">
        <v>3754</v>
      </c>
      <c r="L81" s="49" t="s">
        <v>3755</v>
      </c>
      <c r="M81" s="49" t="s">
        <v>3756</v>
      </c>
      <c r="N81" s="78" t="s">
        <v>8114</v>
      </c>
      <c r="O81" s="78" t="s">
        <v>8114</v>
      </c>
      <c r="P81" s="49" t="s">
        <v>9181</v>
      </c>
      <c r="Q81" s="49" t="s">
        <v>3740</v>
      </c>
      <c r="R81" s="49" t="s">
        <v>3365</v>
      </c>
      <c r="S81" s="49" t="s">
        <v>3758</v>
      </c>
      <c r="T81" s="49" t="s">
        <v>3759</v>
      </c>
      <c r="U81" s="49" t="s">
        <v>3760</v>
      </c>
    </row>
    <row r="82" customFormat="false" ht="15.75" hidden="false" customHeight="true" outlineLevel="0" collapsed="false">
      <c r="B82" s="49" t="n">
        <v>58</v>
      </c>
      <c r="C82" s="49" t="s">
        <v>45</v>
      </c>
      <c r="D82" s="49" t="s">
        <v>3480</v>
      </c>
      <c r="E82" s="49" t="s">
        <v>3480</v>
      </c>
      <c r="F82" s="49" t="s">
        <v>3762</v>
      </c>
      <c r="G82" s="49" t="n">
        <v>30</v>
      </c>
      <c r="H82" s="49" t="s">
        <v>3763</v>
      </c>
      <c r="I82" s="49" t="s">
        <v>3764</v>
      </c>
      <c r="J82" s="49" t="s">
        <v>3765</v>
      </c>
      <c r="K82" s="49" t="s">
        <v>3766</v>
      </c>
      <c r="L82" s="49" t="s">
        <v>3767</v>
      </c>
      <c r="M82" s="49" t="s">
        <v>3768</v>
      </c>
      <c r="N82" s="78" t="s">
        <v>8114</v>
      </c>
      <c r="O82" s="78" t="s">
        <v>8114</v>
      </c>
      <c r="P82" s="49" t="s">
        <v>3769</v>
      </c>
      <c r="Q82" s="49" t="s">
        <v>3770</v>
      </c>
      <c r="R82" s="49" t="s">
        <v>3771</v>
      </c>
      <c r="S82" s="49" t="s">
        <v>3772</v>
      </c>
      <c r="T82" s="49" t="s">
        <v>3773</v>
      </c>
      <c r="U82" s="49" t="s">
        <v>3774</v>
      </c>
    </row>
    <row r="83" customFormat="false" ht="15.75" hidden="false" customHeight="true" outlineLevel="0" collapsed="false">
      <c r="A83" s="58"/>
      <c r="B83" s="59" t="n">
        <v>53</v>
      </c>
      <c r="C83" s="59" t="s">
        <v>83</v>
      </c>
      <c r="D83" s="59" t="s">
        <v>9073</v>
      </c>
      <c r="E83" s="59" t="s">
        <v>9073</v>
      </c>
      <c r="F83" s="59" t="s">
        <v>9182</v>
      </c>
      <c r="G83" s="59" t="s">
        <v>9183</v>
      </c>
      <c r="H83" s="59" t="s">
        <v>3777</v>
      </c>
      <c r="I83" s="59" t="s">
        <v>9184</v>
      </c>
      <c r="J83" s="59" t="s">
        <v>3779</v>
      </c>
      <c r="K83" s="59" t="s">
        <v>3780</v>
      </c>
      <c r="L83" s="59" t="s">
        <v>9185</v>
      </c>
      <c r="M83" s="59" t="s">
        <v>9186</v>
      </c>
      <c r="N83" s="59" t="s">
        <v>9187</v>
      </c>
      <c r="O83" s="59" t="s">
        <v>9188</v>
      </c>
      <c r="P83" s="59" t="s">
        <v>9189</v>
      </c>
      <c r="Q83" s="59" t="s">
        <v>3784</v>
      </c>
      <c r="R83" s="59" t="s">
        <v>9190</v>
      </c>
      <c r="S83" s="59" t="s">
        <v>9191</v>
      </c>
      <c r="T83" s="59" t="s">
        <v>59</v>
      </c>
      <c r="U83" s="61" t="s">
        <v>9192</v>
      </c>
      <c r="V83" s="72"/>
    </row>
    <row r="84" customFormat="false" ht="15.75" hidden="false" customHeight="true" outlineLevel="0" collapsed="false">
      <c r="A84" s="54"/>
      <c r="B84" s="62" t="n">
        <v>62</v>
      </c>
      <c r="C84" s="62" t="s">
        <v>45</v>
      </c>
      <c r="D84" s="62" t="s">
        <v>3790</v>
      </c>
      <c r="E84" s="62" t="s">
        <v>9193</v>
      </c>
      <c r="F84" s="62" t="s">
        <v>3791</v>
      </c>
      <c r="G84" s="63" t="n">
        <v>0.45</v>
      </c>
      <c r="H84" s="62" t="s">
        <v>2118</v>
      </c>
      <c r="I84" s="62" t="s">
        <v>3792</v>
      </c>
      <c r="J84" s="62" t="s">
        <v>9194</v>
      </c>
      <c r="K84" s="62" t="s">
        <v>3794</v>
      </c>
      <c r="L84" s="62" t="s">
        <v>3795</v>
      </c>
      <c r="M84" s="62" t="s">
        <v>3796</v>
      </c>
      <c r="N84" s="62" t="s">
        <v>9195</v>
      </c>
      <c r="O84" s="62" t="s">
        <v>9196</v>
      </c>
      <c r="P84" s="62" t="s">
        <v>3797</v>
      </c>
      <c r="Q84" s="62" t="s">
        <v>9197</v>
      </c>
      <c r="R84" s="62" t="s">
        <v>9198</v>
      </c>
      <c r="S84" s="62" t="s">
        <v>3800</v>
      </c>
      <c r="T84" s="62" t="s">
        <v>3801</v>
      </c>
      <c r="U84" s="64" t="s">
        <v>3802</v>
      </c>
      <c r="V84" s="80"/>
    </row>
    <row r="85" customFormat="false" ht="15.75" hidden="false" customHeight="true" outlineLevel="0" collapsed="false">
      <c r="A85" s="58"/>
      <c r="B85" s="59" t="n">
        <v>63</v>
      </c>
      <c r="C85" s="59" t="s">
        <v>9199</v>
      </c>
      <c r="D85" s="59" t="s">
        <v>9200</v>
      </c>
      <c r="E85" s="59" t="s">
        <v>8240</v>
      </c>
      <c r="F85" s="59" t="s">
        <v>9201</v>
      </c>
      <c r="G85" s="60" t="n">
        <v>0.35</v>
      </c>
      <c r="H85" s="59" t="s">
        <v>9202</v>
      </c>
      <c r="I85" s="59" t="s">
        <v>9203</v>
      </c>
      <c r="J85" s="59" t="s">
        <v>9204</v>
      </c>
      <c r="K85" s="59" t="s">
        <v>9205</v>
      </c>
      <c r="L85" s="59" t="s">
        <v>9206</v>
      </c>
      <c r="M85" s="59" t="s">
        <v>9207</v>
      </c>
      <c r="N85" s="59" t="s">
        <v>9208</v>
      </c>
      <c r="O85" s="59" t="s">
        <v>8107</v>
      </c>
      <c r="P85" s="59" t="s">
        <v>3811</v>
      </c>
      <c r="Q85" s="59" t="s">
        <v>9209</v>
      </c>
      <c r="R85" s="59" t="s">
        <v>9210</v>
      </c>
      <c r="S85" s="59" t="s">
        <v>9211</v>
      </c>
      <c r="T85" s="59" t="s">
        <v>9212</v>
      </c>
      <c r="U85" s="61" t="s">
        <v>9213</v>
      </c>
      <c r="V85" s="72"/>
    </row>
    <row r="86" customFormat="false" ht="15.75" hidden="false" customHeight="true" outlineLevel="0" collapsed="false">
      <c r="A86" s="54"/>
      <c r="B86" s="62" t="s">
        <v>9214</v>
      </c>
      <c r="C86" s="62" t="s">
        <v>45</v>
      </c>
      <c r="D86" s="62" t="s">
        <v>114</v>
      </c>
      <c r="E86" s="62" t="s">
        <v>71</v>
      </c>
      <c r="F86" s="62" t="s">
        <v>3817</v>
      </c>
      <c r="G86" s="63" t="n">
        <v>0.5</v>
      </c>
      <c r="H86" s="62" t="s">
        <v>3818</v>
      </c>
      <c r="I86" s="62" t="s">
        <v>8356</v>
      </c>
      <c r="J86" s="62" t="s">
        <v>3819</v>
      </c>
      <c r="K86" s="62" t="s">
        <v>3820</v>
      </c>
      <c r="L86" s="62" t="s">
        <v>3821</v>
      </c>
      <c r="M86" s="62" t="s">
        <v>9215</v>
      </c>
      <c r="N86" s="62" t="s">
        <v>9216</v>
      </c>
      <c r="O86" s="62" t="s">
        <v>9217</v>
      </c>
      <c r="P86" s="62" t="s">
        <v>9218</v>
      </c>
      <c r="Q86" s="62" t="s">
        <v>3824</v>
      </c>
      <c r="R86" s="62" t="s">
        <v>3825</v>
      </c>
      <c r="S86" s="62" t="s">
        <v>3826</v>
      </c>
      <c r="T86" s="62" t="s">
        <v>59</v>
      </c>
      <c r="U86" s="64" t="s">
        <v>3827</v>
      </c>
      <c r="V86" s="80"/>
    </row>
    <row r="87" customFormat="false" ht="15.75" hidden="false" customHeight="true" outlineLevel="0" collapsed="false">
      <c r="A87" s="81"/>
      <c r="B87" s="80" t="n">
        <v>29</v>
      </c>
      <c r="C87" s="80" t="s">
        <v>83</v>
      </c>
      <c r="D87" s="80" t="s">
        <v>3832</v>
      </c>
      <c r="E87" s="80" t="s">
        <v>7750</v>
      </c>
      <c r="F87" s="80" t="s">
        <v>3833</v>
      </c>
      <c r="G87" s="82" t="n">
        <v>0.4</v>
      </c>
      <c r="H87" s="80" t="s">
        <v>3834</v>
      </c>
      <c r="I87" s="80" t="s">
        <v>3835</v>
      </c>
      <c r="J87" s="80" t="s">
        <v>3836</v>
      </c>
      <c r="K87" s="80" t="s">
        <v>3837</v>
      </c>
      <c r="L87" s="80" t="s">
        <v>3838</v>
      </c>
      <c r="M87" s="80" t="s">
        <v>3839</v>
      </c>
      <c r="N87" s="80" t="s">
        <v>9219</v>
      </c>
      <c r="O87" s="83" t="s">
        <v>8094</v>
      </c>
      <c r="P87" s="83" t="s">
        <v>3840</v>
      </c>
      <c r="Q87" s="80" t="s">
        <v>3841</v>
      </c>
      <c r="R87" s="80" t="s">
        <v>3842</v>
      </c>
      <c r="S87" s="80" t="s">
        <v>3843</v>
      </c>
      <c r="T87" s="80" t="s">
        <v>3844</v>
      </c>
      <c r="U87" s="80" t="s">
        <v>3845</v>
      </c>
      <c r="V87" s="80"/>
    </row>
    <row r="88" customFormat="false" ht="15.75" hidden="false" customHeight="true" outlineLevel="0" collapsed="false">
      <c r="A88" s="81"/>
      <c r="B88" s="80" t="n">
        <v>29</v>
      </c>
      <c r="C88" s="80" t="s">
        <v>83</v>
      </c>
      <c r="D88" s="83" t="s">
        <v>71</v>
      </c>
      <c r="E88" s="80" t="s">
        <v>49</v>
      </c>
      <c r="F88" s="80" t="s">
        <v>3847</v>
      </c>
      <c r="G88" s="80" t="n">
        <v>25</v>
      </c>
      <c r="H88" s="80" t="s">
        <v>3848</v>
      </c>
      <c r="I88" s="80" t="s">
        <v>3849</v>
      </c>
      <c r="J88" s="80" t="s">
        <v>3850</v>
      </c>
      <c r="K88" s="80" t="s">
        <v>3851</v>
      </c>
      <c r="L88" s="80" t="s">
        <v>3852</v>
      </c>
      <c r="M88" s="80" t="s">
        <v>3853</v>
      </c>
      <c r="N88" s="80" t="s">
        <v>8019</v>
      </c>
      <c r="O88" s="83" t="s">
        <v>8019</v>
      </c>
      <c r="P88" s="84" t="s">
        <v>3854</v>
      </c>
      <c r="Q88" s="80" t="s">
        <v>3855</v>
      </c>
      <c r="R88" s="80" t="s">
        <v>3856</v>
      </c>
      <c r="S88" s="80" t="s">
        <v>3857</v>
      </c>
      <c r="T88" s="80" t="s">
        <v>3858</v>
      </c>
      <c r="U88" s="80" t="s">
        <v>3859</v>
      </c>
      <c r="V88" s="80"/>
    </row>
    <row r="89" customFormat="false" ht="15.75" hidden="false" customHeight="true" outlineLevel="0" collapsed="false">
      <c r="A89" s="81"/>
      <c r="B89" s="80" t="n">
        <v>33</v>
      </c>
      <c r="C89" s="80" t="s">
        <v>83</v>
      </c>
      <c r="D89" s="83" t="s">
        <v>9220</v>
      </c>
      <c r="E89" s="80" t="s">
        <v>7853</v>
      </c>
      <c r="F89" s="80" t="s">
        <v>3861</v>
      </c>
      <c r="G89" s="82" t="n">
        <v>0.3</v>
      </c>
      <c r="H89" s="80" t="s">
        <v>3862</v>
      </c>
      <c r="I89" s="83" t="s">
        <v>3863</v>
      </c>
      <c r="J89" s="80" t="s">
        <v>9221</v>
      </c>
      <c r="K89" s="80" t="s">
        <v>9222</v>
      </c>
      <c r="L89" s="80" t="s">
        <v>3866</v>
      </c>
      <c r="M89" s="80" t="s">
        <v>3867</v>
      </c>
      <c r="N89" s="80" t="s">
        <v>8114</v>
      </c>
      <c r="O89" s="83" t="s">
        <v>8114</v>
      </c>
      <c r="P89" s="83" t="s">
        <v>9223</v>
      </c>
      <c r="Q89" s="80" t="s">
        <v>3869</v>
      </c>
      <c r="R89" s="80" t="s">
        <v>3870</v>
      </c>
      <c r="S89" s="80" t="s">
        <v>3871</v>
      </c>
      <c r="T89" s="80" t="s">
        <v>3872</v>
      </c>
      <c r="U89" s="80" t="s">
        <v>9224</v>
      </c>
      <c r="V89" s="80"/>
    </row>
    <row r="90" customFormat="false" ht="15.75" hidden="false" customHeight="true" outlineLevel="0" collapsed="false">
      <c r="A90" s="81"/>
      <c r="B90" s="80" t="n">
        <v>23</v>
      </c>
      <c r="C90" s="80" t="s">
        <v>83</v>
      </c>
      <c r="D90" s="83" t="s">
        <v>9225</v>
      </c>
      <c r="E90" s="80" t="s">
        <v>7756</v>
      </c>
      <c r="F90" s="80" t="s">
        <v>9226</v>
      </c>
      <c r="G90" s="82" t="n">
        <v>0.3</v>
      </c>
      <c r="H90" s="83" t="s">
        <v>3876</v>
      </c>
      <c r="I90" s="83" t="s">
        <v>9227</v>
      </c>
      <c r="J90" s="80" t="s">
        <v>9228</v>
      </c>
      <c r="K90" s="80" t="s">
        <v>9229</v>
      </c>
      <c r="L90" s="80" t="s">
        <v>9230</v>
      </c>
      <c r="M90" s="80" t="s">
        <v>9231</v>
      </c>
      <c r="N90" s="80" t="s">
        <v>9219</v>
      </c>
      <c r="O90" s="83" t="s">
        <v>9232</v>
      </c>
      <c r="P90" s="83" t="s">
        <v>9233</v>
      </c>
      <c r="Q90" s="80" t="s">
        <v>9234</v>
      </c>
      <c r="R90" s="83" t="s">
        <v>3884</v>
      </c>
      <c r="S90" s="80" t="s">
        <v>442</v>
      </c>
      <c r="T90" s="80" t="s">
        <v>9235</v>
      </c>
      <c r="U90" s="80" t="s">
        <v>9236</v>
      </c>
      <c r="V90" s="80"/>
    </row>
    <row r="91" customFormat="false" ht="15.75" hidden="false" customHeight="true" outlineLevel="0" collapsed="false">
      <c r="A91" s="85"/>
      <c r="B91" s="80" t="n">
        <v>20</v>
      </c>
      <c r="C91" s="80" t="s">
        <v>83</v>
      </c>
      <c r="D91" s="83" t="s">
        <v>7933</v>
      </c>
      <c r="E91" s="80" t="s">
        <v>7933</v>
      </c>
      <c r="F91" s="80" t="s">
        <v>3888</v>
      </c>
      <c r="G91" s="80" t="s">
        <v>9237</v>
      </c>
      <c r="H91" s="83" t="s">
        <v>3889</v>
      </c>
      <c r="I91" s="83" t="s">
        <v>3890</v>
      </c>
      <c r="J91" s="80" t="s">
        <v>885</v>
      </c>
      <c r="K91" s="80" t="s">
        <v>3891</v>
      </c>
      <c r="L91" s="80" t="s">
        <v>3892</v>
      </c>
      <c r="M91" s="80" t="s">
        <v>3893</v>
      </c>
      <c r="N91" s="80" t="s">
        <v>8019</v>
      </c>
      <c r="O91" s="83" t="s">
        <v>8019</v>
      </c>
      <c r="P91" s="83" t="s">
        <v>3894</v>
      </c>
      <c r="Q91" s="86" t="s">
        <v>9238</v>
      </c>
      <c r="R91" s="84" t="s">
        <v>9239</v>
      </c>
      <c r="S91" s="80" t="s">
        <v>3897</v>
      </c>
      <c r="T91" s="80" t="s">
        <v>3898</v>
      </c>
      <c r="U91" s="80" t="s">
        <v>1889</v>
      </c>
      <c r="V91" s="80"/>
    </row>
    <row r="92" customFormat="false" ht="15.75" hidden="false" customHeight="true" outlineLevel="0" collapsed="false">
      <c r="A92" s="85"/>
      <c r="B92" s="80" t="n">
        <v>20</v>
      </c>
      <c r="C92" s="80" t="s">
        <v>45</v>
      </c>
      <c r="D92" s="83" t="s">
        <v>9240</v>
      </c>
      <c r="E92" s="83" t="s">
        <v>9241</v>
      </c>
      <c r="F92" s="83" t="s">
        <v>3901</v>
      </c>
      <c r="G92" s="82" t="n">
        <v>0.7</v>
      </c>
      <c r="H92" s="83" t="s">
        <v>3902</v>
      </c>
      <c r="I92" s="83" t="s">
        <v>9242</v>
      </c>
      <c r="J92" s="83" t="s">
        <v>885</v>
      </c>
      <c r="K92" s="80" t="s">
        <v>3904</v>
      </c>
      <c r="L92" s="80" t="s">
        <v>3905</v>
      </c>
      <c r="M92" s="80" t="s">
        <v>3906</v>
      </c>
      <c r="N92" s="83" t="s">
        <v>8019</v>
      </c>
      <c r="O92" s="83" t="s">
        <v>8066</v>
      </c>
      <c r="P92" s="83" t="s">
        <v>3907</v>
      </c>
      <c r="Q92" s="80" t="s">
        <v>3908</v>
      </c>
      <c r="R92" s="83" t="s">
        <v>3909</v>
      </c>
      <c r="S92" s="80" t="s">
        <v>9243</v>
      </c>
      <c r="T92" s="80" t="s">
        <v>442</v>
      </c>
      <c r="U92" s="80" t="s">
        <v>442</v>
      </c>
      <c r="V92" s="83"/>
    </row>
    <row r="93" customFormat="false" ht="15.75" hidden="false" customHeight="true" outlineLevel="0" collapsed="false">
      <c r="A93" s="85"/>
      <c r="B93" s="80" t="n">
        <v>21</v>
      </c>
      <c r="C93" s="80" t="s">
        <v>45</v>
      </c>
      <c r="D93" s="83" t="s">
        <v>9244</v>
      </c>
      <c r="E93" s="83" t="s">
        <v>8867</v>
      </c>
      <c r="F93" s="83" t="s">
        <v>9245</v>
      </c>
      <c r="G93" s="80" t="n">
        <v>30</v>
      </c>
      <c r="H93" s="83" t="s">
        <v>9246</v>
      </c>
      <c r="I93" s="83" t="s">
        <v>3915</v>
      </c>
      <c r="J93" s="83" t="s">
        <v>9247</v>
      </c>
      <c r="K93" s="80" t="s">
        <v>9248</v>
      </c>
      <c r="L93" s="80" t="s">
        <v>9249</v>
      </c>
      <c r="M93" s="83" t="s">
        <v>3919</v>
      </c>
      <c r="N93" s="83" t="s">
        <v>8087</v>
      </c>
      <c r="O93" s="83" t="s">
        <v>8043</v>
      </c>
      <c r="P93" s="83" t="s">
        <v>3920</v>
      </c>
      <c r="Q93" s="80" t="s">
        <v>9250</v>
      </c>
      <c r="R93" s="83" t="s">
        <v>3922</v>
      </c>
      <c r="S93" s="80" t="s">
        <v>9251</v>
      </c>
      <c r="T93" s="80" t="s">
        <v>59</v>
      </c>
      <c r="U93" s="80" t="s">
        <v>59</v>
      </c>
      <c r="V93" s="80"/>
    </row>
    <row r="94" customFormat="false" ht="15.75" hidden="false" customHeight="true" outlineLevel="0" collapsed="false">
      <c r="A94" s="85"/>
      <c r="B94" s="80" t="n">
        <v>26</v>
      </c>
      <c r="C94" s="80" t="s">
        <v>45</v>
      </c>
      <c r="D94" s="83" t="s">
        <v>1532</v>
      </c>
      <c r="E94" s="83" t="s">
        <v>49</v>
      </c>
      <c r="F94" s="83" t="s">
        <v>3925</v>
      </c>
      <c r="G94" s="80" t="s">
        <v>9252</v>
      </c>
      <c r="H94" s="83" t="s">
        <v>3926</v>
      </c>
      <c r="I94" s="83" t="s">
        <v>9253</v>
      </c>
      <c r="J94" s="83" t="s">
        <v>2220</v>
      </c>
      <c r="K94" s="80" t="s">
        <v>3928</v>
      </c>
      <c r="L94" s="83" t="s">
        <v>3929</v>
      </c>
      <c r="M94" s="83" t="s">
        <v>3930</v>
      </c>
      <c r="N94" s="83" t="s">
        <v>9254</v>
      </c>
      <c r="O94" s="83" t="s">
        <v>9255</v>
      </c>
      <c r="P94" s="83" t="s">
        <v>9256</v>
      </c>
      <c r="Q94" s="80" t="s">
        <v>1659</v>
      </c>
      <c r="R94" s="84" t="s">
        <v>9257</v>
      </c>
      <c r="S94" s="80" t="s">
        <v>59</v>
      </c>
      <c r="T94" s="80" t="s">
        <v>3933</v>
      </c>
      <c r="U94" s="80" t="s">
        <v>9258</v>
      </c>
      <c r="V94" s="80"/>
    </row>
    <row r="95" customFormat="false" ht="15.75" hidden="false" customHeight="true" outlineLevel="0" collapsed="false">
      <c r="A95" s="85"/>
      <c r="B95" s="80" t="n">
        <v>30</v>
      </c>
      <c r="C95" s="80" t="s">
        <v>83</v>
      </c>
      <c r="D95" s="83" t="s">
        <v>49</v>
      </c>
      <c r="E95" s="83" t="s">
        <v>49</v>
      </c>
      <c r="F95" s="83" t="s">
        <v>9259</v>
      </c>
      <c r="G95" s="82" t="n">
        <v>0.35</v>
      </c>
      <c r="H95" s="83" t="s">
        <v>9260</v>
      </c>
      <c r="I95" s="83" t="s">
        <v>8853</v>
      </c>
      <c r="J95" s="83" t="s">
        <v>434</v>
      </c>
      <c r="K95" s="80" t="s">
        <v>3937</v>
      </c>
      <c r="L95" s="83" t="s">
        <v>9261</v>
      </c>
      <c r="M95" s="84" t="s">
        <v>9262</v>
      </c>
      <c r="N95" s="83" t="s">
        <v>9263</v>
      </c>
      <c r="O95" s="83" t="s">
        <v>9264</v>
      </c>
      <c r="P95" s="83" t="s">
        <v>3940</v>
      </c>
      <c r="Q95" s="80" t="s">
        <v>3941</v>
      </c>
      <c r="R95" s="83" t="s">
        <v>3942</v>
      </c>
      <c r="S95" s="80" t="s">
        <v>9265</v>
      </c>
      <c r="T95" s="80" t="s">
        <v>3944</v>
      </c>
      <c r="U95" s="80" t="s">
        <v>3945</v>
      </c>
      <c r="V95" s="80"/>
    </row>
    <row r="96" customFormat="false" ht="15.75" hidden="false" customHeight="true" outlineLevel="0" collapsed="false">
      <c r="A96" s="85"/>
      <c r="B96" s="80" t="n">
        <v>24</v>
      </c>
      <c r="C96" s="80" t="s">
        <v>83</v>
      </c>
      <c r="D96" s="83" t="s">
        <v>3947</v>
      </c>
      <c r="E96" s="83" t="s">
        <v>9266</v>
      </c>
      <c r="F96" s="83" t="s">
        <v>3948</v>
      </c>
      <c r="G96" s="86" t="s">
        <v>9267</v>
      </c>
      <c r="H96" s="83" t="s">
        <v>1859</v>
      </c>
      <c r="I96" s="83" t="s">
        <v>3949</v>
      </c>
      <c r="J96" s="83" t="s">
        <v>3950</v>
      </c>
      <c r="K96" s="80" t="s">
        <v>3951</v>
      </c>
      <c r="L96" s="83" t="s">
        <v>3952</v>
      </c>
      <c r="M96" s="83" t="s">
        <v>3953</v>
      </c>
      <c r="N96" s="83" t="n">
        <v>123</v>
      </c>
      <c r="O96" s="83" t="n">
        <v>123</v>
      </c>
      <c r="P96" s="83" t="s">
        <v>3954</v>
      </c>
      <c r="Q96" s="80" t="s">
        <v>3955</v>
      </c>
      <c r="R96" s="83" t="s">
        <v>3956</v>
      </c>
      <c r="S96" s="80" t="s">
        <v>59</v>
      </c>
      <c r="T96" s="80" t="s">
        <v>885</v>
      </c>
      <c r="U96" s="83" t="s">
        <v>9268</v>
      </c>
      <c r="V96" s="80"/>
    </row>
    <row r="97" customFormat="false" ht="15.75" hidden="false" customHeight="true" outlineLevel="0" collapsed="false">
      <c r="A97" s="85"/>
      <c r="B97" s="80" t="n">
        <v>23</v>
      </c>
      <c r="C97" s="80" t="s">
        <v>45</v>
      </c>
      <c r="D97" s="83" t="s">
        <v>3912</v>
      </c>
      <c r="E97" s="83" t="s">
        <v>3958</v>
      </c>
      <c r="F97" s="83" t="s">
        <v>3960</v>
      </c>
      <c r="G97" s="82" t="n">
        <v>0.4</v>
      </c>
      <c r="H97" s="83" t="s">
        <v>130</v>
      </c>
      <c r="I97" s="83" t="s">
        <v>3961</v>
      </c>
      <c r="J97" s="83" t="s">
        <v>3962</v>
      </c>
      <c r="K97" s="80" t="s">
        <v>3963</v>
      </c>
      <c r="L97" s="83" t="s">
        <v>2257</v>
      </c>
      <c r="M97" s="83" t="s">
        <v>3964</v>
      </c>
      <c r="N97" s="83" t="s">
        <v>8213</v>
      </c>
      <c r="O97" s="83" t="s">
        <v>8213</v>
      </c>
      <c r="P97" s="83" t="s">
        <v>9269</v>
      </c>
      <c r="Q97" s="80" t="s">
        <v>3966</v>
      </c>
      <c r="R97" s="83" t="s">
        <v>3966</v>
      </c>
      <c r="S97" s="80" t="s">
        <v>9270</v>
      </c>
      <c r="T97" s="80" t="s">
        <v>59</v>
      </c>
      <c r="U97" s="83" t="s">
        <v>59</v>
      </c>
      <c r="V97" s="80"/>
    </row>
    <row r="98" customFormat="false" ht="15.75" hidden="false" customHeight="true" outlineLevel="0" collapsed="false">
      <c r="A98" s="85"/>
      <c r="B98" s="80" t="n">
        <v>21</v>
      </c>
      <c r="C98" s="80" t="s">
        <v>83</v>
      </c>
      <c r="D98" s="83" t="s">
        <v>1271</v>
      </c>
      <c r="E98" s="83" t="s">
        <v>1271</v>
      </c>
      <c r="F98" s="83" t="s">
        <v>3969</v>
      </c>
      <c r="G98" s="82" t="n">
        <v>0.2</v>
      </c>
      <c r="H98" s="83" t="s">
        <v>3970</v>
      </c>
      <c r="I98" s="83" t="s">
        <v>3971</v>
      </c>
      <c r="J98" s="83" t="s">
        <v>3972</v>
      </c>
      <c r="K98" s="80" t="s">
        <v>3973</v>
      </c>
      <c r="L98" s="83" t="s">
        <v>9271</v>
      </c>
      <c r="M98" s="83" t="s">
        <v>9272</v>
      </c>
      <c r="N98" s="83" t="s">
        <v>8019</v>
      </c>
      <c r="O98" s="83" t="s">
        <v>8019</v>
      </c>
      <c r="P98" s="83" t="s">
        <v>9273</v>
      </c>
      <c r="Q98" s="80" t="s">
        <v>3977</v>
      </c>
      <c r="R98" s="83" t="s">
        <v>3978</v>
      </c>
      <c r="S98" s="80" t="s">
        <v>9274</v>
      </c>
      <c r="T98" s="80" t="s">
        <v>9275</v>
      </c>
      <c r="U98" s="83" t="s">
        <v>9268</v>
      </c>
      <c r="V98" s="80"/>
    </row>
    <row r="99" customFormat="false" ht="15.75" hidden="false" customHeight="true" outlineLevel="0" collapsed="false">
      <c r="A99" s="85"/>
      <c r="B99" s="80" t="n">
        <v>24</v>
      </c>
      <c r="C99" s="80" t="s">
        <v>83</v>
      </c>
      <c r="D99" s="83" t="s">
        <v>9276</v>
      </c>
      <c r="E99" s="83" t="s">
        <v>3958</v>
      </c>
      <c r="F99" s="83" t="s">
        <v>3982</v>
      </c>
      <c r="G99" s="82" t="n">
        <v>0.3</v>
      </c>
      <c r="H99" s="83" t="s">
        <v>3983</v>
      </c>
      <c r="I99" s="84" t="s">
        <v>9277</v>
      </c>
      <c r="J99" s="83" t="s">
        <v>3985</v>
      </c>
      <c r="K99" s="80" t="s">
        <v>3986</v>
      </c>
      <c r="L99" s="83" t="s">
        <v>3987</v>
      </c>
      <c r="M99" s="83" t="s">
        <v>3988</v>
      </c>
      <c r="N99" s="83" t="s">
        <v>9278</v>
      </c>
      <c r="O99" s="83" t="s">
        <v>9279</v>
      </c>
      <c r="P99" s="83" t="s">
        <v>3989</v>
      </c>
      <c r="Q99" s="86" t="s">
        <v>9280</v>
      </c>
      <c r="R99" s="83" t="s">
        <v>3991</v>
      </c>
      <c r="S99" s="80" t="s">
        <v>3992</v>
      </c>
      <c r="T99" s="80" t="s">
        <v>3993</v>
      </c>
      <c r="U99" s="83" t="s">
        <v>3994</v>
      </c>
      <c r="V99" s="80"/>
    </row>
    <row r="100" customFormat="false" ht="15.75" hidden="false" customHeight="true" outlineLevel="0" collapsed="false">
      <c r="A100" s="85"/>
      <c r="B100" s="80" t="n">
        <v>34</v>
      </c>
      <c r="C100" s="83" t="s">
        <v>45</v>
      </c>
      <c r="D100" s="83" t="s">
        <v>1399</v>
      </c>
      <c r="E100" s="83" t="s">
        <v>49</v>
      </c>
      <c r="F100" s="83" t="s">
        <v>3996</v>
      </c>
      <c r="G100" s="82" t="n">
        <v>0.2</v>
      </c>
      <c r="H100" s="83" t="s">
        <v>3997</v>
      </c>
      <c r="I100" s="83" t="s">
        <v>9281</v>
      </c>
      <c r="J100" s="83" t="s">
        <v>3999</v>
      </c>
      <c r="K100" s="80" t="s">
        <v>4000</v>
      </c>
      <c r="L100" s="83" t="s">
        <v>4001</v>
      </c>
      <c r="M100" s="83" t="s">
        <v>9282</v>
      </c>
      <c r="N100" s="83" t="s">
        <v>8114</v>
      </c>
      <c r="O100" s="83" t="s">
        <v>8114</v>
      </c>
      <c r="P100" s="83" t="s">
        <v>9283</v>
      </c>
      <c r="Q100" s="80" t="s">
        <v>4004</v>
      </c>
      <c r="R100" s="83" t="s">
        <v>9284</v>
      </c>
      <c r="S100" s="80" t="s">
        <v>4006</v>
      </c>
      <c r="T100" s="80" t="s">
        <v>9285</v>
      </c>
      <c r="U100" s="83" t="s">
        <v>9286</v>
      </c>
      <c r="V100" s="80"/>
    </row>
    <row r="101" customFormat="false" ht="15.75" hidden="false" customHeight="true" outlineLevel="0" collapsed="false">
      <c r="A101" s="85"/>
      <c r="B101" s="80" t="n">
        <v>22</v>
      </c>
      <c r="C101" s="83" t="s">
        <v>45</v>
      </c>
      <c r="D101" s="83" t="s">
        <v>3912</v>
      </c>
      <c r="E101" s="83" t="s">
        <v>47</v>
      </c>
      <c r="F101" s="83" t="s">
        <v>4009</v>
      </c>
      <c r="G101" s="80" t="s">
        <v>9287</v>
      </c>
      <c r="H101" s="83" t="s">
        <v>9288</v>
      </c>
      <c r="I101" s="83" t="s">
        <v>9289</v>
      </c>
      <c r="J101" s="83" t="s">
        <v>9290</v>
      </c>
      <c r="K101" s="80" t="s">
        <v>4013</v>
      </c>
      <c r="L101" s="83" t="s">
        <v>9291</v>
      </c>
      <c r="M101" s="83" t="s">
        <v>9292</v>
      </c>
      <c r="N101" s="83" t="s">
        <v>9293</v>
      </c>
      <c r="O101" s="83" t="s">
        <v>9294</v>
      </c>
      <c r="P101" s="84" t="s">
        <v>9295</v>
      </c>
      <c r="Q101" s="80" t="s">
        <v>4017</v>
      </c>
      <c r="R101" s="83" t="s">
        <v>4018</v>
      </c>
      <c r="S101" s="83" t="s">
        <v>9296</v>
      </c>
      <c r="T101" s="80" t="s">
        <v>9297</v>
      </c>
      <c r="U101" s="83" t="s">
        <v>9298</v>
      </c>
      <c r="V101" s="80"/>
    </row>
    <row r="102" customFormat="false" ht="15.75" hidden="false" customHeight="true" outlineLevel="0" collapsed="false">
      <c r="A102" s="85"/>
      <c r="B102" s="80" t="n">
        <v>22</v>
      </c>
      <c r="C102" s="83" t="s">
        <v>9109</v>
      </c>
      <c r="D102" s="83" t="s">
        <v>4023</v>
      </c>
      <c r="E102" s="83" t="s">
        <v>9299</v>
      </c>
      <c r="F102" s="83" t="s">
        <v>4024</v>
      </c>
      <c r="G102" s="82" t="n">
        <v>0.25</v>
      </c>
      <c r="H102" s="83" t="s">
        <v>4025</v>
      </c>
      <c r="I102" s="83" t="s">
        <v>4026</v>
      </c>
      <c r="J102" s="83" t="s">
        <v>4027</v>
      </c>
      <c r="K102" s="80" t="s">
        <v>4028</v>
      </c>
      <c r="L102" s="83" t="s">
        <v>9300</v>
      </c>
      <c r="M102" s="84" t="s">
        <v>9301</v>
      </c>
      <c r="N102" s="83" t="s">
        <v>9125</v>
      </c>
      <c r="O102" s="83" t="s">
        <v>8114</v>
      </c>
      <c r="P102" s="83" t="s">
        <v>4031</v>
      </c>
      <c r="Q102" s="80" t="s">
        <v>4032</v>
      </c>
      <c r="R102" s="83" t="s">
        <v>4033</v>
      </c>
      <c r="S102" s="83" t="s">
        <v>4034</v>
      </c>
      <c r="T102" s="80" t="s">
        <v>9302</v>
      </c>
      <c r="U102" s="83" t="s">
        <v>4036</v>
      </c>
      <c r="V102" s="8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8" activeCellId="0" sqref="E128"/>
    </sheetView>
  </sheetViews>
  <sheetFormatPr defaultColWidth="8.8359375" defaultRowHeight="15.7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22"/>
    <col collapsed="false" customWidth="true" hidden="false" outlineLevel="0" max="5" min="4" style="1" width="25"/>
    <col collapsed="false" customWidth="true" hidden="false" outlineLevel="0" max="17" min="6" style="1" width="38"/>
    <col collapsed="false" customWidth="true" hidden="false" outlineLevel="0" max="23" min="18" style="1" width="16"/>
    <col collapsed="false" customWidth="true" hidden="false" outlineLevel="0" max="28" min="24" style="1" width="38"/>
    <col collapsed="false" customWidth="true" hidden="false" outlineLevel="0" max="30" min="29" style="1" width="15"/>
  </cols>
  <sheetData>
    <row r="1" customFormat="false" ht="57" hidden="false" customHeight="true" outlineLevel="0" collapsed="false">
      <c r="A1" s="87" t="s">
        <v>0</v>
      </c>
      <c r="B1" s="87" t="s">
        <v>9303</v>
      </c>
      <c r="C1" s="87" t="s">
        <v>9304</v>
      </c>
      <c r="D1" s="87" t="s">
        <v>9305</v>
      </c>
      <c r="E1" s="87" t="s">
        <v>9306</v>
      </c>
      <c r="F1" s="87" t="s">
        <v>9307</v>
      </c>
      <c r="G1" s="87" t="s">
        <v>9308</v>
      </c>
      <c r="H1" s="87" t="s">
        <v>9309</v>
      </c>
      <c r="I1" s="87" t="s">
        <v>9310</v>
      </c>
      <c r="J1" s="87" t="s">
        <v>9311</v>
      </c>
      <c r="K1" s="87" t="s">
        <v>9312</v>
      </c>
      <c r="L1" s="87" t="s">
        <v>9313</v>
      </c>
      <c r="M1" s="87" t="s">
        <v>9314</v>
      </c>
      <c r="N1" s="87" t="s">
        <v>9315</v>
      </c>
      <c r="O1" s="87" t="s">
        <v>9316</v>
      </c>
      <c r="P1" s="87" t="s">
        <v>9317</v>
      </c>
      <c r="Q1" s="87" t="s">
        <v>9318</v>
      </c>
      <c r="R1" s="87" t="s">
        <v>9319</v>
      </c>
      <c r="S1" s="87" t="s">
        <v>9320</v>
      </c>
      <c r="T1" s="87" t="s">
        <v>9321</v>
      </c>
      <c r="U1" s="87" t="s">
        <v>9322</v>
      </c>
      <c r="V1" s="87" t="s">
        <v>9323</v>
      </c>
      <c r="W1" s="87" t="s">
        <v>9324</v>
      </c>
      <c r="X1" s="87" t="s">
        <v>9325</v>
      </c>
      <c r="Y1" s="87" t="s">
        <v>9326</v>
      </c>
      <c r="Z1" s="87" t="s">
        <v>9327</v>
      </c>
      <c r="AA1" s="87" t="s">
        <v>9328</v>
      </c>
      <c r="AB1" s="87" t="s">
        <v>9329</v>
      </c>
      <c r="AC1" s="87" t="s">
        <v>9330</v>
      </c>
      <c r="AD1" s="87" t="s">
        <v>9331</v>
      </c>
    </row>
    <row r="2" customFormat="false" ht="33" hidden="false" customHeight="true" outlineLevel="0" collapsed="false">
      <c r="A2" s="88" t="n">
        <v>1</v>
      </c>
      <c r="B2" s="89" t="n">
        <v>24</v>
      </c>
      <c r="C2" s="88" t="s">
        <v>9332</v>
      </c>
      <c r="D2" s="88" t="s">
        <v>437</v>
      </c>
      <c r="E2" s="88" t="s">
        <v>437</v>
      </c>
      <c r="F2" s="88" t="s">
        <v>9333</v>
      </c>
      <c r="G2" s="88" t="s">
        <v>9334</v>
      </c>
      <c r="H2" s="88" t="s">
        <v>9335</v>
      </c>
      <c r="I2" s="88" t="s">
        <v>9336</v>
      </c>
      <c r="J2" s="88" t="s">
        <v>9337</v>
      </c>
      <c r="K2" s="88" t="s">
        <v>9338</v>
      </c>
      <c r="L2" s="88" t="s">
        <v>9339</v>
      </c>
      <c r="M2" s="88" t="s">
        <v>9340</v>
      </c>
      <c r="N2" s="88" t="s">
        <v>9341</v>
      </c>
      <c r="O2" s="88" t="s">
        <v>9342</v>
      </c>
      <c r="P2" s="88" t="s">
        <v>9343</v>
      </c>
      <c r="Q2" s="88" t="s">
        <v>9344</v>
      </c>
      <c r="R2" s="90" t="n">
        <v>1</v>
      </c>
      <c r="S2" s="90" t="n">
        <v>2</v>
      </c>
      <c r="T2" s="90" t="n">
        <v>3</v>
      </c>
      <c r="U2" s="90" t="n">
        <v>3</v>
      </c>
      <c r="V2" s="90" t="n">
        <v>1</v>
      </c>
      <c r="W2" s="90" t="n">
        <v>2</v>
      </c>
      <c r="X2" s="88" t="s">
        <v>9345</v>
      </c>
      <c r="Y2" s="88" t="s">
        <v>9346</v>
      </c>
      <c r="Z2" s="88" t="s">
        <v>9347</v>
      </c>
      <c r="AA2" s="88" t="s">
        <v>9348</v>
      </c>
      <c r="AB2" s="88" t="s">
        <v>9349</v>
      </c>
      <c r="AC2" s="90" t="n">
        <v>5</v>
      </c>
      <c r="AD2" s="90" t="n">
        <v>4</v>
      </c>
    </row>
    <row r="3" customFormat="false" ht="33" hidden="false" customHeight="true" outlineLevel="0" collapsed="false">
      <c r="A3" s="88" t="n">
        <v>2</v>
      </c>
      <c r="B3" s="89" t="n">
        <v>26</v>
      </c>
      <c r="C3" s="88" t="s">
        <v>9350</v>
      </c>
      <c r="D3" s="88" t="s">
        <v>437</v>
      </c>
      <c r="E3" s="88" t="s">
        <v>437</v>
      </c>
      <c r="F3" s="88" t="s">
        <v>9333</v>
      </c>
      <c r="G3" s="88" t="s">
        <v>9351</v>
      </c>
      <c r="H3" s="88" t="s">
        <v>9352</v>
      </c>
      <c r="I3" s="88" t="s">
        <v>9353</v>
      </c>
      <c r="J3" s="88" t="s">
        <v>9354</v>
      </c>
      <c r="K3" s="88" t="s">
        <v>9355</v>
      </c>
      <c r="L3" s="88" t="s">
        <v>9356</v>
      </c>
      <c r="M3" s="88" t="s">
        <v>9348</v>
      </c>
      <c r="N3" s="88" t="s">
        <v>9357</v>
      </c>
      <c r="O3" s="88" t="s">
        <v>9358</v>
      </c>
      <c r="P3" s="88" t="s">
        <v>9359</v>
      </c>
      <c r="Q3" s="88" t="s">
        <v>9344</v>
      </c>
      <c r="R3" s="90" t="n">
        <v>2</v>
      </c>
      <c r="S3" s="90" t="n">
        <v>1</v>
      </c>
      <c r="T3" s="90" t="n">
        <v>3</v>
      </c>
      <c r="U3" s="90" t="n">
        <v>1</v>
      </c>
      <c r="V3" s="90" t="n">
        <v>2</v>
      </c>
      <c r="W3" s="90" t="n">
        <v>3</v>
      </c>
      <c r="X3" s="88" t="s">
        <v>9360</v>
      </c>
      <c r="Y3" s="88" t="s">
        <v>9361</v>
      </c>
      <c r="Z3" s="88" t="s">
        <v>9362</v>
      </c>
      <c r="AA3" s="88" t="s">
        <v>9363</v>
      </c>
      <c r="AB3" s="88" t="s">
        <v>9364</v>
      </c>
      <c r="AC3" s="90" t="n">
        <v>4</v>
      </c>
      <c r="AD3" s="90" t="n">
        <v>2</v>
      </c>
    </row>
    <row r="4" customFormat="false" ht="33" hidden="false" customHeight="true" outlineLevel="0" collapsed="false">
      <c r="A4" s="88" t="n">
        <v>3</v>
      </c>
      <c r="B4" s="89" t="n">
        <v>23</v>
      </c>
      <c r="C4" s="88" t="s">
        <v>9350</v>
      </c>
      <c r="D4" s="88" t="s">
        <v>437</v>
      </c>
      <c r="E4" s="88" t="s">
        <v>437</v>
      </c>
      <c r="F4" s="88" t="s">
        <v>9365</v>
      </c>
      <c r="G4" s="88" t="s">
        <v>9366</v>
      </c>
      <c r="H4" s="88" t="s">
        <v>9367</v>
      </c>
      <c r="I4" s="88" t="s">
        <v>9368</v>
      </c>
      <c r="J4" s="88" t="s">
        <v>9369</v>
      </c>
      <c r="K4" s="88" t="s">
        <v>9338</v>
      </c>
      <c r="L4" s="88" t="s">
        <v>9370</v>
      </c>
      <c r="M4" s="88" t="s">
        <v>9340</v>
      </c>
      <c r="N4" s="88" t="s">
        <v>9371</v>
      </c>
      <c r="O4" s="88" t="s">
        <v>9342</v>
      </c>
      <c r="P4" s="88" t="s">
        <v>9372</v>
      </c>
      <c r="Q4" s="88" t="s">
        <v>9344</v>
      </c>
      <c r="R4" s="90" t="n">
        <v>3</v>
      </c>
      <c r="S4" s="90" t="n">
        <v>1</v>
      </c>
      <c r="T4" s="90" t="n">
        <v>2</v>
      </c>
      <c r="U4" s="90" t="n">
        <v>2</v>
      </c>
      <c r="V4" s="90" t="n">
        <v>1</v>
      </c>
      <c r="W4" s="90" t="n">
        <v>3</v>
      </c>
      <c r="X4" s="88" t="s">
        <v>9373</v>
      </c>
      <c r="Y4" s="88" t="s">
        <v>9374</v>
      </c>
      <c r="Z4" s="88" t="s">
        <v>9375</v>
      </c>
      <c r="AA4" s="88" t="s">
        <v>9376</v>
      </c>
      <c r="AB4" s="88"/>
      <c r="AC4" s="90" t="n">
        <v>3</v>
      </c>
      <c r="AD4" s="90" t="n">
        <v>3</v>
      </c>
    </row>
    <row r="5" customFormat="false" ht="33" hidden="false" customHeight="true" outlineLevel="0" collapsed="false">
      <c r="A5" s="88" t="n">
        <v>4</v>
      </c>
      <c r="B5" s="89" t="n">
        <v>23</v>
      </c>
      <c r="C5" s="88" t="s">
        <v>9350</v>
      </c>
      <c r="D5" s="88" t="s">
        <v>437</v>
      </c>
      <c r="E5" s="88" t="s">
        <v>437</v>
      </c>
      <c r="F5" s="88" t="s">
        <v>9365</v>
      </c>
      <c r="G5" s="88" t="s">
        <v>9334</v>
      </c>
      <c r="H5" s="88" t="s">
        <v>9377</v>
      </c>
      <c r="I5" s="88" t="s">
        <v>9336</v>
      </c>
      <c r="J5" s="88" t="s">
        <v>9378</v>
      </c>
      <c r="K5" s="88" t="s">
        <v>9338</v>
      </c>
      <c r="L5" s="88" t="s">
        <v>9370</v>
      </c>
      <c r="M5" s="88" t="s">
        <v>9340</v>
      </c>
      <c r="N5" s="88" t="s">
        <v>9379</v>
      </c>
      <c r="O5" s="88" t="s">
        <v>9358</v>
      </c>
      <c r="P5" s="88" t="s">
        <v>9372</v>
      </c>
      <c r="Q5" s="88" t="s">
        <v>9344</v>
      </c>
      <c r="R5" s="90" t="n">
        <v>3</v>
      </c>
      <c r="S5" s="90" t="n">
        <v>2</v>
      </c>
      <c r="T5" s="90" t="n">
        <v>1</v>
      </c>
      <c r="U5" s="90" t="n">
        <v>3</v>
      </c>
      <c r="V5" s="90" t="n">
        <v>2</v>
      </c>
      <c r="W5" s="90" t="n">
        <v>1</v>
      </c>
      <c r="X5" s="88" t="s">
        <v>9380</v>
      </c>
      <c r="Y5" s="88" t="s">
        <v>9381</v>
      </c>
      <c r="Z5" s="88" t="s">
        <v>9382</v>
      </c>
      <c r="AA5" s="88" t="s">
        <v>9348</v>
      </c>
      <c r="AB5" s="88" t="s">
        <v>9383</v>
      </c>
      <c r="AC5" s="90" t="n">
        <v>3</v>
      </c>
      <c r="AD5" s="90" t="n">
        <v>3</v>
      </c>
    </row>
    <row r="6" customFormat="false" ht="33" hidden="false" customHeight="true" outlineLevel="0" collapsed="false">
      <c r="A6" s="88" t="n">
        <v>5</v>
      </c>
      <c r="B6" s="89" t="n">
        <v>23</v>
      </c>
      <c r="C6" s="88" t="s">
        <v>9350</v>
      </c>
      <c r="D6" s="88" t="s">
        <v>437</v>
      </c>
      <c r="E6" s="88" t="s">
        <v>50</v>
      </c>
      <c r="F6" s="88" t="s">
        <v>9333</v>
      </c>
      <c r="G6" s="88" t="s">
        <v>9366</v>
      </c>
      <c r="H6" s="88" t="s">
        <v>9384</v>
      </c>
      <c r="I6" s="88" t="s">
        <v>9336</v>
      </c>
      <c r="J6" s="88" t="s">
        <v>9385</v>
      </c>
      <c r="K6" s="88" t="s">
        <v>9338</v>
      </c>
      <c r="L6" s="88" t="s">
        <v>9370</v>
      </c>
      <c r="M6" s="88" t="s">
        <v>9386</v>
      </c>
      <c r="N6" s="88" t="s">
        <v>9387</v>
      </c>
      <c r="O6" s="88" t="s">
        <v>9388</v>
      </c>
      <c r="P6" s="88" t="s">
        <v>9359</v>
      </c>
      <c r="Q6" s="88" t="s">
        <v>9359</v>
      </c>
      <c r="R6" s="90" t="n">
        <v>1</v>
      </c>
      <c r="S6" s="90" t="n">
        <v>2</v>
      </c>
      <c r="T6" s="90" t="n">
        <v>3</v>
      </c>
      <c r="U6" s="90" t="n">
        <v>3</v>
      </c>
      <c r="V6" s="90" t="n">
        <v>1</v>
      </c>
      <c r="W6" s="90" t="n">
        <v>2</v>
      </c>
      <c r="X6" s="88" t="s">
        <v>9389</v>
      </c>
      <c r="Y6" s="88" t="s">
        <v>9390</v>
      </c>
      <c r="Z6" s="88" t="s">
        <v>9391</v>
      </c>
      <c r="AA6" s="88" t="s">
        <v>9348</v>
      </c>
      <c r="AB6" s="88" t="s">
        <v>9364</v>
      </c>
      <c r="AC6" s="90" t="n">
        <v>4</v>
      </c>
      <c r="AD6" s="90" t="n">
        <v>4</v>
      </c>
    </row>
    <row r="7" customFormat="false" ht="33" hidden="false" customHeight="true" outlineLevel="0" collapsed="false">
      <c r="A7" s="88" t="n">
        <v>6</v>
      </c>
      <c r="B7" s="89" t="n">
        <v>23</v>
      </c>
      <c r="C7" s="88" t="s">
        <v>9350</v>
      </c>
      <c r="D7" s="88" t="s">
        <v>437</v>
      </c>
      <c r="E7" s="88" t="s">
        <v>437</v>
      </c>
      <c r="F7" s="88" t="s">
        <v>9392</v>
      </c>
      <c r="G7" s="88" t="s">
        <v>9366</v>
      </c>
      <c r="H7" s="88" t="s">
        <v>9393</v>
      </c>
      <c r="I7" s="88" t="s">
        <v>9336</v>
      </c>
      <c r="J7" s="88" t="s">
        <v>9394</v>
      </c>
      <c r="K7" s="88" t="s">
        <v>9395</v>
      </c>
      <c r="L7" s="88" t="s">
        <v>9396</v>
      </c>
      <c r="M7" s="88" t="s">
        <v>9340</v>
      </c>
      <c r="N7" s="88" t="s">
        <v>9397</v>
      </c>
      <c r="O7" s="88" t="s">
        <v>9358</v>
      </c>
      <c r="P7" s="88" t="s">
        <v>9359</v>
      </c>
      <c r="Q7" s="88" t="s">
        <v>9359</v>
      </c>
      <c r="R7" s="90" t="n">
        <v>1</v>
      </c>
      <c r="S7" s="90" t="n">
        <v>2</v>
      </c>
      <c r="T7" s="90" t="n">
        <v>3</v>
      </c>
      <c r="U7" s="90" t="n">
        <v>2</v>
      </c>
      <c r="V7" s="90" t="n">
        <v>1</v>
      </c>
      <c r="W7" s="90" t="n">
        <v>3</v>
      </c>
      <c r="X7" s="88" t="s">
        <v>9398</v>
      </c>
      <c r="Y7" s="88" t="s">
        <v>9361</v>
      </c>
      <c r="Z7" s="88" t="s">
        <v>9391</v>
      </c>
      <c r="AA7" s="88" t="s">
        <v>9348</v>
      </c>
      <c r="AB7" s="88" t="s">
        <v>9399</v>
      </c>
      <c r="AC7" s="90" t="n">
        <v>5</v>
      </c>
      <c r="AD7" s="90" t="n">
        <v>5</v>
      </c>
    </row>
    <row r="8" customFormat="false" ht="33" hidden="false" customHeight="true" outlineLevel="0" collapsed="false">
      <c r="A8" s="88" t="n">
        <v>7</v>
      </c>
      <c r="B8" s="89" t="n">
        <v>25</v>
      </c>
      <c r="C8" s="88" t="s">
        <v>9332</v>
      </c>
      <c r="D8" s="88" t="s">
        <v>437</v>
      </c>
      <c r="E8" s="88" t="s">
        <v>50</v>
      </c>
      <c r="F8" s="88" t="s">
        <v>9400</v>
      </c>
      <c r="G8" s="88" t="s">
        <v>9366</v>
      </c>
      <c r="H8" s="88" t="s">
        <v>9401</v>
      </c>
      <c r="I8" s="88" t="s">
        <v>9401</v>
      </c>
      <c r="J8" s="88" t="s">
        <v>9402</v>
      </c>
      <c r="K8" s="88" t="s">
        <v>9338</v>
      </c>
      <c r="L8" s="88" t="s">
        <v>9403</v>
      </c>
      <c r="M8" s="88" t="s">
        <v>9340</v>
      </c>
      <c r="N8" s="88" t="s">
        <v>9404</v>
      </c>
      <c r="O8" s="88" t="s">
        <v>9342</v>
      </c>
      <c r="P8" s="88" t="s">
        <v>9359</v>
      </c>
      <c r="Q8" s="88" t="s">
        <v>9359</v>
      </c>
      <c r="R8" s="90" t="n">
        <v>1</v>
      </c>
      <c r="S8" s="90" t="n">
        <v>3</v>
      </c>
      <c r="T8" s="90" t="n">
        <v>2</v>
      </c>
      <c r="U8" s="90" t="n">
        <v>1</v>
      </c>
      <c r="V8" s="90" t="n">
        <v>3</v>
      </c>
      <c r="W8" s="90" t="n">
        <v>2</v>
      </c>
      <c r="X8" s="88" t="s">
        <v>9398</v>
      </c>
      <c r="Y8" s="88" t="s">
        <v>9361</v>
      </c>
      <c r="Z8" s="88" t="s">
        <v>9405</v>
      </c>
      <c r="AA8" s="88" t="s">
        <v>9348</v>
      </c>
      <c r="AB8" s="88" t="s">
        <v>9406</v>
      </c>
      <c r="AC8" s="90" t="n">
        <v>5</v>
      </c>
      <c r="AD8" s="90" t="n">
        <v>3</v>
      </c>
    </row>
    <row r="9" customFormat="false" ht="33" hidden="false" customHeight="true" outlineLevel="0" collapsed="false">
      <c r="A9" s="88" t="n">
        <v>8</v>
      </c>
      <c r="B9" s="89" t="n">
        <v>23</v>
      </c>
      <c r="C9" s="88" t="s">
        <v>9332</v>
      </c>
      <c r="D9" s="88" t="s">
        <v>437</v>
      </c>
      <c r="E9" s="88" t="s">
        <v>437</v>
      </c>
      <c r="F9" s="88" t="s">
        <v>9333</v>
      </c>
      <c r="G9" s="88" t="s">
        <v>9407</v>
      </c>
      <c r="H9" s="88" t="s">
        <v>9377</v>
      </c>
      <c r="I9" s="88" t="s">
        <v>9336</v>
      </c>
      <c r="J9" s="88" t="s">
        <v>9408</v>
      </c>
      <c r="K9" s="88" t="s">
        <v>9338</v>
      </c>
      <c r="L9" s="88" t="s">
        <v>9339</v>
      </c>
      <c r="M9" s="88" t="s">
        <v>9340</v>
      </c>
      <c r="N9" s="88" t="s">
        <v>9409</v>
      </c>
      <c r="O9" s="88" t="s">
        <v>9342</v>
      </c>
      <c r="P9" s="88" t="s">
        <v>9343</v>
      </c>
      <c r="Q9" s="88" t="s">
        <v>9410</v>
      </c>
      <c r="R9" s="90" t="n">
        <v>1</v>
      </c>
      <c r="S9" s="90" t="n">
        <v>2</v>
      </c>
      <c r="T9" s="90" t="n">
        <v>3</v>
      </c>
      <c r="U9" s="90" t="n">
        <v>3</v>
      </c>
      <c r="V9" s="90" t="n">
        <v>2</v>
      </c>
      <c r="W9" s="90" t="n">
        <v>1</v>
      </c>
      <c r="X9" s="88" t="s">
        <v>9411</v>
      </c>
      <c r="Y9" s="88" t="s">
        <v>9346</v>
      </c>
      <c r="Z9" s="88" t="s">
        <v>9412</v>
      </c>
      <c r="AA9" s="88" t="s">
        <v>9348</v>
      </c>
      <c r="AB9" s="88" t="s">
        <v>9413</v>
      </c>
      <c r="AC9" s="90" t="n">
        <v>4</v>
      </c>
      <c r="AD9" s="90" t="n">
        <v>4</v>
      </c>
    </row>
    <row r="10" customFormat="false" ht="33" hidden="false" customHeight="true" outlineLevel="0" collapsed="false">
      <c r="A10" s="88" t="n">
        <v>9</v>
      </c>
      <c r="B10" s="89" t="n">
        <v>23</v>
      </c>
      <c r="C10" s="88" t="s">
        <v>9332</v>
      </c>
      <c r="D10" s="88" t="s">
        <v>437</v>
      </c>
      <c r="E10" s="88" t="s">
        <v>50</v>
      </c>
      <c r="F10" s="88" t="s">
        <v>9333</v>
      </c>
      <c r="G10" s="88" t="s">
        <v>9414</v>
      </c>
      <c r="H10" s="88" t="s">
        <v>9335</v>
      </c>
      <c r="I10" s="88" t="s">
        <v>9336</v>
      </c>
      <c r="J10" s="88" t="s">
        <v>9408</v>
      </c>
      <c r="K10" s="88" t="s">
        <v>9355</v>
      </c>
      <c r="L10" s="88" t="s">
        <v>9415</v>
      </c>
      <c r="M10" s="88" t="s">
        <v>9340</v>
      </c>
      <c r="N10" s="88" t="s">
        <v>9416</v>
      </c>
      <c r="O10" s="88" t="s">
        <v>9342</v>
      </c>
      <c r="P10" s="88" t="s">
        <v>9417</v>
      </c>
      <c r="Q10" s="88" t="s">
        <v>9344</v>
      </c>
      <c r="R10" s="90" t="n">
        <v>3</v>
      </c>
      <c r="S10" s="90" t="n">
        <v>1</v>
      </c>
      <c r="T10" s="90" t="n">
        <v>2</v>
      </c>
      <c r="U10" s="90" t="n">
        <v>3</v>
      </c>
      <c r="V10" s="90" t="n">
        <v>1</v>
      </c>
      <c r="W10" s="90" t="n">
        <v>2</v>
      </c>
      <c r="X10" s="88" t="s">
        <v>9418</v>
      </c>
      <c r="Y10" s="88" t="s">
        <v>9390</v>
      </c>
      <c r="Z10" s="88" t="s">
        <v>9412</v>
      </c>
      <c r="AA10" s="88" t="s">
        <v>9348</v>
      </c>
      <c r="AB10" s="88" t="s">
        <v>9419</v>
      </c>
      <c r="AC10" s="90" t="n">
        <v>3</v>
      </c>
      <c r="AD10" s="90" t="n">
        <v>4</v>
      </c>
    </row>
    <row r="11" customFormat="false" ht="33" hidden="false" customHeight="true" outlineLevel="0" collapsed="false">
      <c r="A11" s="88" t="n">
        <v>10</v>
      </c>
      <c r="B11" s="89" t="n">
        <v>40</v>
      </c>
      <c r="C11" s="88" t="s">
        <v>9332</v>
      </c>
      <c r="D11" s="88" t="s">
        <v>437</v>
      </c>
      <c r="E11" s="88" t="s">
        <v>437</v>
      </c>
      <c r="F11" s="88" t="s">
        <v>9333</v>
      </c>
      <c r="G11" s="88" t="s">
        <v>9414</v>
      </c>
      <c r="H11" s="88" t="s">
        <v>9335</v>
      </c>
      <c r="I11" s="88" t="s">
        <v>9401</v>
      </c>
      <c r="J11" s="88" t="s">
        <v>9420</v>
      </c>
      <c r="K11" s="88" t="s">
        <v>9395</v>
      </c>
      <c r="L11" s="88" t="s">
        <v>9421</v>
      </c>
      <c r="M11" s="88" t="s">
        <v>9340</v>
      </c>
      <c r="N11" s="88" t="s">
        <v>9404</v>
      </c>
      <c r="O11" s="88" t="s">
        <v>9388</v>
      </c>
      <c r="P11" s="88" t="s">
        <v>9343</v>
      </c>
      <c r="Q11" s="88" t="s">
        <v>9410</v>
      </c>
      <c r="R11" s="90" t="n">
        <v>3</v>
      </c>
      <c r="S11" s="90" t="n">
        <v>1</v>
      </c>
      <c r="T11" s="90" t="n">
        <v>2</v>
      </c>
      <c r="U11" s="90" t="n">
        <v>3</v>
      </c>
      <c r="V11" s="90" t="n">
        <v>2</v>
      </c>
      <c r="W11" s="90" t="n">
        <v>1</v>
      </c>
      <c r="X11" s="88" t="s">
        <v>9422</v>
      </c>
      <c r="Y11" s="88" t="s">
        <v>9381</v>
      </c>
      <c r="Z11" s="88" t="s">
        <v>9391</v>
      </c>
      <c r="AA11" s="88" t="s">
        <v>9348</v>
      </c>
      <c r="AB11" s="88" t="s">
        <v>9423</v>
      </c>
      <c r="AC11" s="90" t="n">
        <v>5</v>
      </c>
      <c r="AD11" s="90" t="n">
        <v>5</v>
      </c>
    </row>
    <row r="12" customFormat="false" ht="33" hidden="false" customHeight="true" outlineLevel="0" collapsed="false">
      <c r="A12" s="88" t="n">
        <v>11</v>
      </c>
      <c r="B12" s="89" t="n">
        <v>23</v>
      </c>
      <c r="C12" s="88" t="s">
        <v>9350</v>
      </c>
      <c r="D12" s="88" t="s">
        <v>437</v>
      </c>
      <c r="E12" s="88" t="s">
        <v>437</v>
      </c>
      <c r="F12" s="88" t="s">
        <v>9365</v>
      </c>
      <c r="G12" s="88" t="s">
        <v>9366</v>
      </c>
      <c r="H12" s="88" t="s">
        <v>9377</v>
      </c>
      <c r="I12" s="88" t="s">
        <v>9336</v>
      </c>
      <c r="J12" s="88" t="s">
        <v>9424</v>
      </c>
      <c r="K12" s="88" t="s">
        <v>9338</v>
      </c>
      <c r="L12" s="88" t="s">
        <v>9425</v>
      </c>
      <c r="M12" s="88" t="s">
        <v>9340</v>
      </c>
      <c r="N12" s="88" t="s">
        <v>9397</v>
      </c>
      <c r="O12" s="88" t="s">
        <v>9342</v>
      </c>
      <c r="P12" s="88" t="s">
        <v>9417</v>
      </c>
      <c r="Q12" s="88" t="s">
        <v>9344</v>
      </c>
      <c r="R12" s="90" t="n">
        <v>1</v>
      </c>
      <c r="S12" s="90" t="n">
        <v>2</v>
      </c>
      <c r="T12" s="90" t="n">
        <v>3</v>
      </c>
      <c r="U12" s="90" t="n">
        <v>1</v>
      </c>
      <c r="V12" s="90" t="n">
        <v>2</v>
      </c>
      <c r="W12" s="90" t="n">
        <v>3</v>
      </c>
      <c r="X12" s="88" t="s">
        <v>9418</v>
      </c>
      <c r="Y12" s="88" t="s">
        <v>9381</v>
      </c>
      <c r="Z12" s="88" t="s">
        <v>9426</v>
      </c>
      <c r="AA12" s="88" t="s">
        <v>9363</v>
      </c>
      <c r="AB12" s="88" t="s">
        <v>9427</v>
      </c>
      <c r="AC12" s="90" t="n">
        <v>5</v>
      </c>
      <c r="AD12" s="90" t="n">
        <v>5</v>
      </c>
    </row>
    <row r="13" customFormat="false" ht="33" hidden="false" customHeight="true" outlineLevel="0" collapsed="false">
      <c r="A13" s="88" t="n">
        <v>12</v>
      </c>
      <c r="B13" s="89" t="n">
        <v>24</v>
      </c>
      <c r="C13" s="88" t="s">
        <v>9332</v>
      </c>
      <c r="D13" s="88" t="s">
        <v>437</v>
      </c>
      <c r="E13" s="88" t="s">
        <v>437</v>
      </c>
      <c r="F13" s="88" t="s">
        <v>9400</v>
      </c>
      <c r="G13" s="88" t="s">
        <v>9351</v>
      </c>
      <c r="H13" s="88" t="s">
        <v>9335</v>
      </c>
      <c r="I13" s="88" t="s">
        <v>9428</v>
      </c>
      <c r="J13" s="88" t="s">
        <v>9408</v>
      </c>
      <c r="K13" s="88" t="s">
        <v>9429</v>
      </c>
      <c r="L13" s="88" t="s">
        <v>9403</v>
      </c>
      <c r="M13" s="88" t="s">
        <v>9376</v>
      </c>
      <c r="N13" s="88" t="s">
        <v>9397</v>
      </c>
      <c r="O13" s="88" t="s">
        <v>9358</v>
      </c>
      <c r="P13" s="88" t="s">
        <v>9359</v>
      </c>
      <c r="Q13" s="88" t="s">
        <v>9359</v>
      </c>
      <c r="R13" s="90" t="n">
        <v>3</v>
      </c>
      <c r="S13" s="90" t="n">
        <v>1</v>
      </c>
      <c r="T13" s="90" t="n">
        <v>2</v>
      </c>
      <c r="U13" s="90" t="n">
        <v>3</v>
      </c>
      <c r="V13" s="90" t="n">
        <v>1</v>
      </c>
      <c r="W13" s="90" t="n">
        <v>2</v>
      </c>
      <c r="X13" s="88" t="s">
        <v>9430</v>
      </c>
      <c r="Y13" s="88" t="s">
        <v>9390</v>
      </c>
      <c r="Z13" s="88" t="s">
        <v>9375</v>
      </c>
      <c r="AA13" s="88" t="s">
        <v>9376</v>
      </c>
      <c r="AB13" s="88"/>
      <c r="AC13" s="90" t="n">
        <v>3</v>
      </c>
      <c r="AD13" s="90" t="n">
        <v>3</v>
      </c>
    </row>
    <row r="14" customFormat="false" ht="33" hidden="false" customHeight="true" outlineLevel="0" collapsed="false">
      <c r="A14" s="88" t="n">
        <v>13</v>
      </c>
      <c r="B14" s="89" t="n">
        <v>23</v>
      </c>
      <c r="C14" s="88" t="s">
        <v>9350</v>
      </c>
      <c r="D14" s="88" t="s">
        <v>437</v>
      </c>
      <c r="E14" s="88" t="s">
        <v>437</v>
      </c>
      <c r="F14" s="88" t="s">
        <v>9333</v>
      </c>
      <c r="G14" s="88" t="s">
        <v>9414</v>
      </c>
      <c r="H14" s="88" t="s">
        <v>9367</v>
      </c>
      <c r="I14" s="88" t="s">
        <v>9431</v>
      </c>
      <c r="J14" s="88" t="s">
        <v>9420</v>
      </c>
      <c r="K14" s="88" t="s">
        <v>9338</v>
      </c>
      <c r="L14" s="88" t="s">
        <v>9396</v>
      </c>
      <c r="M14" s="88" t="s">
        <v>9386</v>
      </c>
      <c r="N14" s="88" t="s">
        <v>9397</v>
      </c>
      <c r="O14" s="88" t="s">
        <v>9388</v>
      </c>
      <c r="P14" s="88" t="s">
        <v>9359</v>
      </c>
      <c r="Q14" s="88" t="s">
        <v>9359</v>
      </c>
      <c r="R14" s="90" t="n">
        <v>1</v>
      </c>
      <c r="S14" s="90" t="n">
        <v>2</v>
      </c>
      <c r="T14" s="90" t="n">
        <v>3</v>
      </c>
      <c r="U14" s="90" t="n">
        <v>1</v>
      </c>
      <c r="V14" s="90" t="n">
        <v>2</v>
      </c>
      <c r="W14" s="90" t="n">
        <v>3</v>
      </c>
      <c r="X14" s="88" t="s">
        <v>9398</v>
      </c>
      <c r="Y14" s="88" t="s">
        <v>9361</v>
      </c>
      <c r="Z14" s="88" t="s">
        <v>9391</v>
      </c>
      <c r="AA14" s="88" t="s">
        <v>9376</v>
      </c>
      <c r="AB14" s="88"/>
      <c r="AC14" s="90" t="n">
        <v>4</v>
      </c>
      <c r="AD14" s="90" t="n">
        <v>5</v>
      </c>
    </row>
    <row r="15" customFormat="false" ht="33" hidden="false" customHeight="true" outlineLevel="0" collapsed="false">
      <c r="A15" s="88" t="n">
        <v>14</v>
      </c>
      <c r="B15" s="89" t="n">
        <v>21</v>
      </c>
      <c r="C15" s="88" t="s">
        <v>9332</v>
      </c>
      <c r="D15" s="88" t="s">
        <v>437</v>
      </c>
      <c r="E15" s="88" t="s">
        <v>437</v>
      </c>
      <c r="F15" s="88" t="s">
        <v>9333</v>
      </c>
      <c r="G15" s="88" t="s">
        <v>9334</v>
      </c>
      <c r="H15" s="88" t="s">
        <v>9367</v>
      </c>
      <c r="I15" s="88" t="s">
        <v>9428</v>
      </c>
      <c r="J15" s="88" t="s">
        <v>9432</v>
      </c>
      <c r="K15" s="88" t="s">
        <v>9338</v>
      </c>
      <c r="L15" s="88" t="s">
        <v>9339</v>
      </c>
      <c r="M15" s="88" t="s">
        <v>9376</v>
      </c>
      <c r="N15" s="88" t="s">
        <v>9433</v>
      </c>
      <c r="O15" s="88" t="s">
        <v>9388</v>
      </c>
      <c r="P15" s="88" t="s">
        <v>9343</v>
      </c>
      <c r="Q15" s="88" t="s">
        <v>9359</v>
      </c>
      <c r="R15" s="90" t="n">
        <v>3</v>
      </c>
      <c r="S15" s="90" t="n">
        <v>2</v>
      </c>
      <c r="T15" s="90" t="n">
        <v>1</v>
      </c>
      <c r="U15" s="90" t="n">
        <v>2</v>
      </c>
      <c r="V15" s="90" t="n">
        <v>3</v>
      </c>
      <c r="W15" s="90" t="n">
        <v>1</v>
      </c>
      <c r="X15" s="88" t="s">
        <v>9411</v>
      </c>
      <c r="Y15" s="88" t="s">
        <v>9381</v>
      </c>
      <c r="Z15" s="88" t="s">
        <v>9382</v>
      </c>
      <c r="AA15" s="88" t="s">
        <v>9348</v>
      </c>
      <c r="AB15" s="88" t="s">
        <v>9434</v>
      </c>
      <c r="AC15" s="90" t="n">
        <v>4</v>
      </c>
      <c r="AD15" s="90" t="n">
        <v>4</v>
      </c>
    </row>
    <row r="16" customFormat="false" ht="33" hidden="false" customHeight="true" outlineLevel="0" collapsed="false">
      <c r="A16" s="88" t="n">
        <v>15</v>
      </c>
      <c r="B16" s="89" t="n">
        <v>25</v>
      </c>
      <c r="C16" s="88" t="s">
        <v>9332</v>
      </c>
      <c r="D16" s="88" t="s">
        <v>437</v>
      </c>
      <c r="E16" s="88" t="s">
        <v>9435</v>
      </c>
      <c r="F16" s="88" t="s">
        <v>9392</v>
      </c>
      <c r="G16" s="88" t="s">
        <v>9366</v>
      </c>
      <c r="H16" s="88" t="s">
        <v>9367</v>
      </c>
      <c r="I16" s="88" t="s">
        <v>9336</v>
      </c>
      <c r="J16" s="88" t="s">
        <v>9420</v>
      </c>
      <c r="K16" s="88" t="s">
        <v>9355</v>
      </c>
      <c r="L16" s="88" t="s">
        <v>9436</v>
      </c>
      <c r="M16" s="88" t="s">
        <v>9340</v>
      </c>
      <c r="N16" s="88" t="s">
        <v>9437</v>
      </c>
      <c r="O16" s="88" t="s">
        <v>9388</v>
      </c>
      <c r="P16" s="88" t="s">
        <v>9372</v>
      </c>
      <c r="Q16" s="88" t="s">
        <v>9344</v>
      </c>
      <c r="R16" s="90" t="n">
        <v>3</v>
      </c>
      <c r="S16" s="90" t="n">
        <v>2</v>
      </c>
      <c r="T16" s="90" t="n">
        <v>1</v>
      </c>
      <c r="U16" s="90" t="n">
        <v>3</v>
      </c>
      <c r="V16" s="90" t="n">
        <v>1</v>
      </c>
      <c r="W16" s="90" t="n">
        <v>2</v>
      </c>
      <c r="X16" s="88" t="s">
        <v>9389</v>
      </c>
      <c r="Y16" s="88" t="s">
        <v>9381</v>
      </c>
      <c r="Z16" s="88" t="s">
        <v>9391</v>
      </c>
      <c r="AA16" s="88" t="s">
        <v>9348</v>
      </c>
      <c r="AB16" s="88" t="s">
        <v>9423</v>
      </c>
      <c r="AC16" s="90" t="n">
        <v>4</v>
      </c>
      <c r="AD16" s="90" t="n">
        <v>5</v>
      </c>
    </row>
    <row r="17" customFormat="false" ht="33" hidden="false" customHeight="true" outlineLevel="0" collapsed="false">
      <c r="A17" s="88" t="n">
        <v>16</v>
      </c>
      <c r="B17" s="89" t="n">
        <v>24</v>
      </c>
      <c r="C17" s="88" t="s">
        <v>9332</v>
      </c>
      <c r="D17" s="88" t="s">
        <v>437</v>
      </c>
      <c r="E17" s="88" t="s">
        <v>50</v>
      </c>
      <c r="F17" s="88" t="s">
        <v>9333</v>
      </c>
      <c r="G17" s="88" t="s">
        <v>9407</v>
      </c>
      <c r="H17" s="88" t="s">
        <v>9335</v>
      </c>
      <c r="I17" s="88" t="s">
        <v>9438</v>
      </c>
      <c r="J17" s="88" t="s">
        <v>9439</v>
      </c>
      <c r="K17" s="88" t="s">
        <v>9338</v>
      </c>
      <c r="L17" s="88" t="s">
        <v>9370</v>
      </c>
      <c r="M17" s="88" t="s">
        <v>9348</v>
      </c>
      <c r="N17" s="88" t="s">
        <v>9440</v>
      </c>
      <c r="O17" s="88" t="s">
        <v>9388</v>
      </c>
      <c r="P17" s="88" t="s">
        <v>9372</v>
      </c>
      <c r="Q17" s="88" t="s">
        <v>9344</v>
      </c>
      <c r="R17" s="90" t="n">
        <v>1</v>
      </c>
      <c r="S17" s="90" t="n">
        <v>2</v>
      </c>
      <c r="T17" s="90" t="n">
        <v>3</v>
      </c>
      <c r="U17" s="90" t="n">
        <v>1</v>
      </c>
      <c r="V17" s="90" t="n">
        <v>2</v>
      </c>
      <c r="W17" s="90" t="n">
        <v>3</v>
      </c>
      <c r="X17" s="88" t="s">
        <v>9398</v>
      </c>
      <c r="Y17" s="88" t="s">
        <v>9361</v>
      </c>
      <c r="Z17" s="88" t="s">
        <v>9391</v>
      </c>
      <c r="AA17" s="88" t="s">
        <v>9363</v>
      </c>
      <c r="AB17" s="88" t="s">
        <v>9413</v>
      </c>
      <c r="AC17" s="90" t="n">
        <v>5</v>
      </c>
      <c r="AD17" s="90" t="n">
        <v>5</v>
      </c>
    </row>
    <row r="18" customFormat="false" ht="33" hidden="false" customHeight="true" outlineLevel="0" collapsed="false">
      <c r="A18" s="88" t="n">
        <v>17</v>
      </c>
      <c r="B18" s="89" t="n">
        <v>27</v>
      </c>
      <c r="C18" s="88" t="s">
        <v>9332</v>
      </c>
      <c r="D18" s="88" t="s">
        <v>437</v>
      </c>
      <c r="E18" s="88" t="s">
        <v>437</v>
      </c>
      <c r="F18" s="88" t="s">
        <v>9392</v>
      </c>
      <c r="G18" s="88" t="s">
        <v>9414</v>
      </c>
      <c r="H18" s="88" t="s">
        <v>9367</v>
      </c>
      <c r="I18" s="88" t="s">
        <v>9428</v>
      </c>
      <c r="J18" s="88" t="s">
        <v>9402</v>
      </c>
      <c r="K18" s="88" t="s">
        <v>9338</v>
      </c>
      <c r="L18" s="88" t="s">
        <v>9403</v>
      </c>
      <c r="M18" s="88" t="s">
        <v>9340</v>
      </c>
      <c r="N18" s="88" t="s">
        <v>9441</v>
      </c>
      <c r="O18" s="88" t="s">
        <v>9342</v>
      </c>
      <c r="P18" s="88" t="s">
        <v>9343</v>
      </c>
      <c r="Q18" s="88" t="s">
        <v>9359</v>
      </c>
      <c r="R18" s="90" t="n">
        <v>2</v>
      </c>
      <c r="S18" s="90" t="n">
        <v>1</v>
      </c>
      <c r="T18" s="90" t="n">
        <v>3</v>
      </c>
      <c r="U18" s="90" t="n">
        <v>2</v>
      </c>
      <c r="V18" s="90" t="n">
        <v>1</v>
      </c>
      <c r="W18" s="90" t="n">
        <v>3</v>
      </c>
      <c r="X18" s="88" t="s">
        <v>9422</v>
      </c>
      <c r="Y18" s="88" t="s">
        <v>9390</v>
      </c>
      <c r="Z18" s="88" t="s">
        <v>9391</v>
      </c>
      <c r="AA18" s="88" t="s">
        <v>9363</v>
      </c>
      <c r="AB18" s="88" t="s">
        <v>9442</v>
      </c>
      <c r="AC18" s="90" t="n">
        <v>3</v>
      </c>
      <c r="AD18" s="90" t="n">
        <v>3</v>
      </c>
    </row>
    <row r="19" customFormat="false" ht="33" hidden="false" customHeight="true" outlineLevel="0" collapsed="false">
      <c r="A19" s="88" t="n">
        <v>18</v>
      </c>
      <c r="B19" s="89" t="n">
        <v>24</v>
      </c>
      <c r="C19" s="88" t="s">
        <v>9332</v>
      </c>
      <c r="D19" s="88" t="s">
        <v>437</v>
      </c>
      <c r="E19" s="88" t="s">
        <v>47</v>
      </c>
      <c r="F19" s="88" t="s">
        <v>9365</v>
      </c>
      <c r="G19" s="88" t="s">
        <v>9366</v>
      </c>
      <c r="H19" s="88" t="s">
        <v>9335</v>
      </c>
      <c r="I19" s="88" t="s">
        <v>9336</v>
      </c>
      <c r="J19" s="88" t="s">
        <v>9420</v>
      </c>
      <c r="K19" s="88" t="s">
        <v>9338</v>
      </c>
      <c r="L19" s="88" t="s">
        <v>9370</v>
      </c>
      <c r="M19" s="88" t="s">
        <v>9340</v>
      </c>
      <c r="N19" s="88" t="s">
        <v>9404</v>
      </c>
      <c r="O19" s="88" t="s">
        <v>9342</v>
      </c>
      <c r="P19" s="88" t="s">
        <v>9359</v>
      </c>
      <c r="Q19" s="88" t="s">
        <v>9359</v>
      </c>
      <c r="R19" s="90" t="n">
        <v>1</v>
      </c>
      <c r="S19" s="90" t="n">
        <v>3</v>
      </c>
      <c r="T19" s="90" t="n">
        <v>2</v>
      </c>
      <c r="U19" s="90" t="n">
        <v>2</v>
      </c>
      <c r="V19" s="90" t="n">
        <v>3</v>
      </c>
      <c r="W19" s="90" t="n">
        <v>1</v>
      </c>
      <c r="X19" s="88" t="s">
        <v>9443</v>
      </c>
      <c r="Y19" s="88" t="s">
        <v>9381</v>
      </c>
      <c r="Z19" s="88" t="s">
        <v>9362</v>
      </c>
      <c r="AA19" s="88" t="s">
        <v>9348</v>
      </c>
      <c r="AB19" s="88" t="s">
        <v>9434</v>
      </c>
      <c r="AC19" s="90" t="n">
        <v>4</v>
      </c>
      <c r="AD19" s="90" t="n">
        <v>4</v>
      </c>
    </row>
    <row r="20" customFormat="false" ht="33" hidden="false" customHeight="true" outlineLevel="0" collapsed="false">
      <c r="A20" s="88" t="n">
        <v>19</v>
      </c>
      <c r="B20" s="89" t="n">
        <v>23</v>
      </c>
      <c r="C20" s="88" t="s">
        <v>9332</v>
      </c>
      <c r="D20" s="88" t="s">
        <v>437</v>
      </c>
      <c r="E20" s="88" t="s">
        <v>437</v>
      </c>
      <c r="F20" s="88" t="s">
        <v>9333</v>
      </c>
      <c r="G20" s="88" t="s">
        <v>9407</v>
      </c>
      <c r="H20" s="88" t="s">
        <v>9335</v>
      </c>
      <c r="I20" s="88" t="s">
        <v>9353</v>
      </c>
      <c r="J20" s="88" t="s">
        <v>9402</v>
      </c>
      <c r="K20" s="88" t="s">
        <v>9355</v>
      </c>
      <c r="L20" s="88" t="s">
        <v>9444</v>
      </c>
      <c r="M20" s="88" t="s">
        <v>9376</v>
      </c>
      <c r="N20" s="88" t="s">
        <v>9445</v>
      </c>
      <c r="O20" s="88" t="s">
        <v>9342</v>
      </c>
      <c r="P20" s="88" t="s">
        <v>9359</v>
      </c>
      <c r="Q20" s="88" t="s">
        <v>9359</v>
      </c>
      <c r="R20" s="90" t="n">
        <v>1</v>
      </c>
      <c r="S20" s="90" t="n">
        <v>3</v>
      </c>
      <c r="T20" s="90" t="n">
        <v>2</v>
      </c>
      <c r="U20" s="90" t="n">
        <v>1</v>
      </c>
      <c r="V20" s="90" t="n">
        <v>2</v>
      </c>
      <c r="W20" s="90" t="n">
        <v>3</v>
      </c>
      <c r="X20" s="88" t="s">
        <v>9446</v>
      </c>
      <c r="Y20" s="88" t="s">
        <v>9381</v>
      </c>
      <c r="Z20" s="88" t="s">
        <v>9447</v>
      </c>
      <c r="AA20" s="88" t="s">
        <v>9376</v>
      </c>
      <c r="AB20" s="88"/>
      <c r="AC20" s="90" t="n">
        <v>3</v>
      </c>
      <c r="AD20" s="90" t="n">
        <v>4</v>
      </c>
    </row>
    <row r="21" customFormat="false" ht="33" hidden="false" customHeight="true" outlineLevel="0" collapsed="false">
      <c r="A21" s="88" t="n">
        <v>20</v>
      </c>
      <c r="B21" s="89" t="n">
        <v>23</v>
      </c>
      <c r="C21" s="88" t="s">
        <v>9350</v>
      </c>
      <c r="D21" s="88" t="s">
        <v>437</v>
      </c>
      <c r="E21" s="88" t="s">
        <v>437</v>
      </c>
      <c r="F21" s="88" t="s">
        <v>9365</v>
      </c>
      <c r="G21" s="88" t="s">
        <v>9351</v>
      </c>
      <c r="H21" s="88" t="s">
        <v>9367</v>
      </c>
      <c r="I21" s="88" t="s">
        <v>9368</v>
      </c>
      <c r="J21" s="88" t="s">
        <v>9448</v>
      </c>
      <c r="K21" s="88" t="s">
        <v>9429</v>
      </c>
      <c r="L21" s="88" t="s">
        <v>9449</v>
      </c>
      <c r="M21" s="88" t="s">
        <v>9386</v>
      </c>
      <c r="N21" s="88" t="s">
        <v>9450</v>
      </c>
      <c r="O21" s="88" t="s">
        <v>9342</v>
      </c>
      <c r="P21" s="88" t="s">
        <v>9451</v>
      </c>
      <c r="Q21" s="88" t="s">
        <v>9451</v>
      </c>
      <c r="R21" s="90" t="n">
        <v>2</v>
      </c>
      <c r="S21" s="90" t="n">
        <v>1</v>
      </c>
      <c r="T21" s="90" t="n">
        <v>3</v>
      </c>
      <c r="U21" s="90" t="n">
        <v>2</v>
      </c>
      <c r="V21" s="90" t="n">
        <v>3</v>
      </c>
      <c r="W21" s="90" t="n">
        <v>1</v>
      </c>
      <c r="X21" s="88" t="s">
        <v>9452</v>
      </c>
      <c r="Y21" s="88" t="s">
        <v>9390</v>
      </c>
      <c r="Z21" s="88" t="s">
        <v>9447</v>
      </c>
      <c r="AA21" s="88" t="s">
        <v>9348</v>
      </c>
      <c r="AB21" s="88" t="s">
        <v>9453</v>
      </c>
      <c r="AC21" s="90" t="n">
        <v>3</v>
      </c>
      <c r="AD21" s="90" t="n">
        <v>3</v>
      </c>
    </row>
    <row r="22" customFormat="false" ht="33" hidden="false" customHeight="true" outlineLevel="0" collapsed="false">
      <c r="A22" s="88" t="n">
        <v>21</v>
      </c>
      <c r="B22" s="89" t="n">
        <v>21</v>
      </c>
      <c r="C22" s="88" t="s">
        <v>9332</v>
      </c>
      <c r="D22" s="88" t="s">
        <v>437</v>
      </c>
      <c r="E22" s="88" t="s">
        <v>437</v>
      </c>
      <c r="F22" s="88" t="s">
        <v>9392</v>
      </c>
      <c r="G22" s="88" t="s">
        <v>9351</v>
      </c>
      <c r="H22" s="88" t="s">
        <v>9367</v>
      </c>
      <c r="I22" s="88" t="s">
        <v>9368</v>
      </c>
      <c r="J22" s="88" t="s">
        <v>9402</v>
      </c>
      <c r="K22" s="88" t="s">
        <v>9338</v>
      </c>
      <c r="L22" s="88" t="s">
        <v>9454</v>
      </c>
      <c r="M22" s="88" t="s">
        <v>9340</v>
      </c>
      <c r="N22" s="88" t="s">
        <v>9455</v>
      </c>
      <c r="O22" s="88" t="s">
        <v>9342</v>
      </c>
      <c r="P22" s="88" t="s">
        <v>9359</v>
      </c>
      <c r="Q22" s="88" t="s">
        <v>9359</v>
      </c>
      <c r="R22" s="90" t="n">
        <v>3</v>
      </c>
      <c r="S22" s="90" t="n">
        <v>1</v>
      </c>
      <c r="T22" s="90" t="n">
        <v>2</v>
      </c>
      <c r="U22" s="90" t="n">
        <v>3</v>
      </c>
      <c r="V22" s="90" t="n">
        <v>1</v>
      </c>
      <c r="W22" s="90" t="n">
        <v>2</v>
      </c>
      <c r="X22" s="88" t="s">
        <v>9418</v>
      </c>
      <c r="Y22" s="88" t="s">
        <v>9390</v>
      </c>
      <c r="Z22" s="88" t="s">
        <v>9347</v>
      </c>
      <c r="AA22" s="88" t="s">
        <v>9348</v>
      </c>
      <c r="AB22" s="88" t="s">
        <v>9456</v>
      </c>
      <c r="AC22" s="90" t="n">
        <v>4</v>
      </c>
      <c r="AD22" s="90" t="n">
        <v>4</v>
      </c>
    </row>
    <row r="23" customFormat="false" ht="33" hidden="false" customHeight="true" outlineLevel="0" collapsed="false">
      <c r="A23" s="88" t="n">
        <v>22</v>
      </c>
      <c r="B23" s="89" t="n">
        <v>20</v>
      </c>
      <c r="C23" s="88" t="s">
        <v>9332</v>
      </c>
      <c r="D23" s="88" t="s">
        <v>437</v>
      </c>
      <c r="E23" s="88" t="s">
        <v>437</v>
      </c>
      <c r="F23" s="88" t="s">
        <v>9392</v>
      </c>
      <c r="G23" s="88" t="s">
        <v>9334</v>
      </c>
      <c r="H23" s="88" t="s">
        <v>9384</v>
      </c>
      <c r="I23" s="88" t="s">
        <v>9353</v>
      </c>
      <c r="J23" s="88" t="s">
        <v>9337</v>
      </c>
      <c r="K23" s="88" t="s">
        <v>9338</v>
      </c>
      <c r="L23" s="88" t="s">
        <v>9457</v>
      </c>
      <c r="M23" s="88" t="s">
        <v>9340</v>
      </c>
      <c r="N23" s="88" t="s">
        <v>9341</v>
      </c>
      <c r="O23" s="88" t="s">
        <v>9388</v>
      </c>
      <c r="P23" s="88" t="s">
        <v>9372</v>
      </c>
      <c r="Q23" s="88" t="s">
        <v>9344</v>
      </c>
      <c r="R23" s="90" t="n">
        <v>1</v>
      </c>
      <c r="S23" s="90" t="n">
        <v>2</v>
      </c>
      <c r="T23" s="90" t="n">
        <v>3</v>
      </c>
      <c r="U23" s="90" t="n">
        <v>2</v>
      </c>
      <c r="V23" s="90" t="n">
        <v>1</v>
      </c>
      <c r="W23" s="90" t="n">
        <v>3</v>
      </c>
      <c r="X23" s="88" t="s">
        <v>9398</v>
      </c>
      <c r="Y23" s="88" t="s">
        <v>9374</v>
      </c>
      <c r="Z23" s="88" t="s">
        <v>9426</v>
      </c>
      <c r="AA23" s="88" t="s">
        <v>9363</v>
      </c>
      <c r="AB23" s="88" t="s">
        <v>9458</v>
      </c>
      <c r="AC23" s="90" t="n">
        <v>4</v>
      </c>
      <c r="AD23" s="90" t="n">
        <v>3</v>
      </c>
    </row>
    <row r="24" customFormat="false" ht="33" hidden="false" customHeight="true" outlineLevel="0" collapsed="false">
      <c r="A24" s="88" t="n">
        <v>23</v>
      </c>
      <c r="B24" s="89" t="n">
        <v>20</v>
      </c>
      <c r="C24" s="88" t="s">
        <v>9332</v>
      </c>
      <c r="D24" s="88" t="s">
        <v>437</v>
      </c>
      <c r="E24" s="88" t="s">
        <v>437</v>
      </c>
      <c r="F24" s="88" t="s">
        <v>9392</v>
      </c>
      <c r="G24" s="88" t="s">
        <v>9407</v>
      </c>
      <c r="H24" s="88" t="s">
        <v>9377</v>
      </c>
      <c r="I24" s="88" t="s">
        <v>9368</v>
      </c>
      <c r="J24" s="88" t="s">
        <v>9402</v>
      </c>
      <c r="K24" s="88" t="s">
        <v>9338</v>
      </c>
      <c r="L24" s="88" t="s">
        <v>9370</v>
      </c>
      <c r="M24" s="88" t="s">
        <v>9340</v>
      </c>
      <c r="N24" s="88" t="s">
        <v>9459</v>
      </c>
      <c r="O24" s="88" t="s">
        <v>9342</v>
      </c>
      <c r="P24" s="88" t="s">
        <v>9343</v>
      </c>
      <c r="Q24" s="88" t="s">
        <v>9344</v>
      </c>
      <c r="R24" s="90" t="n">
        <v>1</v>
      </c>
      <c r="S24" s="90" t="n">
        <v>2</v>
      </c>
      <c r="T24" s="90" t="n">
        <v>3</v>
      </c>
      <c r="U24" s="90" t="n">
        <v>2</v>
      </c>
      <c r="V24" s="90" t="n">
        <v>1</v>
      </c>
      <c r="W24" s="90" t="n">
        <v>3</v>
      </c>
      <c r="X24" s="88" t="s">
        <v>9418</v>
      </c>
      <c r="Y24" s="88" t="s">
        <v>9361</v>
      </c>
      <c r="Z24" s="88" t="s">
        <v>9391</v>
      </c>
      <c r="AA24" s="88" t="s">
        <v>9363</v>
      </c>
      <c r="AB24" s="88" t="s">
        <v>9399</v>
      </c>
      <c r="AC24" s="90" t="n">
        <v>4</v>
      </c>
      <c r="AD24" s="90" t="n">
        <v>4</v>
      </c>
    </row>
    <row r="25" customFormat="false" ht="33" hidden="false" customHeight="true" outlineLevel="0" collapsed="false">
      <c r="A25" s="88" t="n">
        <v>24</v>
      </c>
      <c r="B25" s="89" t="n">
        <v>18</v>
      </c>
      <c r="C25" s="88" t="s">
        <v>9332</v>
      </c>
      <c r="D25" s="88" t="s">
        <v>437</v>
      </c>
      <c r="E25" s="88" t="s">
        <v>437</v>
      </c>
      <c r="F25" s="88" t="s">
        <v>9365</v>
      </c>
      <c r="G25" s="88" t="s">
        <v>9366</v>
      </c>
      <c r="H25" s="88" t="s">
        <v>9367</v>
      </c>
      <c r="I25" s="88" t="s">
        <v>9428</v>
      </c>
      <c r="J25" s="88" t="s">
        <v>9460</v>
      </c>
      <c r="K25" s="88" t="s">
        <v>9338</v>
      </c>
      <c r="L25" s="88" t="s">
        <v>9461</v>
      </c>
      <c r="M25" s="88" t="s">
        <v>9376</v>
      </c>
      <c r="N25" s="88" t="s">
        <v>9462</v>
      </c>
      <c r="O25" s="88" t="s">
        <v>9358</v>
      </c>
      <c r="P25" s="88" t="s">
        <v>9372</v>
      </c>
      <c r="Q25" s="88" t="s">
        <v>9410</v>
      </c>
      <c r="R25" s="90" t="n">
        <v>1</v>
      </c>
      <c r="S25" s="90" t="n">
        <v>2</v>
      </c>
      <c r="T25" s="90" t="n">
        <v>3</v>
      </c>
      <c r="U25" s="90" t="n">
        <v>2</v>
      </c>
      <c r="V25" s="90" t="n">
        <v>1</v>
      </c>
      <c r="W25" s="90" t="n">
        <v>3</v>
      </c>
      <c r="X25" s="88" t="s">
        <v>9411</v>
      </c>
      <c r="Y25" s="88" t="s">
        <v>9374</v>
      </c>
      <c r="Z25" s="88" t="s">
        <v>9347</v>
      </c>
      <c r="AA25" s="88" t="s">
        <v>9348</v>
      </c>
      <c r="AB25" s="88" t="s">
        <v>9456</v>
      </c>
      <c r="AC25" s="90" t="n">
        <v>5</v>
      </c>
      <c r="AD25" s="90" t="n">
        <v>5</v>
      </c>
    </row>
    <row r="26" customFormat="false" ht="33" hidden="false" customHeight="true" outlineLevel="0" collapsed="false">
      <c r="A26" s="88" t="n">
        <v>25</v>
      </c>
      <c r="B26" s="89" t="n">
        <v>20</v>
      </c>
      <c r="C26" s="88" t="s">
        <v>9332</v>
      </c>
      <c r="D26" s="88" t="s">
        <v>437</v>
      </c>
      <c r="E26" s="88" t="s">
        <v>437</v>
      </c>
      <c r="F26" s="88" t="s">
        <v>9333</v>
      </c>
      <c r="G26" s="88" t="s">
        <v>9366</v>
      </c>
      <c r="H26" s="88" t="s">
        <v>9384</v>
      </c>
      <c r="I26" s="88" t="s">
        <v>9431</v>
      </c>
      <c r="J26" s="88" t="s">
        <v>9463</v>
      </c>
      <c r="K26" s="88" t="s">
        <v>9395</v>
      </c>
      <c r="L26" s="88" t="s">
        <v>9370</v>
      </c>
      <c r="M26" s="88" t="s">
        <v>9340</v>
      </c>
      <c r="N26" s="88" t="s">
        <v>9397</v>
      </c>
      <c r="O26" s="88" t="s">
        <v>9388</v>
      </c>
      <c r="P26" s="88" t="s">
        <v>9417</v>
      </c>
      <c r="Q26" s="88" t="s">
        <v>9464</v>
      </c>
      <c r="R26" s="90" t="n">
        <v>1</v>
      </c>
      <c r="S26" s="90" t="n">
        <v>2</v>
      </c>
      <c r="T26" s="90" t="n">
        <v>3</v>
      </c>
      <c r="U26" s="90" t="n">
        <v>1</v>
      </c>
      <c r="V26" s="90" t="n">
        <v>2</v>
      </c>
      <c r="W26" s="90" t="n">
        <v>3</v>
      </c>
      <c r="X26" s="88" t="s">
        <v>9418</v>
      </c>
      <c r="Y26" s="88" t="s">
        <v>9361</v>
      </c>
      <c r="Z26" s="88" t="s">
        <v>9362</v>
      </c>
      <c r="AA26" s="88" t="s">
        <v>9348</v>
      </c>
      <c r="AB26" s="88" t="s">
        <v>9413</v>
      </c>
      <c r="AC26" s="90" t="n">
        <v>1</v>
      </c>
      <c r="AD26" s="90" t="n">
        <v>5</v>
      </c>
    </row>
    <row r="27" customFormat="false" ht="33" hidden="false" customHeight="true" outlineLevel="0" collapsed="false">
      <c r="A27" s="88" t="n">
        <v>26</v>
      </c>
      <c r="B27" s="89" t="n">
        <v>53</v>
      </c>
      <c r="C27" s="88" t="s">
        <v>9332</v>
      </c>
      <c r="D27" s="88" t="s">
        <v>437</v>
      </c>
      <c r="E27" s="88" t="s">
        <v>437</v>
      </c>
      <c r="F27" s="88" t="s">
        <v>9365</v>
      </c>
      <c r="G27" s="88" t="s">
        <v>9414</v>
      </c>
      <c r="H27" s="88" t="s">
        <v>9377</v>
      </c>
      <c r="I27" s="88" t="s">
        <v>9368</v>
      </c>
      <c r="J27" s="88" t="s">
        <v>9385</v>
      </c>
      <c r="K27" s="88" t="s">
        <v>9338</v>
      </c>
      <c r="L27" s="88" t="s">
        <v>9465</v>
      </c>
      <c r="M27" s="88" t="s">
        <v>9340</v>
      </c>
      <c r="N27" s="88" t="s">
        <v>9466</v>
      </c>
      <c r="O27" s="88" t="s">
        <v>9342</v>
      </c>
      <c r="P27" s="88" t="s">
        <v>9359</v>
      </c>
      <c r="Q27" s="88" t="s">
        <v>9359</v>
      </c>
      <c r="R27" s="90" t="n">
        <v>2</v>
      </c>
      <c r="S27" s="90" t="n">
        <v>1</v>
      </c>
      <c r="T27" s="90" t="n">
        <v>3</v>
      </c>
      <c r="U27" s="90" t="n">
        <v>2</v>
      </c>
      <c r="V27" s="90" t="n">
        <v>1</v>
      </c>
      <c r="W27" s="90" t="n">
        <v>3</v>
      </c>
      <c r="X27" s="88" t="s">
        <v>9422</v>
      </c>
      <c r="Y27" s="88" t="s">
        <v>9381</v>
      </c>
      <c r="Z27" s="88" t="s">
        <v>9405</v>
      </c>
      <c r="AA27" s="88" t="s">
        <v>9348</v>
      </c>
      <c r="AB27" s="88" t="s">
        <v>9413</v>
      </c>
      <c r="AC27" s="90" t="n">
        <v>3</v>
      </c>
      <c r="AD27" s="90" t="n">
        <v>4</v>
      </c>
    </row>
    <row r="28" customFormat="false" ht="33" hidden="false" customHeight="true" outlineLevel="0" collapsed="false">
      <c r="A28" s="88" t="n">
        <v>27</v>
      </c>
      <c r="B28" s="89" t="n">
        <v>23</v>
      </c>
      <c r="C28" s="88" t="s">
        <v>9467</v>
      </c>
      <c r="D28" s="88" t="s">
        <v>9468</v>
      </c>
      <c r="E28" s="88" t="s">
        <v>9469</v>
      </c>
      <c r="F28" s="88" t="s">
        <v>9333</v>
      </c>
      <c r="G28" s="88" t="s">
        <v>9470</v>
      </c>
      <c r="H28" s="88" t="s">
        <v>9401</v>
      </c>
      <c r="I28" s="88" t="s">
        <v>9368</v>
      </c>
      <c r="J28" s="88" t="s">
        <v>9385</v>
      </c>
      <c r="K28" s="88" t="s">
        <v>9429</v>
      </c>
      <c r="L28" s="88" t="s">
        <v>9370</v>
      </c>
      <c r="M28" s="88" t="s">
        <v>9471</v>
      </c>
      <c r="N28" s="88" t="s">
        <v>9472</v>
      </c>
      <c r="O28" s="88" t="s">
        <v>9473</v>
      </c>
      <c r="P28" s="88" t="s">
        <v>9343</v>
      </c>
      <c r="Q28" s="88" t="s">
        <v>9344</v>
      </c>
      <c r="R28" s="90" t="n">
        <v>1</v>
      </c>
      <c r="S28" s="90" t="n">
        <v>2</v>
      </c>
      <c r="T28" s="90" t="n">
        <v>3</v>
      </c>
      <c r="U28" s="90" t="n">
        <v>1</v>
      </c>
      <c r="V28" s="90" t="n">
        <v>2</v>
      </c>
      <c r="W28" s="90" t="n">
        <v>3</v>
      </c>
      <c r="X28" s="88" t="s">
        <v>9474</v>
      </c>
      <c r="Y28" s="88" t="s">
        <v>9361</v>
      </c>
      <c r="Z28" s="88" t="s">
        <v>9391</v>
      </c>
      <c r="AA28" s="88" t="s">
        <v>9348</v>
      </c>
      <c r="AB28" s="88" t="s">
        <v>9475</v>
      </c>
      <c r="AC28" s="90" t="n">
        <v>5</v>
      </c>
      <c r="AD28" s="90" t="n">
        <v>5</v>
      </c>
    </row>
    <row r="29" customFormat="false" ht="33" hidden="false" customHeight="true" outlineLevel="0" collapsed="false">
      <c r="A29" s="88" t="n">
        <v>28</v>
      </c>
      <c r="B29" s="89" t="n">
        <v>19</v>
      </c>
      <c r="C29" s="88" t="s">
        <v>9332</v>
      </c>
      <c r="D29" s="88" t="s">
        <v>437</v>
      </c>
      <c r="E29" s="88" t="s">
        <v>437</v>
      </c>
      <c r="F29" s="88" t="s">
        <v>9365</v>
      </c>
      <c r="G29" s="88" t="s">
        <v>9407</v>
      </c>
      <c r="H29" s="88" t="s">
        <v>9367</v>
      </c>
      <c r="I29" s="88" t="s">
        <v>9353</v>
      </c>
      <c r="J29" s="88" t="s">
        <v>9354</v>
      </c>
      <c r="K29" s="88" t="s">
        <v>9338</v>
      </c>
      <c r="L29" s="88" t="s">
        <v>9476</v>
      </c>
      <c r="M29" s="88" t="s">
        <v>9376</v>
      </c>
      <c r="N29" s="88" t="s">
        <v>9397</v>
      </c>
      <c r="O29" s="88" t="s">
        <v>9342</v>
      </c>
      <c r="P29" s="88" t="s">
        <v>9359</v>
      </c>
      <c r="Q29" s="88" t="s">
        <v>9359</v>
      </c>
      <c r="R29" s="90" t="n">
        <v>2</v>
      </c>
      <c r="S29" s="90" t="n">
        <v>1</v>
      </c>
      <c r="T29" s="90" t="n">
        <v>3</v>
      </c>
      <c r="U29" s="90" t="n">
        <v>2</v>
      </c>
      <c r="V29" s="90" t="n">
        <v>1</v>
      </c>
      <c r="W29" s="90" t="n">
        <v>3</v>
      </c>
      <c r="X29" s="88" t="s">
        <v>9422</v>
      </c>
      <c r="Y29" s="88" t="s">
        <v>9390</v>
      </c>
      <c r="Z29" s="88" t="s">
        <v>9391</v>
      </c>
      <c r="AA29" s="88" t="s">
        <v>9348</v>
      </c>
      <c r="AB29" s="88" t="s">
        <v>9364</v>
      </c>
      <c r="AC29" s="90" t="n">
        <v>4</v>
      </c>
      <c r="AD29" s="90" t="n">
        <v>3</v>
      </c>
    </row>
    <row r="30" customFormat="false" ht="33" hidden="false" customHeight="true" outlineLevel="0" collapsed="false">
      <c r="A30" s="88" t="n">
        <v>29</v>
      </c>
      <c r="B30" s="89" t="n">
        <v>23</v>
      </c>
      <c r="C30" s="88" t="s">
        <v>9332</v>
      </c>
      <c r="D30" s="88" t="s">
        <v>437</v>
      </c>
      <c r="E30" s="88" t="s">
        <v>437</v>
      </c>
      <c r="F30" s="88" t="s">
        <v>9333</v>
      </c>
      <c r="G30" s="88" t="s">
        <v>9351</v>
      </c>
      <c r="H30" s="88" t="s">
        <v>9401</v>
      </c>
      <c r="I30" s="88" t="s">
        <v>9401</v>
      </c>
      <c r="J30" s="88" t="s">
        <v>9420</v>
      </c>
      <c r="K30" s="88" t="s">
        <v>9395</v>
      </c>
      <c r="L30" s="88" t="s">
        <v>9477</v>
      </c>
      <c r="M30" s="88" t="s">
        <v>9386</v>
      </c>
      <c r="N30" s="88" t="s">
        <v>9478</v>
      </c>
      <c r="O30" s="88" t="s">
        <v>9342</v>
      </c>
      <c r="P30" s="88" t="s">
        <v>9372</v>
      </c>
      <c r="Q30" s="88" t="s">
        <v>9464</v>
      </c>
      <c r="R30" s="90" t="n">
        <v>1</v>
      </c>
      <c r="S30" s="90" t="n">
        <v>2</v>
      </c>
      <c r="T30" s="90" t="n">
        <v>3</v>
      </c>
      <c r="U30" s="90" t="n">
        <v>2</v>
      </c>
      <c r="V30" s="90" t="n">
        <v>1</v>
      </c>
      <c r="W30" s="90" t="n">
        <v>3</v>
      </c>
      <c r="X30" s="88" t="s">
        <v>9418</v>
      </c>
      <c r="Y30" s="88" t="s">
        <v>9374</v>
      </c>
      <c r="Z30" s="88" t="s">
        <v>9391</v>
      </c>
      <c r="AA30" s="88" t="s">
        <v>9348</v>
      </c>
      <c r="AB30" s="88" t="s">
        <v>9458</v>
      </c>
      <c r="AC30" s="90" t="n">
        <v>3</v>
      </c>
      <c r="AD30" s="90" t="n">
        <v>3</v>
      </c>
    </row>
    <row r="31" customFormat="false" ht="33" hidden="false" customHeight="true" outlineLevel="0" collapsed="false">
      <c r="A31" s="88" t="n">
        <v>30</v>
      </c>
      <c r="B31" s="89" t="n">
        <v>22</v>
      </c>
      <c r="C31" s="88" t="s">
        <v>9332</v>
      </c>
      <c r="D31" s="88" t="s">
        <v>437</v>
      </c>
      <c r="E31" s="88" t="s">
        <v>437</v>
      </c>
      <c r="F31" s="88" t="s">
        <v>9365</v>
      </c>
      <c r="G31" s="88" t="s">
        <v>9414</v>
      </c>
      <c r="H31" s="88" t="s">
        <v>9384</v>
      </c>
      <c r="I31" s="88" t="s">
        <v>9428</v>
      </c>
      <c r="J31" s="88" t="s">
        <v>9479</v>
      </c>
      <c r="K31" s="88" t="s">
        <v>9355</v>
      </c>
      <c r="L31" s="88" t="s">
        <v>9480</v>
      </c>
      <c r="M31" s="88" t="s">
        <v>9340</v>
      </c>
      <c r="N31" s="88" t="s">
        <v>9481</v>
      </c>
      <c r="O31" s="88" t="s">
        <v>9342</v>
      </c>
      <c r="P31" s="88" t="s">
        <v>9343</v>
      </c>
      <c r="Q31" s="88" t="s">
        <v>9344</v>
      </c>
      <c r="R31" s="90" t="n">
        <v>3</v>
      </c>
      <c r="S31" s="90" t="n">
        <v>2</v>
      </c>
      <c r="T31" s="90" t="n">
        <v>1</v>
      </c>
      <c r="U31" s="90" t="n">
        <v>1</v>
      </c>
      <c r="V31" s="90" t="n">
        <v>2</v>
      </c>
      <c r="W31" s="90" t="n">
        <v>3</v>
      </c>
      <c r="X31" s="88" t="s">
        <v>9452</v>
      </c>
      <c r="Y31" s="88" t="s">
        <v>9381</v>
      </c>
      <c r="Z31" s="88" t="s">
        <v>9362</v>
      </c>
      <c r="AA31" s="88" t="s">
        <v>9363</v>
      </c>
      <c r="AB31" s="88" t="s">
        <v>9475</v>
      </c>
      <c r="AC31" s="90" t="n">
        <v>4</v>
      </c>
      <c r="AD31" s="90" t="n">
        <v>4</v>
      </c>
    </row>
    <row r="32" customFormat="false" ht="33" hidden="false" customHeight="true" outlineLevel="0" collapsed="false">
      <c r="A32" s="88" t="n">
        <v>31</v>
      </c>
      <c r="B32" s="89" t="n">
        <v>19</v>
      </c>
      <c r="C32" s="88" t="s">
        <v>9332</v>
      </c>
      <c r="D32" s="88" t="s">
        <v>437</v>
      </c>
      <c r="E32" s="88" t="s">
        <v>437</v>
      </c>
      <c r="F32" s="88" t="s">
        <v>9365</v>
      </c>
      <c r="G32" s="88" t="s">
        <v>9414</v>
      </c>
      <c r="H32" s="88" t="s">
        <v>9367</v>
      </c>
      <c r="I32" s="88" t="s">
        <v>9368</v>
      </c>
      <c r="J32" s="88" t="s">
        <v>9460</v>
      </c>
      <c r="K32" s="88" t="s">
        <v>9338</v>
      </c>
      <c r="L32" s="88" t="s">
        <v>9482</v>
      </c>
      <c r="M32" s="88" t="s">
        <v>9340</v>
      </c>
      <c r="N32" s="88" t="s">
        <v>9483</v>
      </c>
      <c r="O32" s="88" t="s">
        <v>9342</v>
      </c>
      <c r="P32" s="88" t="s">
        <v>9359</v>
      </c>
      <c r="Q32" s="88" t="s">
        <v>9359</v>
      </c>
      <c r="R32" s="90" t="n">
        <v>3</v>
      </c>
      <c r="S32" s="90" t="n">
        <v>2</v>
      </c>
      <c r="T32" s="90" t="n">
        <v>1</v>
      </c>
      <c r="U32" s="90" t="n">
        <v>3</v>
      </c>
      <c r="V32" s="90" t="n">
        <v>1</v>
      </c>
      <c r="W32" s="90" t="n">
        <v>2</v>
      </c>
      <c r="X32" s="88" t="s">
        <v>9398</v>
      </c>
      <c r="Y32" s="88" t="s">
        <v>9374</v>
      </c>
      <c r="Z32" s="88" t="s">
        <v>9405</v>
      </c>
      <c r="AA32" s="88" t="s">
        <v>9348</v>
      </c>
      <c r="AB32" s="88" t="s">
        <v>9413</v>
      </c>
      <c r="AC32" s="90" t="n">
        <v>4</v>
      </c>
      <c r="AD32" s="90" t="n">
        <v>4</v>
      </c>
    </row>
    <row r="33" customFormat="false" ht="33" hidden="false" customHeight="true" outlineLevel="0" collapsed="false">
      <c r="A33" s="88" t="n">
        <v>32</v>
      </c>
      <c r="B33" s="89" t="n">
        <v>26</v>
      </c>
      <c r="C33" s="88" t="s">
        <v>9332</v>
      </c>
      <c r="D33" s="88" t="s">
        <v>437</v>
      </c>
      <c r="E33" s="88" t="s">
        <v>437</v>
      </c>
      <c r="F33" s="88" t="s">
        <v>9365</v>
      </c>
      <c r="G33" s="88" t="s">
        <v>9407</v>
      </c>
      <c r="H33" s="88" t="s">
        <v>9401</v>
      </c>
      <c r="I33" s="88" t="s">
        <v>9336</v>
      </c>
      <c r="J33" s="88" t="s">
        <v>9337</v>
      </c>
      <c r="K33" s="88" t="s">
        <v>9338</v>
      </c>
      <c r="L33" s="88" t="s">
        <v>9477</v>
      </c>
      <c r="M33" s="88" t="s">
        <v>9376</v>
      </c>
      <c r="N33" s="88" t="s">
        <v>9478</v>
      </c>
      <c r="O33" s="88" t="s">
        <v>9342</v>
      </c>
      <c r="P33" s="88" t="s">
        <v>9372</v>
      </c>
      <c r="Q33" s="88" t="s">
        <v>9344</v>
      </c>
      <c r="R33" s="90" t="n">
        <v>1</v>
      </c>
      <c r="S33" s="90" t="n">
        <v>2</v>
      </c>
      <c r="T33" s="90" t="n">
        <v>3</v>
      </c>
      <c r="U33" s="90" t="n">
        <v>2</v>
      </c>
      <c r="V33" s="90" t="n">
        <v>1</v>
      </c>
      <c r="W33" s="90" t="n">
        <v>3</v>
      </c>
      <c r="X33" s="88" t="s">
        <v>9484</v>
      </c>
      <c r="Y33" s="88" t="s">
        <v>9374</v>
      </c>
      <c r="Z33" s="88" t="s">
        <v>9391</v>
      </c>
      <c r="AA33" s="88" t="s">
        <v>9376</v>
      </c>
      <c r="AB33" s="88"/>
      <c r="AC33" s="90" t="n">
        <v>4</v>
      </c>
      <c r="AD33" s="90" t="n">
        <v>4</v>
      </c>
    </row>
    <row r="34" customFormat="false" ht="33" hidden="false" customHeight="true" outlineLevel="0" collapsed="false">
      <c r="A34" s="88" t="n">
        <v>33</v>
      </c>
      <c r="B34" s="89" t="n">
        <v>79</v>
      </c>
      <c r="C34" s="88" t="s">
        <v>9332</v>
      </c>
      <c r="D34" s="88" t="s">
        <v>437</v>
      </c>
      <c r="E34" s="88" t="s">
        <v>437</v>
      </c>
      <c r="F34" s="88" t="s">
        <v>9485</v>
      </c>
      <c r="G34" s="88" t="s">
        <v>9334</v>
      </c>
      <c r="H34" s="88" t="s">
        <v>9401</v>
      </c>
      <c r="I34" s="88" t="s">
        <v>9401</v>
      </c>
      <c r="J34" s="88" t="s">
        <v>9486</v>
      </c>
      <c r="K34" s="88" t="s">
        <v>9395</v>
      </c>
      <c r="L34" s="88" t="s">
        <v>9487</v>
      </c>
      <c r="M34" s="88" t="s">
        <v>9340</v>
      </c>
      <c r="N34" s="88" t="s">
        <v>9488</v>
      </c>
      <c r="O34" s="88" t="s">
        <v>9388</v>
      </c>
      <c r="P34" s="88" t="s">
        <v>9417</v>
      </c>
      <c r="Q34" s="88" t="s">
        <v>9344</v>
      </c>
      <c r="R34" s="90" t="n">
        <v>3</v>
      </c>
      <c r="S34" s="90" t="n">
        <v>2</v>
      </c>
      <c r="T34" s="90" t="n">
        <v>1</v>
      </c>
      <c r="U34" s="90" t="n">
        <v>3</v>
      </c>
      <c r="V34" s="90" t="n">
        <v>2</v>
      </c>
      <c r="W34" s="90" t="n">
        <v>1</v>
      </c>
      <c r="X34" s="88" t="s">
        <v>9345</v>
      </c>
      <c r="Y34" s="88" t="s">
        <v>9390</v>
      </c>
      <c r="Z34" s="88" t="s">
        <v>9362</v>
      </c>
      <c r="AA34" s="88" t="s">
        <v>9363</v>
      </c>
      <c r="AB34" s="88" t="s">
        <v>9489</v>
      </c>
      <c r="AC34" s="90" t="n">
        <v>1</v>
      </c>
      <c r="AD34" s="90" t="n">
        <v>5</v>
      </c>
    </row>
    <row r="35" customFormat="false" ht="33" hidden="false" customHeight="true" outlineLevel="0" collapsed="false">
      <c r="A35" s="88" t="n">
        <v>34</v>
      </c>
      <c r="B35" s="89" t="n">
        <v>21</v>
      </c>
      <c r="C35" s="88" t="s">
        <v>9332</v>
      </c>
      <c r="D35" s="88" t="s">
        <v>437</v>
      </c>
      <c r="E35" s="88" t="s">
        <v>437</v>
      </c>
      <c r="F35" s="88" t="s">
        <v>9333</v>
      </c>
      <c r="G35" s="88" t="s">
        <v>9414</v>
      </c>
      <c r="H35" s="88" t="s">
        <v>9335</v>
      </c>
      <c r="I35" s="88" t="s">
        <v>9336</v>
      </c>
      <c r="J35" s="88" t="s">
        <v>9460</v>
      </c>
      <c r="K35" s="88" t="s">
        <v>9338</v>
      </c>
      <c r="L35" s="88" t="s">
        <v>9339</v>
      </c>
      <c r="M35" s="88" t="s">
        <v>9340</v>
      </c>
      <c r="N35" s="88" t="s">
        <v>9490</v>
      </c>
      <c r="O35" s="88" t="s">
        <v>9388</v>
      </c>
      <c r="P35" s="88" t="s">
        <v>9359</v>
      </c>
      <c r="Q35" s="88" t="s">
        <v>9344</v>
      </c>
      <c r="R35" s="90" t="n">
        <v>3</v>
      </c>
      <c r="S35" s="90" t="n">
        <v>1</v>
      </c>
      <c r="T35" s="90" t="n">
        <v>2</v>
      </c>
      <c r="U35" s="90" t="n">
        <v>2</v>
      </c>
      <c r="V35" s="90" t="n">
        <v>1</v>
      </c>
      <c r="W35" s="90" t="n">
        <v>3</v>
      </c>
      <c r="X35" s="88" t="s">
        <v>9430</v>
      </c>
      <c r="Y35" s="88" t="s">
        <v>9346</v>
      </c>
      <c r="Z35" s="88" t="s">
        <v>9412</v>
      </c>
      <c r="AA35" s="88" t="s">
        <v>9363</v>
      </c>
      <c r="AB35" s="88" t="s">
        <v>9491</v>
      </c>
      <c r="AC35" s="90" t="n">
        <v>3</v>
      </c>
      <c r="AD35" s="90" t="n">
        <v>3</v>
      </c>
    </row>
    <row r="36" customFormat="false" ht="33" hidden="false" customHeight="true" outlineLevel="0" collapsed="false">
      <c r="A36" s="88" t="n">
        <v>35</v>
      </c>
      <c r="B36" s="89" t="n">
        <v>26</v>
      </c>
      <c r="C36" s="88" t="s">
        <v>9350</v>
      </c>
      <c r="D36" s="88" t="s">
        <v>437</v>
      </c>
      <c r="E36" s="88" t="s">
        <v>437</v>
      </c>
      <c r="F36" s="88" t="s">
        <v>9333</v>
      </c>
      <c r="G36" s="88" t="s">
        <v>9414</v>
      </c>
      <c r="H36" s="88" t="s">
        <v>9377</v>
      </c>
      <c r="I36" s="88" t="s">
        <v>9428</v>
      </c>
      <c r="J36" s="88" t="s">
        <v>9337</v>
      </c>
      <c r="K36" s="88" t="s">
        <v>9355</v>
      </c>
      <c r="L36" s="88" t="s">
        <v>9492</v>
      </c>
      <c r="M36" s="88" t="s">
        <v>9340</v>
      </c>
      <c r="N36" s="88" t="s">
        <v>9397</v>
      </c>
      <c r="O36" s="88" t="s">
        <v>9358</v>
      </c>
      <c r="P36" s="88" t="s">
        <v>9359</v>
      </c>
      <c r="Q36" s="88" t="s">
        <v>9359</v>
      </c>
      <c r="R36" s="90" t="n">
        <v>2</v>
      </c>
      <c r="S36" s="90" t="n">
        <v>1</v>
      </c>
      <c r="T36" s="90" t="n">
        <v>3</v>
      </c>
      <c r="U36" s="90" t="n">
        <v>1</v>
      </c>
      <c r="V36" s="90" t="n">
        <v>2</v>
      </c>
      <c r="W36" s="90" t="n">
        <v>3</v>
      </c>
      <c r="X36" s="88" t="s">
        <v>9493</v>
      </c>
      <c r="Y36" s="88" t="s">
        <v>9361</v>
      </c>
      <c r="Z36" s="88" t="s">
        <v>9426</v>
      </c>
      <c r="AA36" s="88" t="s">
        <v>9363</v>
      </c>
      <c r="AB36" s="88" t="s">
        <v>9494</v>
      </c>
      <c r="AC36" s="90" t="n">
        <v>3</v>
      </c>
      <c r="AD36" s="90" t="n">
        <v>3</v>
      </c>
    </row>
    <row r="37" customFormat="false" ht="33" hidden="false" customHeight="true" outlineLevel="0" collapsed="false">
      <c r="A37" s="88" t="n">
        <v>36</v>
      </c>
      <c r="B37" s="89" t="n">
        <v>85</v>
      </c>
      <c r="C37" s="88" t="s">
        <v>9350</v>
      </c>
      <c r="D37" s="88" t="s">
        <v>437</v>
      </c>
      <c r="E37" s="88" t="s">
        <v>437</v>
      </c>
      <c r="F37" s="88" t="s">
        <v>9485</v>
      </c>
      <c r="G37" s="88" t="s">
        <v>9351</v>
      </c>
      <c r="H37" s="88" t="s">
        <v>9401</v>
      </c>
      <c r="I37" s="88" t="s">
        <v>9401</v>
      </c>
      <c r="J37" s="88" t="s">
        <v>9439</v>
      </c>
      <c r="K37" s="88" t="s">
        <v>9429</v>
      </c>
      <c r="L37" s="88" t="s">
        <v>9370</v>
      </c>
      <c r="M37" s="88" t="s">
        <v>9340</v>
      </c>
      <c r="N37" s="88" t="s">
        <v>9495</v>
      </c>
      <c r="O37" s="88" t="s">
        <v>9358</v>
      </c>
      <c r="P37" s="88" t="s">
        <v>9343</v>
      </c>
      <c r="Q37" s="88" t="s">
        <v>9464</v>
      </c>
      <c r="R37" s="90" t="n">
        <v>2</v>
      </c>
      <c r="S37" s="90" t="n">
        <v>1</v>
      </c>
      <c r="T37" s="90" t="n">
        <v>3</v>
      </c>
      <c r="U37" s="90" t="n">
        <v>2</v>
      </c>
      <c r="V37" s="90" t="n">
        <v>1</v>
      </c>
      <c r="W37" s="90" t="n">
        <v>3</v>
      </c>
      <c r="X37" s="88" t="s">
        <v>9345</v>
      </c>
      <c r="Y37" s="88" t="s">
        <v>9390</v>
      </c>
      <c r="Z37" s="88" t="s">
        <v>9426</v>
      </c>
      <c r="AA37" s="88" t="s">
        <v>9363</v>
      </c>
      <c r="AB37" s="88" t="s">
        <v>9489</v>
      </c>
      <c r="AC37" s="90" t="n">
        <v>2</v>
      </c>
      <c r="AD37" s="90" t="n">
        <v>4</v>
      </c>
    </row>
    <row r="38" customFormat="false" ht="33" hidden="false" customHeight="true" outlineLevel="0" collapsed="false">
      <c r="A38" s="88" t="n">
        <v>37</v>
      </c>
      <c r="B38" s="89" t="n">
        <v>24</v>
      </c>
      <c r="C38" s="88" t="s">
        <v>9332</v>
      </c>
      <c r="D38" s="88" t="s">
        <v>437</v>
      </c>
      <c r="E38" s="88" t="s">
        <v>437</v>
      </c>
      <c r="F38" s="88" t="s">
        <v>9496</v>
      </c>
      <c r="G38" s="88" t="s">
        <v>9366</v>
      </c>
      <c r="H38" s="88" t="s">
        <v>9384</v>
      </c>
      <c r="I38" s="88" t="s">
        <v>9353</v>
      </c>
      <c r="J38" s="88" t="s">
        <v>9460</v>
      </c>
      <c r="K38" s="88" t="s">
        <v>9355</v>
      </c>
      <c r="L38" s="88" t="s">
        <v>9454</v>
      </c>
      <c r="M38" s="88" t="s">
        <v>9386</v>
      </c>
      <c r="N38" s="88" t="s">
        <v>9497</v>
      </c>
      <c r="O38" s="88" t="s">
        <v>9473</v>
      </c>
      <c r="P38" s="88" t="s">
        <v>9359</v>
      </c>
      <c r="Q38" s="88" t="s">
        <v>9359</v>
      </c>
      <c r="R38" s="90" t="n">
        <v>1</v>
      </c>
      <c r="S38" s="90" t="n">
        <v>3</v>
      </c>
      <c r="T38" s="90" t="n">
        <v>2</v>
      </c>
      <c r="U38" s="90" t="n">
        <v>1</v>
      </c>
      <c r="V38" s="90" t="n">
        <v>3</v>
      </c>
      <c r="W38" s="90" t="n">
        <v>2</v>
      </c>
      <c r="X38" s="88" t="s">
        <v>9484</v>
      </c>
      <c r="Y38" s="88" t="s">
        <v>9346</v>
      </c>
      <c r="Z38" s="88" t="s">
        <v>9391</v>
      </c>
      <c r="AA38" s="88" t="s">
        <v>9348</v>
      </c>
      <c r="AB38" s="88" t="s">
        <v>9498</v>
      </c>
      <c r="AC38" s="90" t="n">
        <v>2</v>
      </c>
      <c r="AD38" s="90" t="n">
        <v>3</v>
      </c>
    </row>
    <row r="39" customFormat="false" ht="33" hidden="false" customHeight="true" outlineLevel="0" collapsed="false">
      <c r="A39" s="88" t="n">
        <v>38</v>
      </c>
      <c r="B39" s="89" t="n">
        <v>19</v>
      </c>
      <c r="C39" s="88" t="s">
        <v>9332</v>
      </c>
      <c r="D39" s="88" t="s">
        <v>437</v>
      </c>
      <c r="E39" s="88" t="s">
        <v>437</v>
      </c>
      <c r="F39" s="88" t="s">
        <v>9365</v>
      </c>
      <c r="G39" s="88" t="s">
        <v>9366</v>
      </c>
      <c r="H39" s="88" t="s">
        <v>9335</v>
      </c>
      <c r="I39" s="88" t="s">
        <v>9368</v>
      </c>
      <c r="J39" s="88" t="s">
        <v>9420</v>
      </c>
      <c r="K39" s="88" t="s">
        <v>9355</v>
      </c>
      <c r="L39" s="88" t="s">
        <v>9370</v>
      </c>
      <c r="M39" s="88" t="s">
        <v>9340</v>
      </c>
      <c r="N39" s="88" t="s">
        <v>9371</v>
      </c>
      <c r="O39" s="88" t="s">
        <v>9342</v>
      </c>
      <c r="P39" s="88" t="s">
        <v>9343</v>
      </c>
      <c r="Q39" s="88" t="s">
        <v>9344</v>
      </c>
      <c r="R39" s="90" t="n">
        <v>3</v>
      </c>
      <c r="S39" s="90" t="n">
        <v>1</v>
      </c>
      <c r="T39" s="90" t="n">
        <v>2</v>
      </c>
      <c r="U39" s="90" t="n">
        <v>1</v>
      </c>
      <c r="V39" s="90" t="n">
        <v>3</v>
      </c>
      <c r="W39" s="90" t="n">
        <v>2</v>
      </c>
      <c r="X39" s="88" t="s">
        <v>9345</v>
      </c>
      <c r="Y39" s="88" t="s">
        <v>9390</v>
      </c>
      <c r="Z39" s="88" t="s">
        <v>9447</v>
      </c>
      <c r="AA39" s="88" t="s">
        <v>9376</v>
      </c>
      <c r="AB39" s="88"/>
      <c r="AC39" s="90" t="n">
        <v>4</v>
      </c>
      <c r="AD39" s="90" t="n">
        <v>3</v>
      </c>
    </row>
    <row r="40" customFormat="false" ht="33" hidden="false" customHeight="true" outlineLevel="0" collapsed="false">
      <c r="A40" s="88" t="n">
        <v>39</v>
      </c>
      <c r="B40" s="89" t="n">
        <v>24</v>
      </c>
      <c r="C40" s="88" t="s">
        <v>9350</v>
      </c>
      <c r="D40" s="88" t="s">
        <v>437</v>
      </c>
      <c r="E40" s="88" t="s">
        <v>437</v>
      </c>
      <c r="F40" s="88" t="s">
        <v>9485</v>
      </c>
      <c r="G40" s="88" t="s">
        <v>9334</v>
      </c>
      <c r="H40" s="88" t="s">
        <v>9367</v>
      </c>
      <c r="I40" s="88" t="s">
        <v>9368</v>
      </c>
      <c r="J40" s="88" t="s">
        <v>9499</v>
      </c>
      <c r="K40" s="88" t="s">
        <v>9355</v>
      </c>
      <c r="L40" s="88" t="s">
        <v>9476</v>
      </c>
      <c r="M40" s="88" t="s">
        <v>9376</v>
      </c>
      <c r="N40" s="88" t="s">
        <v>9341</v>
      </c>
      <c r="O40" s="88" t="s">
        <v>9342</v>
      </c>
      <c r="P40" s="88" t="s">
        <v>9359</v>
      </c>
      <c r="Q40" s="88" t="s">
        <v>9344</v>
      </c>
      <c r="R40" s="90" t="n">
        <v>1</v>
      </c>
      <c r="S40" s="90" t="n">
        <v>3</v>
      </c>
      <c r="T40" s="90" t="n">
        <v>2</v>
      </c>
      <c r="U40" s="90" t="n">
        <v>1</v>
      </c>
      <c r="V40" s="90" t="n">
        <v>3</v>
      </c>
      <c r="W40" s="90" t="n">
        <v>2</v>
      </c>
      <c r="X40" s="88" t="s">
        <v>9430</v>
      </c>
      <c r="Y40" s="88" t="s">
        <v>9361</v>
      </c>
      <c r="Z40" s="88" t="s">
        <v>9447</v>
      </c>
      <c r="AA40" s="88" t="s">
        <v>9376</v>
      </c>
      <c r="AB40" s="88"/>
      <c r="AC40" s="90" t="n">
        <v>4</v>
      </c>
      <c r="AD40" s="90" t="n">
        <v>4</v>
      </c>
    </row>
    <row r="41" customFormat="false" ht="33" hidden="false" customHeight="true" outlineLevel="0" collapsed="false">
      <c r="A41" s="88" t="n">
        <v>40</v>
      </c>
      <c r="B41" s="89" t="n">
        <v>22</v>
      </c>
      <c r="C41" s="88" t="s">
        <v>9332</v>
      </c>
      <c r="D41" s="88" t="s">
        <v>437</v>
      </c>
      <c r="E41" s="88" t="s">
        <v>3277</v>
      </c>
      <c r="F41" s="88" t="s">
        <v>9365</v>
      </c>
      <c r="G41" s="88" t="s">
        <v>9407</v>
      </c>
      <c r="H41" s="88" t="s">
        <v>9377</v>
      </c>
      <c r="I41" s="88" t="s">
        <v>9368</v>
      </c>
      <c r="J41" s="88" t="s">
        <v>9460</v>
      </c>
      <c r="K41" s="88" t="s">
        <v>9355</v>
      </c>
      <c r="L41" s="88" t="s">
        <v>9444</v>
      </c>
      <c r="M41" s="88" t="s">
        <v>9340</v>
      </c>
      <c r="N41" s="88" t="s">
        <v>9500</v>
      </c>
      <c r="O41" s="88" t="s">
        <v>9342</v>
      </c>
      <c r="P41" s="88" t="s">
        <v>9343</v>
      </c>
      <c r="Q41" s="88" t="s">
        <v>9344</v>
      </c>
      <c r="R41" s="90" t="n">
        <v>3</v>
      </c>
      <c r="S41" s="90" t="n">
        <v>1</v>
      </c>
      <c r="T41" s="90" t="n">
        <v>2</v>
      </c>
      <c r="U41" s="90" t="n">
        <v>2</v>
      </c>
      <c r="V41" s="90" t="n">
        <v>1</v>
      </c>
      <c r="W41" s="90" t="n">
        <v>3</v>
      </c>
      <c r="X41" s="88" t="s">
        <v>9501</v>
      </c>
      <c r="Y41" s="88" t="s">
        <v>9381</v>
      </c>
      <c r="Z41" s="88" t="s">
        <v>9362</v>
      </c>
      <c r="AA41" s="88" t="s">
        <v>9348</v>
      </c>
      <c r="AB41" s="88" t="s">
        <v>9456</v>
      </c>
      <c r="AC41" s="90" t="n">
        <v>2</v>
      </c>
      <c r="AD41" s="90" t="n">
        <v>3</v>
      </c>
    </row>
    <row r="42" customFormat="false" ht="33" hidden="false" customHeight="true" outlineLevel="0" collapsed="false">
      <c r="A42" s="88" t="n">
        <v>41</v>
      </c>
      <c r="B42" s="89" t="n">
        <v>23</v>
      </c>
      <c r="C42" s="88" t="s">
        <v>9332</v>
      </c>
      <c r="D42" s="88" t="s">
        <v>437</v>
      </c>
      <c r="E42" s="88" t="s">
        <v>437</v>
      </c>
      <c r="F42" s="88" t="s">
        <v>9365</v>
      </c>
      <c r="G42" s="88" t="s">
        <v>9366</v>
      </c>
      <c r="H42" s="88" t="s">
        <v>9335</v>
      </c>
      <c r="I42" s="88" t="s">
        <v>9336</v>
      </c>
      <c r="J42" s="88" t="s">
        <v>9460</v>
      </c>
      <c r="K42" s="88" t="s">
        <v>9355</v>
      </c>
      <c r="L42" s="88" t="s">
        <v>9356</v>
      </c>
      <c r="M42" s="88" t="s">
        <v>9386</v>
      </c>
      <c r="N42" s="88" t="s">
        <v>9502</v>
      </c>
      <c r="O42" s="88" t="s">
        <v>9342</v>
      </c>
      <c r="P42" s="88" t="s">
        <v>9359</v>
      </c>
      <c r="Q42" s="88" t="s">
        <v>9359</v>
      </c>
      <c r="R42" s="90" t="n">
        <v>2</v>
      </c>
      <c r="S42" s="90" t="n">
        <v>1</v>
      </c>
      <c r="T42" s="90" t="n">
        <v>3</v>
      </c>
      <c r="U42" s="90" t="n">
        <v>2</v>
      </c>
      <c r="V42" s="90" t="n">
        <v>1</v>
      </c>
      <c r="W42" s="90" t="n">
        <v>3</v>
      </c>
      <c r="X42" s="88" t="s">
        <v>9398</v>
      </c>
      <c r="Y42" s="88" t="s">
        <v>9374</v>
      </c>
      <c r="Z42" s="88" t="s">
        <v>9391</v>
      </c>
      <c r="AA42" s="88" t="s">
        <v>9363</v>
      </c>
      <c r="AB42" s="88" t="s">
        <v>9458</v>
      </c>
      <c r="AC42" s="90" t="n">
        <v>4</v>
      </c>
      <c r="AD42" s="90" t="n">
        <v>4</v>
      </c>
    </row>
    <row r="43" customFormat="false" ht="33" hidden="false" customHeight="true" outlineLevel="0" collapsed="false">
      <c r="A43" s="88" t="n">
        <v>42</v>
      </c>
      <c r="B43" s="89" t="n">
        <v>45</v>
      </c>
      <c r="C43" s="88" t="s">
        <v>9332</v>
      </c>
      <c r="D43" s="88" t="s">
        <v>437</v>
      </c>
      <c r="E43" s="88" t="s">
        <v>437</v>
      </c>
      <c r="F43" s="88" t="s">
        <v>9333</v>
      </c>
      <c r="G43" s="88" t="s">
        <v>9351</v>
      </c>
      <c r="H43" s="88" t="s">
        <v>9384</v>
      </c>
      <c r="I43" s="88" t="s">
        <v>9503</v>
      </c>
      <c r="J43" s="88" t="s">
        <v>9424</v>
      </c>
      <c r="K43" s="88" t="s">
        <v>9338</v>
      </c>
      <c r="L43" s="88" t="s">
        <v>9356</v>
      </c>
      <c r="M43" s="88" t="s">
        <v>9340</v>
      </c>
      <c r="N43" s="88" t="s">
        <v>9387</v>
      </c>
      <c r="O43" s="88" t="s">
        <v>9358</v>
      </c>
      <c r="P43" s="88" t="s">
        <v>9359</v>
      </c>
      <c r="Q43" s="88" t="s">
        <v>9359</v>
      </c>
      <c r="R43" s="90" t="n">
        <v>1</v>
      </c>
      <c r="S43" s="90" t="n">
        <v>2</v>
      </c>
      <c r="T43" s="90" t="n">
        <v>3</v>
      </c>
      <c r="U43" s="90" t="n">
        <v>2</v>
      </c>
      <c r="V43" s="90" t="n">
        <v>1</v>
      </c>
      <c r="W43" s="90" t="n">
        <v>3</v>
      </c>
      <c r="X43" s="88" t="s">
        <v>9345</v>
      </c>
      <c r="Y43" s="88" t="s">
        <v>9361</v>
      </c>
      <c r="Z43" s="88" t="s">
        <v>9391</v>
      </c>
      <c r="AA43" s="88" t="s">
        <v>9376</v>
      </c>
      <c r="AB43" s="88"/>
      <c r="AC43" s="90" t="n">
        <v>4</v>
      </c>
      <c r="AD43" s="90" t="n">
        <v>4</v>
      </c>
    </row>
    <row r="44" customFormat="false" ht="33" hidden="false" customHeight="true" outlineLevel="0" collapsed="false">
      <c r="A44" s="88" t="n">
        <v>43</v>
      </c>
      <c r="B44" s="89" t="n">
        <v>23</v>
      </c>
      <c r="C44" s="88" t="s">
        <v>9350</v>
      </c>
      <c r="D44" s="88" t="s">
        <v>437</v>
      </c>
      <c r="E44" s="88" t="s">
        <v>437</v>
      </c>
      <c r="F44" s="88" t="s">
        <v>9333</v>
      </c>
      <c r="G44" s="88" t="s">
        <v>9366</v>
      </c>
      <c r="H44" s="88" t="s">
        <v>9377</v>
      </c>
      <c r="I44" s="88" t="s">
        <v>9336</v>
      </c>
      <c r="J44" s="88" t="s">
        <v>9408</v>
      </c>
      <c r="K44" s="88" t="s">
        <v>9338</v>
      </c>
      <c r="L44" s="88" t="s">
        <v>9504</v>
      </c>
      <c r="M44" s="88" t="s">
        <v>9376</v>
      </c>
      <c r="N44" s="88" t="s">
        <v>9404</v>
      </c>
      <c r="O44" s="88" t="s">
        <v>9342</v>
      </c>
      <c r="P44" s="88" t="s">
        <v>9359</v>
      </c>
      <c r="Q44" s="88" t="s">
        <v>9359</v>
      </c>
      <c r="R44" s="90" t="n">
        <v>3</v>
      </c>
      <c r="S44" s="90" t="n">
        <v>1</v>
      </c>
      <c r="T44" s="90" t="n">
        <v>2</v>
      </c>
      <c r="U44" s="90" t="n">
        <v>3</v>
      </c>
      <c r="V44" s="90" t="n">
        <v>1</v>
      </c>
      <c r="W44" s="90" t="n">
        <v>2</v>
      </c>
      <c r="X44" s="88" t="s">
        <v>9389</v>
      </c>
      <c r="Y44" s="88" t="s">
        <v>9390</v>
      </c>
      <c r="Z44" s="88" t="s">
        <v>9391</v>
      </c>
      <c r="AA44" s="88" t="s">
        <v>9348</v>
      </c>
      <c r="AB44" s="88" t="s">
        <v>9505</v>
      </c>
      <c r="AC44" s="90" t="n">
        <v>4</v>
      </c>
      <c r="AD44" s="90" t="n">
        <v>4</v>
      </c>
    </row>
    <row r="45" customFormat="false" ht="33" hidden="false" customHeight="true" outlineLevel="0" collapsed="false">
      <c r="A45" s="88" t="n">
        <v>44</v>
      </c>
      <c r="B45" s="89" t="n">
        <v>25</v>
      </c>
      <c r="C45" s="88" t="s">
        <v>9332</v>
      </c>
      <c r="D45" s="88" t="s">
        <v>437</v>
      </c>
      <c r="E45" s="88" t="s">
        <v>437</v>
      </c>
      <c r="F45" s="88" t="s">
        <v>9365</v>
      </c>
      <c r="G45" s="88" t="s">
        <v>9366</v>
      </c>
      <c r="H45" s="88" t="s">
        <v>9506</v>
      </c>
      <c r="I45" s="88" t="s">
        <v>9368</v>
      </c>
      <c r="J45" s="88" t="s">
        <v>9439</v>
      </c>
      <c r="K45" s="88" t="s">
        <v>9338</v>
      </c>
      <c r="L45" s="88" t="s">
        <v>9356</v>
      </c>
      <c r="M45" s="88" t="s">
        <v>9340</v>
      </c>
      <c r="N45" s="88" t="s">
        <v>9478</v>
      </c>
      <c r="O45" s="88" t="s">
        <v>9388</v>
      </c>
      <c r="P45" s="88" t="s">
        <v>9343</v>
      </c>
      <c r="Q45" s="88" t="s">
        <v>9344</v>
      </c>
      <c r="R45" s="90" t="n">
        <v>2</v>
      </c>
      <c r="S45" s="90" t="n">
        <v>1</v>
      </c>
      <c r="T45" s="90" t="n">
        <v>3</v>
      </c>
      <c r="U45" s="90" t="n">
        <v>2</v>
      </c>
      <c r="V45" s="90" t="n">
        <v>1</v>
      </c>
      <c r="W45" s="90" t="n">
        <v>3</v>
      </c>
      <c r="X45" s="88" t="s">
        <v>9507</v>
      </c>
      <c r="Y45" s="88" t="s">
        <v>9381</v>
      </c>
      <c r="Z45" s="88" t="s">
        <v>9362</v>
      </c>
      <c r="AA45" s="88" t="s">
        <v>9363</v>
      </c>
      <c r="AB45" s="88" t="s">
        <v>9423</v>
      </c>
      <c r="AC45" s="90" t="n">
        <v>4</v>
      </c>
      <c r="AD45" s="90" t="n">
        <v>5</v>
      </c>
    </row>
    <row r="46" customFormat="false" ht="33" hidden="false" customHeight="true" outlineLevel="0" collapsed="false">
      <c r="A46" s="88" t="n">
        <v>45</v>
      </c>
      <c r="B46" s="89" t="n">
        <v>32</v>
      </c>
      <c r="C46" s="88" t="s">
        <v>9508</v>
      </c>
      <c r="D46" s="88" t="s">
        <v>437</v>
      </c>
      <c r="E46" s="88" t="s">
        <v>437</v>
      </c>
      <c r="F46" s="88" t="s">
        <v>9365</v>
      </c>
      <c r="G46" s="88" t="s">
        <v>9334</v>
      </c>
      <c r="H46" s="88" t="s">
        <v>9335</v>
      </c>
      <c r="I46" s="88" t="s">
        <v>9428</v>
      </c>
      <c r="J46" s="88" t="s">
        <v>9509</v>
      </c>
      <c r="K46" s="88" t="s">
        <v>9510</v>
      </c>
      <c r="L46" s="88" t="s">
        <v>9370</v>
      </c>
      <c r="M46" s="88" t="s">
        <v>9340</v>
      </c>
      <c r="N46" s="88" t="s">
        <v>9371</v>
      </c>
      <c r="O46" s="88" t="s">
        <v>9342</v>
      </c>
      <c r="P46" s="88" t="s">
        <v>9372</v>
      </c>
      <c r="Q46" s="88" t="s">
        <v>9464</v>
      </c>
      <c r="R46" s="90" t="n">
        <v>3</v>
      </c>
      <c r="S46" s="90" t="n">
        <v>1</v>
      </c>
      <c r="T46" s="90" t="n">
        <v>2</v>
      </c>
      <c r="U46" s="90" t="n">
        <v>3</v>
      </c>
      <c r="V46" s="90" t="n">
        <v>1</v>
      </c>
      <c r="W46" s="90" t="n">
        <v>2</v>
      </c>
      <c r="X46" s="88" t="s">
        <v>9389</v>
      </c>
      <c r="Y46" s="88" t="s">
        <v>9346</v>
      </c>
      <c r="Z46" s="88" t="s">
        <v>9391</v>
      </c>
      <c r="AA46" s="88" t="s">
        <v>9348</v>
      </c>
      <c r="AB46" s="88" t="s">
        <v>9511</v>
      </c>
      <c r="AC46" s="90" t="n">
        <v>3</v>
      </c>
      <c r="AD46" s="90" t="n">
        <v>3</v>
      </c>
    </row>
    <row r="47" customFormat="false" ht="33" hidden="false" customHeight="true" outlineLevel="0" collapsed="false">
      <c r="A47" s="88" t="n">
        <v>46</v>
      </c>
      <c r="B47" s="89" t="n">
        <v>53</v>
      </c>
      <c r="C47" s="88" t="s">
        <v>9332</v>
      </c>
      <c r="D47" s="88" t="s">
        <v>9512</v>
      </c>
      <c r="E47" s="88" t="s">
        <v>9512</v>
      </c>
      <c r="F47" s="88" t="s">
        <v>9333</v>
      </c>
      <c r="G47" s="88" t="s">
        <v>9351</v>
      </c>
      <c r="H47" s="88" t="s">
        <v>9401</v>
      </c>
      <c r="I47" s="88" t="s">
        <v>9401</v>
      </c>
      <c r="J47" s="88" t="s">
        <v>9369</v>
      </c>
      <c r="K47" s="88" t="s">
        <v>9338</v>
      </c>
      <c r="L47" s="88" t="s">
        <v>9477</v>
      </c>
      <c r="M47" s="88" t="s">
        <v>9340</v>
      </c>
      <c r="N47" s="88" t="s">
        <v>9397</v>
      </c>
      <c r="O47" s="88" t="s">
        <v>9388</v>
      </c>
      <c r="P47" s="88" t="s">
        <v>9343</v>
      </c>
      <c r="Q47" s="88" t="s">
        <v>9359</v>
      </c>
      <c r="R47" s="90" t="n">
        <v>2</v>
      </c>
      <c r="S47" s="90" t="n">
        <v>1</v>
      </c>
      <c r="T47" s="90" t="n">
        <v>3</v>
      </c>
      <c r="U47" s="90" t="n">
        <v>1</v>
      </c>
      <c r="V47" s="90" t="n">
        <v>2</v>
      </c>
      <c r="W47" s="90" t="n">
        <v>3</v>
      </c>
      <c r="X47" s="88" t="s">
        <v>9418</v>
      </c>
      <c r="Y47" s="88" t="s">
        <v>9390</v>
      </c>
      <c r="Z47" s="88" t="s">
        <v>9391</v>
      </c>
      <c r="AA47" s="88" t="s">
        <v>9348</v>
      </c>
      <c r="AB47" s="88" t="s">
        <v>9513</v>
      </c>
      <c r="AC47" s="90" t="n">
        <v>5</v>
      </c>
      <c r="AD47" s="90" t="n">
        <v>3</v>
      </c>
    </row>
    <row r="48" customFormat="false" ht="33" hidden="false" customHeight="true" outlineLevel="0" collapsed="false">
      <c r="A48" s="88" t="n">
        <v>47</v>
      </c>
      <c r="B48" s="89" t="n">
        <v>26</v>
      </c>
      <c r="C48" s="88" t="s">
        <v>9332</v>
      </c>
      <c r="D48" s="88" t="s">
        <v>437</v>
      </c>
      <c r="E48" s="88" t="s">
        <v>437</v>
      </c>
      <c r="F48" s="88" t="s">
        <v>9365</v>
      </c>
      <c r="G48" s="88" t="s">
        <v>9407</v>
      </c>
      <c r="H48" s="88" t="s">
        <v>9384</v>
      </c>
      <c r="I48" s="88" t="s">
        <v>9353</v>
      </c>
      <c r="J48" s="88" t="s">
        <v>9394</v>
      </c>
      <c r="K48" s="88" t="s">
        <v>9338</v>
      </c>
      <c r="L48" s="88" t="s">
        <v>9339</v>
      </c>
      <c r="M48" s="88" t="s">
        <v>9340</v>
      </c>
      <c r="N48" s="88" t="s">
        <v>9441</v>
      </c>
      <c r="O48" s="88" t="s">
        <v>9342</v>
      </c>
      <c r="P48" s="88" t="s">
        <v>9372</v>
      </c>
      <c r="Q48" s="88" t="s">
        <v>9344</v>
      </c>
      <c r="R48" s="90" t="n">
        <v>1</v>
      </c>
      <c r="S48" s="90" t="n">
        <v>2</v>
      </c>
      <c r="T48" s="90" t="n">
        <v>3</v>
      </c>
      <c r="U48" s="90" t="n">
        <v>2</v>
      </c>
      <c r="V48" s="90" t="n">
        <v>1</v>
      </c>
      <c r="W48" s="90" t="n">
        <v>3</v>
      </c>
      <c r="X48" s="88" t="s">
        <v>9418</v>
      </c>
      <c r="Y48" s="88" t="s">
        <v>9390</v>
      </c>
      <c r="Z48" s="88" t="s">
        <v>9391</v>
      </c>
      <c r="AA48" s="88" t="s">
        <v>9348</v>
      </c>
      <c r="AB48" s="88" t="s">
        <v>9514</v>
      </c>
      <c r="AC48" s="90" t="n">
        <v>3</v>
      </c>
      <c r="AD48" s="90" t="n">
        <v>3</v>
      </c>
    </row>
    <row r="49" customFormat="false" ht="33" hidden="false" customHeight="true" outlineLevel="0" collapsed="false">
      <c r="A49" s="88" t="n">
        <v>48</v>
      </c>
      <c r="B49" s="89" t="n">
        <v>23</v>
      </c>
      <c r="C49" s="88" t="s">
        <v>9332</v>
      </c>
      <c r="D49" s="88" t="s">
        <v>437</v>
      </c>
      <c r="E49" s="88" t="s">
        <v>437</v>
      </c>
      <c r="F49" s="88" t="s">
        <v>9333</v>
      </c>
      <c r="G49" s="88" t="s">
        <v>9407</v>
      </c>
      <c r="H49" s="88" t="s">
        <v>9401</v>
      </c>
      <c r="I49" s="88" t="s">
        <v>9431</v>
      </c>
      <c r="J49" s="88" t="s">
        <v>9420</v>
      </c>
      <c r="K49" s="88" t="s">
        <v>9338</v>
      </c>
      <c r="L49" s="88" t="s">
        <v>9454</v>
      </c>
      <c r="M49" s="88" t="s">
        <v>9340</v>
      </c>
      <c r="N49" s="88" t="s">
        <v>9481</v>
      </c>
      <c r="O49" s="88" t="s">
        <v>9388</v>
      </c>
      <c r="P49" s="88" t="s">
        <v>9372</v>
      </c>
      <c r="Q49" s="88" t="s">
        <v>9344</v>
      </c>
      <c r="R49" s="90" t="n">
        <v>1</v>
      </c>
      <c r="S49" s="90" t="n">
        <v>2</v>
      </c>
      <c r="T49" s="90" t="n">
        <v>3</v>
      </c>
      <c r="U49" s="90" t="n">
        <v>1</v>
      </c>
      <c r="V49" s="90" t="n">
        <v>2</v>
      </c>
      <c r="W49" s="90" t="n">
        <v>3</v>
      </c>
      <c r="X49" s="88" t="s">
        <v>9507</v>
      </c>
      <c r="Y49" s="88" t="s">
        <v>9361</v>
      </c>
      <c r="Z49" s="88" t="s">
        <v>9362</v>
      </c>
      <c r="AA49" s="88" t="s">
        <v>9363</v>
      </c>
      <c r="AB49" s="88" t="s">
        <v>9458</v>
      </c>
      <c r="AC49" s="90" t="n">
        <v>4</v>
      </c>
      <c r="AD49" s="90" t="n">
        <v>4</v>
      </c>
    </row>
    <row r="50" customFormat="false" ht="33" hidden="false" customHeight="true" outlineLevel="0" collapsed="false">
      <c r="A50" s="88" t="n">
        <v>49</v>
      </c>
      <c r="B50" s="89" t="n">
        <v>26</v>
      </c>
      <c r="C50" s="88" t="s">
        <v>9332</v>
      </c>
      <c r="D50" s="88" t="s">
        <v>437</v>
      </c>
      <c r="E50" s="88" t="s">
        <v>437</v>
      </c>
      <c r="F50" s="88" t="s">
        <v>9333</v>
      </c>
      <c r="G50" s="88" t="s">
        <v>9407</v>
      </c>
      <c r="H50" s="88" t="s">
        <v>9377</v>
      </c>
      <c r="I50" s="88" t="s">
        <v>9401</v>
      </c>
      <c r="J50" s="88" t="s">
        <v>9402</v>
      </c>
      <c r="K50" s="88" t="s">
        <v>9355</v>
      </c>
      <c r="L50" s="88" t="s">
        <v>9370</v>
      </c>
      <c r="M50" s="88" t="s">
        <v>9340</v>
      </c>
      <c r="N50" s="88" t="s">
        <v>9404</v>
      </c>
      <c r="O50" s="88" t="s">
        <v>9358</v>
      </c>
      <c r="P50" s="88" t="s">
        <v>9359</v>
      </c>
      <c r="Q50" s="88" t="s">
        <v>9464</v>
      </c>
      <c r="R50" s="90" t="n">
        <v>2</v>
      </c>
      <c r="S50" s="90" t="n">
        <v>1</v>
      </c>
      <c r="T50" s="90" t="n">
        <v>3</v>
      </c>
      <c r="U50" s="90" t="n">
        <v>2</v>
      </c>
      <c r="V50" s="90" t="n">
        <v>1</v>
      </c>
      <c r="W50" s="90" t="n">
        <v>3</v>
      </c>
      <c r="X50" s="88" t="s">
        <v>9418</v>
      </c>
      <c r="Y50" s="88" t="s">
        <v>9390</v>
      </c>
      <c r="Z50" s="88" t="s">
        <v>9391</v>
      </c>
      <c r="AA50" s="88" t="s">
        <v>9348</v>
      </c>
      <c r="AB50" s="88" t="s">
        <v>9456</v>
      </c>
      <c r="AC50" s="90" t="n">
        <v>3</v>
      </c>
      <c r="AD50" s="90" t="n">
        <v>3</v>
      </c>
    </row>
    <row r="51" customFormat="false" ht="33" hidden="false" customHeight="true" outlineLevel="0" collapsed="false">
      <c r="A51" s="88" t="n">
        <v>50</v>
      </c>
      <c r="B51" s="89" t="n">
        <v>23</v>
      </c>
      <c r="C51" s="88" t="s">
        <v>9350</v>
      </c>
      <c r="D51" s="88" t="s">
        <v>437</v>
      </c>
      <c r="E51" s="88" t="s">
        <v>437</v>
      </c>
      <c r="F51" s="88" t="s">
        <v>9365</v>
      </c>
      <c r="G51" s="88" t="s">
        <v>9407</v>
      </c>
      <c r="H51" s="88" t="s">
        <v>9515</v>
      </c>
      <c r="I51" s="88" t="s">
        <v>9516</v>
      </c>
      <c r="J51" s="88" t="s">
        <v>9499</v>
      </c>
      <c r="K51" s="88" t="s">
        <v>9338</v>
      </c>
      <c r="L51" s="88" t="s">
        <v>9517</v>
      </c>
      <c r="M51" s="88" t="s">
        <v>9340</v>
      </c>
      <c r="N51" s="88" t="s">
        <v>9379</v>
      </c>
      <c r="O51" s="88" t="s">
        <v>9358</v>
      </c>
      <c r="P51" s="88" t="s">
        <v>9372</v>
      </c>
      <c r="Q51" s="88" t="s">
        <v>9344</v>
      </c>
      <c r="R51" s="90" t="n">
        <v>1</v>
      </c>
      <c r="S51" s="90" t="n">
        <v>2</v>
      </c>
      <c r="T51" s="90" t="n">
        <v>3</v>
      </c>
      <c r="U51" s="90" t="n">
        <v>1</v>
      </c>
      <c r="V51" s="90" t="n">
        <v>3</v>
      </c>
      <c r="W51" s="90" t="n">
        <v>2</v>
      </c>
      <c r="X51" s="88" t="s">
        <v>9430</v>
      </c>
      <c r="Y51" s="88" t="s">
        <v>9346</v>
      </c>
      <c r="Z51" s="88" t="s">
        <v>9391</v>
      </c>
      <c r="AA51" s="88" t="s">
        <v>9363</v>
      </c>
      <c r="AB51" s="88" t="s">
        <v>9423</v>
      </c>
      <c r="AC51" s="90" t="n">
        <v>3</v>
      </c>
      <c r="AD51" s="90" t="n">
        <v>4</v>
      </c>
    </row>
    <row r="52" customFormat="false" ht="33" hidden="false" customHeight="true" outlineLevel="0" collapsed="false">
      <c r="A52" s="88" t="n">
        <v>51</v>
      </c>
      <c r="B52" s="89" t="n">
        <v>21</v>
      </c>
      <c r="C52" s="88" t="s">
        <v>9350</v>
      </c>
      <c r="D52" s="88" t="s">
        <v>437</v>
      </c>
      <c r="E52" s="88" t="s">
        <v>437</v>
      </c>
      <c r="F52" s="88" t="s">
        <v>9365</v>
      </c>
      <c r="G52" s="88" t="s">
        <v>9407</v>
      </c>
      <c r="H52" s="88" t="s">
        <v>9367</v>
      </c>
      <c r="I52" s="88" t="s">
        <v>9428</v>
      </c>
      <c r="J52" s="88" t="s">
        <v>9439</v>
      </c>
      <c r="K52" s="88" t="s">
        <v>9429</v>
      </c>
      <c r="L52" s="88" t="s">
        <v>9477</v>
      </c>
      <c r="M52" s="88" t="s">
        <v>9348</v>
      </c>
      <c r="N52" s="88" t="s">
        <v>9462</v>
      </c>
      <c r="O52" s="88" t="s">
        <v>9358</v>
      </c>
      <c r="P52" s="88" t="s">
        <v>9343</v>
      </c>
      <c r="Q52" s="88" t="s">
        <v>9344</v>
      </c>
      <c r="R52" s="90" t="n">
        <v>3</v>
      </c>
      <c r="S52" s="90" t="n">
        <v>1</v>
      </c>
      <c r="T52" s="90" t="n">
        <v>2</v>
      </c>
      <c r="U52" s="90" t="n">
        <v>1</v>
      </c>
      <c r="V52" s="90" t="n">
        <v>2</v>
      </c>
      <c r="W52" s="90" t="n">
        <v>3</v>
      </c>
      <c r="X52" s="88" t="s">
        <v>9518</v>
      </c>
      <c r="Y52" s="88" t="s">
        <v>9390</v>
      </c>
      <c r="Z52" s="88" t="s">
        <v>9405</v>
      </c>
      <c r="AA52" s="88" t="s">
        <v>9519</v>
      </c>
      <c r="AB52" s="88"/>
      <c r="AC52" s="90" t="n">
        <v>4</v>
      </c>
      <c r="AD52" s="90" t="n">
        <v>4</v>
      </c>
    </row>
    <row r="53" customFormat="false" ht="33" hidden="false" customHeight="true" outlineLevel="0" collapsed="false">
      <c r="A53" s="88" t="n">
        <v>52</v>
      </c>
      <c r="B53" s="89" t="n">
        <v>23</v>
      </c>
      <c r="C53" s="88" t="s">
        <v>9332</v>
      </c>
      <c r="D53" s="88" t="s">
        <v>437</v>
      </c>
      <c r="E53" s="88" t="s">
        <v>50</v>
      </c>
      <c r="F53" s="88" t="s">
        <v>9496</v>
      </c>
      <c r="G53" s="88" t="s">
        <v>9407</v>
      </c>
      <c r="H53" s="88" t="s">
        <v>9384</v>
      </c>
      <c r="I53" s="88" t="s">
        <v>9368</v>
      </c>
      <c r="J53" s="88" t="s">
        <v>9420</v>
      </c>
      <c r="K53" s="88" t="s">
        <v>9338</v>
      </c>
      <c r="L53" s="88" t="s">
        <v>9444</v>
      </c>
      <c r="M53" s="88" t="s">
        <v>9348</v>
      </c>
      <c r="N53" s="88" t="s">
        <v>9520</v>
      </c>
      <c r="O53" s="88" t="s">
        <v>9358</v>
      </c>
      <c r="P53" s="88" t="s">
        <v>9343</v>
      </c>
      <c r="Q53" s="88" t="s">
        <v>9344</v>
      </c>
      <c r="R53" s="90" t="n">
        <v>1</v>
      </c>
      <c r="S53" s="90" t="n">
        <v>3</v>
      </c>
      <c r="T53" s="90" t="n">
        <v>2</v>
      </c>
      <c r="U53" s="90" t="n">
        <v>1</v>
      </c>
      <c r="V53" s="90" t="n">
        <v>3</v>
      </c>
      <c r="W53" s="90" t="n">
        <v>2</v>
      </c>
      <c r="X53" s="88" t="s">
        <v>9474</v>
      </c>
      <c r="Y53" s="88" t="s">
        <v>9381</v>
      </c>
      <c r="Z53" s="88" t="s">
        <v>9405</v>
      </c>
      <c r="AA53" s="88" t="s">
        <v>9376</v>
      </c>
      <c r="AB53" s="88"/>
      <c r="AC53" s="90" t="n">
        <v>5</v>
      </c>
      <c r="AD53" s="90" t="n">
        <v>5</v>
      </c>
    </row>
    <row r="54" customFormat="false" ht="33" hidden="false" customHeight="true" outlineLevel="0" collapsed="false">
      <c r="A54" s="88" t="n">
        <v>53</v>
      </c>
      <c r="B54" s="89" t="n">
        <v>23</v>
      </c>
      <c r="C54" s="88" t="s">
        <v>9332</v>
      </c>
      <c r="D54" s="88" t="s">
        <v>437</v>
      </c>
      <c r="E54" s="88" t="s">
        <v>437</v>
      </c>
      <c r="F54" s="88" t="s">
        <v>9365</v>
      </c>
      <c r="G54" s="88" t="s">
        <v>9366</v>
      </c>
      <c r="H54" s="88" t="s">
        <v>9367</v>
      </c>
      <c r="I54" s="88" t="s">
        <v>9368</v>
      </c>
      <c r="J54" s="88" t="s">
        <v>9402</v>
      </c>
      <c r="K54" s="88" t="s">
        <v>9355</v>
      </c>
      <c r="L54" s="88" t="s">
        <v>9521</v>
      </c>
      <c r="M54" s="88" t="s">
        <v>9340</v>
      </c>
      <c r="N54" s="88" t="s">
        <v>9522</v>
      </c>
      <c r="O54" s="88" t="s">
        <v>9342</v>
      </c>
      <c r="P54" s="88" t="s">
        <v>9343</v>
      </c>
      <c r="Q54" s="88" t="s">
        <v>9344</v>
      </c>
      <c r="R54" s="90" t="n">
        <v>3</v>
      </c>
      <c r="S54" s="90" t="n">
        <v>2</v>
      </c>
      <c r="T54" s="90" t="n">
        <v>1</v>
      </c>
      <c r="U54" s="90" t="n">
        <v>2</v>
      </c>
      <c r="V54" s="90" t="n">
        <v>3</v>
      </c>
      <c r="W54" s="90" t="n">
        <v>1</v>
      </c>
      <c r="X54" s="88" t="s">
        <v>9501</v>
      </c>
      <c r="Y54" s="88" t="s">
        <v>9346</v>
      </c>
      <c r="Z54" s="88" t="s">
        <v>9382</v>
      </c>
      <c r="AA54" s="88" t="s">
        <v>9348</v>
      </c>
      <c r="AB54" s="88" t="s">
        <v>9523</v>
      </c>
      <c r="AC54" s="90" t="n">
        <v>4</v>
      </c>
      <c r="AD54" s="90" t="n">
        <v>3</v>
      </c>
    </row>
    <row r="55" customFormat="false" ht="33" hidden="false" customHeight="true" outlineLevel="0" collapsed="false">
      <c r="A55" s="88" t="n">
        <v>54</v>
      </c>
      <c r="B55" s="89" t="n">
        <v>23</v>
      </c>
      <c r="C55" s="88" t="s">
        <v>9350</v>
      </c>
      <c r="D55" s="88" t="s">
        <v>437</v>
      </c>
      <c r="E55" s="88" t="s">
        <v>437</v>
      </c>
      <c r="F55" s="88" t="s">
        <v>9333</v>
      </c>
      <c r="G55" s="88" t="s">
        <v>9366</v>
      </c>
      <c r="H55" s="88" t="s">
        <v>9384</v>
      </c>
      <c r="I55" s="88" t="s">
        <v>9368</v>
      </c>
      <c r="J55" s="88" t="s">
        <v>9432</v>
      </c>
      <c r="K55" s="88" t="s">
        <v>9355</v>
      </c>
      <c r="L55" s="88" t="s">
        <v>9524</v>
      </c>
      <c r="M55" s="88" t="s">
        <v>9340</v>
      </c>
      <c r="N55" s="88" t="s">
        <v>9525</v>
      </c>
      <c r="O55" s="88" t="s">
        <v>9342</v>
      </c>
      <c r="P55" s="88" t="s">
        <v>9359</v>
      </c>
      <c r="Q55" s="88" t="s">
        <v>9344</v>
      </c>
      <c r="R55" s="90" t="n">
        <v>3</v>
      </c>
      <c r="S55" s="90" t="n">
        <v>1</v>
      </c>
      <c r="T55" s="90" t="n">
        <v>2</v>
      </c>
      <c r="U55" s="90" t="n">
        <v>3</v>
      </c>
      <c r="V55" s="90" t="n">
        <v>1</v>
      </c>
      <c r="W55" s="90" t="n">
        <v>2</v>
      </c>
      <c r="X55" s="88" t="s">
        <v>9418</v>
      </c>
      <c r="Y55" s="88" t="s">
        <v>9381</v>
      </c>
      <c r="Z55" s="88" t="s">
        <v>9391</v>
      </c>
      <c r="AA55" s="88" t="s">
        <v>9348</v>
      </c>
      <c r="AB55" s="88" t="s">
        <v>9423</v>
      </c>
      <c r="AC55" s="90" t="n">
        <v>4</v>
      </c>
      <c r="AD55" s="90" t="n">
        <v>5</v>
      </c>
    </row>
    <row r="56" customFormat="false" ht="33" hidden="false" customHeight="true" outlineLevel="0" collapsed="false">
      <c r="A56" s="88" t="n">
        <v>55</v>
      </c>
      <c r="B56" s="89" t="n">
        <v>23</v>
      </c>
      <c r="C56" s="88" t="s">
        <v>9332</v>
      </c>
      <c r="D56" s="88" t="s">
        <v>437</v>
      </c>
      <c r="E56" s="88" t="s">
        <v>437</v>
      </c>
      <c r="F56" s="88" t="s">
        <v>9333</v>
      </c>
      <c r="G56" s="88" t="s">
        <v>9351</v>
      </c>
      <c r="H56" s="88" t="s">
        <v>9401</v>
      </c>
      <c r="I56" s="88" t="s">
        <v>9401</v>
      </c>
      <c r="J56" s="88" t="s">
        <v>9420</v>
      </c>
      <c r="K56" s="88" t="s">
        <v>9338</v>
      </c>
      <c r="L56" s="88" t="s">
        <v>9370</v>
      </c>
      <c r="M56" s="88" t="s">
        <v>9376</v>
      </c>
      <c r="N56" s="88" t="s">
        <v>9397</v>
      </c>
      <c r="O56" s="88" t="s">
        <v>9358</v>
      </c>
      <c r="P56" s="88" t="s">
        <v>9359</v>
      </c>
      <c r="Q56" s="88" t="s">
        <v>9359</v>
      </c>
      <c r="R56" s="90" t="n">
        <v>2</v>
      </c>
      <c r="S56" s="90" t="n">
        <v>1</v>
      </c>
      <c r="T56" s="90" t="n">
        <v>3</v>
      </c>
      <c r="U56" s="90" t="n">
        <v>2</v>
      </c>
      <c r="V56" s="90" t="n">
        <v>1</v>
      </c>
      <c r="W56" s="90" t="n">
        <v>3</v>
      </c>
      <c r="X56" s="88" t="s">
        <v>9443</v>
      </c>
      <c r="Y56" s="88" t="s">
        <v>9390</v>
      </c>
      <c r="Z56" s="88" t="s">
        <v>9405</v>
      </c>
      <c r="AA56" s="88" t="s">
        <v>9348</v>
      </c>
      <c r="AB56" s="88" t="s">
        <v>9526</v>
      </c>
      <c r="AC56" s="90" t="n">
        <v>2</v>
      </c>
      <c r="AD56" s="90" t="n">
        <v>3</v>
      </c>
    </row>
    <row r="57" customFormat="false" ht="33" hidden="false" customHeight="true" outlineLevel="0" collapsed="false">
      <c r="A57" s="88" t="n">
        <v>56</v>
      </c>
      <c r="B57" s="89" t="n">
        <v>23</v>
      </c>
      <c r="C57" s="88" t="s">
        <v>9350</v>
      </c>
      <c r="D57" s="88" t="s">
        <v>437</v>
      </c>
      <c r="E57" s="88" t="s">
        <v>437</v>
      </c>
      <c r="F57" s="88" t="s">
        <v>9365</v>
      </c>
      <c r="G57" s="88" t="s">
        <v>9407</v>
      </c>
      <c r="H57" s="88" t="s">
        <v>9377</v>
      </c>
      <c r="I57" s="88" t="s">
        <v>9353</v>
      </c>
      <c r="J57" s="88" t="s">
        <v>9337</v>
      </c>
      <c r="K57" s="88" t="s">
        <v>9338</v>
      </c>
      <c r="L57" s="88" t="s">
        <v>9521</v>
      </c>
      <c r="M57" s="88" t="s">
        <v>9340</v>
      </c>
      <c r="N57" s="88" t="s">
        <v>9527</v>
      </c>
      <c r="O57" s="88" t="s">
        <v>9342</v>
      </c>
      <c r="P57" s="88" t="s">
        <v>9359</v>
      </c>
      <c r="Q57" s="88" t="s">
        <v>9359</v>
      </c>
      <c r="R57" s="90" t="n">
        <v>2</v>
      </c>
      <c r="S57" s="90" t="n">
        <v>3</v>
      </c>
      <c r="T57" s="90" t="n">
        <v>1</v>
      </c>
      <c r="U57" s="90" t="n">
        <v>3</v>
      </c>
      <c r="V57" s="90" t="n">
        <v>2</v>
      </c>
      <c r="W57" s="90" t="n">
        <v>1</v>
      </c>
      <c r="X57" s="88" t="s">
        <v>9418</v>
      </c>
      <c r="Y57" s="88" t="s">
        <v>9381</v>
      </c>
      <c r="Z57" s="88" t="s">
        <v>9382</v>
      </c>
      <c r="AA57" s="88" t="s">
        <v>9348</v>
      </c>
      <c r="AB57" s="88" t="s">
        <v>9528</v>
      </c>
      <c r="AC57" s="90" t="n">
        <v>4</v>
      </c>
      <c r="AD57" s="90" t="n">
        <v>5</v>
      </c>
    </row>
    <row r="58" customFormat="false" ht="33" hidden="false" customHeight="true" outlineLevel="0" collapsed="false">
      <c r="A58" s="88" t="n">
        <v>57</v>
      </c>
      <c r="B58" s="89" t="n">
        <v>23</v>
      </c>
      <c r="C58" s="88" t="s">
        <v>9350</v>
      </c>
      <c r="D58" s="88" t="s">
        <v>437</v>
      </c>
      <c r="E58" s="88" t="s">
        <v>50</v>
      </c>
      <c r="F58" s="88" t="s">
        <v>9333</v>
      </c>
      <c r="G58" s="88" t="s">
        <v>9414</v>
      </c>
      <c r="H58" s="88" t="s">
        <v>9377</v>
      </c>
      <c r="I58" s="88" t="s">
        <v>9336</v>
      </c>
      <c r="J58" s="88" t="s">
        <v>9460</v>
      </c>
      <c r="K58" s="88" t="s">
        <v>9355</v>
      </c>
      <c r="L58" s="88" t="s">
        <v>9370</v>
      </c>
      <c r="M58" s="88" t="s">
        <v>9340</v>
      </c>
      <c r="N58" s="88" t="s">
        <v>9397</v>
      </c>
      <c r="O58" s="88" t="s">
        <v>9358</v>
      </c>
      <c r="P58" s="88" t="s">
        <v>9359</v>
      </c>
      <c r="Q58" s="88" t="s">
        <v>9359</v>
      </c>
      <c r="R58" s="90" t="n">
        <v>3</v>
      </c>
      <c r="S58" s="90" t="n">
        <v>2</v>
      </c>
      <c r="T58" s="90" t="n">
        <v>1</v>
      </c>
      <c r="U58" s="90" t="n">
        <v>3</v>
      </c>
      <c r="V58" s="90" t="n">
        <v>2</v>
      </c>
      <c r="W58" s="90" t="n">
        <v>1</v>
      </c>
      <c r="X58" s="88" t="s">
        <v>9389</v>
      </c>
      <c r="Y58" s="88" t="s">
        <v>9381</v>
      </c>
      <c r="Z58" s="88" t="s">
        <v>9391</v>
      </c>
      <c r="AA58" s="88" t="s">
        <v>9348</v>
      </c>
      <c r="AB58" s="88" t="s">
        <v>9364</v>
      </c>
      <c r="AC58" s="90" t="n">
        <v>3</v>
      </c>
      <c r="AD58" s="90" t="n">
        <v>1</v>
      </c>
    </row>
    <row r="59" customFormat="false" ht="33" hidden="false" customHeight="true" outlineLevel="0" collapsed="false">
      <c r="A59" s="88" t="n">
        <v>58</v>
      </c>
      <c r="B59" s="89" t="n">
        <v>24</v>
      </c>
      <c r="C59" s="88" t="s">
        <v>9332</v>
      </c>
      <c r="D59" s="88" t="s">
        <v>437</v>
      </c>
      <c r="E59" s="88" t="s">
        <v>437</v>
      </c>
      <c r="F59" s="88" t="s">
        <v>9333</v>
      </c>
      <c r="G59" s="88" t="s">
        <v>9414</v>
      </c>
      <c r="H59" s="88" t="s">
        <v>9377</v>
      </c>
      <c r="I59" s="88" t="s">
        <v>9438</v>
      </c>
      <c r="J59" s="88" t="s">
        <v>9394</v>
      </c>
      <c r="K59" s="88" t="s">
        <v>9338</v>
      </c>
      <c r="L59" s="88" t="s">
        <v>9492</v>
      </c>
      <c r="M59" s="88" t="s">
        <v>9340</v>
      </c>
      <c r="N59" s="88" t="s">
        <v>9529</v>
      </c>
      <c r="O59" s="88" t="s">
        <v>9342</v>
      </c>
      <c r="P59" s="88" t="s">
        <v>9359</v>
      </c>
      <c r="Q59" s="88" t="s">
        <v>9359</v>
      </c>
      <c r="R59" s="90" t="n">
        <v>3</v>
      </c>
      <c r="S59" s="90" t="n">
        <v>1</v>
      </c>
      <c r="T59" s="90" t="n">
        <v>2</v>
      </c>
      <c r="U59" s="90" t="n">
        <v>2</v>
      </c>
      <c r="V59" s="90" t="n">
        <v>3</v>
      </c>
      <c r="W59" s="90" t="n">
        <v>1</v>
      </c>
      <c r="X59" s="88" t="s">
        <v>9518</v>
      </c>
      <c r="Y59" s="88" t="s">
        <v>9381</v>
      </c>
      <c r="Z59" s="88" t="s">
        <v>9382</v>
      </c>
      <c r="AA59" s="88" t="s">
        <v>9348</v>
      </c>
      <c r="AB59" s="88" t="s">
        <v>9442</v>
      </c>
      <c r="AC59" s="90" t="n">
        <v>4</v>
      </c>
      <c r="AD59" s="90" t="n">
        <v>4</v>
      </c>
    </row>
    <row r="60" customFormat="false" ht="33" hidden="false" customHeight="true" outlineLevel="0" collapsed="false">
      <c r="A60" s="88" t="n">
        <v>59</v>
      </c>
      <c r="B60" s="89" t="n">
        <v>20</v>
      </c>
      <c r="C60" s="88" t="s">
        <v>9508</v>
      </c>
      <c r="D60" s="88" t="s">
        <v>437</v>
      </c>
      <c r="E60" s="88" t="s">
        <v>160</v>
      </c>
      <c r="F60" s="88" t="s">
        <v>9400</v>
      </c>
      <c r="G60" s="88" t="s">
        <v>9366</v>
      </c>
      <c r="H60" s="88" t="s">
        <v>9377</v>
      </c>
      <c r="I60" s="88" t="s">
        <v>9336</v>
      </c>
      <c r="J60" s="88" t="s">
        <v>9385</v>
      </c>
      <c r="K60" s="88" t="s">
        <v>9338</v>
      </c>
      <c r="L60" s="88" t="s">
        <v>9454</v>
      </c>
      <c r="M60" s="88" t="s">
        <v>9340</v>
      </c>
      <c r="N60" s="88" t="s">
        <v>9481</v>
      </c>
      <c r="O60" s="88" t="s">
        <v>9473</v>
      </c>
      <c r="P60" s="88" t="s">
        <v>9359</v>
      </c>
      <c r="Q60" s="88" t="s">
        <v>9359</v>
      </c>
      <c r="R60" s="90" t="n">
        <v>3</v>
      </c>
      <c r="S60" s="90" t="n">
        <v>1</v>
      </c>
      <c r="T60" s="90" t="n">
        <v>2</v>
      </c>
      <c r="U60" s="90" t="n">
        <v>3</v>
      </c>
      <c r="V60" s="90" t="n">
        <v>1</v>
      </c>
      <c r="W60" s="90" t="n">
        <v>2</v>
      </c>
      <c r="X60" s="88" t="s">
        <v>9418</v>
      </c>
      <c r="Y60" s="88" t="s">
        <v>9390</v>
      </c>
      <c r="Z60" s="88" t="s">
        <v>9382</v>
      </c>
      <c r="AA60" s="88" t="s">
        <v>9363</v>
      </c>
      <c r="AB60" s="88" t="s">
        <v>9530</v>
      </c>
      <c r="AC60" s="90" t="n">
        <v>4</v>
      </c>
      <c r="AD60" s="90" t="n">
        <v>3</v>
      </c>
    </row>
    <row r="61" customFormat="false" ht="33" hidden="false" customHeight="true" outlineLevel="0" collapsed="false">
      <c r="A61" s="88" t="n">
        <v>60</v>
      </c>
      <c r="B61" s="89" t="n">
        <v>23</v>
      </c>
      <c r="C61" s="88" t="s">
        <v>9332</v>
      </c>
      <c r="D61" s="88" t="s">
        <v>437</v>
      </c>
      <c r="E61" s="88" t="s">
        <v>437</v>
      </c>
      <c r="F61" s="88" t="s">
        <v>9531</v>
      </c>
      <c r="G61" s="88" t="s">
        <v>9407</v>
      </c>
      <c r="H61" s="88" t="s">
        <v>9367</v>
      </c>
      <c r="I61" s="88" t="s">
        <v>9368</v>
      </c>
      <c r="J61" s="88" t="s">
        <v>9532</v>
      </c>
      <c r="K61" s="88" t="s">
        <v>9338</v>
      </c>
      <c r="L61" s="88" t="s">
        <v>9370</v>
      </c>
      <c r="M61" s="88" t="s">
        <v>9340</v>
      </c>
      <c r="N61" s="88" t="s">
        <v>9462</v>
      </c>
      <c r="O61" s="88" t="s">
        <v>9342</v>
      </c>
      <c r="P61" s="88" t="s">
        <v>9359</v>
      </c>
      <c r="Q61" s="88" t="s">
        <v>9359</v>
      </c>
      <c r="R61" s="90" t="n">
        <v>2</v>
      </c>
      <c r="S61" s="90" t="n">
        <v>1</v>
      </c>
      <c r="T61" s="90" t="n">
        <v>3</v>
      </c>
      <c r="U61" s="90" t="n">
        <v>1</v>
      </c>
      <c r="V61" s="90" t="n">
        <v>2</v>
      </c>
      <c r="W61" s="90" t="n">
        <v>3</v>
      </c>
      <c r="X61" s="88" t="s">
        <v>9398</v>
      </c>
      <c r="Y61" s="88" t="s">
        <v>9361</v>
      </c>
      <c r="Z61" s="88" t="s">
        <v>9412</v>
      </c>
      <c r="AA61" s="88" t="s">
        <v>9348</v>
      </c>
      <c r="AB61" s="88" t="s">
        <v>9442</v>
      </c>
      <c r="AC61" s="90" t="n">
        <v>4</v>
      </c>
      <c r="AD61" s="90" t="n">
        <v>4</v>
      </c>
    </row>
    <row r="62" customFormat="false" ht="33" hidden="false" customHeight="true" outlineLevel="0" collapsed="false">
      <c r="A62" s="88" t="n">
        <v>61</v>
      </c>
      <c r="B62" s="89" t="n">
        <v>23</v>
      </c>
      <c r="C62" s="88" t="s">
        <v>9332</v>
      </c>
      <c r="D62" s="88" t="s">
        <v>437</v>
      </c>
      <c r="E62" s="88" t="s">
        <v>50</v>
      </c>
      <c r="F62" s="88" t="s">
        <v>9365</v>
      </c>
      <c r="G62" s="88" t="s">
        <v>9414</v>
      </c>
      <c r="H62" s="88" t="s">
        <v>9377</v>
      </c>
      <c r="I62" s="88" t="s">
        <v>9368</v>
      </c>
      <c r="J62" s="88" t="s">
        <v>9385</v>
      </c>
      <c r="K62" s="88" t="s">
        <v>9338</v>
      </c>
      <c r="L62" s="88" t="s">
        <v>9492</v>
      </c>
      <c r="M62" s="88" t="s">
        <v>9340</v>
      </c>
      <c r="N62" s="88" t="s">
        <v>9533</v>
      </c>
      <c r="O62" s="88" t="s">
        <v>9342</v>
      </c>
      <c r="P62" s="88" t="s">
        <v>9359</v>
      </c>
      <c r="Q62" s="88" t="s">
        <v>9359</v>
      </c>
      <c r="R62" s="90" t="n">
        <v>2</v>
      </c>
      <c r="S62" s="90" t="n">
        <v>1</v>
      </c>
      <c r="T62" s="90" t="n">
        <v>3</v>
      </c>
      <c r="U62" s="90" t="n">
        <v>1</v>
      </c>
      <c r="V62" s="90" t="n">
        <v>3</v>
      </c>
      <c r="W62" s="90" t="n">
        <v>2</v>
      </c>
      <c r="X62" s="88" t="s">
        <v>9389</v>
      </c>
      <c r="Y62" s="88" t="s">
        <v>9390</v>
      </c>
      <c r="Z62" s="88" t="s">
        <v>9375</v>
      </c>
      <c r="AA62" s="88" t="s">
        <v>9348</v>
      </c>
      <c r="AB62" s="88" t="s">
        <v>9534</v>
      </c>
      <c r="AC62" s="90" t="n">
        <v>4</v>
      </c>
      <c r="AD62" s="90" t="n">
        <v>3</v>
      </c>
    </row>
    <row r="63" customFormat="false" ht="33" hidden="false" customHeight="true" outlineLevel="0" collapsed="false">
      <c r="A63" s="88" t="n">
        <v>62</v>
      </c>
      <c r="B63" s="89" t="n">
        <v>24</v>
      </c>
      <c r="C63" s="88" t="s">
        <v>9350</v>
      </c>
      <c r="D63" s="88" t="s">
        <v>437</v>
      </c>
      <c r="E63" s="88" t="s">
        <v>437</v>
      </c>
      <c r="F63" s="88" t="s">
        <v>9365</v>
      </c>
      <c r="G63" s="88" t="s">
        <v>9407</v>
      </c>
      <c r="H63" s="88" t="s">
        <v>9367</v>
      </c>
      <c r="I63" s="88" t="s">
        <v>9368</v>
      </c>
      <c r="J63" s="88" t="s">
        <v>9408</v>
      </c>
      <c r="K63" s="88" t="s">
        <v>9338</v>
      </c>
      <c r="L63" s="88" t="s">
        <v>9370</v>
      </c>
      <c r="M63" s="88" t="s">
        <v>9340</v>
      </c>
      <c r="N63" s="88" t="s">
        <v>9404</v>
      </c>
      <c r="O63" s="88" t="s">
        <v>9342</v>
      </c>
      <c r="P63" s="88" t="s">
        <v>9359</v>
      </c>
      <c r="Q63" s="88" t="s">
        <v>9359</v>
      </c>
      <c r="R63" s="90" t="n">
        <v>1</v>
      </c>
      <c r="S63" s="90" t="n">
        <v>3</v>
      </c>
      <c r="T63" s="90" t="n">
        <v>2</v>
      </c>
      <c r="U63" s="90" t="n">
        <v>3</v>
      </c>
      <c r="V63" s="90" t="n">
        <v>1</v>
      </c>
      <c r="W63" s="90" t="n">
        <v>2</v>
      </c>
      <c r="X63" s="88" t="s">
        <v>9411</v>
      </c>
      <c r="Y63" s="88" t="s">
        <v>9381</v>
      </c>
      <c r="Z63" s="88" t="s">
        <v>9447</v>
      </c>
      <c r="AA63" s="88" t="s">
        <v>9363</v>
      </c>
      <c r="AB63" s="88" t="s">
        <v>9535</v>
      </c>
      <c r="AC63" s="90" t="n">
        <v>5</v>
      </c>
      <c r="AD63" s="90" t="n">
        <v>5</v>
      </c>
    </row>
    <row r="64" customFormat="false" ht="33" hidden="false" customHeight="true" outlineLevel="0" collapsed="false">
      <c r="A64" s="88" t="n">
        <v>63</v>
      </c>
      <c r="B64" s="89" t="n">
        <v>49</v>
      </c>
      <c r="C64" s="88" t="s">
        <v>9332</v>
      </c>
      <c r="D64" s="88" t="s">
        <v>437</v>
      </c>
      <c r="E64" s="88" t="s">
        <v>437</v>
      </c>
      <c r="F64" s="88" t="s">
        <v>9333</v>
      </c>
      <c r="G64" s="88" t="s">
        <v>9414</v>
      </c>
      <c r="H64" s="88" t="s">
        <v>9377</v>
      </c>
      <c r="I64" s="88" t="s">
        <v>9336</v>
      </c>
      <c r="J64" s="88" t="s">
        <v>9378</v>
      </c>
      <c r="K64" s="88" t="s">
        <v>9338</v>
      </c>
      <c r="L64" s="88" t="s">
        <v>9536</v>
      </c>
      <c r="M64" s="88" t="s">
        <v>9340</v>
      </c>
      <c r="N64" s="88" t="s">
        <v>9502</v>
      </c>
      <c r="O64" s="88" t="s">
        <v>9388</v>
      </c>
      <c r="P64" s="88" t="s">
        <v>9372</v>
      </c>
      <c r="Q64" s="88" t="s">
        <v>9344</v>
      </c>
      <c r="R64" s="90" t="n">
        <v>1</v>
      </c>
      <c r="S64" s="90" t="n">
        <v>2</v>
      </c>
      <c r="T64" s="90" t="n">
        <v>3</v>
      </c>
      <c r="U64" s="90" t="n">
        <v>1</v>
      </c>
      <c r="V64" s="90" t="n">
        <v>2</v>
      </c>
      <c r="W64" s="90" t="n">
        <v>3</v>
      </c>
      <c r="X64" s="88" t="s">
        <v>9418</v>
      </c>
      <c r="Y64" s="88" t="s">
        <v>9390</v>
      </c>
      <c r="Z64" s="88" t="s">
        <v>9362</v>
      </c>
      <c r="AA64" s="88" t="s">
        <v>9363</v>
      </c>
      <c r="AB64" s="88" t="s">
        <v>9364</v>
      </c>
      <c r="AC64" s="90" t="n">
        <v>4</v>
      </c>
      <c r="AD64" s="90" t="n">
        <v>5</v>
      </c>
    </row>
    <row r="65" customFormat="false" ht="33" hidden="false" customHeight="true" outlineLevel="0" collapsed="false">
      <c r="A65" s="88" t="n">
        <v>64</v>
      </c>
      <c r="B65" s="89" t="n">
        <v>26</v>
      </c>
      <c r="C65" s="88" t="s">
        <v>9332</v>
      </c>
      <c r="D65" s="88" t="s">
        <v>437</v>
      </c>
      <c r="E65" s="88" t="s">
        <v>437</v>
      </c>
      <c r="F65" s="88" t="s">
        <v>9333</v>
      </c>
      <c r="G65" s="88" t="s">
        <v>9414</v>
      </c>
      <c r="H65" s="88" t="s">
        <v>9384</v>
      </c>
      <c r="I65" s="88" t="s">
        <v>9428</v>
      </c>
      <c r="J65" s="88" t="s">
        <v>9337</v>
      </c>
      <c r="K65" s="88" t="s">
        <v>9355</v>
      </c>
      <c r="L65" s="88" t="s">
        <v>9476</v>
      </c>
      <c r="M65" s="88" t="s">
        <v>9340</v>
      </c>
      <c r="N65" s="88" t="s">
        <v>9397</v>
      </c>
      <c r="O65" s="88" t="s">
        <v>9342</v>
      </c>
      <c r="P65" s="88" t="s">
        <v>9359</v>
      </c>
      <c r="Q65" s="88" t="s">
        <v>9359</v>
      </c>
      <c r="R65" s="90" t="n">
        <v>2</v>
      </c>
      <c r="S65" s="90" t="n">
        <v>1</v>
      </c>
      <c r="T65" s="90" t="n">
        <v>3</v>
      </c>
      <c r="U65" s="90" t="n">
        <v>2</v>
      </c>
      <c r="V65" s="90" t="n">
        <v>1</v>
      </c>
      <c r="W65" s="90" t="n">
        <v>3</v>
      </c>
      <c r="X65" s="88" t="s">
        <v>9418</v>
      </c>
      <c r="Y65" s="88" t="s">
        <v>9361</v>
      </c>
      <c r="Z65" s="88" t="s">
        <v>9382</v>
      </c>
      <c r="AA65" s="88" t="s">
        <v>9348</v>
      </c>
      <c r="AB65" s="88" t="s">
        <v>9399</v>
      </c>
      <c r="AC65" s="90" t="n">
        <v>5</v>
      </c>
      <c r="AD65" s="90" t="n">
        <v>5</v>
      </c>
    </row>
    <row r="66" customFormat="false" ht="33" hidden="false" customHeight="true" outlineLevel="0" collapsed="false">
      <c r="A66" s="88" t="n">
        <v>65</v>
      </c>
      <c r="B66" s="89" t="n">
        <v>23</v>
      </c>
      <c r="C66" s="88" t="s">
        <v>9332</v>
      </c>
      <c r="D66" s="88" t="s">
        <v>437</v>
      </c>
      <c r="E66" s="88" t="s">
        <v>437</v>
      </c>
      <c r="F66" s="88" t="s">
        <v>9365</v>
      </c>
      <c r="G66" s="88" t="s">
        <v>9407</v>
      </c>
      <c r="H66" s="88" t="s">
        <v>9377</v>
      </c>
      <c r="I66" s="88" t="s">
        <v>9336</v>
      </c>
      <c r="J66" s="88" t="s">
        <v>9537</v>
      </c>
      <c r="K66" s="88" t="s">
        <v>9338</v>
      </c>
      <c r="L66" s="88" t="s">
        <v>9476</v>
      </c>
      <c r="M66" s="88" t="s">
        <v>9340</v>
      </c>
      <c r="N66" s="88" t="s">
        <v>9433</v>
      </c>
      <c r="O66" s="88" t="s">
        <v>9342</v>
      </c>
      <c r="P66" s="88" t="s">
        <v>9343</v>
      </c>
      <c r="Q66" s="88" t="s">
        <v>9359</v>
      </c>
      <c r="R66" s="90" t="n">
        <v>1</v>
      </c>
      <c r="S66" s="90" t="n">
        <v>3</v>
      </c>
      <c r="T66" s="90" t="n">
        <v>2</v>
      </c>
      <c r="U66" s="90" t="n">
        <v>3</v>
      </c>
      <c r="V66" s="90" t="n">
        <v>2</v>
      </c>
      <c r="W66" s="90" t="n">
        <v>1</v>
      </c>
      <c r="X66" s="88" t="s">
        <v>9446</v>
      </c>
      <c r="Y66" s="88" t="s">
        <v>9374</v>
      </c>
      <c r="Z66" s="88" t="s">
        <v>9382</v>
      </c>
      <c r="AA66" s="88" t="s">
        <v>9348</v>
      </c>
      <c r="AB66" s="88" t="s">
        <v>9538</v>
      </c>
      <c r="AC66" s="90" t="n">
        <v>4</v>
      </c>
      <c r="AD66" s="90" t="n">
        <v>4</v>
      </c>
    </row>
    <row r="67" customFormat="false" ht="33" hidden="false" customHeight="true" outlineLevel="0" collapsed="false">
      <c r="A67" s="88" t="n">
        <v>66</v>
      </c>
      <c r="B67" s="89" t="n">
        <v>51</v>
      </c>
      <c r="C67" s="88" t="s">
        <v>9350</v>
      </c>
      <c r="D67" s="88" t="s">
        <v>437</v>
      </c>
      <c r="E67" s="88" t="s">
        <v>437</v>
      </c>
      <c r="F67" s="88" t="s">
        <v>9333</v>
      </c>
      <c r="G67" s="88" t="s">
        <v>9407</v>
      </c>
      <c r="H67" s="88" t="s">
        <v>9506</v>
      </c>
      <c r="I67" s="88" t="s">
        <v>9438</v>
      </c>
      <c r="J67" s="88" t="s">
        <v>9509</v>
      </c>
      <c r="K67" s="88" t="s">
        <v>9338</v>
      </c>
      <c r="L67" s="88" t="s">
        <v>9370</v>
      </c>
      <c r="M67" s="88" t="s">
        <v>9340</v>
      </c>
      <c r="N67" s="88" t="s">
        <v>9539</v>
      </c>
      <c r="O67" s="88" t="s">
        <v>9342</v>
      </c>
      <c r="P67" s="88" t="s">
        <v>9343</v>
      </c>
      <c r="Q67" s="88" t="s">
        <v>9359</v>
      </c>
      <c r="R67" s="90" t="n">
        <v>2</v>
      </c>
      <c r="S67" s="90" t="n">
        <v>3</v>
      </c>
      <c r="T67" s="90" t="n">
        <v>1</v>
      </c>
      <c r="U67" s="90" t="n">
        <v>3</v>
      </c>
      <c r="V67" s="90" t="n">
        <v>1</v>
      </c>
      <c r="W67" s="90" t="n">
        <v>2</v>
      </c>
      <c r="X67" s="88" t="s">
        <v>9474</v>
      </c>
      <c r="Y67" s="88" t="s">
        <v>9390</v>
      </c>
      <c r="Z67" s="88" t="s">
        <v>9405</v>
      </c>
      <c r="AA67" s="88" t="s">
        <v>9348</v>
      </c>
      <c r="AB67" s="88" t="s">
        <v>9540</v>
      </c>
      <c r="AC67" s="90" t="n">
        <v>5</v>
      </c>
      <c r="AD67" s="90" t="n">
        <v>5</v>
      </c>
    </row>
    <row r="68" customFormat="false" ht="33" hidden="false" customHeight="true" outlineLevel="0" collapsed="false">
      <c r="A68" s="88" t="n">
        <v>67</v>
      </c>
      <c r="B68" s="89" t="n">
        <v>24</v>
      </c>
      <c r="C68" s="88" t="s">
        <v>9332</v>
      </c>
      <c r="D68" s="88" t="s">
        <v>437</v>
      </c>
      <c r="E68" s="88" t="s">
        <v>47</v>
      </c>
      <c r="F68" s="88" t="s">
        <v>9333</v>
      </c>
      <c r="G68" s="88" t="s">
        <v>9407</v>
      </c>
      <c r="H68" s="88" t="s">
        <v>9393</v>
      </c>
      <c r="I68" s="88" t="s">
        <v>9368</v>
      </c>
      <c r="J68" s="88" t="s">
        <v>9378</v>
      </c>
      <c r="K68" s="88" t="s">
        <v>9355</v>
      </c>
      <c r="L68" s="88" t="s">
        <v>9403</v>
      </c>
      <c r="M68" s="88" t="s">
        <v>9340</v>
      </c>
      <c r="N68" s="88" t="s">
        <v>9481</v>
      </c>
      <c r="O68" s="88" t="s">
        <v>9358</v>
      </c>
      <c r="P68" s="88" t="s">
        <v>9372</v>
      </c>
      <c r="Q68" s="88" t="s">
        <v>9359</v>
      </c>
      <c r="R68" s="90" t="n">
        <v>3</v>
      </c>
      <c r="S68" s="90" t="n">
        <v>1</v>
      </c>
      <c r="T68" s="90" t="n">
        <v>2</v>
      </c>
      <c r="U68" s="90" t="n">
        <v>3</v>
      </c>
      <c r="V68" s="90" t="n">
        <v>1</v>
      </c>
      <c r="W68" s="90" t="n">
        <v>2</v>
      </c>
      <c r="X68" s="88" t="s">
        <v>9518</v>
      </c>
      <c r="Y68" s="88" t="s">
        <v>9390</v>
      </c>
      <c r="Z68" s="88" t="s">
        <v>9391</v>
      </c>
      <c r="AA68" s="88" t="s">
        <v>9348</v>
      </c>
      <c r="AB68" s="88" t="s">
        <v>9541</v>
      </c>
      <c r="AC68" s="90" t="n">
        <v>4</v>
      </c>
      <c r="AD68" s="90" t="n">
        <v>5</v>
      </c>
    </row>
    <row r="69" customFormat="false" ht="33" hidden="false" customHeight="true" outlineLevel="0" collapsed="false">
      <c r="A69" s="88" t="n">
        <v>68</v>
      </c>
      <c r="B69" s="89" t="n">
        <v>24</v>
      </c>
      <c r="C69" s="88" t="s">
        <v>9350</v>
      </c>
      <c r="D69" s="88" t="s">
        <v>437</v>
      </c>
      <c r="E69" s="88" t="s">
        <v>72</v>
      </c>
      <c r="F69" s="88" t="s">
        <v>9333</v>
      </c>
      <c r="G69" s="88" t="s">
        <v>9351</v>
      </c>
      <c r="H69" s="88" t="s">
        <v>9335</v>
      </c>
      <c r="I69" s="88" t="s">
        <v>9428</v>
      </c>
      <c r="J69" s="88" t="s">
        <v>9439</v>
      </c>
      <c r="K69" s="88" t="s">
        <v>9338</v>
      </c>
      <c r="L69" s="88" t="s">
        <v>9370</v>
      </c>
      <c r="M69" s="88" t="s">
        <v>9386</v>
      </c>
      <c r="N69" s="88" t="s">
        <v>9397</v>
      </c>
      <c r="O69" s="88" t="s">
        <v>9358</v>
      </c>
      <c r="P69" s="88" t="s">
        <v>9417</v>
      </c>
      <c r="Q69" s="88" t="s">
        <v>9451</v>
      </c>
      <c r="R69" s="90" t="n">
        <v>3</v>
      </c>
      <c r="S69" s="90" t="n">
        <v>1</v>
      </c>
      <c r="T69" s="90" t="n">
        <v>2</v>
      </c>
      <c r="U69" s="90" t="n">
        <v>2</v>
      </c>
      <c r="V69" s="90" t="n">
        <v>1</v>
      </c>
      <c r="W69" s="90" t="n">
        <v>3</v>
      </c>
      <c r="X69" s="88" t="s">
        <v>9542</v>
      </c>
      <c r="Y69" s="88" t="s">
        <v>9361</v>
      </c>
      <c r="Z69" s="88" t="s">
        <v>9543</v>
      </c>
      <c r="AA69" s="88" t="s">
        <v>9363</v>
      </c>
      <c r="AB69" s="88" t="s">
        <v>9544</v>
      </c>
      <c r="AC69" s="90" t="n">
        <v>3</v>
      </c>
      <c r="AD69" s="90" t="n">
        <v>5</v>
      </c>
    </row>
    <row r="70" customFormat="false" ht="33" hidden="false" customHeight="true" outlineLevel="0" collapsed="false">
      <c r="A70" s="88" t="n">
        <v>69</v>
      </c>
      <c r="B70" s="89" t="n">
        <v>24</v>
      </c>
      <c r="C70" s="88" t="s">
        <v>9350</v>
      </c>
      <c r="D70" s="88" t="s">
        <v>437</v>
      </c>
      <c r="E70" s="88" t="s">
        <v>437</v>
      </c>
      <c r="F70" s="88" t="s">
        <v>9333</v>
      </c>
      <c r="G70" s="88" t="s">
        <v>9366</v>
      </c>
      <c r="H70" s="88" t="s">
        <v>9377</v>
      </c>
      <c r="I70" s="88" t="s">
        <v>9431</v>
      </c>
      <c r="J70" s="88" t="s">
        <v>9545</v>
      </c>
      <c r="K70" s="88" t="s">
        <v>9338</v>
      </c>
      <c r="L70" s="88" t="s">
        <v>9370</v>
      </c>
      <c r="M70" s="88" t="s">
        <v>9376</v>
      </c>
      <c r="N70" s="88" t="s">
        <v>9445</v>
      </c>
      <c r="O70" s="88" t="s">
        <v>9342</v>
      </c>
      <c r="P70" s="88" t="s">
        <v>9372</v>
      </c>
      <c r="Q70" s="88" t="s">
        <v>9344</v>
      </c>
      <c r="R70" s="90" t="n">
        <v>1</v>
      </c>
      <c r="S70" s="90" t="n">
        <v>2</v>
      </c>
      <c r="T70" s="90" t="n">
        <v>3</v>
      </c>
      <c r="U70" s="90" t="n">
        <v>1</v>
      </c>
      <c r="V70" s="90" t="n">
        <v>2</v>
      </c>
      <c r="W70" s="90" t="n">
        <v>3</v>
      </c>
      <c r="X70" s="88" t="s">
        <v>9389</v>
      </c>
      <c r="Y70" s="88" t="s">
        <v>9361</v>
      </c>
      <c r="Z70" s="88" t="s">
        <v>9362</v>
      </c>
      <c r="AA70" s="88" t="s">
        <v>9376</v>
      </c>
      <c r="AB70" s="88"/>
      <c r="AC70" s="90" t="n">
        <v>4</v>
      </c>
      <c r="AD70" s="90" t="n">
        <v>4</v>
      </c>
    </row>
    <row r="71" customFormat="false" ht="33" hidden="false" customHeight="true" outlineLevel="0" collapsed="false">
      <c r="A71" s="88" t="n">
        <v>70</v>
      </c>
      <c r="B71" s="89" t="n">
        <v>22</v>
      </c>
      <c r="C71" s="88" t="s">
        <v>9332</v>
      </c>
      <c r="D71" s="88" t="s">
        <v>437</v>
      </c>
      <c r="E71" s="88" t="s">
        <v>437</v>
      </c>
      <c r="F71" s="88" t="s">
        <v>9333</v>
      </c>
      <c r="G71" s="88" t="s">
        <v>9407</v>
      </c>
      <c r="H71" s="88" t="s">
        <v>9377</v>
      </c>
      <c r="I71" s="88" t="s">
        <v>9428</v>
      </c>
      <c r="J71" s="88" t="s">
        <v>9354</v>
      </c>
      <c r="K71" s="88" t="s">
        <v>9338</v>
      </c>
      <c r="L71" s="88" t="s">
        <v>9546</v>
      </c>
      <c r="M71" s="88" t="s">
        <v>9340</v>
      </c>
      <c r="N71" s="88" t="s">
        <v>9397</v>
      </c>
      <c r="O71" s="88" t="s">
        <v>9358</v>
      </c>
      <c r="P71" s="88" t="s">
        <v>9343</v>
      </c>
      <c r="Q71" s="88" t="s">
        <v>9359</v>
      </c>
      <c r="R71" s="90" t="n">
        <v>2</v>
      </c>
      <c r="S71" s="90" t="n">
        <v>1</v>
      </c>
      <c r="T71" s="90" t="n">
        <v>3</v>
      </c>
      <c r="U71" s="90" t="n">
        <v>2</v>
      </c>
      <c r="V71" s="90" t="n">
        <v>1</v>
      </c>
      <c r="W71" s="90" t="n">
        <v>3</v>
      </c>
      <c r="X71" s="88" t="s">
        <v>9411</v>
      </c>
      <c r="Y71" s="88" t="s">
        <v>9346</v>
      </c>
      <c r="Z71" s="88" t="s">
        <v>9382</v>
      </c>
      <c r="AA71" s="88" t="s">
        <v>9348</v>
      </c>
      <c r="AB71" s="88" t="s">
        <v>9547</v>
      </c>
      <c r="AC71" s="90" t="n">
        <v>3</v>
      </c>
      <c r="AD71" s="90" t="n">
        <v>3</v>
      </c>
    </row>
    <row r="72" customFormat="false" ht="33" hidden="false" customHeight="true" outlineLevel="0" collapsed="false">
      <c r="A72" s="88" t="n">
        <v>71</v>
      </c>
      <c r="B72" s="89" t="n">
        <v>23</v>
      </c>
      <c r="C72" s="88" t="s">
        <v>9332</v>
      </c>
      <c r="D72" s="88" t="s">
        <v>437</v>
      </c>
      <c r="E72" s="88" t="s">
        <v>255</v>
      </c>
      <c r="F72" s="88" t="s">
        <v>9365</v>
      </c>
      <c r="G72" s="88" t="s">
        <v>9407</v>
      </c>
      <c r="H72" s="88" t="s">
        <v>9335</v>
      </c>
      <c r="I72" s="88" t="s">
        <v>9428</v>
      </c>
      <c r="J72" s="88" t="s">
        <v>9402</v>
      </c>
      <c r="K72" s="88" t="s">
        <v>9355</v>
      </c>
      <c r="L72" s="88" t="s">
        <v>9548</v>
      </c>
      <c r="M72" s="88" t="s">
        <v>9340</v>
      </c>
      <c r="N72" s="88" t="s">
        <v>9549</v>
      </c>
      <c r="O72" s="88" t="s">
        <v>9342</v>
      </c>
      <c r="P72" s="88" t="s">
        <v>9372</v>
      </c>
      <c r="Q72" s="88" t="s">
        <v>9359</v>
      </c>
      <c r="R72" s="90" t="n">
        <v>3</v>
      </c>
      <c r="S72" s="90" t="n">
        <v>1</v>
      </c>
      <c r="T72" s="90" t="n">
        <v>2</v>
      </c>
      <c r="U72" s="90" t="n">
        <v>3</v>
      </c>
      <c r="V72" s="90" t="n">
        <v>2</v>
      </c>
      <c r="W72" s="90" t="n">
        <v>1</v>
      </c>
      <c r="X72" s="88" t="s">
        <v>9422</v>
      </c>
      <c r="Y72" s="88" t="s">
        <v>9390</v>
      </c>
      <c r="Z72" s="88" t="s">
        <v>9391</v>
      </c>
      <c r="AA72" s="88" t="s">
        <v>9363</v>
      </c>
      <c r="AB72" s="88" t="s">
        <v>9550</v>
      </c>
      <c r="AC72" s="90" t="n">
        <v>3</v>
      </c>
      <c r="AD72" s="90" t="n">
        <v>3</v>
      </c>
    </row>
    <row r="73" customFormat="false" ht="33" hidden="false" customHeight="true" outlineLevel="0" collapsed="false">
      <c r="A73" s="88" t="n">
        <v>72</v>
      </c>
      <c r="B73" s="89" t="n">
        <v>21</v>
      </c>
      <c r="C73" s="88" t="s">
        <v>9332</v>
      </c>
      <c r="D73" s="88" t="s">
        <v>437</v>
      </c>
      <c r="E73" s="88" t="s">
        <v>826</v>
      </c>
      <c r="F73" s="88" t="s">
        <v>9333</v>
      </c>
      <c r="G73" s="88" t="s">
        <v>9414</v>
      </c>
      <c r="H73" s="88" t="s">
        <v>9384</v>
      </c>
      <c r="I73" s="88" t="s">
        <v>9431</v>
      </c>
      <c r="J73" s="88" t="s">
        <v>9402</v>
      </c>
      <c r="K73" s="88" t="s">
        <v>9338</v>
      </c>
      <c r="L73" s="88" t="s">
        <v>9370</v>
      </c>
      <c r="M73" s="88" t="s">
        <v>9376</v>
      </c>
      <c r="N73" s="88" t="s">
        <v>9551</v>
      </c>
      <c r="O73" s="88" t="s">
        <v>9358</v>
      </c>
      <c r="P73" s="88" t="s">
        <v>9359</v>
      </c>
      <c r="Q73" s="88" t="s">
        <v>9359</v>
      </c>
      <c r="R73" s="90" t="n">
        <v>3</v>
      </c>
      <c r="S73" s="90" t="n">
        <v>1</v>
      </c>
      <c r="T73" s="90" t="n">
        <v>2</v>
      </c>
      <c r="U73" s="90" t="n">
        <v>3</v>
      </c>
      <c r="V73" s="90" t="n">
        <v>1</v>
      </c>
      <c r="W73" s="90" t="n">
        <v>2</v>
      </c>
      <c r="X73" s="88" t="s">
        <v>9398</v>
      </c>
      <c r="Y73" s="88" t="s">
        <v>9381</v>
      </c>
      <c r="Z73" s="88" t="s">
        <v>9391</v>
      </c>
      <c r="AA73" s="88" t="s">
        <v>9363</v>
      </c>
      <c r="AB73" s="88" t="s">
        <v>9423</v>
      </c>
      <c r="AC73" s="90" t="n">
        <v>4</v>
      </c>
      <c r="AD73" s="90" t="n">
        <v>5</v>
      </c>
    </row>
    <row r="74" customFormat="false" ht="33" hidden="false" customHeight="true" outlineLevel="0" collapsed="false">
      <c r="A74" s="88" t="n">
        <v>73</v>
      </c>
      <c r="B74" s="89" t="n">
        <v>24</v>
      </c>
      <c r="C74" s="88" t="s">
        <v>9332</v>
      </c>
      <c r="D74" s="88" t="s">
        <v>437</v>
      </c>
      <c r="E74" s="88" t="s">
        <v>437</v>
      </c>
      <c r="F74" s="88" t="s">
        <v>9365</v>
      </c>
      <c r="G74" s="88" t="s">
        <v>9407</v>
      </c>
      <c r="H74" s="88" t="s">
        <v>9377</v>
      </c>
      <c r="I74" s="88" t="s">
        <v>9336</v>
      </c>
      <c r="J74" s="88" t="s">
        <v>9385</v>
      </c>
      <c r="K74" s="88" t="s">
        <v>9355</v>
      </c>
      <c r="L74" s="88" t="s">
        <v>9552</v>
      </c>
      <c r="M74" s="88" t="s">
        <v>9376</v>
      </c>
      <c r="N74" s="88" t="s">
        <v>9553</v>
      </c>
      <c r="O74" s="88" t="s">
        <v>9342</v>
      </c>
      <c r="P74" s="88" t="s">
        <v>9343</v>
      </c>
      <c r="Q74" s="88" t="s">
        <v>9359</v>
      </c>
      <c r="R74" s="90" t="n">
        <v>3</v>
      </c>
      <c r="S74" s="90" t="n">
        <v>1</v>
      </c>
      <c r="T74" s="90" t="n">
        <v>2</v>
      </c>
      <c r="U74" s="90" t="n">
        <v>2</v>
      </c>
      <c r="V74" s="90" t="n">
        <v>1</v>
      </c>
      <c r="W74" s="90" t="n">
        <v>3</v>
      </c>
      <c r="X74" s="88" t="s">
        <v>9398</v>
      </c>
      <c r="Y74" s="88" t="s">
        <v>9390</v>
      </c>
      <c r="Z74" s="88" t="s">
        <v>9375</v>
      </c>
      <c r="AA74" s="88" t="s">
        <v>9348</v>
      </c>
      <c r="AB74" s="88" t="s">
        <v>9434</v>
      </c>
      <c r="AC74" s="90" t="n">
        <v>5</v>
      </c>
      <c r="AD74" s="90" t="n">
        <v>3</v>
      </c>
    </row>
    <row r="75" customFormat="false" ht="33" hidden="false" customHeight="true" outlineLevel="0" collapsed="false">
      <c r="A75" s="88" t="n">
        <v>74</v>
      </c>
      <c r="B75" s="89" t="n">
        <v>24</v>
      </c>
      <c r="C75" s="88" t="s">
        <v>9350</v>
      </c>
      <c r="D75" s="88" t="s">
        <v>437</v>
      </c>
      <c r="E75" s="88" t="s">
        <v>47</v>
      </c>
      <c r="F75" s="88" t="s">
        <v>9392</v>
      </c>
      <c r="G75" s="88" t="s">
        <v>9334</v>
      </c>
      <c r="H75" s="88" t="s">
        <v>9384</v>
      </c>
      <c r="I75" s="88" t="s">
        <v>9353</v>
      </c>
      <c r="J75" s="88" t="s">
        <v>9439</v>
      </c>
      <c r="K75" s="88" t="s">
        <v>9355</v>
      </c>
      <c r="L75" s="88" t="s">
        <v>9536</v>
      </c>
      <c r="M75" s="88" t="s">
        <v>9340</v>
      </c>
      <c r="N75" s="88" t="s">
        <v>9554</v>
      </c>
      <c r="O75" s="88" t="s">
        <v>9388</v>
      </c>
      <c r="P75" s="88" t="s">
        <v>9343</v>
      </c>
      <c r="Q75" s="88" t="s">
        <v>9344</v>
      </c>
      <c r="R75" s="90" t="n">
        <v>2</v>
      </c>
      <c r="S75" s="90" t="n">
        <v>1</v>
      </c>
      <c r="T75" s="90" t="n">
        <v>3</v>
      </c>
      <c r="U75" s="90" t="n">
        <v>2</v>
      </c>
      <c r="V75" s="90" t="n">
        <v>3</v>
      </c>
      <c r="W75" s="90" t="n">
        <v>1</v>
      </c>
      <c r="X75" s="88" t="s">
        <v>9345</v>
      </c>
      <c r="Y75" s="88" t="s">
        <v>9390</v>
      </c>
      <c r="Z75" s="88" t="s">
        <v>9412</v>
      </c>
      <c r="AA75" s="88" t="s">
        <v>9348</v>
      </c>
      <c r="AB75" s="88" t="s">
        <v>9442</v>
      </c>
      <c r="AC75" s="90" t="n">
        <v>2</v>
      </c>
      <c r="AD75" s="90" t="n">
        <v>5</v>
      </c>
    </row>
    <row r="76" customFormat="false" ht="33" hidden="false" customHeight="true" outlineLevel="0" collapsed="false">
      <c r="A76" s="88" t="n">
        <v>75</v>
      </c>
      <c r="B76" s="89" t="n">
        <v>28</v>
      </c>
      <c r="C76" s="88" t="s">
        <v>9350</v>
      </c>
      <c r="D76" s="88" t="s">
        <v>437</v>
      </c>
      <c r="E76" s="88" t="s">
        <v>437</v>
      </c>
      <c r="F76" s="88" t="s">
        <v>9485</v>
      </c>
      <c r="G76" s="88" t="s">
        <v>9334</v>
      </c>
      <c r="H76" s="88" t="s">
        <v>9367</v>
      </c>
      <c r="I76" s="88" t="s">
        <v>9428</v>
      </c>
      <c r="J76" s="88" t="s">
        <v>9537</v>
      </c>
      <c r="K76" s="88" t="s">
        <v>9395</v>
      </c>
      <c r="L76" s="88" t="s">
        <v>9555</v>
      </c>
      <c r="M76" s="88" t="s">
        <v>9348</v>
      </c>
      <c r="N76" s="88" t="s">
        <v>9397</v>
      </c>
      <c r="O76" s="88" t="s">
        <v>9388</v>
      </c>
      <c r="P76" s="88" t="s">
        <v>9359</v>
      </c>
      <c r="Q76" s="88" t="s">
        <v>9359</v>
      </c>
      <c r="R76" s="90" t="n">
        <v>2</v>
      </c>
      <c r="S76" s="90" t="n">
        <v>1</v>
      </c>
      <c r="T76" s="90" t="n">
        <v>3</v>
      </c>
      <c r="U76" s="90" t="n">
        <v>2</v>
      </c>
      <c r="V76" s="90" t="n">
        <v>1</v>
      </c>
      <c r="W76" s="90" t="n">
        <v>3</v>
      </c>
      <c r="X76" s="88" t="s">
        <v>9474</v>
      </c>
      <c r="Y76" s="88" t="s">
        <v>9390</v>
      </c>
      <c r="Z76" s="88" t="s">
        <v>9375</v>
      </c>
      <c r="AA76" s="88" t="s">
        <v>9348</v>
      </c>
      <c r="AB76" s="88" t="s">
        <v>9434</v>
      </c>
      <c r="AC76" s="90" t="n">
        <v>4</v>
      </c>
      <c r="AD76" s="90" t="n">
        <v>4</v>
      </c>
    </row>
    <row r="77" customFormat="false" ht="33" hidden="false" customHeight="true" outlineLevel="0" collapsed="false">
      <c r="A77" s="88" t="n">
        <v>76</v>
      </c>
      <c r="B77" s="89" t="n">
        <v>26</v>
      </c>
      <c r="C77" s="88" t="s">
        <v>9332</v>
      </c>
      <c r="D77" s="88" t="s">
        <v>437</v>
      </c>
      <c r="E77" s="88" t="s">
        <v>437</v>
      </c>
      <c r="F77" s="88" t="s">
        <v>9365</v>
      </c>
      <c r="G77" s="88" t="s">
        <v>9414</v>
      </c>
      <c r="H77" s="88" t="s">
        <v>9377</v>
      </c>
      <c r="I77" s="88" t="s">
        <v>9336</v>
      </c>
      <c r="J77" s="88" t="s">
        <v>9460</v>
      </c>
      <c r="K77" s="88" t="s">
        <v>9338</v>
      </c>
      <c r="L77" s="88" t="s">
        <v>9457</v>
      </c>
      <c r="M77" s="88" t="s">
        <v>9340</v>
      </c>
      <c r="N77" s="88" t="s">
        <v>9533</v>
      </c>
      <c r="O77" s="88" t="s">
        <v>9342</v>
      </c>
      <c r="P77" s="88" t="s">
        <v>9372</v>
      </c>
      <c r="Q77" s="88" t="s">
        <v>9344</v>
      </c>
      <c r="R77" s="90" t="n">
        <v>3</v>
      </c>
      <c r="S77" s="90" t="n">
        <v>1</v>
      </c>
      <c r="T77" s="90" t="n">
        <v>2</v>
      </c>
      <c r="U77" s="90" t="n">
        <v>2</v>
      </c>
      <c r="V77" s="90" t="n">
        <v>1</v>
      </c>
      <c r="W77" s="90" t="n">
        <v>3</v>
      </c>
      <c r="X77" s="88" t="s">
        <v>9452</v>
      </c>
      <c r="Y77" s="88" t="s">
        <v>9381</v>
      </c>
      <c r="Z77" s="88" t="s">
        <v>9347</v>
      </c>
      <c r="AA77" s="88" t="s">
        <v>9348</v>
      </c>
      <c r="AB77" s="88" t="s">
        <v>9556</v>
      </c>
      <c r="AC77" s="90" t="n">
        <v>5</v>
      </c>
      <c r="AD77" s="90" t="n">
        <v>5</v>
      </c>
    </row>
    <row r="78" customFormat="false" ht="33" hidden="false" customHeight="true" outlineLevel="0" collapsed="false">
      <c r="A78" s="88" t="n">
        <v>77</v>
      </c>
      <c r="B78" s="89" t="n">
        <v>22</v>
      </c>
      <c r="C78" s="88" t="s">
        <v>9332</v>
      </c>
      <c r="D78" s="88" t="s">
        <v>437</v>
      </c>
      <c r="E78" s="88" t="s">
        <v>2651</v>
      </c>
      <c r="F78" s="88" t="s">
        <v>9333</v>
      </c>
      <c r="G78" s="88" t="s">
        <v>9414</v>
      </c>
      <c r="H78" s="88" t="s">
        <v>9401</v>
      </c>
      <c r="I78" s="88" t="s">
        <v>9401</v>
      </c>
      <c r="J78" s="88" t="s">
        <v>9354</v>
      </c>
      <c r="K78" s="88" t="s">
        <v>9338</v>
      </c>
      <c r="L78" s="88" t="s">
        <v>9339</v>
      </c>
      <c r="M78" s="88" t="s">
        <v>9340</v>
      </c>
      <c r="N78" s="88" t="s">
        <v>9397</v>
      </c>
      <c r="O78" s="88" t="s">
        <v>9388</v>
      </c>
      <c r="P78" s="88" t="s">
        <v>9359</v>
      </c>
      <c r="Q78" s="88" t="s">
        <v>9359</v>
      </c>
      <c r="R78" s="90" t="n">
        <v>3</v>
      </c>
      <c r="S78" s="90" t="n">
        <v>2</v>
      </c>
      <c r="T78" s="90" t="n">
        <v>1</v>
      </c>
      <c r="U78" s="90" t="n">
        <v>1</v>
      </c>
      <c r="V78" s="90" t="n">
        <v>2</v>
      </c>
      <c r="W78" s="90" t="n">
        <v>3</v>
      </c>
      <c r="X78" s="88" t="s">
        <v>9398</v>
      </c>
      <c r="Y78" s="88" t="s">
        <v>9381</v>
      </c>
      <c r="Z78" s="88" t="s">
        <v>9382</v>
      </c>
      <c r="AA78" s="88" t="s">
        <v>9348</v>
      </c>
      <c r="AB78" s="88" t="s">
        <v>9456</v>
      </c>
      <c r="AC78" s="90" t="n">
        <v>3</v>
      </c>
      <c r="AD78" s="90" t="n">
        <v>4</v>
      </c>
    </row>
    <row r="79" customFormat="false" ht="33" hidden="false" customHeight="true" outlineLevel="0" collapsed="false">
      <c r="A79" s="88" t="n">
        <v>78</v>
      </c>
      <c r="B79" s="89" t="n">
        <v>27</v>
      </c>
      <c r="C79" s="88" t="s">
        <v>9350</v>
      </c>
      <c r="D79" s="88" t="s">
        <v>50</v>
      </c>
      <c r="E79" s="88" t="s">
        <v>50</v>
      </c>
      <c r="F79" s="88" t="s">
        <v>9333</v>
      </c>
      <c r="G79" s="88" t="s">
        <v>9407</v>
      </c>
      <c r="H79" s="88" t="s">
        <v>9401</v>
      </c>
      <c r="I79" s="88" t="s">
        <v>9336</v>
      </c>
      <c r="J79" s="88" t="s">
        <v>9369</v>
      </c>
      <c r="K79" s="88" t="s">
        <v>9355</v>
      </c>
      <c r="L79" s="88" t="s">
        <v>9370</v>
      </c>
      <c r="M79" s="88" t="s">
        <v>9340</v>
      </c>
      <c r="N79" s="88" t="s">
        <v>9483</v>
      </c>
      <c r="O79" s="88" t="s">
        <v>9388</v>
      </c>
      <c r="P79" s="88" t="s">
        <v>9359</v>
      </c>
      <c r="Q79" s="88" t="s">
        <v>9344</v>
      </c>
      <c r="R79" s="90" t="n">
        <v>3</v>
      </c>
      <c r="S79" s="90" t="n">
        <v>1</v>
      </c>
      <c r="T79" s="90" t="n">
        <v>2</v>
      </c>
      <c r="U79" s="90" t="n">
        <v>3</v>
      </c>
      <c r="V79" s="90" t="n">
        <v>1</v>
      </c>
      <c r="W79" s="90" t="n">
        <v>2</v>
      </c>
      <c r="X79" s="88" t="s">
        <v>9507</v>
      </c>
      <c r="Y79" s="88" t="s">
        <v>9390</v>
      </c>
      <c r="Z79" s="88" t="s">
        <v>9375</v>
      </c>
      <c r="AA79" s="88" t="s">
        <v>9363</v>
      </c>
      <c r="AB79" s="88" t="s">
        <v>9557</v>
      </c>
      <c r="AC79" s="90" t="n">
        <v>5</v>
      </c>
      <c r="AD79" s="90" t="n">
        <v>5</v>
      </c>
    </row>
    <row r="80" customFormat="false" ht="33" hidden="false" customHeight="true" outlineLevel="0" collapsed="false">
      <c r="A80" s="88" t="n">
        <v>79</v>
      </c>
      <c r="B80" s="89" t="n">
        <v>21</v>
      </c>
      <c r="C80" s="88" t="s">
        <v>9332</v>
      </c>
      <c r="D80" s="88" t="s">
        <v>437</v>
      </c>
      <c r="E80" s="88" t="s">
        <v>50</v>
      </c>
      <c r="F80" s="88" t="s">
        <v>9333</v>
      </c>
      <c r="G80" s="88" t="s">
        <v>9407</v>
      </c>
      <c r="H80" s="88" t="s">
        <v>9377</v>
      </c>
      <c r="I80" s="88" t="s">
        <v>9401</v>
      </c>
      <c r="J80" s="88" t="s">
        <v>9420</v>
      </c>
      <c r="K80" s="88" t="s">
        <v>9338</v>
      </c>
      <c r="L80" s="88" t="s">
        <v>9370</v>
      </c>
      <c r="M80" s="88" t="s">
        <v>9348</v>
      </c>
      <c r="N80" s="88" t="s">
        <v>9371</v>
      </c>
      <c r="O80" s="88" t="s">
        <v>9342</v>
      </c>
      <c r="P80" s="88" t="s">
        <v>9417</v>
      </c>
      <c r="Q80" s="88" t="s">
        <v>9344</v>
      </c>
      <c r="R80" s="90" t="n">
        <v>1</v>
      </c>
      <c r="S80" s="90" t="n">
        <v>3</v>
      </c>
      <c r="T80" s="90" t="n">
        <v>2</v>
      </c>
      <c r="U80" s="90" t="n">
        <v>2</v>
      </c>
      <c r="V80" s="90" t="n">
        <v>1</v>
      </c>
      <c r="W80" s="90" t="n">
        <v>3</v>
      </c>
      <c r="X80" s="88" t="s">
        <v>9507</v>
      </c>
      <c r="Y80" s="88" t="s">
        <v>9381</v>
      </c>
      <c r="Z80" s="88" t="s">
        <v>9362</v>
      </c>
      <c r="AA80" s="88" t="s">
        <v>9348</v>
      </c>
      <c r="AB80" s="88" t="s">
        <v>9458</v>
      </c>
      <c r="AC80" s="90" t="n">
        <v>5</v>
      </c>
      <c r="AD80" s="90" t="n">
        <v>5</v>
      </c>
    </row>
    <row r="81" customFormat="false" ht="33" hidden="false" customHeight="true" outlineLevel="0" collapsed="false">
      <c r="A81" s="88" t="n">
        <v>80</v>
      </c>
      <c r="B81" s="89" t="n">
        <v>72</v>
      </c>
      <c r="C81" s="88" t="s">
        <v>9332</v>
      </c>
      <c r="D81" s="88" t="s">
        <v>437</v>
      </c>
      <c r="E81" s="88" t="s">
        <v>437</v>
      </c>
      <c r="F81" s="88" t="s">
        <v>9333</v>
      </c>
      <c r="G81" s="88" t="s">
        <v>9407</v>
      </c>
      <c r="H81" s="88" t="s">
        <v>9335</v>
      </c>
      <c r="I81" s="88" t="s">
        <v>9401</v>
      </c>
      <c r="J81" s="88" t="s">
        <v>9337</v>
      </c>
      <c r="K81" s="88" t="s">
        <v>9338</v>
      </c>
      <c r="L81" s="88" t="s">
        <v>9370</v>
      </c>
      <c r="M81" s="88" t="s">
        <v>9386</v>
      </c>
      <c r="N81" s="88" t="s">
        <v>9478</v>
      </c>
      <c r="O81" s="88" t="s">
        <v>9358</v>
      </c>
      <c r="P81" s="88" t="s">
        <v>9359</v>
      </c>
      <c r="Q81" s="88" t="s">
        <v>9359</v>
      </c>
      <c r="R81" s="90" t="n">
        <v>3</v>
      </c>
      <c r="S81" s="90" t="n">
        <v>1</v>
      </c>
      <c r="T81" s="90" t="n">
        <v>2</v>
      </c>
      <c r="U81" s="90" t="n">
        <v>3</v>
      </c>
      <c r="V81" s="90" t="n">
        <v>2</v>
      </c>
      <c r="W81" s="90" t="n">
        <v>1</v>
      </c>
      <c r="X81" s="88" t="s">
        <v>9411</v>
      </c>
      <c r="Y81" s="88" t="s">
        <v>9381</v>
      </c>
      <c r="Z81" s="88" t="s">
        <v>9391</v>
      </c>
      <c r="AA81" s="88" t="s">
        <v>9376</v>
      </c>
      <c r="AB81" s="88"/>
      <c r="AC81" s="90" t="n">
        <v>5</v>
      </c>
      <c r="AD81" s="90" t="n">
        <v>5</v>
      </c>
    </row>
    <row r="82" customFormat="false" ht="33" hidden="false" customHeight="true" outlineLevel="0" collapsed="false">
      <c r="A82" s="88" t="n">
        <v>81</v>
      </c>
      <c r="B82" s="89" t="n">
        <v>24</v>
      </c>
      <c r="C82" s="88" t="s">
        <v>9332</v>
      </c>
      <c r="D82" s="88" t="s">
        <v>290</v>
      </c>
      <c r="E82" s="88" t="s">
        <v>290</v>
      </c>
      <c r="F82" s="88" t="s">
        <v>9365</v>
      </c>
      <c r="G82" s="88" t="s">
        <v>9414</v>
      </c>
      <c r="H82" s="88" t="s">
        <v>9367</v>
      </c>
      <c r="I82" s="88" t="s">
        <v>9438</v>
      </c>
      <c r="J82" s="88" t="s">
        <v>9558</v>
      </c>
      <c r="K82" s="88" t="s">
        <v>9338</v>
      </c>
      <c r="L82" s="88" t="s">
        <v>9559</v>
      </c>
      <c r="M82" s="88" t="s">
        <v>9340</v>
      </c>
      <c r="N82" s="88" t="s">
        <v>9440</v>
      </c>
      <c r="O82" s="88" t="s">
        <v>9560</v>
      </c>
      <c r="P82" s="88" t="s">
        <v>9359</v>
      </c>
      <c r="Q82" s="88" t="s">
        <v>9359</v>
      </c>
      <c r="R82" s="90" t="n">
        <v>1</v>
      </c>
      <c r="S82" s="90" t="n">
        <v>3</v>
      </c>
      <c r="T82" s="90" t="n">
        <v>2</v>
      </c>
      <c r="U82" s="90" t="n">
        <v>3</v>
      </c>
      <c r="V82" s="90" t="n">
        <v>2</v>
      </c>
      <c r="W82" s="90" t="n">
        <v>1</v>
      </c>
      <c r="X82" s="88" t="s">
        <v>9418</v>
      </c>
      <c r="Y82" s="88" t="s">
        <v>9381</v>
      </c>
      <c r="Z82" s="88" t="s">
        <v>9447</v>
      </c>
      <c r="AA82" s="88" t="s">
        <v>9363</v>
      </c>
      <c r="AB82" s="88" t="s">
        <v>9561</v>
      </c>
      <c r="AC82" s="90" t="n">
        <v>4</v>
      </c>
      <c r="AD82" s="90" t="n">
        <v>4</v>
      </c>
    </row>
    <row r="83" customFormat="false" ht="33" hidden="false" customHeight="true" outlineLevel="0" collapsed="false">
      <c r="A83" s="88" t="n">
        <v>82</v>
      </c>
      <c r="B83" s="89" t="n">
        <v>49</v>
      </c>
      <c r="C83" s="88" t="s">
        <v>9350</v>
      </c>
      <c r="D83" s="88" t="s">
        <v>437</v>
      </c>
      <c r="E83" s="88" t="s">
        <v>437</v>
      </c>
      <c r="F83" s="88" t="s">
        <v>9392</v>
      </c>
      <c r="G83" s="88" t="s">
        <v>9407</v>
      </c>
      <c r="H83" s="88" t="s">
        <v>9367</v>
      </c>
      <c r="I83" s="88" t="s">
        <v>9431</v>
      </c>
      <c r="J83" s="88" t="s">
        <v>9463</v>
      </c>
      <c r="K83" s="88" t="s">
        <v>9338</v>
      </c>
      <c r="L83" s="88" t="s">
        <v>9370</v>
      </c>
      <c r="M83" s="88" t="s">
        <v>9340</v>
      </c>
      <c r="N83" s="88" t="s">
        <v>9488</v>
      </c>
      <c r="O83" s="88" t="s">
        <v>9388</v>
      </c>
      <c r="P83" s="88" t="s">
        <v>9359</v>
      </c>
      <c r="Q83" s="88" t="s">
        <v>9410</v>
      </c>
      <c r="R83" s="90" t="n">
        <v>2</v>
      </c>
      <c r="S83" s="90" t="n">
        <v>1</v>
      </c>
      <c r="T83" s="90" t="n">
        <v>3</v>
      </c>
      <c r="U83" s="90" t="n">
        <v>2</v>
      </c>
      <c r="V83" s="90" t="n">
        <v>1</v>
      </c>
      <c r="W83" s="90" t="n">
        <v>3</v>
      </c>
      <c r="X83" s="88" t="s">
        <v>9418</v>
      </c>
      <c r="Y83" s="88" t="s">
        <v>9390</v>
      </c>
      <c r="Z83" s="88" t="s">
        <v>9362</v>
      </c>
      <c r="AA83" s="88" t="s">
        <v>9348</v>
      </c>
      <c r="AB83" s="88" t="s">
        <v>9562</v>
      </c>
      <c r="AC83" s="90" t="n">
        <v>3</v>
      </c>
      <c r="AD83" s="90" t="n">
        <v>4</v>
      </c>
    </row>
    <row r="84" customFormat="false" ht="33" hidden="false" customHeight="true" outlineLevel="0" collapsed="false">
      <c r="A84" s="88" t="n">
        <v>83</v>
      </c>
      <c r="B84" s="89" t="n">
        <v>52</v>
      </c>
      <c r="C84" s="88" t="s">
        <v>9332</v>
      </c>
      <c r="D84" s="88" t="s">
        <v>437</v>
      </c>
      <c r="E84" s="88" t="s">
        <v>437</v>
      </c>
      <c r="F84" s="88" t="s">
        <v>9333</v>
      </c>
      <c r="G84" s="88" t="s">
        <v>9334</v>
      </c>
      <c r="H84" s="88" t="s">
        <v>9384</v>
      </c>
      <c r="I84" s="88" t="s">
        <v>9431</v>
      </c>
      <c r="J84" s="88" t="s">
        <v>9337</v>
      </c>
      <c r="K84" s="88" t="s">
        <v>9338</v>
      </c>
      <c r="L84" s="88" t="s">
        <v>9370</v>
      </c>
      <c r="M84" s="88" t="s">
        <v>9340</v>
      </c>
      <c r="N84" s="88" t="s">
        <v>9397</v>
      </c>
      <c r="O84" s="88" t="s">
        <v>9388</v>
      </c>
      <c r="P84" s="88" t="s">
        <v>9372</v>
      </c>
      <c r="Q84" s="88" t="s">
        <v>9359</v>
      </c>
      <c r="R84" s="90" t="n">
        <v>3</v>
      </c>
      <c r="S84" s="90" t="n">
        <v>1</v>
      </c>
      <c r="T84" s="90" t="n">
        <v>2</v>
      </c>
      <c r="U84" s="90" t="n">
        <v>3</v>
      </c>
      <c r="V84" s="90" t="n">
        <v>2</v>
      </c>
      <c r="W84" s="90" t="n">
        <v>1</v>
      </c>
      <c r="X84" s="88" t="s">
        <v>9418</v>
      </c>
      <c r="Y84" s="88" t="s">
        <v>9374</v>
      </c>
      <c r="Z84" s="88" t="s">
        <v>9362</v>
      </c>
      <c r="AA84" s="88" t="s">
        <v>9348</v>
      </c>
      <c r="AB84" s="88" t="s">
        <v>9563</v>
      </c>
      <c r="AC84" s="90" t="n">
        <v>4</v>
      </c>
      <c r="AD84" s="90" t="n">
        <v>4</v>
      </c>
    </row>
    <row r="85" customFormat="false" ht="33" hidden="false" customHeight="true" outlineLevel="0" collapsed="false">
      <c r="A85" s="88" t="n">
        <v>84</v>
      </c>
      <c r="B85" s="89" t="n">
        <v>52</v>
      </c>
      <c r="C85" s="88" t="s">
        <v>9350</v>
      </c>
      <c r="D85" s="88" t="s">
        <v>437</v>
      </c>
      <c r="E85" s="88" t="s">
        <v>437</v>
      </c>
      <c r="F85" s="88" t="s">
        <v>9333</v>
      </c>
      <c r="G85" s="88" t="s">
        <v>9407</v>
      </c>
      <c r="H85" s="88" t="s">
        <v>9377</v>
      </c>
      <c r="I85" s="88" t="s">
        <v>9336</v>
      </c>
      <c r="J85" s="88" t="s">
        <v>9394</v>
      </c>
      <c r="K85" s="88" t="s">
        <v>9355</v>
      </c>
      <c r="L85" s="88" t="s">
        <v>9559</v>
      </c>
      <c r="M85" s="88" t="s">
        <v>9340</v>
      </c>
      <c r="N85" s="88" t="s">
        <v>9497</v>
      </c>
      <c r="O85" s="88" t="s">
        <v>9388</v>
      </c>
      <c r="P85" s="88" t="s">
        <v>9417</v>
      </c>
      <c r="Q85" s="88" t="s">
        <v>9359</v>
      </c>
      <c r="R85" s="90" t="n">
        <v>3</v>
      </c>
      <c r="S85" s="90" t="n">
        <v>1</v>
      </c>
      <c r="T85" s="90" t="n">
        <v>2</v>
      </c>
      <c r="U85" s="90" t="n">
        <v>3</v>
      </c>
      <c r="V85" s="90" t="n">
        <v>1</v>
      </c>
      <c r="W85" s="90" t="n">
        <v>2</v>
      </c>
      <c r="X85" s="88" t="s">
        <v>9422</v>
      </c>
      <c r="Y85" s="88" t="s">
        <v>9381</v>
      </c>
      <c r="Z85" s="88" t="s">
        <v>9412</v>
      </c>
      <c r="AA85" s="88" t="s">
        <v>9363</v>
      </c>
      <c r="AB85" s="88" t="s">
        <v>9564</v>
      </c>
      <c r="AC85" s="90" t="n">
        <v>4</v>
      </c>
      <c r="AD85" s="90" t="n">
        <v>4</v>
      </c>
    </row>
    <row r="86" customFormat="false" ht="33" hidden="false" customHeight="true" outlineLevel="0" collapsed="false">
      <c r="A86" s="88" t="n">
        <v>85</v>
      </c>
      <c r="B86" s="89" t="n">
        <v>56</v>
      </c>
      <c r="C86" s="88" t="s">
        <v>9350</v>
      </c>
      <c r="D86" s="88" t="s">
        <v>437</v>
      </c>
      <c r="E86" s="88" t="s">
        <v>437</v>
      </c>
      <c r="F86" s="88" t="s">
        <v>9333</v>
      </c>
      <c r="G86" s="88" t="s">
        <v>9366</v>
      </c>
      <c r="H86" s="88" t="s">
        <v>9401</v>
      </c>
      <c r="I86" s="88" t="s">
        <v>9401</v>
      </c>
      <c r="J86" s="88" t="s">
        <v>9420</v>
      </c>
      <c r="K86" s="88" t="s">
        <v>9338</v>
      </c>
      <c r="L86" s="88" t="s">
        <v>9454</v>
      </c>
      <c r="M86" s="88" t="s">
        <v>9340</v>
      </c>
      <c r="N86" s="88" t="s">
        <v>9565</v>
      </c>
      <c r="O86" s="88" t="s">
        <v>9388</v>
      </c>
      <c r="P86" s="88" t="s">
        <v>9372</v>
      </c>
      <c r="Q86" s="88" t="s">
        <v>9359</v>
      </c>
      <c r="R86" s="90" t="n">
        <v>1</v>
      </c>
      <c r="S86" s="90" t="n">
        <v>3</v>
      </c>
      <c r="T86" s="90" t="n">
        <v>2</v>
      </c>
      <c r="U86" s="90" t="n">
        <v>1</v>
      </c>
      <c r="V86" s="90" t="n">
        <v>2</v>
      </c>
      <c r="W86" s="90" t="n">
        <v>3</v>
      </c>
      <c r="X86" s="88" t="s">
        <v>9418</v>
      </c>
      <c r="Y86" s="88" t="s">
        <v>9361</v>
      </c>
      <c r="Z86" s="88" t="s">
        <v>9391</v>
      </c>
      <c r="AA86" s="88" t="s">
        <v>9348</v>
      </c>
      <c r="AB86" s="88" t="s">
        <v>9456</v>
      </c>
      <c r="AC86" s="90" t="n">
        <v>4</v>
      </c>
      <c r="AD86" s="90" t="n">
        <v>4</v>
      </c>
    </row>
    <row r="87" customFormat="false" ht="33" hidden="false" customHeight="true" outlineLevel="0" collapsed="false">
      <c r="A87" s="88" t="n">
        <v>86</v>
      </c>
      <c r="B87" s="89" t="n">
        <v>48</v>
      </c>
      <c r="C87" s="88" t="s">
        <v>9332</v>
      </c>
      <c r="D87" s="88" t="s">
        <v>437</v>
      </c>
      <c r="E87" s="88" t="s">
        <v>437</v>
      </c>
      <c r="F87" s="88" t="s">
        <v>9365</v>
      </c>
      <c r="G87" s="88" t="s">
        <v>9407</v>
      </c>
      <c r="H87" s="88" t="s">
        <v>9384</v>
      </c>
      <c r="I87" s="88" t="s">
        <v>9431</v>
      </c>
      <c r="J87" s="88" t="s">
        <v>9402</v>
      </c>
      <c r="K87" s="88" t="s">
        <v>9338</v>
      </c>
      <c r="L87" s="88" t="s">
        <v>9370</v>
      </c>
      <c r="M87" s="88" t="s">
        <v>9376</v>
      </c>
      <c r="N87" s="88" t="s">
        <v>9387</v>
      </c>
      <c r="O87" s="88" t="s">
        <v>9342</v>
      </c>
      <c r="P87" s="88" t="s">
        <v>9359</v>
      </c>
      <c r="Q87" s="88" t="s">
        <v>9359</v>
      </c>
      <c r="R87" s="90" t="n">
        <v>3</v>
      </c>
      <c r="S87" s="90" t="n">
        <v>2</v>
      </c>
      <c r="T87" s="90" t="n">
        <v>1</v>
      </c>
      <c r="U87" s="90" t="n">
        <v>3</v>
      </c>
      <c r="V87" s="90" t="n">
        <v>2</v>
      </c>
      <c r="W87" s="90" t="n">
        <v>1</v>
      </c>
      <c r="X87" s="88" t="s">
        <v>9411</v>
      </c>
      <c r="Y87" s="88" t="s">
        <v>9381</v>
      </c>
      <c r="Z87" s="88" t="s">
        <v>9362</v>
      </c>
      <c r="AA87" s="88" t="s">
        <v>9363</v>
      </c>
      <c r="AB87" s="88" t="s">
        <v>9456</v>
      </c>
      <c r="AC87" s="90" t="n">
        <v>5</v>
      </c>
      <c r="AD87" s="90" t="n">
        <v>5</v>
      </c>
    </row>
    <row r="88" customFormat="false" ht="33" hidden="false" customHeight="true" outlineLevel="0" collapsed="false">
      <c r="A88" s="88" t="n">
        <v>87</v>
      </c>
      <c r="B88" s="89" t="n">
        <v>42</v>
      </c>
      <c r="C88" s="88" t="s">
        <v>9332</v>
      </c>
      <c r="D88" s="88" t="s">
        <v>437</v>
      </c>
      <c r="E88" s="88" t="s">
        <v>437</v>
      </c>
      <c r="F88" s="88" t="s">
        <v>9333</v>
      </c>
      <c r="G88" s="88" t="s">
        <v>9366</v>
      </c>
      <c r="H88" s="88" t="s">
        <v>9384</v>
      </c>
      <c r="I88" s="88" t="s">
        <v>9428</v>
      </c>
      <c r="J88" s="88" t="s">
        <v>9439</v>
      </c>
      <c r="K88" s="88" t="s">
        <v>9355</v>
      </c>
      <c r="L88" s="88" t="s">
        <v>9403</v>
      </c>
      <c r="M88" s="88" t="s">
        <v>9340</v>
      </c>
      <c r="N88" s="88" t="s">
        <v>9441</v>
      </c>
      <c r="O88" s="88" t="s">
        <v>9388</v>
      </c>
      <c r="P88" s="88" t="s">
        <v>9343</v>
      </c>
      <c r="Q88" s="88" t="s">
        <v>9359</v>
      </c>
      <c r="R88" s="90" t="n">
        <v>2</v>
      </c>
      <c r="S88" s="90" t="n">
        <v>1</v>
      </c>
      <c r="T88" s="90" t="n">
        <v>3</v>
      </c>
      <c r="U88" s="90" t="n">
        <v>3</v>
      </c>
      <c r="V88" s="90" t="n">
        <v>1</v>
      </c>
      <c r="W88" s="90" t="n">
        <v>2</v>
      </c>
      <c r="X88" s="88" t="s">
        <v>9430</v>
      </c>
      <c r="Y88" s="88" t="s">
        <v>9390</v>
      </c>
      <c r="Z88" s="88" t="s">
        <v>9362</v>
      </c>
      <c r="AA88" s="88" t="s">
        <v>9363</v>
      </c>
      <c r="AB88" s="88" t="s">
        <v>9566</v>
      </c>
      <c r="AC88" s="90" t="n">
        <v>3</v>
      </c>
      <c r="AD88" s="90" t="n">
        <v>4</v>
      </c>
    </row>
    <row r="89" customFormat="false" ht="33" hidden="false" customHeight="true" outlineLevel="0" collapsed="false">
      <c r="A89" s="88" t="n">
        <v>88</v>
      </c>
      <c r="B89" s="89" t="n">
        <v>40</v>
      </c>
      <c r="C89" s="88" t="s">
        <v>9350</v>
      </c>
      <c r="D89" s="88" t="s">
        <v>437</v>
      </c>
      <c r="E89" s="88" t="s">
        <v>437</v>
      </c>
      <c r="F89" s="88" t="s">
        <v>9333</v>
      </c>
      <c r="G89" s="88" t="s">
        <v>9334</v>
      </c>
      <c r="H89" s="88" t="s">
        <v>9384</v>
      </c>
      <c r="I89" s="88" t="s">
        <v>9401</v>
      </c>
      <c r="J89" s="88" t="s">
        <v>9486</v>
      </c>
      <c r="K89" s="88" t="s">
        <v>9338</v>
      </c>
      <c r="L89" s="88" t="s">
        <v>9396</v>
      </c>
      <c r="M89" s="88" t="s">
        <v>9340</v>
      </c>
      <c r="N89" s="88" t="s">
        <v>9397</v>
      </c>
      <c r="O89" s="88" t="s">
        <v>9342</v>
      </c>
      <c r="P89" s="88" t="s">
        <v>9417</v>
      </c>
      <c r="Q89" s="88" t="s">
        <v>9344</v>
      </c>
      <c r="R89" s="90" t="n">
        <v>2</v>
      </c>
      <c r="S89" s="90" t="n">
        <v>1</v>
      </c>
      <c r="T89" s="90" t="n">
        <v>3</v>
      </c>
      <c r="U89" s="90" t="n">
        <v>3</v>
      </c>
      <c r="V89" s="90" t="n">
        <v>1</v>
      </c>
      <c r="W89" s="90" t="n">
        <v>2</v>
      </c>
      <c r="X89" s="88" t="s">
        <v>9507</v>
      </c>
      <c r="Y89" s="88" t="s">
        <v>9374</v>
      </c>
      <c r="Z89" s="88" t="s">
        <v>9391</v>
      </c>
      <c r="AA89" s="88" t="s">
        <v>9348</v>
      </c>
      <c r="AB89" s="88" t="s">
        <v>9567</v>
      </c>
      <c r="AC89" s="90" t="n">
        <v>5</v>
      </c>
      <c r="AD89" s="90" t="n">
        <v>5</v>
      </c>
    </row>
    <row r="90" customFormat="false" ht="33" hidden="false" customHeight="true" outlineLevel="0" collapsed="false">
      <c r="A90" s="88" t="n">
        <v>89</v>
      </c>
      <c r="B90" s="89" t="n">
        <v>50</v>
      </c>
      <c r="C90" s="88" t="s">
        <v>9332</v>
      </c>
      <c r="D90" s="88" t="s">
        <v>437</v>
      </c>
      <c r="E90" s="88" t="s">
        <v>437</v>
      </c>
      <c r="F90" s="88" t="s">
        <v>9400</v>
      </c>
      <c r="G90" s="88" t="s">
        <v>9414</v>
      </c>
      <c r="H90" s="88" t="s">
        <v>9384</v>
      </c>
      <c r="I90" s="88" t="s">
        <v>9431</v>
      </c>
      <c r="J90" s="88" t="s">
        <v>9420</v>
      </c>
      <c r="K90" s="88" t="s">
        <v>9338</v>
      </c>
      <c r="L90" s="88" t="s">
        <v>9339</v>
      </c>
      <c r="M90" s="88" t="s">
        <v>9340</v>
      </c>
      <c r="N90" s="88" t="s">
        <v>9568</v>
      </c>
      <c r="O90" s="88" t="s">
        <v>9342</v>
      </c>
      <c r="P90" s="88" t="s">
        <v>9343</v>
      </c>
      <c r="Q90" s="88" t="s">
        <v>9359</v>
      </c>
      <c r="R90" s="90" t="n">
        <v>2</v>
      </c>
      <c r="S90" s="90" t="n">
        <v>3</v>
      </c>
      <c r="T90" s="90" t="n">
        <v>1</v>
      </c>
      <c r="U90" s="90" t="n">
        <v>3</v>
      </c>
      <c r="V90" s="90" t="n">
        <v>1</v>
      </c>
      <c r="W90" s="90" t="n">
        <v>2</v>
      </c>
      <c r="X90" s="88" t="s">
        <v>9422</v>
      </c>
      <c r="Y90" s="88" t="s">
        <v>9390</v>
      </c>
      <c r="Z90" s="88" t="s">
        <v>9362</v>
      </c>
      <c r="AA90" s="88" t="s">
        <v>9348</v>
      </c>
      <c r="AB90" s="88" t="s">
        <v>9569</v>
      </c>
      <c r="AC90" s="90" t="n">
        <v>5</v>
      </c>
      <c r="AD90" s="90" t="n">
        <v>4</v>
      </c>
    </row>
    <row r="91" customFormat="false" ht="33" hidden="false" customHeight="true" outlineLevel="0" collapsed="false">
      <c r="A91" s="88" t="n">
        <v>90</v>
      </c>
      <c r="B91" s="89" t="n">
        <v>36</v>
      </c>
      <c r="C91" s="88" t="s">
        <v>9350</v>
      </c>
      <c r="D91" s="88" t="s">
        <v>437</v>
      </c>
      <c r="E91" s="88" t="s">
        <v>437</v>
      </c>
      <c r="F91" s="88" t="s">
        <v>9485</v>
      </c>
      <c r="G91" s="88" t="s">
        <v>9351</v>
      </c>
      <c r="H91" s="88" t="s">
        <v>9401</v>
      </c>
      <c r="I91" s="88" t="s">
        <v>9428</v>
      </c>
      <c r="J91" s="88" t="s">
        <v>9385</v>
      </c>
      <c r="K91" s="88" t="s">
        <v>9510</v>
      </c>
      <c r="L91" s="88" t="s">
        <v>9454</v>
      </c>
      <c r="M91" s="88" t="s">
        <v>9340</v>
      </c>
      <c r="N91" s="88" t="s">
        <v>9570</v>
      </c>
      <c r="O91" s="88" t="s">
        <v>9358</v>
      </c>
      <c r="P91" s="88" t="s">
        <v>9359</v>
      </c>
      <c r="Q91" s="88" t="s">
        <v>9359</v>
      </c>
      <c r="R91" s="90" t="n">
        <v>3</v>
      </c>
      <c r="S91" s="90" t="n">
        <v>1</v>
      </c>
      <c r="T91" s="90" t="n">
        <v>2</v>
      </c>
      <c r="U91" s="90" t="n">
        <v>3</v>
      </c>
      <c r="V91" s="90" t="n">
        <v>1</v>
      </c>
      <c r="W91" s="90" t="n">
        <v>2</v>
      </c>
      <c r="X91" s="88" t="s">
        <v>9518</v>
      </c>
      <c r="Y91" s="88" t="s">
        <v>9381</v>
      </c>
      <c r="Z91" s="88" t="s">
        <v>9375</v>
      </c>
      <c r="AA91" s="88" t="s">
        <v>9348</v>
      </c>
      <c r="AB91" s="88" t="s">
        <v>9364</v>
      </c>
      <c r="AC91" s="90" t="n">
        <v>4</v>
      </c>
      <c r="AD91" s="90" t="n">
        <v>3</v>
      </c>
    </row>
    <row r="92" customFormat="false" ht="33" hidden="false" customHeight="true" outlineLevel="0" collapsed="false">
      <c r="A92" s="88" t="n">
        <v>91</v>
      </c>
      <c r="B92" s="89" t="n">
        <v>49</v>
      </c>
      <c r="C92" s="88" t="s">
        <v>9350</v>
      </c>
      <c r="D92" s="88" t="s">
        <v>437</v>
      </c>
      <c r="E92" s="88" t="s">
        <v>437</v>
      </c>
      <c r="F92" s="88" t="s">
        <v>9333</v>
      </c>
      <c r="G92" s="88" t="s">
        <v>9407</v>
      </c>
      <c r="H92" s="88" t="s">
        <v>9352</v>
      </c>
      <c r="I92" s="88" t="s">
        <v>9503</v>
      </c>
      <c r="J92" s="88" t="s">
        <v>9408</v>
      </c>
      <c r="K92" s="88" t="s">
        <v>9355</v>
      </c>
      <c r="L92" s="88" t="s">
        <v>9396</v>
      </c>
      <c r="M92" s="88" t="s">
        <v>9340</v>
      </c>
      <c r="N92" s="88" t="s">
        <v>9397</v>
      </c>
      <c r="O92" s="88" t="s">
        <v>9342</v>
      </c>
      <c r="P92" s="88" t="s">
        <v>9359</v>
      </c>
      <c r="Q92" s="88" t="s">
        <v>9359</v>
      </c>
      <c r="R92" s="90" t="n">
        <v>3</v>
      </c>
      <c r="S92" s="90" t="n">
        <v>2</v>
      </c>
      <c r="T92" s="90" t="n">
        <v>1</v>
      </c>
      <c r="U92" s="90" t="n">
        <v>3</v>
      </c>
      <c r="V92" s="90" t="n">
        <v>1</v>
      </c>
      <c r="W92" s="90" t="n">
        <v>2</v>
      </c>
      <c r="X92" s="88" t="s">
        <v>9507</v>
      </c>
      <c r="Y92" s="88" t="s">
        <v>9390</v>
      </c>
      <c r="Z92" s="88" t="s">
        <v>9375</v>
      </c>
      <c r="AA92" s="88" t="s">
        <v>9363</v>
      </c>
      <c r="AB92" s="88" t="s">
        <v>9541</v>
      </c>
      <c r="AC92" s="90" t="n">
        <v>4</v>
      </c>
      <c r="AD92" s="90" t="n">
        <v>4</v>
      </c>
    </row>
    <row r="93" customFormat="false" ht="33" hidden="false" customHeight="true" outlineLevel="0" collapsed="false">
      <c r="A93" s="88" t="n">
        <v>92</v>
      </c>
      <c r="B93" s="89" t="n">
        <v>24</v>
      </c>
      <c r="C93" s="88" t="s">
        <v>9332</v>
      </c>
      <c r="D93" s="88" t="s">
        <v>437</v>
      </c>
      <c r="E93" s="88" t="s">
        <v>437</v>
      </c>
      <c r="F93" s="88" t="s">
        <v>9333</v>
      </c>
      <c r="G93" s="88" t="s">
        <v>9407</v>
      </c>
      <c r="H93" s="88" t="s">
        <v>9335</v>
      </c>
      <c r="I93" s="88" t="s">
        <v>9368</v>
      </c>
      <c r="J93" s="88" t="s">
        <v>9402</v>
      </c>
      <c r="K93" s="88" t="s">
        <v>9338</v>
      </c>
      <c r="L93" s="88" t="s">
        <v>9477</v>
      </c>
      <c r="M93" s="88" t="s">
        <v>9376</v>
      </c>
      <c r="N93" s="88" t="s">
        <v>9437</v>
      </c>
      <c r="O93" s="88" t="s">
        <v>9388</v>
      </c>
      <c r="P93" s="88" t="s">
        <v>9359</v>
      </c>
      <c r="Q93" s="88" t="s">
        <v>9359</v>
      </c>
      <c r="R93" s="90" t="n">
        <v>3</v>
      </c>
      <c r="S93" s="90" t="n">
        <v>1</v>
      </c>
      <c r="T93" s="90" t="n">
        <v>2</v>
      </c>
      <c r="U93" s="90" t="n">
        <v>2</v>
      </c>
      <c r="V93" s="90" t="n">
        <v>1</v>
      </c>
      <c r="W93" s="90" t="n">
        <v>3</v>
      </c>
      <c r="X93" s="88" t="s">
        <v>9398</v>
      </c>
      <c r="Y93" s="88" t="s">
        <v>9390</v>
      </c>
      <c r="Z93" s="88" t="s">
        <v>9391</v>
      </c>
      <c r="AA93" s="88" t="s">
        <v>9348</v>
      </c>
      <c r="AB93" s="88" t="s">
        <v>9458</v>
      </c>
      <c r="AC93" s="90" t="n">
        <v>4</v>
      </c>
      <c r="AD93" s="90" t="n">
        <v>4</v>
      </c>
    </row>
    <row r="94" customFormat="false" ht="33" hidden="false" customHeight="true" outlineLevel="0" collapsed="false">
      <c r="A94" s="88" t="n">
        <v>93</v>
      </c>
      <c r="B94" s="89" t="n">
        <v>62</v>
      </c>
      <c r="C94" s="88" t="s">
        <v>9350</v>
      </c>
      <c r="D94" s="88" t="s">
        <v>437</v>
      </c>
      <c r="E94" s="88" t="s">
        <v>437</v>
      </c>
      <c r="F94" s="88" t="s">
        <v>9365</v>
      </c>
      <c r="G94" s="88" t="s">
        <v>9407</v>
      </c>
      <c r="H94" s="88" t="s">
        <v>9401</v>
      </c>
      <c r="I94" s="88" t="s">
        <v>9401</v>
      </c>
      <c r="J94" s="88" t="s">
        <v>9354</v>
      </c>
      <c r="K94" s="88" t="s">
        <v>9355</v>
      </c>
      <c r="L94" s="88" t="s">
        <v>9339</v>
      </c>
      <c r="M94" s="88" t="s">
        <v>9340</v>
      </c>
      <c r="N94" s="88" t="s">
        <v>9571</v>
      </c>
      <c r="O94" s="88" t="s">
        <v>9388</v>
      </c>
      <c r="P94" s="88" t="s">
        <v>9359</v>
      </c>
      <c r="Q94" s="88" t="s">
        <v>9359</v>
      </c>
      <c r="R94" s="90" t="n">
        <v>3</v>
      </c>
      <c r="S94" s="90" t="n">
        <v>1</v>
      </c>
      <c r="T94" s="90" t="n">
        <v>2</v>
      </c>
      <c r="U94" s="90" t="n">
        <v>3</v>
      </c>
      <c r="V94" s="90" t="n">
        <v>1</v>
      </c>
      <c r="W94" s="90" t="n">
        <v>2</v>
      </c>
      <c r="X94" s="88" t="s">
        <v>9422</v>
      </c>
      <c r="Y94" s="88" t="s">
        <v>9390</v>
      </c>
      <c r="Z94" s="88" t="s">
        <v>9362</v>
      </c>
      <c r="AA94" s="88" t="s">
        <v>9376</v>
      </c>
      <c r="AB94" s="88"/>
      <c r="AC94" s="90" t="n">
        <v>5</v>
      </c>
      <c r="AD94" s="90" t="n">
        <v>4</v>
      </c>
    </row>
    <row r="95" customFormat="false" ht="33" hidden="false" customHeight="true" outlineLevel="0" collapsed="false">
      <c r="A95" s="88" t="n">
        <v>94</v>
      </c>
      <c r="B95" s="89" t="n">
        <v>23</v>
      </c>
      <c r="C95" s="88" t="s">
        <v>9332</v>
      </c>
      <c r="D95" s="88" t="s">
        <v>437</v>
      </c>
      <c r="E95" s="88" t="s">
        <v>437</v>
      </c>
      <c r="F95" s="88" t="s">
        <v>9333</v>
      </c>
      <c r="G95" s="88" t="s">
        <v>9366</v>
      </c>
      <c r="H95" s="88" t="s">
        <v>9367</v>
      </c>
      <c r="I95" s="88" t="s">
        <v>9428</v>
      </c>
      <c r="J95" s="88" t="s">
        <v>9354</v>
      </c>
      <c r="K95" s="88" t="s">
        <v>9338</v>
      </c>
      <c r="L95" s="88" t="s">
        <v>9476</v>
      </c>
      <c r="M95" s="88" t="s">
        <v>9340</v>
      </c>
      <c r="N95" s="88" t="s">
        <v>9440</v>
      </c>
      <c r="O95" s="88" t="s">
        <v>9342</v>
      </c>
      <c r="P95" s="88" t="s">
        <v>9343</v>
      </c>
      <c r="Q95" s="88" t="s">
        <v>9359</v>
      </c>
      <c r="R95" s="90" t="n">
        <v>2</v>
      </c>
      <c r="S95" s="90" t="n">
        <v>1</v>
      </c>
      <c r="T95" s="90" t="n">
        <v>3</v>
      </c>
      <c r="U95" s="90" t="n">
        <v>1</v>
      </c>
      <c r="V95" s="90" t="n">
        <v>2</v>
      </c>
      <c r="W95" s="90" t="n">
        <v>3</v>
      </c>
      <c r="X95" s="88" t="s">
        <v>9398</v>
      </c>
      <c r="Y95" s="88" t="s">
        <v>9374</v>
      </c>
      <c r="Z95" s="88" t="s">
        <v>9362</v>
      </c>
      <c r="AA95" s="88" t="s">
        <v>9348</v>
      </c>
      <c r="AB95" s="88" t="s">
        <v>9423</v>
      </c>
      <c r="AC95" s="90" t="n">
        <v>5</v>
      </c>
      <c r="AD95" s="90" t="n">
        <v>5</v>
      </c>
    </row>
    <row r="96" customFormat="false" ht="33" hidden="false" customHeight="true" outlineLevel="0" collapsed="false">
      <c r="A96" s="88" t="n">
        <v>95</v>
      </c>
      <c r="B96" s="89" t="n">
        <v>63</v>
      </c>
      <c r="C96" s="88" t="s">
        <v>9332</v>
      </c>
      <c r="D96" s="88" t="s">
        <v>437</v>
      </c>
      <c r="E96" s="88" t="s">
        <v>437</v>
      </c>
      <c r="F96" s="88" t="s">
        <v>9400</v>
      </c>
      <c r="G96" s="88" t="s">
        <v>9366</v>
      </c>
      <c r="H96" s="88" t="s">
        <v>9401</v>
      </c>
      <c r="I96" s="88" t="s">
        <v>9401</v>
      </c>
      <c r="J96" s="88" t="s">
        <v>9420</v>
      </c>
      <c r="K96" s="88" t="s">
        <v>9510</v>
      </c>
      <c r="L96" s="88" t="s">
        <v>9370</v>
      </c>
      <c r="M96" s="88" t="s">
        <v>9340</v>
      </c>
      <c r="N96" s="88" t="s">
        <v>9478</v>
      </c>
      <c r="O96" s="88" t="s">
        <v>9388</v>
      </c>
      <c r="P96" s="88" t="s">
        <v>9359</v>
      </c>
      <c r="Q96" s="88" t="s">
        <v>9359</v>
      </c>
      <c r="R96" s="90" t="n">
        <v>1</v>
      </c>
      <c r="S96" s="90" t="n">
        <v>2</v>
      </c>
      <c r="T96" s="90" t="n">
        <v>3</v>
      </c>
      <c r="U96" s="90" t="n">
        <v>1</v>
      </c>
      <c r="V96" s="90" t="n">
        <v>2</v>
      </c>
      <c r="W96" s="90" t="n">
        <v>3</v>
      </c>
      <c r="X96" s="88" t="s">
        <v>9398</v>
      </c>
      <c r="Y96" s="88" t="s">
        <v>9374</v>
      </c>
      <c r="Z96" s="88" t="s">
        <v>9362</v>
      </c>
      <c r="AA96" s="88" t="s">
        <v>9376</v>
      </c>
      <c r="AB96" s="88"/>
      <c r="AC96" s="90" t="n">
        <v>4</v>
      </c>
      <c r="AD96" s="90" t="n">
        <v>4</v>
      </c>
    </row>
    <row r="97" customFormat="false" ht="33" hidden="false" customHeight="true" outlineLevel="0" collapsed="false">
      <c r="A97" s="88" t="n">
        <v>96</v>
      </c>
      <c r="B97" s="89" t="n">
        <v>23</v>
      </c>
      <c r="C97" s="88" t="s">
        <v>9332</v>
      </c>
      <c r="D97" s="88" t="s">
        <v>437</v>
      </c>
      <c r="E97" s="88" t="s">
        <v>437</v>
      </c>
      <c r="F97" s="88" t="s">
        <v>9333</v>
      </c>
      <c r="G97" s="88" t="s">
        <v>9414</v>
      </c>
      <c r="H97" s="88" t="s">
        <v>9367</v>
      </c>
      <c r="I97" s="88" t="s">
        <v>9336</v>
      </c>
      <c r="J97" s="88" t="s">
        <v>9460</v>
      </c>
      <c r="K97" s="88" t="s">
        <v>9338</v>
      </c>
      <c r="L97" s="88" t="s">
        <v>9521</v>
      </c>
      <c r="M97" s="88" t="s">
        <v>9340</v>
      </c>
      <c r="N97" s="88" t="s">
        <v>9466</v>
      </c>
      <c r="O97" s="88" t="s">
        <v>9342</v>
      </c>
      <c r="P97" s="88" t="s">
        <v>9372</v>
      </c>
      <c r="Q97" s="88" t="s">
        <v>9344</v>
      </c>
      <c r="R97" s="90" t="n">
        <v>1</v>
      </c>
      <c r="S97" s="90" t="n">
        <v>2</v>
      </c>
      <c r="T97" s="90" t="n">
        <v>3</v>
      </c>
      <c r="U97" s="90" t="n">
        <v>1</v>
      </c>
      <c r="V97" s="90" t="n">
        <v>2</v>
      </c>
      <c r="W97" s="90" t="n">
        <v>3</v>
      </c>
      <c r="X97" s="88" t="s">
        <v>9452</v>
      </c>
      <c r="Y97" s="88" t="s">
        <v>9361</v>
      </c>
      <c r="Z97" s="88" t="s">
        <v>9391</v>
      </c>
      <c r="AA97" s="88" t="s">
        <v>9348</v>
      </c>
      <c r="AB97" s="88" t="s">
        <v>9561</v>
      </c>
      <c r="AC97" s="90" t="n">
        <v>5</v>
      </c>
      <c r="AD97" s="90" t="n">
        <v>5</v>
      </c>
    </row>
    <row r="98" customFormat="false" ht="33" hidden="false" customHeight="true" outlineLevel="0" collapsed="false">
      <c r="A98" s="88" t="n">
        <v>97</v>
      </c>
      <c r="B98" s="89" t="n">
        <v>23</v>
      </c>
      <c r="C98" s="88" t="s">
        <v>9332</v>
      </c>
      <c r="D98" s="88" t="s">
        <v>437</v>
      </c>
      <c r="E98" s="88" t="s">
        <v>255</v>
      </c>
      <c r="F98" s="88" t="s">
        <v>9333</v>
      </c>
      <c r="G98" s="88" t="s">
        <v>9351</v>
      </c>
      <c r="H98" s="88" t="s">
        <v>9384</v>
      </c>
      <c r="I98" s="88" t="s">
        <v>9431</v>
      </c>
      <c r="J98" s="88" t="s">
        <v>9385</v>
      </c>
      <c r="K98" s="88" t="s">
        <v>9338</v>
      </c>
      <c r="L98" s="88" t="s">
        <v>9370</v>
      </c>
      <c r="M98" s="88" t="s">
        <v>9340</v>
      </c>
      <c r="N98" s="88" t="s">
        <v>9570</v>
      </c>
      <c r="O98" s="88" t="s">
        <v>9342</v>
      </c>
      <c r="P98" s="88" t="s">
        <v>9343</v>
      </c>
      <c r="Q98" s="88" t="s">
        <v>9344</v>
      </c>
      <c r="R98" s="90" t="n">
        <v>3</v>
      </c>
      <c r="S98" s="90" t="n">
        <v>1</v>
      </c>
      <c r="T98" s="90" t="n">
        <v>2</v>
      </c>
      <c r="U98" s="90" t="n">
        <v>3</v>
      </c>
      <c r="V98" s="90" t="n">
        <v>1</v>
      </c>
      <c r="W98" s="90" t="n">
        <v>2</v>
      </c>
      <c r="X98" s="88" t="s">
        <v>9389</v>
      </c>
      <c r="Y98" s="88" t="s">
        <v>9390</v>
      </c>
      <c r="Z98" s="88" t="s">
        <v>9362</v>
      </c>
      <c r="AA98" s="88" t="s">
        <v>9363</v>
      </c>
      <c r="AB98" s="88" t="s">
        <v>9456</v>
      </c>
      <c r="AC98" s="90" t="n">
        <v>4</v>
      </c>
      <c r="AD98" s="90" t="n">
        <v>4</v>
      </c>
    </row>
    <row r="99" customFormat="false" ht="33" hidden="false" customHeight="true" outlineLevel="0" collapsed="false">
      <c r="A99" s="88" t="n">
        <v>98</v>
      </c>
      <c r="B99" s="89" t="n">
        <v>52</v>
      </c>
      <c r="C99" s="88" t="s">
        <v>9332</v>
      </c>
      <c r="D99" s="88" t="s">
        <v>437</v>
      </c>
      <c r="E99" s="88" t="s">
        <v>437</v>
      </c>
      <c r="F99" s="88" t="s">
        <v>9392</v>
      </c>
      <c r="G99" s="88" t="s">
        <v>9334</v>
      </c>
      <c r="H99" s="88" t="s">
        <v>9377</v>
      </c>
      <c r="I99" s="88" t="s">
        <v>9336</v>
      </c>
      <c r="J99" s="88" t="s">
        <v>9408</v>
      </c>
      <c r="K99" s="88" t="s">
        <v>9338</v>
      </c>
      <c r="L99" s="88" t="s">
        <v>9504</v>
      </c>
      <c r="M99" s="88" t="s">
        <v>9340</v>
      </c>
      <c r="N99" s="88" t="s">
        <v>9462</v>
      </c>
      <c r="O99" s="88" t="s">
        <v>9342</v>
      </c>
      <c r="P99" s="88" t="s">
        <v>9372</v>
      </c>
      <c r="Q99" s="88" t="s">
        <v>9410</v>
      </c>
      <c r="R99" s="90" t="n">
        <v>1</v>
      </c>
      <c r="S99" s="90" t="n">
        <v>2</v>
      </c>
      <c r="T99" s="90" t="n">
        <v>3</v>
      </c>
      <c r="U99" s="90" t="n">
        <v>2</v>
      </c>
      <c r="V99" s="90" t="n">
        <v>1</v>
      </c>
      <c r="W99" s="90" t="n">
        <v>3</v>
      </c>
      <c r="X99" s="88" t="s">
        <v>9389</v>
      </c>
      <c r="Y99" s="88" t="s">
        <v>9361</v>
      </c>
      <c r="Z99" s="88" t="s">
        <v>9347</v>
      </c>
      <c r="AA99" s="88" t="s">
        <v>9348</v>
      </c>
      <c r="AB99" s="88" t="s">
        <v>9561</v>
      </c>
      <c r="AC99" s="90" t="n">
        <v>5</v>
      </c>
      <c r="AD99" s="90" t="n">
        <v>5</v>
      </c>
    </row>
    <row r="100" customFormat="false" ht="33" hidden="false" customHeight="true" outlineLevel="0" collapsed="false">
      <c r="A100" s="88" t="n">
        <v>99</v>
      </c>
      <c r="B100" s="89" t="n">
        <v>22</v>
      </c>
      <c r="C100" s="88" t="s">
        <v>9332</v>
      </c>
      <c r="D100" s="88" t="s">
        <v>437</v>
      </c>
      <c r="E100" s="88" t="s">
        <v>437</v>
      </c>
      <c r="F100" s="88" t="s">
        <v>9365</v>
      </c>
      <c r="G100" s="88" t="s">
        <v>9407</v>
      </c>
      <c r="H100" s="88" t="s">
        <v>9401</v>
      </c>
      <c r="I100" s="88" t="s">
        <v>9336</v>
      </c>
      <c r="J100" s="88" t="s">
        <v>9460</v>
      </c>
      <c r="K100" s="88" t="s">
        <v>9338</v>
      </c>
      <c r="L100" s="88" t="s">
        <v>9480</v>
      </c>
      <c r="M100" s="88" t="s">
        <v>9340</v>
      </c>
      <c r="N100" s="88" t="s">
        <v>9478</v>
      </c>
      <c r="O100" s="88" t="s">
        <v>9358</v>
      </c>
      <c r="P100" s="88" t="s">
        <v>9343</v>
      </c>
      <c r="Q100" s="88" t="s">
        <v>9359</v>
      </c>
      <c r="R100" s="90" t="n">
        <v>1</v>
      </c>
      <c r="S100" s="90" t="n">
        <v>2</v>
      </c>
      <c r="T100" s="90" t="n">
        <v>3</v>
      </c>
      <c r="U100" s="90" t="n">
        <v>3</v>
      </c>
      <c r="V100" s="90" t="n">
        <v>1</v>
      </c>
      <c r="W100" s="90" t="n">
        <v>2</v>
      </c>
      <c r="X100" s="88" t="s">
        <v>9418</v>
      </c>
      <c r="Y100" s="88" t="s">
        <v>9374</v>
      </c>
      <c r="Z100" s="88" t="s">
        <v>9391</v>
      </c>
      <c r="AA100" s="88" t="s">
        <v>9363</v>
      </c>
      <c r="AB100" s="88" t="s">
        <v>9572</v>
      </c>
      <c r="AC100" s="90" t="n">
        <v>4</v>
      </c>
      <c r="AD100" s="90" t="n">
        <v>3</v>
      </c>
    </row>
    <row r="101" customFormat="false" ht="33" hidden="false" customHeight="true" outlineLevel="0" collapsed="false">
      <c r="A101" s="88" t="n">
        <v>100</v>
      </c>
      <c r="B101" s="89" t="n">
        <v>23</v>
      </c>
      <c r="C101" s="88" t="s">
        <v>9350</v>
      </c>
      <c r="D101" s="88" t="s">
        <v>437</v>
      </c>
      <c r="E101" s="88" t="s">
        <v>437</v>
      </c>
      <c r="F101" s="88" t="s">
        <v>9333</v>
      </c>
      <c r="G101" s="88" t="s">
        <v>9414</v>
      </c>
      <c r="H101" s="88" t="s">
        <v>9377</v>
      </c>
      <c r="I101" s="88" t="s">
        <v>9368</v>
      </c>
      <c r="J101" s="88" t="s">
        <v>9385</v>
      </c>
      <c r="K101" s="88" t="s">
        <v>9338</v>
      </c>
      <c r="L101" s="88" t="s">
        <v>9370</v>
      </c>
      <c r="M101" s="88" t="s">
        <v>9340</v>
      </c>
      <c r="N101" s="88" t="s">
        <v>9478</v>
      </c>
      <c r="O101" s="88" t="s">
        <v>9342</v>
      </c>
      <c r="P101" s="88" t="s">
        <v>9343</v>
      </c>
      <c r="Q101" s="88" t="s">
        <v>9344</v>
      </c>
      <c r="R101" s="90" t="n">
        <v>2</v>
      </c>
      <c r="S101" s="90" t="n">
        <v>1</v>
      </c>
      <c r="T101" s="90" t="n">
        <v>3</v>
      </c>
      <c r="U101" s="90" t="n">
        <v>2</v>
      </c>
      <c r="V101" s="90" t="n">
        <v>1</v>
      </c>
      <c r="W101" s="90" t="n">
        <v>3</v>
      </c>
      <c r="X101" s="88" t="s">
        <v>9430</v>
      </c>
      <c r="Y101" s="88" t="s">
        <v>9390</v>
      </c>
      <c r="Z101" s="88" t="s">
        <v>9391</v>
      </c>
      <c r="AA101" s="88" t="s">
        <v>9376</v>
      </c>
      <c r="AB101" s="88"/>
      <c r="AC101" s="90" t="n">
        <v>3</v>
      </c>
      <c r="AD101" s="90" t="n">
        <v>3</v>
      </c>
    </row>
    <row r="102" customFormat="false" ht="33" hidden="false" customHeight="true" outlineLevel="0" collapsed="false">
      <c r="A102" s="88" t="n">
        <v>101</v>
      </c>
      <c r="B102" s="89" t="n">
        <v>22</v>
      </c>
      <c r="C102" s="88" t="s">
        <v>9332</v>
      </c>
      <c r="D102" s="88" t="s">
        <v>437</v>
      </c>
      <c r="E102" s="88" t="s">
        <v>437</v>
      </c>
      <c r="F102" s="88" t="s">
        <v>9333</v>
      </c>
      <c r="G102" s="88" t="s">
        <v>9414</v>
      </c>
      <c r="H102" s="88" t="s">
        <v>9335</v>
      </c>
      <c r="I102" s="88" t="s">
        <v>9368</v>
      </c>
      <c r="J102" s="88" t="s">
        <v>9460</v>
      </c>
      <c r="K102" s="88" t="s">
        <v>9338</v>
      </c>
      <c r="L102" s="88" t="s">
        <v>9492</v>
      </c>
      <c r="M102" s="88" t="s">
        <v>9340</v>
      </c>
      <c r="N102" s="88" t="s">
        <v>9502</v>
      </c>
      <c r="O102" s="88" t="s">
        <v>9342</v>
      </c>
      <c r="P102" s="88" t="s">
        <v>9359</v>
      </c>
      <c r="Q102" s="88" t="s">
        <v>9359</v>
      </c>
      <c r="R102" s="90" t="n">
        <v>2</v>
      </c>
      <c r="S102" s="90" t="n">
        <v>1</v>
      </c>
      <c r="T102" s="90" t="n">
        <v>3</v>
      </c>
      <c r="U102" s="90" t="n">
        <v>2</v>
      </c>
      <c r="V102" s="90" t="n">
        <v>1</v>
      </c>
      <c r="W102" s="90" t="n">
        <v>3</v>
      </c>
      <c r="X102" s="88" t="s">
        <v>9430</v>
      </c>
      <c r="Y102" s="88" t="s">
        <v>9374</v>
      </c>
      <c r="Z102" s="88" t="s">
        <v>9405</v>
      </c>
      <c r="AA102" s="88" t="s">
        <v>9363</v>
      </c>
      <c r="AB102" s="88" t="s">
        <v>9573</v>
      </c>
      <c r="AC102" s="90" t="n">
        <v>4</v>
      </c>
      <c r="AD102" s="90" t="n">
        <v>4</v>
      </c>
    </row>
    <row r="103" customFormat="false" ht="33" hidden="false" customHeight="true" outlineLevel="0" collapsed="false">
      <c r="A103" s="88" t="n">
        <v>102</v>
      </c>
      <c r="B103" s="89" t="n">
        <v>24</v>
      </c>
      <c r="C103" s="88" t="s">
        <v>9350</v>
      </c>
      <c r="D103" s="88" t="s">
        <v>437</v>
      </c>
      <c r="E103" s="88" t="s">
        <v>47</v>
      </c>
      <c r="F103" s="88" t="s">
        <v>9333</v>
      </c>
      <c r="G103" s="88" t="s">
        <v>9407</v>
      </c>
      <c r="H103" s="88" t="s">
        <v>9384</v>
      </c>
      <c r="I103" s="88" t="s">
        <v>9401</v>
      </c>
      <c r="J103" s="88" t="s">
        <v>9574</v>
      </c>
      <c r="K103" s="88" t="s">
        <v>9338</v>
      </c>
      <c r="L103" s="88" t="s">
        <v>9555</v>
      </c>
      <c r="M103" s="88" t="s">
        <v>9340</v>
      </c>
      <c r="N103" s="88" t="s">
        <v>9570</v>
      </c>
      <c r="O103" s="88" t="s">
        <v>9388</v>
      </c>
      <c r="P103" s="88" t="s">
        <v>9372</v>
      </c>
      <c r="Q103" s="88" t="s">
        <v>9359</v>
      </c>
      <c r="R103" s="90" t="n">
        <v>3</v>
      </c>
      <c r="S103" s="90" t="n">
        <v>1</v>
      </c>
      <c r="T103" s="90" t="n">
        <v>2</v>
      </c>
      <c r="U103" s="90" t="n">
        <v>3</v>
      </c>
      <c r="V103" s="90" t="n">
        <v>2</v>
      </c>
      <c r="W103" s="90" t="n">
        <v>1</v>
      </c>
      <c r="X103" s="88" t="s">
        <v>9575</v>
      </c>
      <c r="Y103" s="88" t="s">
        <v>9381</v>
      </c>
      <c r="Z103" s="88" t="s">
        <v>9405</v>
      </c>
      <c r="AA103" s="88" t="s">
        <v>9376</v>
      </c>
      <c r="AB103" s="88"/>
      <c r="AC103" s="90" t="n">
        <v>5</v>
      </c>
      <c r="AD103" s="90" t="n">
        <v>5</v>
      </c>
    </row>
    <row r="104" customFormat="false" ht="33" hidden="false" customHeight="true" outlineLevel="0" collapsed="false">
      <c r="A104" s="88" t="n">
        <v>103</v>
      </c>
      <c r="B104" s="89" t="n">
        <v>25</v>
      </c>
      <c r="C104" s="88" t="s">
        <v>9332</v>
      </c>
      <c r="D104" s="88" t="s">
        <v>437</v>
      </c>
      <c r="E104" s="88" t="s">
        <v>93</v>
      </c>
      <c r="F104" s="88" t="s">
        <v>9333</v>
      </c>
      <c r="G104" s="88" t="s">
        <v>9334</v>
      </c>
      <c r="H104" s="88" t="s">
        <v>9377</v>
      </c>
      <c r="I104" s="88" t="s">
        <v>9336</v>
      </c>
      <c r="J104" s="88" t="s">
        <v>9576</v>
      </c>
      <c r="K104" s="88" t="s">
        <v>9338</v>
      </c>
      <c r="L104" s="88" t="s">
        <v>9370</v>
      </c>
      <c r="M104" s="88" t="s">
        <v>9340</v>
      </c>
      <c r="N104" s="88" t="s">
        <v>9371</v>
      </c>
      <c r="O104" s="88" t="s">
        <v>9342</v>
      </c>
      <c r="P104" s="88" t="s">
        <v>9359</v>
      </c>
      <c r="Q104" s="88" t="s">
        <v>9359</v>
      </c>
      <c r="R104" s="90" t="n">
        <v>2</v>
      </c>
      <c r="S104" s="90" t="n">
        <v>1</v>
      </c>
      <c r="T104" s="90" t="n">
        <v>3</v>
      </c>
      <c r="U104" s="90" t="n">
        <v>1</v>
      </c>
      <c r="V104" s="90" t="n">
        <v>2</v>
      </c>
      <c r="W104" s="90" t="n">
        <v>3</v>
      </c>
      <c r="X104" s="88" t="s">
        <v>9577</v>
      </c>
      <c r="Y104" s="88" t="s">
        <v>9374</v>
      </c>
      <c r="Z104" s="88" t="s">
        <v>9362</v>
      </c>
      <c r="AA104" s="88" t="s">
        <v>9363</v>
      </c>
      <c r="AB104" s="88" t="s">
        <v>9578</v>
      </c>
      <c r="AC104" s="90" t="n">
        <v>4</v>
      </c>
      <c r="AD104" s="90" t="n">
        <v>4</v>
      </c>
    </row>
    <row r="105" customFormat="false" ht="33" hidden="false" customHeight="true" outlineLevel="0" collapsed="false">
      <c r="A105" s="88" t="n">
        <v>104</v>
      </c>
      <c r="B105" s="89" t="n">
        <v>24</v>
      </c>
      <c r="C105" s="88" t="s">
        <v>9350</v>
      </c>
      <c r="D105" s="88" t="s">
        <v>437</v>
      </c>
      <c r="E105" s="88" t="s">
        <v>47</v>
      </c>
      <c r="F105" s="88" t="s">
        <v>9333</v>
      </c>
      <c r="G105" s="88" t="s">
        <v>9407</v>
      </c>
      <c r="H105" s="88" t="s">
        <v>9401</v>
      </c>
      <c r="I105" s="88" t="s">
        <v>9336</v>
      </c>
      <c r="J105" s="88" t="s">
        <v>9579</v>
      </c>
      <c r="K105" s="88" t="s">
        <v>9395</v>
      </c>
      <c r="L105" s="88" t="s">
        <v>9476</v>
      </c>
      <c r="M105" s="88" t="s">
        <v>9348</v>
      </c>
      <c r="N105" s="88" t="s">
        <v>9580</v>
      </c>
      <c r="O105" s="88" t="s">
        <v>9388</v>
      </c>
      <c r="P105" s="88" t="s">
        <v>9372</v>
      </c>
      <c r="Q105" s="88" t="s">
        <v>9410</v>
      </c>
      <c r="R105" s="90" t="n">
        <v>1</v>
      </c>
      <c r="S105" s="90" t="n">
        <v>2</v>
      </c>
      <c r="T105" s="90" t="n">
        <v>2</v>
      </c>
      <c r="U105" s="90" t="n">
        <v>1</v>
      </c>
      <c r="V105" s="90" t="n">
        <v>2</v>
      </c>
      <c r="W105" s="90" t="n">
        <v>2</v>
      </c>
      <c r="X105" s="88" t="s">
        <v>9581</v>
      </c>
      <c r="Y105" s="88" t="s">
        <v>9361</v>
      </c>
      <c r="Z105" s="88" t="s">
        <v>9391</v>
      </c>
      <c r="AA105" s="88" t="s">
        <v>9363</v>
      </c>
      <c r="AB105" s="88" t="s">
        <v>9582</v>
      </c>
      <c r="AC105" s="90" t="n">
        <v>4</v>
      </c>
      <c r="AD105" s="90" t="n">
        <v>4</v>
      </c>
    </row>
    <row r="106" customFormat="false" ht="33" hidden="false" customHeight="true" outlineLevel="0" collapsed="false">
      <c r="A106" s="88" t="n">
        <v>105</v>
      </c>
      <c r="B106" s="89" t="n">
        <v>24</v>
      </c>
      <c r="C106" s="88" t="s">
        <v>9332</v>
      </c>
      <c r="D106" s="88" t="s">
        <v>93</v>
      </c>
      <c r="E106" s="88" t="s">
        <v>8380</v>
      </c>
      <c r="F106" s="88" t="s">
        <v>9333</v>
      </c>
      <c r="G106" s="88" t="s">
        <v>9366</v>
      </c>
      <c r="H106" s="88" t="s">
        <v>9377</v>
      </c>
      <c r="I106" s="88" t="s">
        <v>9336</v>
      </c>
      <c r="J106" s="88" t="s">
        <v>9583</v>
      </c>
      <c r="K106" s="88" t="s">
        <v>9510</v>
      </c>
      <c r="L106" s="88" t="s">
        <v>9356</v>
      </c>
      <c r="M106" s="88" t="s">
        <v>9340</v>
      </c>
      <c r="N106" s="88" t="s">
        <v>9397</v>
      </c>
      <c r="O106" s="88" t="s">
        <v>9342</v>
      </c>
      <c r="P106" s="88" t="s">
        <v>9359</v>
      </c>
      <c r="Q106" s="88" t="s">
        <v>9359</v>
      </c>
      <c r="R106" s="90" t="n">
        <v>2</v>
      </c>
      <c r="S106" s="90" t="n">
        <v>1</v>
      </c>
      <c r="T106" s="90" t="n">
        <v>3</v>
      </c>
      <c r="U106" s="90" t="n">
        <v>2</v>
      </c>
      <c r="V106" s="90" t="n">
        <v>1</v>
      </c>
      <c r="W106" s="90" t="n">
        <v>3</v>
      </c>
      <c r="X106" s="88" t="s">
        <v>9389</v>
      </c>
      <c r="Y106" s="88" t="s">
        <v>9361</v>
      </c>
      <c r="Z106" s="88" t="s">
        <v>9447</v>
      </c>
      <c r="AA106" s="88" t="s">
        <v>9348</v>
      </c>
      <c r="AB106" s="88" t="s">
        <v>9364</v>
      </c>
      <c r="AC106" s="90" t="n">
        <v>4</v>
      </c>
      <c r="AD106" s="90" t="n">
        <v>3</v>
      </c>
    </row>
    <row r="107" customFormat="false" ht="33" hidden="false" customHeight="true" outlineLevel="0" collapsed="false">
      <c r="A107" s="88" t="n">
        <v>106</v>
      </c>
      <c r="B107" s="89" t="n">
        <v>36</v>
      </c>
      <c r="C107" s="88" t="s">
        <v>9350</v>
      </c>
      <c r="D107" s="88" t="s">
        <v>437</v>
      </c>
      <c r="E107" s="88" t="s">
        <v>50</v>
      </c>
      <c r="F107" s="88" t="s">
        <v>9333</v>
      </c>
      <c r="G107" s="88" t="s">
        <v>9351</v>
      </c>
      <c r="H107" s="88" t="s">
        <v>9384</v>
      </c>
      <c r="I107" s="88" t="s">
        <v>9431</v>
      </c>
      <c r="J107" s="88" t="s">
        <v>9378</v>
      </c>
      <c r="K107" s="88" t="s">
        <v>9338</v>
      </c>
      <c r="L107" s="88" t="s">
        <v>9421</v>
      </c>
      <c r="M107" s="88" t="s">
        <v>9348</v>
      </c>
      <c r="N107" s="88" t="s">
        <v>9397</v>
      </c>
      <c r="O107" s="88" t="s">
        <v>9388</v>
      </c>
      <c r="P107" s="88" t="s">
        <v>9359</v>
      </c>
      <c r="Q107" s="88" t="s">
        <v>9359</v>
      </c>
      <c r="R107" s="90" t="n">
        <v>3</v>
      </c>
      <c r="S107" s="90" t="n">
        <v>2</v>
      </c>
      <c r="T107" s="90" t="n">
        <v>1</v>
      </c>
      <c r="U107" s="90" t="n">
        <v>3</v>
      </c>
      <c r="V107" s="90" t="n">
        <v>2</v>
      </c>
      <c r="W107" s="90" t="n">
        <v>1</v>
      </c>
      <c r="X107" s="88" t="s">
        <v>9584</v>
      </c>
      <c r="Y107" s="88" t="s">
        <v>9381</v>
      </c>
      <c r="Z107" s="88" t="s">
        <v>9447</v>
      </c>
      <c r="AA107" s="88" t="s">
        <v>9363</v>
      </c>
      <c r="AB107" s="88" t="s">
        <v>9585</v>
      </c>
      <c r="AC107" s="90" t="n">
        <v>5</v>
      </c>
      <c r="AD107" s="90" t="n">
        <v>5</v>
      </c>
    </row>
    <row r="108" customFormat="false" ht="33" hidden="false" customHeight="true" outlineLevel="0" collapsed="false">
      <c r="A108" s="88" t="n">
        <v>107</v>
      </c>
      <c r="B108" s="89" t="n">
        <v>20</v>
      </c>
      <c r="C108" s="88" t="s">
        <v>9332</v>
      </c>
      <c r="D108" s="88" t="s">
        <v>1687</v>
      </c>
      <c r="E108" s="88" t="s">
        <v>50</v>
      </c>
      <c r="F108" s="88" t="s">
        <v>9365</v>
      </c>
      <c r="G108" s="88" t="s">
        <v>9366</v>
      </c>
      <c r="H108" s="88" t="s">
        <v>9377</v>
      </c>
      <c r="I108" s="88" t="s">
        <v>9431</v>
      </c>
      <c r="J108" s="88" t="s">
        <v>9537</v>
      </c>
      <c r="K108" s="88" t="s">
        <v>9338</v>
      </c>
      <c r="L108" s="88" t="s">
        <v>9476</v>
      </c>
      <c r="M108" s="88" t="s">
        <v>9340</v>
      </c>
      <c r="N108" s="88" t="s">
        <v>9371</v>
      </c>
      <c r="O108" s="88" t="s">
        <v>9342</v>
      </c>
      <c r="P108" s="88" t="s">
        <v>9359</v>
      </c>
      <c r="Q108" s="88" t="s">
        <v>9359</v>
      </c>
      <c r="R108" s="90" t="n">
        <v>3</v>
      </c>
      <c r="S108" s="90" t="n">
        <v>1</v>
      </c>
      <c r="T108" s="90" t="n">
        <v>2</v>
      </c>
      <c r="U108" s="90" t="n">
        <v>3</v>
      </c>
      <c r="V108" s="90" t="n">
        <v>1</v>
      </c>
      <c r="W108" s="90" t="n">
        <v>2</v>
      </c>
      <c r="X108" s="88" t="s">
        <v>9484</v>
      </c>
      <c r="Y108" s="88" t="s">
        <v>9346</v>
      </c>
      <c r="Z108" s="88" t="s">
        <v>9375</v>
      </c>
      <c r="AA108" s="88" t="s">
        <v>9363</v>
      </c>
      <c r="AB108" s="88" t="s">
        <v>9557</v>
      </c>
      <c r="AC108" s="90" t="n">
        <v>4</v>
      </c>
      <c r="AD108" s="90" t="n">
        <v>4</v>
      </c>
    </row>
    <row r="109" customFormat="false" ht="33" hidden="false" customHeight="true" outlineLevel="0" collapsed="false">
      <c r="A109" s="88" t="n">
        <v>108</v>
      </c>
      <c r="B109" s="89" t="n">
        <v>22</v>
      </c>
      <c r="C109" s="88" t="s">
        <v>9332</v>
      </c>
      <c r="D109" s="88" t="s">
        <v>437</v>
      </c>
      <c r="E109" s="88" t="s">
        <v>2651</v>
      </c>
      <c r="F109" s="88" t="s">
        <v>9333</v>
      </c>
      <c r="G109" s="88" t="s">
        <v>9414</v>
      </c>
      <c r="H109" s="88" t="s">
        <v>9377</v>
      </c>
      <c r="I109" s="88" t="s">
        <v>9503</v>
      </c>
      <c r="J109" s="88" t="s">
        <v>9586</v>
      </c>
      <c r="K109" s="88" t="s">
        <v>9338</v>
      </c>
      <c r="L109" s="88" t="s">
        <v>9587</v>
      </c>
      <c r="M109" s="88" t="s">
        <v>9348</v>
      </c>
      <c r="N109" s="88" t="s">
        <v>9588</v>
      </c>
      <c r="O109" s="88" t="s">
        <v>9388</v>
      </c>
      <c r="P109" s="88" t="s">
        <v>9359</v>
      </c>
      <c r="Q109" s="88" t="s">
        <v>9359</v>
      </c>
      <c r="R109" s="90" t="n">
        <v>1</v>
      </c>
      <c r="S109" s="90" t="n">
        <v>3</v>
      </c>
      <c r="T109" s="90" t="n">
        <v>2</v>
      </c>
      <c r="U109" s="90" t="n">
        <v>2</v>
      </c>
      <c r="V109" s="90" t="n">
        <v>1</v>
      </c>
      <c r="W109" s="90" t="n">
        <v>3</v>
      </c>
      <c r="X109" s="88" t="s">
        <v>9398</v>
      </c>
      <c r="Y109" s="88" t="s">
        <v>9381</v>
      </c>
      <c r="Z109" s="88" t="s">
        <v>9382</v>
      </c>
      <c r="AA109" s="88" t="s">
        <v>9348</v>
      </c>
      <c r="AB109" s="88" t="s">
        <v>9589</v>
      </c>
      <c r="AC109" s="90" t="n">
        <v>5</v>
      </c>
      <c r="AD109" s="90" t="n">
        <v>5</v>
      </c>
    </row>
    <row r="110" customFormat="false" ht="33" hidden="false" customHeight="true" outlineLevel="0" collapsed="false">
      <c r="A110" s="88" t="n">
        <v>109</v>
      </c>
      <c r="B110" s="89" t="n">
        <v>25</v>
      </c>
      <c r="C110" s="88" t="s">
        <v>9590</v>
      </c>
      <c r="D110" s="88" t="s">
        <v>437</v>
      </c>
      <c r="E110" s="88" t="s">
        <v>2651</v>
      </c>
      <c r="F110" s="88" t="s">
        <v>9333</v>
      </c>
      <c r="G110" s="88" t="s">
        <v>9366</v>
      </c>
      <c r="H110" s="88" t="s">
        <v>9377</v>
      </c>
      <c r="I110" s="88" t="s">
        <v>9401</v>
      </c>
      <c r="J110" s="88" t="s">
        <v>9591</v>
      </c>
      <c r="K110" s="88" t="s">
        <v>9338</v>
      </c>
      <c r="L110" s="88" t="s">
        <v>9370</v>
      </c>
      <c r="M110" s="88" t="s">
        <v>9340</v>
      </c>
      <c r="N110" s="88" t="s">
        <v>9592</v>
      </c>
      <c r="O110" s="88" t="s">
        <v>9342</v>
      </c>
      <c r="P110" s="88" t="s">
        <v>9372</v>
      </c>
      <c r="Q110" s="88" t="s">
        <v>9344</v>
      </c>
      <c r="R110" s="90" t="n">
        <v>1</v>
      </c>
      <c r="S110" s="90" t="n">
        <v>2</v>
      </c>
      <c r="T110" s="90" t="n">
        <v>3</v>
      </c>
      <c r="U110" s="90" t="n">
        <v>1</v>
      </c>
      <c r="V110" s="90" t="n">
        <v>1</v>
      </c>
      <c r="W110" s="90" t="n">
        <v>1</v>
      </c>
      <c r="X110" s="88" t="s">
        <v>9418</v>
      </c>
      <c r="Y110" s="88" t="s">
        <v>9390</v>
      </c>
      <c r="Z110" s="88" t="s">
        <v>9362</v>
      </c>
      <c r="AA110" s="88" t="s">
        <v>9348</v>
      </c>
      <c r="AB110" s="88" t="s">
        <v>9541</v>
      </c>
      <c r="AC110" s="90" t="n">
        <v>3</v>
      </c>
      <c r="AD110" s="90" t="n">
        <v>5</v>
      </c>
    </row>
    <row r="111" customFormat="false" ht="33" hidden="false" customHeight="true" outlineLevel="0" collapsed="false">
      <c r="A111" s="88" t="n">
        <v>110</v>
      </c>
      <c r="B111" s="89" t="n">
        <v>23</v>
      </c>
      <c r="C111" s="88" t="s">
        <v>9332</v>
      </c>
      <c r="D111" s="88" t="s">
        <v>437</v>
      </c>
      <c r="E111" s="88" t="s">
        <v>2651</v>
      </c>
      <c r="F111" s="88" t="s">
        <v>9333</v>
      </c>
      <c r="G111" s="88" t="s">
        <v>9414</v>
      </c>
      <c r="H111" s="88" t="s">
        <v>9593</v>
      </c>
      <c r="I111" s="88" t="s">
        <v>9428</v>
      </c>
      <c r="J111" s="88" t="s">
        <v>9420</v>
      </c>
      <c r="K111" s="88" t="s">
        <v>9338</v>
      </c>
      <c r="L111" s="88" t="s">
        <v>9594</v>
      </c>
      <c r="M111" s="88" t="s">
        <v>9340</v>
      </c>
      <c r="N111" s="88" t="s">
        <v>9595</v>
      </c>
      <c r="O111" s="88" t="s">
        <v>9342</v>
      </c>
      <c r="P111" s="88" t="s">
        <v>9372</v>
      </c>
      <c r="Q111" s="88" t="s">
        <v>9344</v>
      </c>
      <c r="R111" s="90" t="n">
        <v>2</v>
      </c>
      <c r="S111" s="90" t="n">
        <v>1</v>
      </c>
      <c r="T111" s="90" t="n">
        <v>3</v>
      </c>
      <c r="U111" s="90" t="n">
        <v>3</v>
      </c>
      <c r="V111" s="90" t="n">
        <v>1</v>
      </c>
      <c r="W111" s="90" t="n">
        <v>2</v>
      </c>
      <c r="X111" s="88" t="s">
        <v>9430</v>
      </c>
      <c r="Y111" s="88" t="s">
        <v>9390</v>
      </c>
      <c r="Z111" s="88" t="s">
        <v>9405</v>
      </c>
      <c r="AA111" s="88" t="s">
        <v>9348</v>
      </c>
      <c r="AB111" s="88" t="s">
        <v>9585</v>
      </c>
      <c r="AC111" s="90" t="n">
        <v>5</v>
      </c>
      <c r="AD111" s="90" t="n">
        <v>5</v>
      </c>
    </row>
    <row r="112" customFormat="false" ht="33" hidden="false" customHeight="true" outlineLevel="0" collapsed="false">
      <c r="A112" s="88" t="n">
        <v>111</v>
      </c>
      <c r="B112" s="89" t="n">
        <v>22</v>
      </c>
      <c r="C112" s="88" t="s">
        <v>9350</v>
      </c>
      <c r="D112" s="88" t="s">
        <v>437</v>
      </c>
      <c r="E112" s="88" t="s">
        <v>9596</v>
      </c>
      <c r="F112" s="88" t="s">
        <v>9496</v>
      </c>
      <c r="G112" s="88" t="s">
        <v>9470</v>
      </c>
      <c r="H112" s="88" t="s">
        <v>9335</v>
      </c>
      <c r="I112" s="88" t="s">
        <v>9368</v>
      </c>
      <c r="J112" s="88" t="s">
        <v>9369</v>
      </c>
      <c r="K112" s="88" t="s">
        <v>9338</v>
      </c>
      <c r="L112" s="88" t="s">
        <v>9480</v>
      </c>
      <c r="M112" s="88" t="s">
        <v>9340</v>
      </c>
      <c r="N112" s="88" t="s">
        <v>9502</v>
      </c>
      <c r="O112" s="88" t="s">
        <v>9388</v>
      </c>
      <c r="P112" s="88" t="s">
        <v>9372</v>
      </c>
      <c r="Q112" s="88" t="s">
        <v>9359</v>
      </c>
      <c r="R112" s="90" t="n">
        <v>3</v>
      </c>
      <c r="S112" s="90" t="n">
        <v>2</v>
      </c>
      <c r="T112" s="90" t="n">
        <v>1</v>
      </c>
      <c r="U112" s="90" t="n">
        <v>3</v>
      </c>
      <c r="V112" s="90" t="n">
        <v>2</v>
      </c>
      <c r="W112" s="90" t="n">
        <v>1</v>
      </c>
      <c r="X112" s="88" t="s">
        <v>9418</v>
      </c>
      <c r="Y112" s="88" t="s">
        <v>9381</v>
      </c>
      <c r="Z112" s="88" t="s">
        <v>9391</v>
      </c>
      <c r="AA112" s="88" t="s">
        <v>9348</v>
      </c>
      <c r="AB112" s="88"/>
      <c r="AC112" s="90" t="n">
        <v>3</v>
      </c>
      <c r="AD112" s="90" t="n">
        <v>4</v>
      </c>
    </row>
    <row r="113" customFormat="false" ht="33" hidden="false" customHeight="true" outlineLevel="0" collapsed="false">
      <c r="A113" s="88" t="n">
        <v>112</v>
      </c>
      <c r="B113" s="89" t="n">
        <v>35</v>
      </c>
      <c r="C113" s="88" t="s">
        <v>9350</v>
      </c>
      <c r="D113" s="88" t="s">
        <v>47</v>
      </c>
      <c r="E113" s="88" t="s">
        <v>172</v>
      </c>
      <c r="F113" s="88" t="s">
        <v>9365</v>
      </c>
      <c r="G113" s="88" t="s">
        <v>9407</v>
      </c>
      <c r="H113" s="88" t="s">
        <v>9377</v>
      </c>
      <c r="I113" s="88" t="s">
        <v>9353</v>
      </c>
      <c r="J113" s="88" t="s">
        <v>9385</v>
      </c>
      <c r="K113" s="88" t="s">
        <v>9338</v>
      </c>
      <c r="L113" s="88" t="s">
        <v>9454</v>
      </c>
      <c r="M113" s="88" t="s">
        <v>9348</v>
      </c>
      <c r="N113" s="88" t="s">
        <v>9488</v>
      </c>
      <c r="O113" s="88" t="s">
        <v>9342</v>
      </c>
      <c r="P113" s="88" t="s">
        <v>9359</v>
      </c>
      <c r="Q113" s="88" t="s">
        <v>9359</v>
      </c>
      <c r="R113" s="90" t="n">
        <v>2</v>
      </c>
      <c r="S113" s="90" t="n">
        <v>1</v>
      </c>
      <c r="T113" s="90" t="n">
        <v>3</v>
      </c>
      <c r="U113" s="90" t="n">
        <v>2</v>
      </c>
      <c r="V113" s="90" t="n">
        <v>1</v>
      </c>
      <c r="W113" s="90" t="n">
        <v>3</v>
      </c>
      <c r="X113" s="88" t="s">
        <v>9398</v>
      </c>
      <c r="Y113" s="88" t="s">
        <v>9361</v>
      </c>
      <c r="Z113" s="88" t="s">
        <v>9391</v>
      </c>
      <c r="AA113" s="88" t="s">
        <v>9348</v>
      </c>
      <c r="AB113" s="88" t="s">
        <v>9597</v>
      </c>
      <c r="AC113" s="90" t="n">
        <v>4</v>
      </c>
      <c r="AD113" s="90" t="n">
        <v>5</v>
      </c>
    </row>
    <row r="114" customFormat="false" ht="33" hidden="false" customHeight="true" outlineLevel="0" collapsed="false">
      <c r="A114" s="88" t="n">
        <v>113</v>
      </c>
      <c r="B114" s="89" t="n">
        <v>20</v>
      </c>
      <c r="C114" s="88" t="s">
        <v>9508</v>
      </c>
      <c r="D114" s="88" t="s">
        <v>4445</v>
      </c>
      <c r="E114" s="88" t="s">
        <v>4445</v>
      </c>
      <c r="F114" s="88" t="s">
        <v>9333</v>
      </c>
      <c r="G114" s="88" t="s">
        <v>9414</v>
      </c>
      <c r="H114" s="88" t="s">
        <v>9377</v>
      </c>
      <c r="I114" s="88" t="s">
        <v>9336</v>
      </c>
      <c r="J114" s="88" t="s">
        <v>9432</v>
      </c>
      <c r="K114" s="88" t="s">
        <v>9429</v>
      </c>
      <c r="L114" s="88" t="s">
        <v>9521</v>
      </c>
      <c r="M114" s="88" t="s">
        <v>9340</v>
      </c>
      <c r="N114" s="88" t="s">
        <v>9598</v>
      </c>
      <c r="O114" s="88" t="s">
        <v>9388</v>
      </c>
      <c r="P114" s="88" t="s">
        <v>9359</v>
      </c>
      <c r="Q114" s="88" t="s">
        <v>9359</v>
      </c>
      <c r="R114" s="90" t="n">
        <v>3</v>
      </c>
      <c r="S114" s="90" t="n">
        <v>1</v>
      </c>
      <c r="T114" s="90" t="n">
        <v>2</v>
      </c>
      <c r="U114" s="90" t="n">
        <v>2</v>
      </c>
      <c r="V114" s="90" t="n">
        <v>1</v>
      </c>
      <c r="W114" s="90" t="n">
        <v>3</v>
      </c>
      <c r="X114" s="88" t="s">
        <v>9398</v>
      </c>
      <c r="Y114" s="88" t="s">
        <v>9346</v>
      </c>
      <c r="Z114" s="88" t="s">
        <v>9447</v>
      </c>
      <c r="AA114" s="88" t="s">
        <v>9363</v>
      </c>
      <c r="AB114" s="88" t="s">
        <v>9423</v>
      </c>
      <c r="AC114" s="90" t="n">
        <v>2</v>
      </c>
      <c r="AD114" s="90" t="n">
        <v>5</v>
      </c>
    </row>
    <row r="115" customFormat="false" ht="33" hidden="false" customHeight="true" outlineLevel="0" collapsed="false">
      <c r="A115" s="88" t="n">
        <v>114</v>
      </c>
      <c r="B115" s="89" t="n">
        <v>25</v>
      </c>
      <c r="C115" s="88" t="s">
        <v>9332</v>
      </c>
      <c r="D115" s="88" t="s">
        <v>3277</v>
      </c>
      <c r="E115" s="88" t="s">
        <v>50</v>
      </c>
      <c r="F115" s="88" t="s">
        <v>9485</v>
      </c>
      <c r="G115" s="88" t="s">
        <v>9407</v>
      </c>
      <c r="H115" s="88" t="s">
        <v>9384</v>
      </c>
      <c r="I115" s="88" t="s">
        <v>9336</v>
      </c>
      <c r="J115" s="88" t="s">
        <v>9599</v>
      </c>
      <c r="K115" s="88" t="s">
        <v>9355</v>
      </c>
      <c r="L115" s="88" t="s">
        <v>9454</v>
      </c>
      <c r="M115" s="88" t="s">
        <v>9348</v>
      </c>
      <c r="N115" s="88" t="s">
        <v>9600</v>
      </c>
      <c r="O115" s="88" t="s">
        <v>9342</v>
      </c>
      <c r="P115" s="88" t="s">
        <v>9417</v>
      </c>
      <c r="Q115" s="88" t="s">
        <v>9359</v>
      </c>
      <c r="R115" s="90" t="n">
        <v>2</v>
      </c>
      <c r="S115" s="90" t="n">
        <v>1</v>
      </c>
      <c r="T115" s="90" t="n">
        <v>3</v>
      </c>
      <c r="U115" s="90" t="n">
        <v>2</v>
      </c>
      <c r="V115" s="90" t="n">
        <v>1</v>
      </c>
      <c r="W115" s="90" t="n">
        <v>3</v>
      </c>
      <c r="X115" s="88" t="s">
        <v>9601</v>
      </c>
      <c r="Y115" s="88" t="s">
        <v>9361</v>
      </c>
      <c r="Z115" s="88" t="s">
        <v>9375</v>
      </c>
      <c r="AA115" s="88" t="s">
        <v>9348</v>
      </c>
      <c r="AB115" s="88" t="s">
        <v>9427</v>
      </c>
      <c r="AC115" s="90" t="n">
        <v>3</v>
      </c>
      <c r="AD115" s="90" t="n">
        <v>5</v>
      </c>
    </row>
    <row r="116" customFormat="false" ht="33" hidden="false" customHeight="true" outlineLevel="0" collapsed="false">
      <c r="A116" s="88" t="n">
        <v>115</v>
      </c>
      <c r="B116" s="89" t="n">
        <v>37</v>
      </c>
      <c r="C116" s="88" t="s">
        <v>9332</v>
      </c>
      <c r="D116" s="88" t="s">
        <v>4445</v>
      </c>
      <c r="E116" s="88" t="s">
        <v>4445</v>
      </c>
      <c r="F116" s="88" t="s">
        <v>9392</v>
      </c>
      <c r="G116" s="88" t="s">
        <v>9366</v>
      </c>
      <c r="H116" s="88" t="s">
        <v>9335</v>
      </c>
      <c r="I116" s="88" t="s">
        <v>9431</v>
      </c>
      <c r="J116" s="88" t="s">
        <v>9402</v>
      </c>
      <c r="K116" s="88" t="s">
        <v>9429</v>
      </c>
      <c r="L116" s="88" t="s">
        <v>9487</v>
      </c>
      <c r="M116" s="88" t="s">
        <v>9340</v>
      </c>
      <c r="N116" s="88" t="s">
        <v>9387</v>
      </c>
      <c r="O116" s="88" t="s">
        <v>9342</v>
      </c>
      <c r="P116" s="88" t="s">
        <v>9359</v>
      </c>
      <c r="Q116" s="88" t="s">
        <v>9359</v>
      </c>
      <c r="R116" s="90" t="n">
        <v>2</v>
      </c>
      <c r="S116" s="90" t="n">
        <v>1</v>
      </c>
      <c r="T116" s="90" t="n">
        <v>3</v>
      </c>
      <c r="U116" s="90" t="n">
        <v>2</v>
      </c>
      <c r="V116" s="90" t="n">
        <v>1</v>
      </c>
      <c r="W116" s="90" t="n">
        <v>3</v>
      </c>
      <c r="X116" s="88" t="s">
        <v>9430</v>
      </c>
      <c r="Y116" s="88" t="s">
        <v>9374</v>
      </c>
      <c r="Z116" s="88" t="s">
        <v>9382</v>
      </c>
      <c r="AA116" s="88" t="s">
        <v>9363</v>
      </c>
      <c r="AB116" s="88" t="s">
        <v>9602</v>
      </c>
      <c r="AC116" s="90" t="n">
        <v>3</v>
      </c>
      <c r="AD116" s="90" t="n">
        <v>4</v>
      </c>
    </row>
    <row r="117" customFormat="false" ht="33" hidden="false" customHeight="true" outlineLevel="0" collapsed="false">
      <c r="A117" s="88" t="n">
        <v>116</v>
      </c>
      <c r="B117" s="89" t="n">
        <v>22</v>
      </c>
      <c r="C117" s="88" t="s">
        <v>9332</v>
      </c>
      <c r="D117" s="88" t="s">
        <v>437</v>
      </c>
      <c r="E117" s="88" t="s">
        <v>50</v>
      </c>
      <c r="F117" s="88" t="s">
        <v>9400</v>
      </c>
      <c r="G117" s="88" t="s">
        <v>9414</v>
      </c>
      <c r="H117" s="88" t="s">
        <v>9401</v>
      </c>
      <c r="I117" s="88" t="s">
        <v>9428</v>
      </c>
      <c r="J117" s="88" t="s">
        <v>9603</v>
      </c>
      <c r="K117" s="88" t="s">
        <v>9338</v>
      </c>
      <c r="L117" s="88" t="s">
        <v>9604</v>
      </c>
      <c r="M117" s="88" t="s">
        <v>9348</v>
      </c>
      <c r="N117" s="88" t="s">
        <v>9605</v>
      </c>
      <c r="O117" s="88" t="s">
        <v>9342</v>
      </c>
      <c r="P117" s="88" t="s">
        <v>9417</v>
      </c>
      <c r="Q117" s="88" t="s">
        <v>9359</v>
      </c>
      <c r="R117" s="90" t="n">
        <v>1</v>
      </c>
      <c r="S117" s="90" t="n">
        <v>2</v>
      </c>
      <c r="T117" s="90" t="n">
        <v>3</v>
      </c>
      <c r="U117" s="90" t="n">
        <v>1</v>
      </c>
      <c r="V117" s="90" t="n">
        <v>2</v>
      </c>
      <c r="W117" s="90" t="n">
        <v>3</v>
      </c>
      <c r="X117" s="88" t="s">
        <v>9501</v>
      </c>
      <c r="Y117" s="88" t="s">
        <v>9361</v>
      </c>
      <c r="Z117" s="88" t="s">
        <v>9391</v>
      </c>
      <c r="AA117" s="88" t="s">
        <v>9348</v>
      </c>
      <c r="AB117" s="88" t="s">
        <v>9442</v>
      </c>
      <c r="AC117" s="90" t="n">
        <v>5</v>
      </c>
      <c r="AD117" s="90" t="n">
        <v>5</v>
      </c>
    </row>
    <row r="118" customFormat="false" ht="33" hidden="false" customHeight="true" outlineLevel="0" collapsed="false">
      <c r="A118" s="88" t="n">
        <v>117</v>
      </c>
      <c r="B118" s="89" t="n">
        <v>22</v>
      </c>
      <c r="C118" s="88" t="s">
        <v>9350</v>
      </c>
      <c r="D118" s="88" t="s">
        <v>437</v>
      </c>
      <c r="E118" s="88" t="s">
        <v>50</v>
      </c>
      <c r="F118" s="88" t="s">
        <v>9485</v>
      </c>
      <c r="G118" s="88" t="s">
        <v>9366</v>
      </c>
      <c r="H118" s="88" t="s">
        <v>9384</v>
      </c>
      <c r="I118" s="88" t="s">
        <v>9368</v>
      </c>
      <c r="J118" s="88" t="s">
        <v>9420</v>
      </c>
      <c r="K118" s="88" t="s">
        <v>9338</v>
      </c>
      <c r="L118" s="88" t="s">
        <v>9606</v>
      </c>
      <c r="M118" s="88" t="s">
        <v>9386</v>
      </c>
      <c r="N118" s="88" t="s">
        <v>9522</v>
      </c>
      <c r="O118" s="88" t="s">
        <v>9342</v>
      </c>
      <c r="P118" s="88" t="s">
        <v>9372</v>
      </c>
      <c r="Q118" s="88" t="s">
        <v>9359</v>
      </c>
      <c r="R118" s="90" t="n">
        <v>1</v>
      </c>
      <c r="S118" s="90" t="n">
        <v>1</v>
      </c>
      <c r="T118" s="90" t="n">
        <v>1</v>
      </c>
      <c r="U118" s="90" t="n">
        <v>1</v>
      </c>
      <c r="V118" s="90" t="n">
        <v>1</v>
      </c>
      <c r="W118" s="90" t="n">
        <v>1</v>
      </c>
      <c r="X118" s="88" t="s">
        <v>9607</v>
      </c>
      <c r="Y118" s="88" t="s">
        <v>9381</v>
      </c>
      <c r="Z118" s="88" t="s">
        <v>9405</v>
      </c>
      <c r="AA118" s="88" t="s">
        <v>9376</v>
      </c>
      <c r="AB118" s="88" t="s">
        <v>9383</v>
      </c>
      <c r="AC118" s="90" t="n">
        <v>5</v>
      </c>
      <c r="AD118" s="90" t="n">
        <v>4</v>
      </c>
    </row>
    <row r="119" customFormat="false" ht="33" hidden="false" customHeight="true" outlineLevel="0" collapsed="false">
      <c r="A119" s="88" t="n">
        <v>118</v>
      </c>
      <c r="B119" s="89" t="n">
        <v>22</v>
      </c>
      <c r="C119" s="88" t="s">
        <v>9332</v>
      </c>
      <c r="D119" s="88" t="s">
        <v>437</v>
      </c>
      <c r="E119" s="88" t="s">
        <v>50</v>
      </c>
      <c r="F119" s="88" t="s">
        <v>9333</v>
      </c>
      <c r="G119" s="88" t="s">
        <v>9407</v>
      </c>
      <c r="H119" s="88" t="s">
        <v>9401</v>
      </c>
      <c r="I119" s="88" t="s">
        <v>9401</v>
      </c>
      <c r="J119" s="88" t="s">
        <v>9369</v>
      </c>
      <c r="K119" s="88" t="s">
        <v>9338</v>
      </c>
      <c r="L119" s="88" t="s">
        <v>9421</v>
      </c>
      <c r="M119" s="88" t="s">
        <v>9376</v>
      </c>
      <c r="N119" s="88" t="s">
        <v>9592</v>
      </c>
      <c r="O119" s="88" t="s">
        <v>9342</v>
      </c>
      <c r="P119" s="88" t="s">
        <v>9359</v>
      </c>
      <c r="Q119" s="88" t="s">
        <v>9359</v>
      </c>
      <c r="R119" s="90" t="n">
        <v>1</v>
      </c>
      <c r="S119" s="90" t="n">
        <v>2</v>
      </c>
      <c r="T119" s="90" t="n">
        <v>3</v>
      </c>
      <c r="U119" s="90" t="n">
        <v>1</v>
      </c>
      <c r="V119" s="90" t="n">
        <v>2</v>
      </c>
      <c r="W119" s="90" t="n">
        <v>3</v>
      </c>
      <c r="X119" s="88" t="s">
        <v>9608</v>
      </c>
      <c r="Y119" s="88" t="s">
        <v>9361</v>
      </c>
      <c r="Z119" s="88" t="s">
        <v>9447</v>
      </c>
      <c r="AA119" s="88" t="s">
        <v>9348</v>
      </c>
      <c r="AB119" s="88" t="s">
        <v>9589</v>
      </c>
      <c r="AC119" s="90" t="n">
        <v>4</v>
      </c>
      <c r="AD119" s="90" t="n">
        <v>4</v>
      </c>
    </row>
    <row r="120" customFormat="false" ht="33" hidden="false" customHeight="true" outlineLevel="0" collapsed="false">
      <c r="A120" s="88" t="n">
        <v>119</v>
      </c>
      <c r="B120" s="89" t="n">
        <v>79</v>
      </c>
      <c r="C120" s="88" t="s">
        <v>9332</v>
      </c>
      <c r="D120" s="88" t="s">
        <v>2651</v>
      </c>
      <c r="E120" s="88" t="s">
        <v>2651</v>
      </c>
      <c r="F120" s="88" t="s">
        <v>9392</v>
      </c>
      <c r="G120" s="88" t="s">
        <v>9351</v>
      </c>
      <c r="H120" s="88" t="s">
        <v>4468</v>
      </c>
      <c r="I120" s="88" t="s">
        <v>9353</v>
      </c>
      <c r="J120" s="88" t="s">
        <v>9369</v>
      </c>
      <c r="K120" s="88" t="s">
        <v>9510</v>
      </c>
      <c r="L120" s="88" t="s">
        <v>9609</v>
      </c>
      <c r="M120" s="88" t="s">
        <v>9386</v>
      </c>
      <c r="N120" s="88" t="s">
        <v>9610</v>
      </c>
      <c r="O120" s="88" t="s">
        <v>9342</v>
      </c>
      <c r="P120" s="88" t="s">
        <v>9359</v>
      </c>
      <c r="Q120" s="88" t="s">
        <v>9359</v>
      </c>
      <c r="R120" s="90" t="n">
        <v>3</v>
      </c>
      <c r="S120" s="90" t="n">
        <v>1</v>
      </c>
      <c r="T120" s="90" t="n">
        <v>2</v>
      </c>
      <c r="U120" s="90" t="n">
        <v>3</v>
      </c>
      <c r="V120" s="90" t="n">
        <v>1</v>
      </c>
      <c r="W120" s="90" t="n">
        <v>2</v>
      </c>
      <c r="X120" s="88" t="s">
        <v>9389</v>
      </c>
      <c r="Y120" s="88" t="s">
        <v>9390</v>
      </c>
      <c r="Z120" s="88" t="s">
        <v>9391</v>
      </c>
      <c r="AA120" s="88" t="s">
        <v>9348</v>
      </c>
      <c r="AB120" s="88" t="s">
        <v>9611</v>
      </c>
      <c r="AC120" s="90" t="n">
        <v>4</v>
      </c>
      <c r="AD120" s="90" t="n">
        <v>4</v>
      </c>
    </row>
    <row r="121" customFormat="false" ht="33" hidden="false" customHeight="true" outlineLevel="0" collapsed="false">
      <c r="A121" s="88" t="n">
        <v>120</v>
      </c>
      <c r="B121" s="89" t="n">
        <v>23</v>
      </c>
      <c r="C121" s="88" t="s">
        <v>9332</v>
      </c>
      <c r="D121" s="88" t="s">
        <v>3511</v>
      </c>
      <c r="E121" s="88" t="s">
        <v>3511</v>
      </c>
      <c r="F121" s="88" t="s">
        <v>9333</v>
      </c>
      <c r="G121" s="88" t="s">
        <v>9407</v>
      </c>
      <c r="H121" s="88" t="s">
        <v>9401</v>
      </c>
      <c r="I121" s="88" t="s">
        <v>9401</v>
      </c>
      <c r="J121" s="88" t="s">
        <v>9612</v>
      </c>
      <c r="K121" s="88" t="s">
        <v>9338</v>
      </c>
      <c r="L121" s="88" t="s">
        <v>9454</v>
      </c>
      <c r="M121" s="88" t="s">
        <v>9340</v>
      </c>
      <c r="N121" s="88" t="s">
        <v>9462</v>
      </c>
      <c r="O121" s="88" t="s">
        <v>9388</v>
      </c>
      <c r="P121" s="88" t="s">
        <v>9372</v>
      </c>
      <c r="Q121" s="88" t="s">
        <v>9359</v>
      </c>
      <c r="R121" s="90" t="n">
        <v>1</v>
      </c>
      <c r="S121" s="90" t="n">
        <v>2</v>
      </c>
      <c r="T121" s="90" t="n">
        <v>3</v>
      </c>
      <c r="U121" s="90" t="n">
        <v>1</v>
      </c>
      <c r="V121" s="90" t="n">
        <v>2</v>
      </c>
      <c r="W121" s="90" t="n">
        <v>3</v>
      </c>
      <c r="X121" s="88" t="s">
        <v>9398</v>
      </c>
      <c r="Y121" s="88" t="s">
        <v>9381</v>
      </c>
      <c r="Z121" s="88" t="s">
        <v>9426</v>
      </c>
      <c r="AA121" s="88" t="s">
        <v>9348</v>
      </c>
      <c r="AB121" s="88" t="s">
        <v>9613</v>
      </c>
      <c r="AC121" s="90" t="n">
        <v>3</v>
      </c>
      <c r="AD121" s="90" t="n">
        <v>4</v>
      </c>
    </row>
    <row r="122" customFormat="false" ht="33" hidden="false" customHeight="true" outlineLevel="0" collapsed="false">
      <c r="A122" s="88" t="n">
        <v>121</v>
      </c>
      <c r="B122" s="89" t="n">
        <v>23</v>
      </c>
      <c r="C122" s="88" t="s">
        <v>9332</v>
      </c>
      <c r="D122" s="88" t="s">
        <v>1025</v>
      </c>
      <c r="E122" s="88" t="s">
        <v>2651</v>
      </c>
      <c r="F122" s="88" t="s">
        <v>9333</v>
      </c>
      <c r="G122" s="88" t="s">
        <v>9351</v>
      </c>
      <c r="H122" s="88" t="s">
        <v>9352</v>
      </c>
      <c r="I122" s="88" t="s">
        <v>9336</v>
      </c>
      <c r="J122" s="88" t="s">
        <v>9354</v>
      </c>
      <c r="K122" s="88" t="s">
        <v>9355</v>
      </c>
      <c r="L122" s="88" t="s">
        <v>9356</v>
      </c>
      <c r="M122" s="88" t="s">
        <v>9340</v>
      </c>
      <c r="N122" s="88" t="s">
        <v>9462</v>
      </c>
      <c r="O122" s="88" t="s">
        <v>9388</v>
      </c>
      <c r="P122" s="88" t="s">
        <v>9372</v>
      </c>
      <c r="Q122" s="88" t="s">
        <v>9344</v>
      </c>
      <c r="R122" s="90" t="n">
        <v>3</v>
      </c>
      <c r="S122" s="90" t="n">
        <v>1</v>
      </c>
      <c r="T122" s="90" t="n">
        <v>2</v>
      </c>
      <c r="U122" s="90" t="n">
        <v>3</v>
      </c>
      <c r="V122" s="90" t="n">
        <v>1</v>
      </c>
      <c r="W122" s="90" t="n">
        <v>2</v>
      </c>
      <c r="X122" s="88" t="s">
        <v>9518</v>
      </c>
      <c r="Y122" s="88" t="s">
        <v>9381</v>
      </c>
      <c r="Z122" s="88" t="s">
        <v>9447</v>
      </c>
      <c r="AA122" s="88" t="s">
        <v>9363</v>
      </c>
      <c r="AB122" s="88" t="s">
        <v>9526</v>
      </c>
      <c r="AC122" s="90" t="n">
        <v>4</v>
      </c>
      <c r="AD122" s="90" t="n">
        <v>5</v>
      </c>
    </row>
    <row r="123" customFormat="false" ht="33" hidden="false" customHeight="true" outlineLevel="0" collapsed="false">
      <c r="A123" s="88" t="n">
        <v>122</v>
      </c>
      <c r="B123" s="89" t="n">
        <v>21</v>
      </c>
      <c r="C123" s="88" t="s">
        <v>9350</v>
      </c>
      <c r="D123" s="88" t="s">
        <v>437</v>
      </c>
      <c r="E123" s="88" t="s">
        <v>47</v>
      </c>
      <c r="F123" s="88" t="s">
        <v>9333</v>
      </c>
      <c r="G123" s="88" t="s">
        <v>9351</v>
      </c>
      <c r="H123" s="88" t="s">
        <v>9401</v>
      </c>
      <c r="I123" s="88" t="s">
        <v>9431</v>
      </c>
      <c r="J123" s="88" t="s">
        <v>9537</v>
      </c>
      <c r="K123" s="88" t="s">
        <v>9338</v>
      </c>
      <c r="L123" s="88" t="s">
        <v>9370</v>
      </c>
      <c r="M123" s="88" t="s">
        <v>9376</v>
      </c>
      <c r="N123" s="88" t="s">
        <v>9614</v>
      </c>
      <c r="O123" s="88" t="s">
        <v>9342</v>
      </c>
      <c r="P123" s="88" t="s">
        <v>9359</v>
      </c>
      <c r="Q123" s="88" t="s">
        <v>9359</v>
      </c>
      <c r="R123" s="90" t="n">
        <v>3</v>
      </c>
      <c r="S123" s="90" t="n">
        <v>1</v>
      </c>
      <c r="T123" s="90" t="n">
        <v>2</v>
      </c>
      <c r="U123" s="90" t="n">
        <v>3</v>
      </c>
      <c r="V123" s="90" t="n">
        <v>1</v>
      </c>
      <c r="W123" s="90" t="n">
        <v>2</v>
      </c>
      <c r="X123" s="88" t="s">
        <v>9484</v>
      </c>
      <c r="Y123" s="88" t="s">
        <v>9381</v>
      </c>
      <c r="Z123" s="88" t="s">
        <v>9391</v>
      </c>
      <c r="AA123" s="88" t="s">
        <v>9348</v>
      </c>
      <c r="AB123" s="88" t="s">
        <v>9364</v>
      </c>
      <c r="AC123" s="90" t="n">
        <v>4</v>
      </c>
      <c r="AD123" s="90"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6" activeCellId="0" sqref="G26"/>
    </sheetView>
  </sheetViews>
  <sheetFormatPr defaultColWidth="22.00390625" defaultRowHeight="15.75" zeroHeight="false" outlineLevelRow="0" outlineLevelCol="0"/>
  <cols>
    <col collapsed="false" customWidth="false" hidden="false" outlineLevel="0" max="16384" min="1" style="91" width="22"/>
  </cols>
  <sheetData>
    <row r="1" customFormat="false" ht="63" hidden="false" customHeight="true" outlineLevel="0" collapsed="false">
      <c r="A1" s="92" t="s">
        <v>9615</v>
      </c>
      <c r="B1" s="92" t="s">
        <v>8941</v>
      </c>
      <c r="C1" s="92" t="s">
        <v>9616</v>
      </c>
      <c r="D1" s="92" t="s">
        <v>9617</v>
      </c>
      <c r="E1" s="92" t="s">
        <v>7730</v>
      </c>
      <c r="F1" s="92" t="s">
        <v>9618</v>
      </c>
      <c r="G1" s="92" t="s">
        <v>7732</v>
      </c>
      <c r="H1" s="92" t="s">
        <v>7733</v>
      </c>
      <c r="I1" s="92" t="s">
        <v>7734</v>
      </c>
      <c r="J1" s="92" t="s">
        <v>7735</v>
      </c>
      <c r="K1" s="92" t="s">
        <v>7736</v>
      </c>
      <c r="L1" s="92" t="s">
        <v>9619</v>
      </c>
      <c r="M1" s="92" t="s">
        <v>9620</v>
      </c>
      <c r="N1" s="92" t="s">
        <v>9621</v>
      </c>
      <c r="O1" s="92" t="s">
        <v>9622</v>
      </c>
      <c r="P1" s="92" t="s">
        <v>9623</v>
      </c>
      <c r="Q1" s="92" t="s">
        <v>9624</v>
      </c>
      <c r="R1" s="92" t="s">
        <v>9625</v>
      </c>
      <c r="S1" s="92" t="s">
        <v>9626</v>
      </c>
      <c r="T1" s="92" t="s">
        <v>9627</v>
      </c>
      <c r="U1" s="92" t="s">
        <v>9628</v>
      </c>
      <c r="V1" s="92" t="s">
        <v>9629</v>
      </c>
      <c r="W1" s="92" t="s">
        <v>9630</v>
      </c>
      <c r="X1" s="92" t="s">
        <v>9631</v>
      </c>
      <c r="Y1" s="92" t="s">
        <v>9632</v>
      </c>
      <c r="Z1" s="93"/>
    </row>
    <row r="2" customFormat="false" ht="15.75" hidden="false" customHeight="true" outlineLevel="0" collapsed="false">
      <c r="A2" s="91" t="n">
        <v>21</v>
      </c>
      <c r="B2" s="91" t="s">
        <v>45</v>
      </c>
      <c r="C2" s="91" t="s">
        <v>289</v>
      </c>
      <c r="D2" s="91" t="s">
        <v>49</v>
      </c>
      <c r="E2" s="91" t="s">
        <v>4480</v>
      </c>
      <c r="F2" s="91" t="n">
        <v>23</v>
      </c>
      <c r="G2" s="91" t="s">
        <v>4481</v>
      </c>
      <c r="H2" s="91" t="s">
        <v>4482</v>
      </c>
      <c r="I2" s="91" t="s">
        <v>4483</v>
      </c>
      <c r="J2" s="91" t="s">
        <v>4484</v>
      </c>
      <c r="K2" s="91" t="s">
        <v>4485</v>
      </c>
      <c r="L2" s="91" t="s">
        <v>4486</v>
      </c>
      <c r="M2" s="91" t="s">
        <v>9633</v>
      </c>
      <c r="N2" s="91" t="s">
        <v>9634</v>
      </c>
      <c r="O2" s="91" t="s">
        <v>9635</v>
      </c>
      <c r="P2" s="91" t="s">
        <v>9635</v>
      </c>
      <c r="Q2" s="91" t="s">
        <v>9633</v>
      </c>
      <c r="R2" s="91" t="s">
        <v>9634</v>
      </c>
      <c r="S2" s="91" t="s">
        <v>4487</v>
      </c>
      <c r="T2" s="91" t="s">
        <v>4488</v>
      </c>
      <c r="U2" s="91" t="s">
        <v>4489</v>
      </c>
      <c r="V2" s="91" t="s">
        <v>4490</v>
      </c>
      <c r="W2" s="91" t="n">
        <v>3</v>
      </c>
      <c r="X2" s="91" t="s">
        <v>4491</v>
      </c>
    </row>
    <row r="3" customFormat="false" ht="15.75" hidden="false" customHeight="true" outlineLevel="0" collapsed="false">
      <c r="A3" s="91" t="n">
        <v>21</v>
      </c>
      <c r="B3" s="91" t="s">
        <v>45</v>
      </c>
      <c r="C3" s="91" t="s">
        <v>71</v>
      </c>
      <c r="D3" s="91" t="s">
        <v>71</v>
      </c>
      <c r="E3" s="91" t="s">
        <v>4493</v>
      </c>
      <c r="F3" s="91" t="n">
        <v>20</v>
      </c>
      <c r="G3" s="91" t="s">
        <v>4494</v>
      </c>
      <c r="H3" s="91" t="s">
        <v>4495</v>
      </c>
      <c r="I3" s="91" t="s">
        <v>4496</v>
      </c>
      <c r="J3" s="91" t="s">
        <v>4497</v>
      </c>
      <c r="K3" s="91" t="s">
        <v>59</v>
      </c>
      <c r="L3" s="91" t="s">
        <v>4498</v>
      </c>
      <c r="M3" s="91" t="s">
        <v>9635</v>
      </c>
      <c r="N3" s="91" t="s">
        <v>9633</v>
      </c>
      <c r="O3" s="91" t="s">
        <v>9634</v>
      </c>
      <c r="P3" s="91" t="s">
        <v>9634</v>
      </c>
      <c r="Q3" s="91" t="s">
        <v>9633</v>
      </c>
      <c r="R3" s="91" t="s">
        <v>9635</v>
      </c>
      <c r="S3" s="91" t="s">
        <v>4499</v>
      </c>
      <c r="T3" s="91" t="s">
        <v>4500</v>
      </c>
      <c r="U3" s="91" t="s">
        <v>4501</v>
      </c>
      <c r="V3" s="91" t="s">
        <v>4502</v>
      </c>
      <c r="W3" s="91" t="n">
        <v>4</v>
      </c>
      <c r="X3" s="91" t="s">
        <v>59</v>
      </c>
    </row>
    <row r="4" customFormat="false" ht="15.75" hidden="false" customHeight="true" outlineLevel="0" collapsed="false">
      <c r="A4" s="91" t="n">
        <v>21</v>
      </c>
      <c r="B4" s="91" t="s">
        <v>45</v>
      </c>
      <c r="C4" s="91" t="s">
        <v>289</v>
      </c>
      <c r="D4" s="91" t="s">
        <v>49</v>
      </c>
      <c r="E4" s="91" t="s">
        <v>4504</v>
      </c>
      <c r="F4" s="91" t="n">
        <v>23</v>
      </c>
      <c r="G4" s="91" t="s">
        <v>4505</v>
      </c>
      <c r="H4" s="91" t="s">
        <v>4506</v>
      </c>
      <c r="I4" s="91" t="s">
        <v>4507</v>
      </c>
      <c r="J4" s="91" t="s">
        <v>4508</v>
      </c>
      <c r="K4" s="91" t="s">
        <v>4509</v>
      </c>
      <c r="L4" s="91" t="s">
        <v>4510</v>
      </c>
      <c r="M4" s="91" t="s">
        <v>9633</v>
      </c>
      <c r="N4" s="91" t="s">
        <v>9634</v>
      </c>
      <c r="O4" s="91" t="s">
        <v>9635</v>
      </c>
      <c r="P4" s="91" t="s">
        <v>9635</v>
      </c>
      <c r="Q4" s="91" t="s">
        <v>9633</v>
      </c>
      <c r="R4" s="91" t="s">
        <v>9634</v>
      </c>
      <c r="S4" s="91" t="s">
        <v>4511</v>
      </c>
      <c r="T4" s="91" t="s">
        <v>4512</v>
      </c>
      <c r="U4" s="91" t="s">
        <v>4513</v>
      </c>
      <c r="V4" s="91" t="s">
        <v>4514</v>
      </c>
      <c r="W4" s="91" t="n">
        <v>3</v>
      </c>
      <c r="X4" s="91" t="s">
        <v>59</v>
      </c>
    </row>
    <row r="5" customFormat="false" ht="15.75" hidden="false" customHeight="true" outlineLevel="0" collapsed="false">
      <c r="A5" s="91" t="n">
        <v>21</v>
      </c>
      <c r="B5" s="91" t="s">
        <v>83</v>
      </c>
      <c r="C5" s="91" t="s">
        <v>4516</v>
      </c>
      <c r="D5" s="91" t="s">
        <v>321</v>
      </c>
      <c r="E5" s="91" t="s">
        <v>4518</v>
      </c>
      <c r="F5" s="91" t="n">
        <v>15</v>
      </c>
      <c r="G5" s="91" t="s">
        <v>1366</v>
      </c>
      <c r="H5" s="91" t="s">
        <v>4519</v>
      </c>
      <c r="I5" s="91" t="s">
        <v>4520</v>
      </c>
      <c r="J5" s="91" t="s">
        <v>4521</v>
      </c>
      <c r="K5" s="91" t="s">
        <v>4522</v>
      </c>
      <c r="L5" s="91" t="s">
        <v>4523</v>
      </c>
      <c r="M5" s="91" t="s">
        <v>9634</v>
      </c>
      <c r="N5" s="91" t="s">
        <v>9633</v>
      </c>
      <c r="O5" s="91" t="s">
        <v>9635</v>
      </c>
      <c r="P5" s="91" t="s">
        <v>9634</v>
      </c>
      <c r="Q5" s="91" t="s">
        <v>9633</v>
      </c>
      <c r="R5" s="91" t="s">
        <v>9635</v>
      </c>
      <c r="S5" s="91" t="s">
        <v>4524</v>
      </c>
      <c r="T5" s="91" t="s">
        <v>4525</v>
      </c>
      <c r="U5" s="91" t="s">
        <v>4526</v>
      </c>
      <c r="V5" s="91" t="s">
        <v>4527</v>
      </c>
      <c r="W5" s="91" t="n">
        <v>5</v>
      </c>
      <c r="X5" s="91" t="s">
        <v>59</v>
      </c>
    </row>
    <row r="6" customFormat="false" ht="15.75" hidden="false" customHeight="true" outlineLevel="0" collapsed="false">
      <c r="A6" s="91" t="n">
        <v>20</v>
      </c>
      <c r="B6" s="91" t="s">
        <v>45</v>
      </c>
      <c r="C6" s="91" t="s">
        <v>71</v>
      </c>
      <c r="D6" s="91" t="s">
        <v>49</v>
      </c>
      <c r="E6" s="91" t="s">
        <v>4529</v>
      </c>
      <c r="F6" s="91" t="n">
        <v>35</v>
      </c>
      <c r="G6" s="91" t="s">
        <v>4530</v>
      </c>
      <c r="H6" s="91" t="s">
        <v>4531</v>
      </c>
      <c r="I6" s="91" t="s">
        <v>4532</v>
      </c>
      <c r="J6" s="91" t="s">
        <v>4533</v>
      </c>
      <c r="K6" s="91" t="s">
        <v>4534</v>
      </c>
      <c r="L6" s="91" t="s">
        <v>4535</v>
      </c>
      <c r="M6" s="91" t="s">
        <v>9634</v>
      </c>
      <c r="N6" s="91" t="s">
        <v>9633</v>
      </c>
      <c r="O6" s="91" t="s">
        <v>9635</v>
      </c>
      <c r="P6" s="91" t="s">
        <v>9635</v>
      </c>
      <c r="Q6" s="91" t="s">
        <v>9633</v>
      </c>
      <c r="R6" s="91" t="s">
        <v>9634</v>
      </c>
      <c r="S6" s="91" t="s">
        <v>4536</v>
      </c>
      <c r="T6" s="91" t="s">
        <v>4537</v>
      </c>
      <c r="U6" s="91" t="s">
        <v>4538</v>
      </c>
      <c r="V6" s="91" t="s">
        <v>4539</v>
      </c>
      <c r="W6" s="91" t="n">
        <v>3</v>
      </c>
      <c r="X6" s="91" t="s">
        <v>59</v>
      </c>
    </row>
    <row r="7" customFormat="false" ht="15.75" hidden="false" customHeight="true" outlineLevel="0" collapsed="false">
      <c r="A7" s="91" t="n">
        <v>21</v>
      </c>
      <c r="B7" s="91" t="s">
        <v>45</v>
      </c>
      <c r="C7" s="91" t="s">
        <v>1025</v>
      </c>
      <c r="D7" s="91" t="s">
        <v>49</v>
      </c>
      <c r="E7" s="91" t="s">
        <v>4541</v>
      </c>
      <c r="F7" s="91" t="n">
        <v>35</v>
      </c>
      <c r="G7" s="91" t="s">
        <v>4542</v>
      </c>
      <c r="H7" s="91" t="s">
        <v>4543</v>
      </c>
      <c r="I7" s="91" t="s">
        <v>4544</v>
      </c>
      <c r="J7" s="91" t="s">
        <v>4545</v>
      </c>
      <c r="K7" s="91" t="s">
        <v>4546</v>
      </c>
      <c r="L7" s="91" t="s">
        <v>4547</v>
      </c>
      <c r="M7" s="91" t="s">
        <v>9633</v>
      </c>
      <c r="N7" s="91" t="s">
        <v>9634</v>
      </c>
      <c r="O7" s="91" t="s">
        <v>9635</v>
      </c>
      <c r="P7" s="91" t="s">
        <v>9634</v>
      </c>
      <c r="Q7" s="91" t="s">
        <v>9633</v>
      </c>
      <c r="R7" s="91" t="s">
        <v>9635</v>
      </c>
      <c r="S7" s="91" t="s">
        <v>4548</v>
      </c>
      <c r="T7" s="91" t="s">
        <v>4549</v>
      </c>
      <c r="U7" s="91" t="s">
        <v>4550</v>
      </c>
      <c r="V7" s="91" t="s">
        <v>4551</v>
      </c>
      <c r="W7" s="91" t="n">
        <v>4</v>
      </c>
      <c r="X7" s="91" t="s">
        <v>59</v>
      </c>
    </row>
    <row r="8" customFormat="false" ht="15.75" hidden="false" customHeight="true" outlineLevel="0" collapsed="false">
      <c r="A8" s="91" t="n">
        <v>21</v>
      </c>
      <c r="B8" s="91" t="s">
        <v>45</v>
      </c>
      <c r="C8" s="91" t="s">
        <v>1025</v>
      </c>
      <c r="D8" s="91" t="s">
        <v>49</v>
      </c>
      <c r="E8" s="91" t="s">
        <v>4553</v>
      </c>
      <c r="F8" s="91" t="n">
        <v>35</v>
      </c>
      <c r="G8" s="91" t="s">
        <v>4554</v>
      </c>
      <c r="H8" s="91" t="s">
        <v>4555</v>
      </c>
      <c r="I8" s="91" t="s">
        <v>4556</v>
      </c>
      <c r="J8" s="91" t="s">
        <v>4557</v>
      </c>
      <c r="K8" s="91" t="s">
        <v>4558</v>
      </c>
      <c r="L8" s="91" t="s">
        <v>4559</v>
      </c>
      <c r="M8" s="91" t="s">
        <v>9633</v>
      </c>
      <c r="N8" s="91" t="s">
        <v>9634</v>
      </c>
      <c r="O8" s="91" t="s">
        <v>9635</v>
      </c>
      <c r="P8" s="91" t="s">
        <v>9634</v>
      </c>
      <c r="Q8" s="91" t="s">
        <v>9633</v>
      </c>
      <c r="R8" s="91" t="s">
        <v>9635</v>
      </c>
      <c r="S8" s="91" t="s">
        <v>4560</v>
      </c>
      <c r="T8" s="91" t="s">
        <v>4561</v>
      </c>
      <c r="U8" s="91" t="s">
        <v>4562</v>
      </c>
      <c r="V8" s="91" t="s">
        <v>4563</v>
      </c>
      <c r="W8" s="91" t="n">
        <v>4</v>
      </c>
      <c r="X8" s="91" t="s">
        <v>4564</v>
      </c>
    </row>
    <row r="9" customFormat="false" ht="15.75" hidden="false" customHeight="true" outlineLevel="0" collapsed="false">
      <c r="A9" s="91" t="n">
        <v>20</v>
      </c>
      <c r="B9" s="91" t="s">
        <v>83</v>
      </c>
      <c r="C9" s="91" t="s">
        <v>171</v>
      </c>
      <c r="D9" s="91" t="s">
        <v>61</v>
      </c>
      <c r="E9" s="91" t="s">
        <v>4566</v>
      </c>
      <c r="F9" s="91" t="n">
        <v>20</v>
      </c>
      <c r="G9" s="91" t="s">
        <v>4567</v>
      </c>
      <c r="H9" s="91" t="s">
        <v>4568</v>
      </c>
      <c r="I9" s="91" t="s">
        <v>98</v>
      </c>
      <c r="J9" s="91" t="s">
        <v>4569</v>
      </c>
      <c r="K9" s="91" t="s">
        <v>4570</v>
      </c>
      <c r="L9" s="91" t="s">
        <v>4571</v>
      </c>
      <c r="M9" s="91" t="s">
        <v>9633</v>
      </c>
      <c r="N9" s="91" t="s">
        <v>9635</v>
      </c>
      <c r="O9" s="91" t="s">
        <v>9634</v>
      </c>
      <c r="P9" s="91" t="s">
        <v>9634</v>
      </c>
      <c r="Q9" s="91" t="s">
        <v>9633</v>
      </c>
      <c r="R9" s="91" t="s">
        <v>9635</v>
      </c>
      <c r="S9" s="91" t="s">
        <v>4572</v>
      </c>
      <c r="T9" s="91" t="s">
        <v>4573</v>
      </c>
      <c r="U9" s="91" t="s">
        <v>4574</v>
      </c>
      <c r="V9" s="91" t="s">
        <v>59</v>
      </c>
      <c r="W9" s="91" t="n">
        <v>4</v>
      </c>
      <c r="X9" s="91" t="s">
        <v>59</v>
      </c>
    </row>
    <row r="10" customFormat="false" ht="15.75" hidden="false" customHeight="true" outlineLevel="0" collapsed="false">
      <c r="A10" s="91" t="n">
        <v>20</v>
      </c>
      <c r="B10" s="91" t="s">
        <v>83</v>
      </c>
      <c r="C10" s="91" t="s">
        <v>49</v>
      </c>
      <c r="D10" s="91" t="s">
        <v>49</v>
      </c>
      <c r="E10" s="91" t="s">
        <v>4576</v>
      </c>
      <c r="F10" s="91" t="n">
        <v>35</v>
      </c>
      <c r="G10" s="91" t="s">
        <v>4577</v>
      </c>
      <c r="H10" s="91" t="s">
        <v>4578</v>
      </c>
      <c r="I10" s="91" t="s">
        <v>4579</v>
      </c>
      <c r="J10" s="91" t="s">
        <v>4580</v>
      </c>
      <c r="K10" s="91" t="s">
        <v>4581</v>
      </c>
      <c r="L10" s="91" t="s">
        <v>4582</v>
      </c>
      <c r="M10" s="91" t="s">
        <v>9633</v>
      </c>
      <c r="N10" s="91" t="s">
        <v>9634</v>
      </c>
      <c r="O10" s="91" t="s">
        <v>9635</v>
      </c>
      <c r="P10" s="91" t="s">
        <v>9634</v>
      </c>
      <c r="Q10" s="91" t="s">
        <v>9633</v>
      </c>
      <c r="R10" s="91" t="s">
        <v>9635</v>
      </c>
      <c r="S10" s="91" t="s">
        <v>4583</v>
      </c>
      <c r="T10" s="91" t="s">
        <v>4584</v>
      </c>
      <c r="U10" s="91" t="s">
        <v>4585</v>
      </c>
      <c r="V10" s="91" t="s">
        <v>4586</v>
      </c>
      <c r="W10" s="91" t="n">
        <v>4</v>
      </c>
      <c r="X10" s="91" t="s">
        <v>4587</v>
      </c>
    </row>
    <row r="11" customFormat="false" ht="15.75" hidden="false" customHeight="true" outlineLevel="0" collapsed="false">
      <c r="A11" s="91" t="n">
        <v>19</v>
      </c>
      <c r="B11" s="91" t="s">
        <v>45</v>
      </c>
      <c r="C11" s="91" t="s">
        <v>4589</v>
      </c>
      <c r="D11" s="91" t="s">
        <v>8380</v>
      </c>
      <c r="E11" s="91" t="s">
        <v>605</v>
      </c>
      <c r="F11" s="91" t="n">
        <v>35</v>
      </c>
      <c r="G11" s="91" t="s">
        <v>4590</v>
      </c>
      <c r="H11" s="91" t="s">
        <v>4591</v>
      </c>
      <c r="I11" s="91" t="s">
        <v>4592</v>
      </c>
      <c r="J11" s="91" t="s">
        <v>4593</v>
      </c>
      <c r="K11" s="91" t="s">
        <v>4594</v>
      </c>
      <c r="L11" s="91" t="s">
        <v>4595</v>
      </c>
      <c r="M11" s="91" t="s">
        <v>9635</v>
      </c>
      <c r="N11" s="91" t="s">
        <v>9633</v>
      </c>
      <c r="O11" s="91" t="s">
        <v>9634</v>
      </c>
      <c r="P11" s="91" t="s">
        <v>9633</v>
      </c>
      <c r="Q11" s="91" t="s">
        <v>9634</v>
      </c>
      <c r="R11" s="91" t="s">
        <v>9635</v>
      </c>
      <c r="S11" s="91" t="s">
        <v>4596</v>
      </c>
      <c r="T11" s="91" t="s">
        <v>4597</v>
      </c>
      <c r="U11" s="91" t="s">
        <v>4598</v>
      </c>
      <c r="V11" s="91" t="s">
        <v>4599</v>
      </c>
      <c r="W11" s="91" t="n">
        <v>4</v>
      </c>
      <c r="X11" s="91" t="s">
        <v>59</v>
      </c>
    </row>
    <row r="12" customFormat="false" ht="15.75" hidden="false" customHeight="true" outlineLevel="0" collapsed="false">
      <c r="A12" s="91" t="n">
        <v>21</v>
      </c>
      <c r="B12" s="91" t="s">
        <v>45</v>
      </c>
      <c r="C12" s="91" t="s">
        <v>71</v>
      </c>
      <c r="D12" s="91" t="s">
        <v>49</v>
      </c>
      <c r="E12" s="91" t="s">
        <v>4601</v>
      </c>
      <c r="F12" s="91" t="n">
        <v>30</v>
      </c>
      <c r="G12" s="91" t="s">
        <v>4602</v>
      </c>
      <c r="H12" s="91" t="s">
        <v>4603</v>
      </c>
      <c r="I12" s="91" t="s">
        <v>4604</v>
      </c>
      <c r="J12" s="91" t="s">
        <v>4605</v>
      </c>
      <c r="K12" s="91" t="s">
        <v>4606</v>
      </c>
      <c r="L12" s="91" t="s">
        <v>4607</v>
      </c>
      <c r="M12" s="91" t="s">
        <v>9634</v>
      </c>
      <c r="N12" s="91" t="s">
        <v>9633</v>
      </c>
      <c r="O12" s="91" t="s">
        <v>9635</v>
      </c>
      <c r="P12" s="91" t="s">
        <v>9635</v>
      </c>
      <c r="Q12" s="91" t="s">
        <v>9634</v>
      </c>
      <c r="R12" s="91" t="s">
        <v>9633</v>
      </c>
      <c r="S12" s="91" t="s">
        <v>4608</v>
      </c>
      <c r="T12" s="91" t="s">
        <v>4609</v>
      </c>
      <c r="U12" s="91" t="s">
        <v>4610</v>
      </c>
      <c r="V12" s="91" t="s">
        <v>4611</v>
      </c>
      <c r="W12" s="91" t="n">
        <v>3</v>
      </c>
      <c r="X12" s="91" t="s">
        <v>59</v>
      </c>
    </row>
    <row r="13" customFormat="false" ht="15.75" hidden="false" customHeight="true" outlineLevel="0" collapsed="false">
      <c r="A13" s="91" t="n">
        <v>19</v>
      </c>
      <c r="B13" s="91" t="s">
        <v>45</v>
      </c>
      <c r="C13" s="91" t="s">
        <v>171</v>
      </c>
      <c r="D13" s="91" t="s">
        <v>49</v>
      </c>
      <c r="E13" s="91" t="s">
        <v>4613</v>
      </c>
      <c r="F13" s="91" t="n">
        <v>35</v>
      </c>
      <c r="G13" s="91" t="s">
        <v>4614</v>
      </c>
      <c r="H13" s="91" t="s">
        <v>4615</v>
      </c>
      <c r="I13" s="91" t="s">
        <v>4616</v>
      </c>
      <c r="J13" s="91" t="s">
        <v>4617</v>
      </c>
      <c r="K13" s="91" t="s">
        <v>4618</v>
      </c>
      <c r="L13" s="91" t="s">
        <v>4619</v>
      </c>
      <c r="M13" s="91" t="s">
        <v>9635</v>
      </c>
      <c r="N13" s="91" t="s">
        <v>9633</v>
      </c>
      <c r="O13" s="91" t="s">
        <v>9633</v>
      </c>
      <c r="P13" s="91" t="s">
        <v>9635</v>
      </c>
      <c r="Q13" s="91" t="s">
        <v>9633</v>
      </c>
      <c r="R13" s="91" t="s">
        <v>9634</v>
      </c>
      <c r="S13" s="91" t="s">
        <v>4620</v>
      </c>
      <c r="T13" s="91" t="s">
        <v>4621</v>
      </c>
      <c r="U13" s="91" t="s">
        <v>4622</v>
      </c>
      <c r="V13" s="91" t="s">
        <v>4623</v>
      </c>
      <c r="W13" s="91" t="n">
        <v>5</v>
      </c>
      <c r="X13" s="91" t="s">
        <v>4624</v>
      </c>
    </row>
    <row r="14" customFormat="false" ht="15.75" hidden="false" customHeight="true" outlineLevel="0" collapsed="false">
      <c r="A14" s="91" t="n">
        <v>20</v>
      </c>
      <c r="B14" s="91" t="s">
        <v>83</v>
      </c>
      <c r="C14" s="91" t="s">
        <v>49</v>
      </c>
      <c r="D14" s="91" t="s">
        <v>49</v>
      </c>
      <c r="E14" s="91" t="s">
        <v>4626</v>
      </c>
      <c r="F14" s="91" t="n">
        <v>35</v>
      </c>
      <c r="G14" s="91" t="s">
        <v>4627</v>
      </c>
      <c r="H14" s="91" t="s">
        <v>4628</v>
      </c>
      <c r="I14" s="91" t="s">
        <v>4629</v>
      </c>
      <c r="J14" s="91" t="s">
        <v>4630</v>
      </c>
      <c r="K14" s="91" t="s">
        <v>4631</v>
      </c>
      <c r="L14" s="91" t="s">
        <v>4632</v>
      </c>
      <c r="M14" s="91" t="s">
        <v>9633</v>
      </c>
      <c r="N14" s="91" t="s">
        <v>9634</v>
      </c>
      <c r="O14" s="91" t="s">
        <v>9635</v>
      </c>
      <c r="P14" s="91" t="s">
        <v>9634</v>
      </c>
      <c r="Q14" s="91" t="s">
        <v>9633</v>
      </c>
      <c r="R14" s="91" t="s">
        <v>9635</v>
      </c>
      <c r="S14" s="91" t="s">
        <v>4633</v>
      </c>
      <c r="T14" s="91" t="s">
        <v>4634</v>
      </c>
      <c r="U14" s="91" t="s">
        <v>4635</v>
      </c>
      <c r="V14" s="91" t="s">
        <v>4636</v>
      </c>
      <c r="W14" s="91" t="n">
        <v>4</v>
      </c>
      <c r="X14" s="91" t="s">
        <v>59</v>
      </c>
    </row>
    <row r="15" customFormat="false" ht="15.75" hidden="false" customHeight="true" outlineLevel="0" collapsed="false">
      <c r="A15" s="91" t="n">
        <v>19</v>
      </c>
      <c r="B15" s="91" t="s">
        <v>83</v>
      </c>
      <c r="C15" s="91" t="s">
        <v>71</v>
      </c>
      <c r="D15" s="91" t="s">
        <v>71</v>
      </c>
      <c r="E15" s="91" t="s">
        <v>4638</v>
      </c>
      <c r="F15" s="91" t="n">
        <v>25</v>
      </c>
      <c r="G15" s="91" t="s">
        <v>4639</v>
      </c>
      <c r="H15" s="91" t="s">
        <v>4640</v>
      </c>
      <c r="I15" s="91" t="s">
        <v>4641</v>
      </c>
      <c r="J15" s="91" t="s">
        <v>4642</v>
      </c>
      <c r="K15" s="91" t="s">
        <v>4643</v>
      </c>
      <c r="L15" s="91" t="s">
        <v>4644</v>
      </c>
      <c r="M15" s="91" t="s">
        <v>9633</v>
      </c>
      <c r="N15" s="91" t="s">
        <v>9635</v>
      </c>
      <c r="O15" s="91" t="s">
        <v>9633</v>
      </c>
      <c r="P15" s="91" t="s">
        <v>9633</v>
      </c>
      <c r="Q15" s="91" t="s">
        <v>9634</v>
      </c>
      <c r="R15" s="91" t="s">
        <v>9633</v>
      </c>
      <c r="S15" s="91" t="s">
        <v>4645</v>
      </c>
      <c r="T15" s="91" t="s">
        <v>4646</v>
      </c>
      <c r="U15" s="91" t="s">
        <v>4647</v>
      </c>
      <c r="V15" s="91" t="s">
        <v>4648</v>
      </c>
      <c r="W15" s="91" t="n">
        <v>5</v>
      </c>
      <c r="X15" s="91" t="s">
        <v>4649</v>
      </c>
    </row>
    <row r="16" customFormat="false" ht="15.75" hidden="false" customHeight="true" outlineLevel="0" collapsed="false">
      <c r="A16" s="91" t="n">
        <v>20</v>
      </c>
      <c r="B16" s="91" t="s">
        <v>45</v>
      </c>
      <c r="C16" s="91" t="s">
        <v>9636</v>
      </c>
      <c r="D16" s="91" t="s">
        <v>71</v>
      </c>
      <c r="E16" s="91" t="s">
        <v>4652</v>
      </c>
      <c r="F16" s="91" t="n">
        <v>20</v>
      </c>
      <c r="G16" s="91" t="s">
        <v>4653</v>
      </c>
      <c r="H16" s="91" t="s">
        <v>4654</v>
      </c>
      <c r="I16" s="91" t="s">
        <v>4655</v>
      </c>
      <c r="J16" s="91" t="s">
        <v>4656</v>
      </c>
      <c r="K16" s="91" t="s">
        <v>4657</v>
      </c>
      <c r="L16" s="91" t="s">
        <v>4658</v>
      </c>
      <c r="M16" s="91" t="s">
        <v>9633</v>
      </c>
      <c r="N16" s="91" t="s">
        <v>9633</v>
      </c>
      <c r="O16" s="91" t="s">
        <v>9635</v>
      </c>
      <c r="P16" s="91" t="s">
        <v>9633</v>
      </c>
      <c r="Q16" s="91" t="s">
        <v>9633</v>
      </c>
      <c r="R16" s="91" t="s">
        <v>9635</v>
      </c>
      <c r="S16" s="91" t="s">
        <v>4659</v>
      </c>
      <c r="T16" s="91" t="s">
        <v>4660</v>
      </c>
      <c r="U16" s="91" t="s">
        <v>4661</v>
      </c>
      <c r="V16" s="91" t="s">
        <v>4662</v>
      </c>
      <c r="W16" s="91" t="n">
        <v>5</v>
      </c>
      <c r="X16" s="91" t="s">
        <v>4663</v>
      </c>
    </row>
    <row r="17" customFormat="false" ht="15.75" hidden="false" customHeight="true" outlineLevel="0" collapsed="false">
      <c r="A17" s="91" t="n">
        <v>19</v>
      </c>
      <c r="B17" s="91" t="s">
        <v>45</v>
      </c>
      <c r="C17" s="91" t="s">
        <v>171</v>
      </c>
      <c r="D17" s="91" t="s">
        <v>61</v>
      </c>
      <c r="E17" s="91" t="s">
        <v>4665</v>
      </c>
      <c r="F17" s="91" t="n">
        <v>65</v>
      </c>
      <c r="G17" s="91" t="s">
        <v>4666</v>
      </c>
      <c r="H17" s="91" t="s">
        <v>4667</v>
      </c>
      <c r="I17" s="91" t="s">
        <v>98</v>
      </c>
      <c r="J17" s="91" t="s">
        <v>4668</v>
      </c>
      <c r="K17" s="91" t="s">
        <v>4669</v>
      </c>
      <c r="L17" s="91" t="s">
        <v>4670</v>
      </c>
      <c r="M17" s="91" t="s">
        <v>9633</v>
      </c>
      <c r="N17" s="91" t="s">
        <v>9633</v>
      </c>
      <c r="O17" s="91" t="s">
        <v>9635</v>
      </c>
      <c r="P17" s="91" t="s">
        <v>9634</v>
      </c>
      <c r="Q17" s="91" t="s">
        <v>9633</v>
      </c>
      <c r="R17" s="91" t="s">
        <v>9635</v>
      </c>
      <c r="S17" s="91" t="s">
        <v>4671</v>
      </c>
      <c r="T17" s="91" t="s">
        <v>4672</v>
      </c>
      <c r="U17" s="91" t="s">
        <v>4673</v>
      </c>
      <c r="V17" s="91" t="s">
        <v>4674</v>
      </c>
      <c r="W17" s="91" t="n">
        <v>4</v>
      </c>
      <c r="X17" s="91" t="s">
        <v>59</v>
      </c>
    </row>
    <row r="18" customFormat="false" ht="15.75" hidden="false" customHeight="true" outlineLevel="0" collapsed="false">
      <c r="A18" s="91" t="n">
        <v>21</v>
      </c>
      <c r="B18" s="91" t="s">
        <v>83</v>
      </c>
      <c r="C18" s="91" t="s">
        <v>9637</v>
      </c>
      <c r="D18" s="91" t="s">
        <v>1271</v>
      </c>
      <c r="E18" s="91" t="s">
        <v>4676</v>
      </c>
      <c r="F18" s="91" t="n">
        <v>60</v>
      </c>
      <c r="G18" s="91" t="s">
        <v>4677</v>
      </c>
      <c r="H18" s="91" t="s">
        <v>4678</v>
      </c>
      <c r="I18" s="91" t="s">
        <v>4679</v>
      </c>
      <c r="J18" s="91" t="s">
        <v>4680</v>
      </c>
      <c r="K18" s="91" t="s">
        <v>4681</v>
      </c>
      <c r="L18" s="91" t="s">
        <v>4682</v>
      </c>
      <c r="M18" s="91" t="s">
        <v>9633</v>
      </c>
      <c r="N18" s="91" t="s">
        <v>9635</v>
      </c>
      <c r="O18" s="91" t="s">
        <v>9635</v>
      </c>
      <c r="P18" s="91" t="s">
        <v>9633</v>
      </c>
      <c r="Q18" s="91" t="s">
        <v>9634</v>
      </c>
      <c r="R18" s="91" t="s">
        <v>9635</v>
      </c>
      <c r="S18" s="91" t="s">
        <v>4683</v>
      </c>
      <c r="T18" s="91" t="s">
        <v>4684</v>
      </c>
      <c r="U18" s="91" t="s">
        <v>4685</v>
      </c>
      <c r="V18" s="91" t="s">
        <v>4686</v>
      </c>
      <c r="W18" s="91" t="n">
        <v>5</v>
      </c>
      <c r="X18" s="91" t="s">
        <v>59</v>
      </c>
    </row>
    <row r="19" customFormat="false" ht="15.75" hidden="false" customHeight="true" outlineLevel="0" collapsed="false">
      <c r="A19" s="91" t="n">
        <v>21</v>
      </c>
      <c r="B19" s="91" t="s">
        <v>45</v>
      </c>
      <c r="C19" s="91" t="s">
        <v>9638</v>
      </c>
      <c r="D19" s="91" t="s">
        <v>9639</v>
      </c>
      <c r="E19" s="91" t="s">
        <v>4688</v>
      </c>
      <c r="F19" s="91" t="n">
        <v>30</v>
      </c>
      <c r="G19" s="91" t="s">
        <v>4689</v>
      </c>
      <c r="H19" s="91" t="s">
        <v>4690</v>
      </c>
      <c r="I19" s="91" t="s">
        <v>895</v>
      </c>
      <c r="J19" s="91" t="s">
        <v>4691</v>
      </c>
      <c r="K19" s="91" t="s">
        <v>4692</v>
      </c>
      <c r="L19" s="91" t="s">
        <v>4693</v>
      </c>
      <c r="M19" s="91" t="s">
        <v>9633</v>
      </c>
      <c r="N19" s="91" t="s">
        <v>9635</v>
      </c>
      <c r="O19" s="91" t="s">
        <v>9635</v>
      </c>
      <c r="P19" s="91" t="s">
        <v>9635</v>
      </c>
      <c r="Q19" s="91" t="s">
        <v>9634</v>
      </c>
      <c r="R19" s="91" t="s">
        <v>9633</v>
      </c>
      <c r="S19" s="91" t="s">
        <v>4694</v>
      </c>
      <c r="T19" s="91" t="s">
        <v>4695</v>
      </c>
      <c r="U19" s="91" t="s">
        <v>4696</v>
      </c>
      <c r="V19" s="91" t="s">
        <v>4697</v>
      </c>
      <c r="W19" s="91" t="n">
        <v>5</v>
      </c>
      <c r="X19" s="91" t="s">
        <v>59</v>
      </c>
    </row>
    <row r="20" customFormat="false" ht="15.75" hidden="false" customHeight="true" outlineLevel="0" collapsed="false">
      <c r="A20" s="94" t="n">
        <v>21</v>
      </c>
      <c r="B20" s="94" t="s">
        <v>83</v>
      </c>
      <c r="C20" s="94" t="s">
        <v>1271</v>
      </c>
      <c r="D20" s="94" t="s">
        <v>256</v>
      </c>
      <c r="E20" s="94" t="s">
        <v>4699</v>
      </c>
      <c r="F20" s="94" t="n">
        <v>15</v>
      </c>
      <c r="G20" s="94" t="s">
        <v>4700</v>
      </c>
      <c r="H20" s="94" t="s">
        <v>4701</v>
      </c>
      <c r="I20" s="94" t="s">
        <v>4702</v>
      </c>
      <c r="J20" s="94" t="s">
        <v>4703</v>
      </c>
      <c r="K20" s="94" t="s">
        <v>4704</v>
      </c>
      <c r="L20" s="91" t="s">
        <v>9640</v>
      </c>
      <c r="M20" s="94" t="s">
        <v>9633</v>
      </c>
      <c r="N20" s="94" t="s">
        <v>9633</v>
      </c>
      <c r="O20" s="94" t="s">
        <v>9635</v>
      </c>
      <c r="P20" s="94" t="s">
        <v>9633</v>
      </c>
      <c r="Q20" s="94" t="s">
        <v>9634</v>
      </c>
      <c r="R20" s="94" t="s">
        <v>9635</v>
      </c>
      <c r="S20" s="94" t="s">
        <v>4706</v>
      </c>
      <c r="T20" s="94" t="s">
        <v>4707</v>
      </c>
      <c r="U20" s="94" t="s">
        <v>4708</v>
      </c>
      <c r="V20" s="94" t="s">
        <v>4709</v>
      </c>
      <c r="W20" s="94" t="n">
        <v>5</v>
      </c>
      <c r="X20" s="94" t="s">
        <v>59</v>
      </c>
      <c r="Y20" s="94"/>
      <c r="Z20" s="94"/>
      <c r="AA20" s="94"/>
      <c r="AB20" s="94"/>
      <c r="AC20" s="94"/>
      <c r="AD20" s="94"/>
      <c r="AE20" s="94"/>
    </row>
    <row r="21" customFormat="false" ht="15.75" hidden="false" customHeight="true" outlineLevel="0" collapsed="false">
      <c r="A21" s="94"/>
      <c r="B21" s="94"/>
      <c r="C21" s="94"/>
      <c r="D21" s="94"/>
      <c r="E21" s="94"/>
      <c r="F21" s="94"/>
      <c r="G21" s="94"/>
      <c r="H21" s="94"/>
      <c r="I21" s="94"/>
      <c r="J21" s="94"/>
      <c r="K21" s="94"/>
      <c r="L21" s="91" t="s">
        <v>9641</v>
      </c>
      <c r="M21" s="94"/>
      <c r="N21" s="94"/>
      <c r="O21" s="94"/>
      <c r="P21" s="94"/>
      <c r="Q21" s="94"/>
      <c r="R21" s="94"/>
      <c r="S21" s="94"/>
      <c r="T21" s="94"/>
      <c r="U21" s="94"/>
      <c r="V21" s="94"/>
      <c r="W21" s="94"/>
      <c r="X21" s="94"/>
      <c r="Y21" s="94"/>
      <c r="Z21" s="94"/>
      <c r="AA21" s="94"/>
      <c r="AB21" s="94"/>
      <c r="AC21" s="94"/>
      <c r="AD21" s="94"/>
      <c r="AE21" s="94"/>
    </row>
    <row r="22" customFormat="false" ht="15.75" hidden="false" customHeight="true" outlineLevel="0" collapsed="false">
      <c r="A22" s="94"/>
      <c r="B22" s="94"/>
      <c r="C22" s="94"/>
      <c r="D22" s="94"/>
      <c r="E22" s="94"/>
      <c r="F22" s="94"/>
      <c r="G22" s="94"/>
      <c r="H22" s="94"/>
      <c r="I22" s="94"/>
      <c r="J22" s="94"/>
      <c r="K22" s="94"/>
      <c r="L22" s="91" t="s">
        <v>9642</v>
      </c>
      <c r="M22" s="94"/>
      <c r="N22" s="94"/>
      <c r="O22" s="94"/>
      <c r="P22" s="94"/>
      <c r="Q22" s="94"/>
      <c r="R22" s="94"/>
      <c r="S22" s="94"/>
      <c r="T22" s="94"/>
      <c r="U22" s="94"/>
      <c r="V22" s="94"/>
      <c r="W22" s="94"/>
      <c r="X22" s="94"/>
      <c r="Y22" s="94"/>
      <c r="Z22" s="94"/>
      <c r="AA22" s="94"/>
      <c r="AB22" s="94"/>
      <c r="AC22" s="94"/>
      <c r="AD22" s="94"/>
      <c r="AE22" s="94"/>
    </row>
    <row r="23" customFormat="false" ht="15.75" hidden="false" customHeight="true" outlineLevel="0" collapsed="false">
      <c r="A23" s="91" t="n">
        <v>19</v>
      </c>
      <c r="B23" s="91" t="s">
        <v>45</v>
      </c>
      <c r="C23" s="91" t="s">
        <v>171</v>
      </c>
      <c r="D23" s="91" t="s">
        <v>49</v>
      </c>
      <c r="E23" s="91" t="s">
        <v>4711</v>
      </c>
      <c r="F23" s="91" t="n">
        <v>35</v>
      </c>
      <c r="G23" s="91" t="s">
        <v>4712</v>
      </c>
      <c r="H23" s="91" t="s">
        <v>4713</v>
      </c>
      <c r="I23" s="91" t="s">
        <v>4714</v>
      </c>
      <c r="J23" s="91" t="s">
        <v>4715</v>
      </c>
      <c r="K23" s="91" t="s">
        <v>4716</v>
      </c>
      <c r="L23" s="91" t="s">
        <v>4717</v>
      </c>
      <c r="M23" s="91" t="s">
        <v>9635</v>
      </c>
      <c r="N23" s="91" t="s">
        <v>9633</v>
      </c>
      <c r="O23" s="91" t="s">
        <v>9633</v>
      </c>
      <c r="P23" s="91" t="s">
        <v>9635</v>
      </c>
      <c r="Q23" s="91" t="s">
        <v>9633</v>
      </c>
      <c r="R23" s="91" t="s">
        <v>9634</v>
      </c>
      <c r="S23" s="91" t="s">
        <v>4718</v>
      </c>
      <c r="T23" s="91" t="s">
        <v>4719</v>
      </c>
      <c r="U23" s="91" t="s">
        <v>4720</v>
      </c>
      <c r="V23" s="91" t="s">
        <v>4721</v>
      </c>
      <c r="W23" s="91" t="n">
        <v>5</v>
      </c>
      <c r="X23" s="91" t="s">
        <v>4722</v>
      </c>
    </row>
    <row r="24" customFormat="false" ht="15.75" hidden="false" customHeight="true" outlineLevel="0" collapsed="false">
      <c r="A24" s="91" t="n">
        <v>19</v>
      </c>
      <c r="B24" s="91" t="s">
        <v>83</v>
      </c>
      <c r="C24" s="91" t="s">
        <v>71</v>
      </c>
      <c r="D24" s="91" t="s">
        <v>71</v>
      </c>
      <c r="E24" s="91" t="s">
        <v>4724</v>
      </c>
      <c r="F24" s="91" t="n">
        <v>25</v>
      </c>
      <c r="G24" s="91" t="s">
        <v>4725</v>
      </c>
      <c r="H24" s="91" t="s">
        <v>4726</v>
      </c>
      <c r="I24" s="91" t="s">
        <v>885</v>
      </c>
      <c r="J24" s="91" t="s">
        <v>4727</v>
      </c>
      <c r="K24" s="91" t="s">
        <v>4728</v>
      </c>
      <c r="L24" s="91" t="s">
        <v>4729</v>
      </c>
      <c r="M24" s="91" t="s">
        <v>9633</v>
      </c>
      <c r="N24" s="91" t="s">
        <v>9635</v>
      </c>
      <c r="O24" s="91" t="s">
        <v>9633</v>
      </c>
      <c r="P24" s="91" t="s">
        <v>9633</v>
      </c>
      <c r="Q24" s="91" t="s">
        <v>9634</v>
      </c>
      <c r="R24" s="91" t="s">
        <v>9633</v>
      </c>
      <c r="S24" s="91" t="s">
        <v>4730</v>
      </c>
      <c r="T24" s="91" t="s">
        <v>4731</v>
      </c>
      <c r="U24" s="91" t="s">
        <v>4732</v>
      </c>
      <c r="V24" s="91" t="s">
        <v>4733</v>
      </c>
      <c r="W24" s="91" t="n">
        <v>5</v>
      </c>
      <c r="X24" s="91" t="s">
        <v>59</v>
      </c>
    </row>
    <row r="25" customFormat="false" ht="15.75" hidden="false" customHeight="true" outlineLevel="0" collapsed="false">
      <c r="A25" s="91" t="n">
        <v>18</v>
      </c>
      <c r="B25" s="91" t="s">
        <v>45</v>
      </c>
      <c r="C25" s="91" t="s">
        <v>171</v>
      </c>
      <c r="D25" s="91" t="s">
        <v>114</v>
      </c>
      <c r="E25" s="91" t="s">
        <v>4735</v>
      </c>
      <c r="F25" s="91" t="n">
        <v>30</v>
      </c>
      <c r="G25" s="91" t="s">
        <v>4736</v>
      </c>
      <c r="H25" s="91" t="s">
        <v>4737</v>
      </c>
      <c r="I25" s="91" t="s">
        <v>4738</v>
      </c>
      <c r="J25" s="91" t="s">
        <v>4739</v>
      </c>
      <c r="K25" s="91" t="s">
        <v>4740</v>
      </c>
      <c r="L25" s="91" t="s">
        <v>4741</v>
      </c>
      <c r="M25" s="91" t="s">
        <v>9633</v>
      </c>
      <c r="N25" s="91" t="s">
        <v>9633</v>
      </c>
      <c r="O25" s="91" t="s">
        <v>9635</v>
      </c>
      <c r="P25" s="91" t="s">
        <v>9634</v>
      </c>
      <c r="Q25" s="91" t="s">
        <v>9635</v>
      </c>
      <c r="R25" s="91" t="s">
        <v>9633</v>
      </c>
      <c r="S25" s="91" t="s">
        <v>4742</v>
      </c>
      <c r="T25" s="91" t="s">
        <v>4743</v>
      </c>
      <c r="U25" s="91" t="s">
        <v>4744</v>
      </c>
      <c r="V25" s="91" t="s">
        <v>4745</v>
      </c>
      <c r="W25" s="91" t="n">
        <v>5</v>
      </c>
      <c r="X25" s="91" t="s">
        <v>59</v>
      </c>
    </row>
    <row r="26" customFormat="false" ht="15.75" hidden="false" customHeight="true" outlineLevel="0" collapsed="false">
      <c r="A26" s="94" t="n">
        <v>20</v>
      </c>
      <c r="B26" s="94" t="s">
        <v>45</v>
      </c>
      <c r="C26" s="94" t="s">
        <v>9636</v>
      </c>
      <c r="D26" s="94" t="s">
        <v>71</v>
      </c>
      <c r="E26" s="94" t="s">
        <v>4747</v>
      </c>
      <c r="F26" s="94" t="n">
        <v>20</v>
      </c>
      <c r="G26" s="94" t="s">
        <v>4748</v>
      </c>
      <c r="H26" s="94" t="s">
        <v>4749</v>
      </c>
      <c r="I26" s="94" t="s">
        <v>4750</v>
      </c>
      <c r="J26" s="94" t="s">
        <v>4751</v>
      </c>
      <c r="K26" s="94" t="s">
        <v>4752</v>
      </c>
      <c r="L26" s="91" t="s">
        <v>9643</v>
      </c>
      <c r="M26" s="94" t="s">
        <v>9633</v>
      </c>
      <c r="N26" s="94" t="s">
        <v>9633</v>
      </c>
      <c r="O26" s="94" t="s">
        <v>9635</v>
      </c>
      <c r="P26" s="94" t="s">
        <v>9633</v>
      </c>
      <c r="Q26" s="94" t="s">
        <v>9633</v>
      </c>
      <c r="R26" s="94" t="s">
        <v>9635</v>
      </c>
      <c r="S26" s="91" t="s">
        <v>9644</v>
      </c>
      <c r="T26" s="94" t="s">
        <v>4755</v>
      </c>
      <c r="U26" s="94" t="s">
        <v>4756</v>
      </c>
      <c r="V26" s="94" t="s">
        <v>4757</v>
      </c>
      <c r="W26" s="94" t="n">
        <v>5</v>
      </c>
      <c r="X26" s="94" t="s">
        <v>59</v>
      </c>
      <c r="Y26" s="94"/>
      <c r="Z26" s="94"/>
      <c r="AA26" s="94"/>
      <c r="AB26" s="94"/>
      <c r="AC26" s="94"/>
      <c r="AD26" s="94"/>
      <c r="AE26" s="94"/>
    </row>
    <row r="27" customFormat="false" ht="15.75" hidden="false" customHeight="true" outlineLevel="0" collapsed="false">
      <c r="A27" s="94"/>
      <c r="B27" s="94"/>
      <c r="C27" s="94"/>
      <c r="D27" s="94"/>
      <c r="E27" s="94"/>
      <c r="F27" s="94"/>
      <c r="G27" s="94"/>
      <c r="H27" s="94"/>
      <c r="I27" s="94"/>
      <c r="J27" s="94"/>
      <c r="K27" s="94"/>
      <c r="L27" s="91" t="s">
        <v>9645</v>
      </c>
      <c r="M27" s="94"/>
      <c r="N27" s="94"/>
      <c r="O27" s="94"/>
      <c r="P27" s="94"/>
      <c r="Q27" s="94"/>
      <c r="R27" s="94"/>
      <c r="T27" s="94"/>
      <c r="U27" s="94"/>
      <c r="V27" s="94"/>
      <c r="W27" s="94"/>
      <c r="X27" s="94"/>
      <c r="Y27" s="94"/>
      <c r="Z27" s="94"/>
      <c r="AA27" s="94"/>
      <c r="AB27" s="94"/>
      <c r="AC27" s="94"/>
      <c r="AD27" s="94"/>
      <c r="AE27" s="94"/>
    </row>
    <row r="28" customFormat="false" ht="15.75" hidden="false" customHeight="true" outlineLevel="0" collapsed="false">
      <c r="A28" s="94"/>
      <c r="B28" s="94"/>
      <c r="C28" s="94"/>
      <c r="D28" s="94"/>
      <c r="E28" s="94"/>
      <c r="F28" s="94"/>
      <c r="G28" s="94"/>
      <c r="H28" s="94"/>
      <c r="I28" s="94"/>
      <c r="J28" s="94"/>
      <c r="K28" s="94"/>
      <c r="L28" s="91" t="s">
        <v>9646</v>
      </c>
      <c r="M28" s="94"/>
      <c r="N28" s="94"/>
      <c r="O28" s="94"/>
      <c r="P28" s="94"/>
      <c r="Q28" s="94"/>
      <c r="R28" s="94"/>
      <c r="S28" s="91" t="s">
        <v>9647</v>
      </c>
      <c r="T28" s="94"/>
      <c r="U28" s="94"/>
      <c r="V28" s="94"/>
      <c r="W28" s="94"/>
      <c r="X28" s="94"/>
      <c r="Y28" s="94"/>
      <c r="Z28" s="94"/>
      <c r="AA28" s="94"/>
      <c r="AB28" s="94"/>
      <c r="AC28" s="94"/>
      <c r="AD28" s="94"/>
      <c r="AE28" s="94"/>
    </row>
    <row r="29" customFormat="false" ht="15.75" hidden="false" customHeight="true" outlineLevel="0" collapsed="false">
      <c r="A29" s="91" t="n">
        <v>19</v>
      </c>
      <c r="B29" s="91" t="s">
        <v>83</v>
      </c>
      <c r="C29" s="91" t="s">
        <v>9648</v>
      </c>
      <c r="D29" s="91" t="s">
        <v>9648</v>
      </c>
      <c r="E29" s="91" t="s">
        <v>4759</v>
      </c>
      <c r="F29" s="91" t="n">
        <v>25</v>
      </c>
      <c r="G29" s="91" t="s">
        <v>4760</v>
      </c>
      <c r="H29" s="91" t="s">
        <v>4761</v>
      </c>
      <c r="I29" s="91" t="s">
        <v>4762</v>
      </c>
      <c r="J29" s="91" t="s">
        <v>4763</v>
      </c>
      <c r="K29" s="91" t="s">
        <v>4764</v>
      </c>
      <c r="L29" s="91" t="s">
        <v>4765</v>
      </c>
      <c r="M29" s="91" t="s">
        <v>9633</v>
      </c>
      <c r="N29" s="91" t="s">
        <v>9633</v>
      </c>
      <c r="O29" s="91" t="s">
        <v>9635</v>
      </c>
      <c r="P29" s="91" t="s">
        <v>9634</v>
      </c>
      <c r="Q29" s="91" t="s">
        <v>9633</v>
      </c>
      <c r="R29" s="91" t="s">
        <v>9635</v>
      </c>
      <c r="S29" s="91" t="s">
        <v>4766</v>
      </c>
      <c r="T29" s="91" t="s">
        <v>4767</v>
      </c>
      <c r="U29" s="91" t="s">
        <v>4768</v>
      </c>
      <c r="V29" s="91" t="s">
        <v>4769</v>
      </c>
      <c r="W29" s="91" t="n">
        <v>1</v>
      </c>
      <c r="X29" s="91" t="s">
        <v>59</v>
      </c>
    </row>
    <row r="30" customFormat="false" ht="15.75" hidden="false" customHeight="true" outlineLevel="0" collapsed="false">
      <c r="A30" s="91" t="n">
        <v>18</v>
      </c>
      <c r="B30" s="91" t="s">
        <v>45</v>
      </c>
      <c r="C30" s="91" t="s">
        <v>171</v>
      </c>
      <c r="D30" s="91" t="s">
        <v>49</v>
      </c>
      <c r="E30" s="91" t="s">
        <v>4771</v>
      </c>
      <c r="F30" s="91" t="n">
        <v>30</v>
      </c>
      <c r="G30" s="91" t="s">
        <v>4772</v>
      </c>
      <c r="H30" s="91" t="s">
        <v>4773</v>
      </c>
      <c r="I30" s="91" t="s">
        <v>4774</v>
      </c>
      <c r="J30" s="91" t="s">
        <v>4775</v>
      </c>
      <c r="K30" s="91" t="s">
        <v>4776</v>
      </c>
      <c r="L30" s="91" t="s">
        <v>4777</v>
      </c>
      <c r="M30" s="91" t="s">
        <v>9633</v>
      </c>
      <c r="N30" s="91" t="s">
        <v>9633</v>
      </c>
      <c r="O30" s="91" t="s">
        <v>9635</v>
      </c>
      <c r="P30" s="91" t="s">
        <v>9633</v>
      </c>
      <c r="Q30" s="91" t="s">
        <v>9634</v>
      </c>
      <c r="R30" s="91" t="s">
        <v>9635</v>
      </c>
      <c r="S30" s="91" t="s">
        <v>4778</v>
      </c>
      <c r="T30" s="91" t="s">
        <v>4779</v>
      </c>
      <c r="U30" s="91" t="s">
        <v>4780</v>
      </c>
      <c r="V30" s="91" t="s">
        <v>4781</v>
      </c>
      <c r="W30" s="91" t="n">
        <v>5</v>
      </c>
      <c r="X30" s="91" t="s">
        <v>59</v>
      </c>
    </row>
    <row r="31" customFormat="false" ht="15.75" hidden="false" customHeight="true" outlineLevel="0" collapsed="false">
      <c r="A31" s="91" t="n">
        <v>20</v>
      </c>
      <c r="B31" s="91" t="s">
        <v>83</v>
      </c>
      <c r="C31" s="91" t="s">
        <v>9648</v>
      </c>
      <c r="D31" s="91" t="s">
        <v>9648</v>
      </c>
      <c r="E31" s="91" t="s">
        <v>4783</v>
      </c>
      <c r="F31" s="91" t="n">
        <v>20</v>
      </c>
      <c r="G31" s="91" t="s">
        <v>4784</v>
      </c>
      <c r="H31" s="91" t="s">
        <v>4785</v>
      </c>
      <c r="I31" s="91" t="s">
        <v>4786</v>
      </c>
      <c r="J31" s="91" t="s">
        <v>4787</v>
      </c>
      <c r="K31" s="91" t="s">
        <v>4788</v>
      </c>
      <c r="L31" s="91" t="s">
        <v>4789</v>
      </c>
      <c r="M31" s="91" t="s">
        <v>9633</v>
      </c>
      <c r="N31" s="91" t="s">
        <v>9633</v>
      </c>
      <c r="O31" s="91" t="s">
        <v>9635</v>
      </c>
      <c r="P31" s="91" t="s">
        <v>9633</v>
      </c>
      <c r="Q31" s="91" t="s">
        <v>9634</v>
      </c>
      <c r="R31" s="91" t="s">
        <v>9635</v>
      </c>
      <c r="S31" s="91" t="s">
        <v>4790</v>
      </c>
      <c r="T31" s="91" t="s">
        <v>4791</v>
      </c>
      <c r="U31" s="91" t="s">
        <v>4792</v>
      </c>
      <c r="V31" s="91" t="s">
        <v>4793</v>
      </c>
      <c r="W31" s="91" t="n">
        <v>5</v>
      </c>
      <c r="X31" s="91" t="s">
        <v>59</v>
      </c>
    </row>
    <row r="32" customFormat="false" ht="15.75" hidden="false" customHeight="true" outlineLevel="0" collapsed="false">
      <c r="A32" s="94" t="n">
        <v>19</v>
      </c>
      <c r="B32" s="94" t="s">
        <v>45</v>
      </c>
      <c r="C32" s="94" t="s">
        <v>9649</v>
      </c>
      <c r="D32" s="94" t="s">
        <v>9648</v>
      </c>
      <c r="E32" s="94" t="s">
        <v>4795</v>
      </c>
      <c r="F32" s="94" t="n">
        <v>20</v>
      </c>
      <c r="G32" s="94" t="s">
        <v>4796</v>
      </c>
      <c r="H32" s="94" t="s">
        <v>4797</v>
      </c>
      <c r="I32" s="94" t="s">
        <v>4798</v>
      </c>
      <c r="J32" s="94" t="s">
        <v>4799</v>
      </c>
      <c r="K32" s="94" t="s">
        <v>4800</v>
      </c>
      <c r="L32" s="94" t="s">
        <v>4801</v>
      </c>
      <c r="M32" s="94" t="s">
        <v>9635</v>
      </c>
      <c r="N32" s="94" t="s">
        <v>9633</v>
      </c>
      <c r="O32" s="94" t="s">
        <v>9633</v>
      </c>
      <c r="P32" s="94" t="s">
        <v>9635</v>
      </c>
      <c r="Q32" s="94" t="s">
        <v>9633</v>
      </c>
      <c r="R32" s="94" t="s">
        <v>9634</v>
      </c>
      <c r="S32" s="91" t="s">
        <v>9650</v>
      </c>
      <c r="T32" s="94" t="s">
        <v>4803</v>
      </c>
      <c r="U32" s="94" t="s">
        <v>4804</v>
      </c>
      <c r="V32" s="94" t="s">
        <v>4805</v>
      </c>
      <c r="W32" s="94" t="n">
        <v>5</v>
      </c>
      <c r="X32" s="94" t="s">
        <v>59</v>
      </c>
      <c r="Y32" s="94"/>
      <c r="Z32" s="94"/>
      <c r="AA32" s="94"/>
      <c r="AB32" s="94"/>
      <c r="AC32" s="94"/>
      <c r="AD32" s="94"/>
      <c r="AE32" s="94"/>
    </row>
    <row r="33" customFormat="false" ht="15.75" hidden="false" customHeight="true" outlineLevel="0" collapsed="false">
      <c r="A33" s="94"/>
      <c r="B33" s="94"/>
      <c r="C33" s="94"/>
      <c r="D33" s="94"/>
      <c r="E33" s="94"/>
      <c r="F33" s="94"/>
      <c r="G33" s="94"/>
      <c r="H33" s="94"/>
      <c r="I33" s="94"/>
      <c r="J33" s="94"/>
      <c r="K33" s="94"/>
      <c r="L33" s="94"/>
      <c r="M33" s="94"/>
      <c r="N33" s="94"/>
      <c r="O33" s="94"/>
      <c r="P33" s="94"/>
      <c r="Q33" s="94"/>
      <c r="R33" s="94"/>
      <c r="T33" s="94"/>
      <c r="U33" s="94"/>
      <c r="V33" s="94"/>
      <c r="W33" s="94"/>
      <c r="X33" s="94"/>
      <c r="Y33" s="94"/>
      <c r="Z33" s="94"/>
      <c r="AA33" s="94"/>
      <c r="AB33" s="94"/>
      <c r="AC33" s="94"/>
      <c r="AD33" s="94"/>
      <c r="AE33" s="94"/>
    </row>
    <row r="34" customFormat="false" ht="15.75" hidden="false" customHeight="true" outlineLevel="0" collapsed="false">
      <c r="A34" s="94"/>
      <c r="B34" s="94"/>
      <c r="C34" s="94"/>
      <c r="D34" s="94"/>
      <c r="E34" s="94"/>
      <c r="F34" s="94"/>
      <c r="G34" s="94"/>
      <c r="H34" s="94"/>
      <c r="I34" s="94"/>
      <c r="J34" s="94"/>
      <c r="K34" s="94"/>
      <c r="L34" s="94"/>
      <c r="M34" s="94"/>
      <c r="N34" s="94"/>
      <c r="O34" s="94"/>
      <c r="P34" s="94"/>
      <c r="Q34" s="94"/>
      <c r="R34" s="94"/>
      <c r="S34" s="91" t="s">
        <v>9651</v>
      </c>
      <c r="T34" s="94"/>
      <c r="U34" s="94"/>
      <c r="V34" s="94"/>
      <c r="W34" s="94"/>
      <c r="X34" s="94"/>
      <c r="Y34" s="94"/>
      <c r="Z34" s="94"/>
      <c r="AA34" s="94"/>
      <c r="AB34" s="94"/>
      <c r="AC34" s="94"/>
      <c r="AD34" s="94"/>
      <c r="AE34" s="94"/>
    </row>
    <row r="35" customFormat="false" ht="15.75" hidden="false" customHeight="true" outlineLevel="0" collapsed="false">
      <c r="A35" s="94" t="n">
        <v>21</v>
      </c>
      <c r="B35" s="94" t="s">
        <v>45</v>
      </c>
      <c r="C35" s="94" t="s">
        <v>171</v>
      </c>
      <c r="D35" s="94" t="s">
        <v>171</v>
      </c>
      <c r="E35" s="94" t="s">
        <v>4807</v>
      </c>
      <c r="F35" s="94" t="n">
        <v>20</v>
      </c>
      <c r="G35" s="94" t="s">
        <v>4808</v>
      </c>
      <c r="H35" s="94" t="s">
        <v>4809</v>
      </c>
      <c r="I35" s="94" t="s">
        <v>4810</v>
      </c>
      <c r="J35" s="91" t="s">
        <v>9652</v>
      </c>
      <c r="K35" s="94" t="s">
        <v>4812</v>
      </c>
      <c r="L35" s="94" t="s">
        <v>4813</v>
      </c>
      <c r="M35" s="94" t="s">
        <v>9633</v>
      </c>
      <c r="N35" s="94" t="s">
        <v>9633</v>
      </c>
      <c r="O35" s="94" t="s">
        <v>9635</v>
      </c>
      <c r="P35" s="94" t="s">
        <v>9635</v>
      </c>
      <c r="Q35" s="94" t="s">
        <v>9633</v>
      </c>
      <c r="R35" s="94" t="s">
        <v>9634</v>
      </c>
      <c r="S35" s="94" t="s">
        <v>4814</v>
      </c>
      <c r="T35" s="94" t="s">
        <v>4815</v>
      </c>
      <c r="U35" s="94" t="s">
        <v>4816</v>
      </c>
      <c r="V35" s="94" t="s">
        <v>4817</v>
      </c>
      <c r="W35" s="94" t="n">
        <v>5</v>
      </c>
      <c r="X35" s="94" t="s">
        <v>59</v>
      </c>
      <c r="Y35" s="94"/>
      <c r="Z35" s="94"/>
      <c r="AA35" s="94"/>
      <c r="AB35" s="94"/>
      <c r="AC35" s="94"/>
      <c r="AD35" s="94"/>
      <c r="AE35" s="94"/>
    </row>
    <row r="36" customFormat="false" ht="15.75" hidden="false" customHeight="true" outlineLevel="0" collapsed="false">
      <c r="A36" s="94"/>
      <c r="B36" s="94"/>
      <c r="C36" s="94"/>
      <c r="D36" s="94"/>
      <c r="E36" s="94"/>
      <c r="F36" s="94"/>
      <c r="G36" s="94"/>
      <c r="H36" s="94"/>
      <c r="I36" s="94"/>
      <c r="J36" s="91" t="s">
        <v>9653</v>
      </c>
      <c r="K36" s="94"/>
      <c r="L36" s="94"/>
      <c r="M36" s="94"/>
      <c r="N36" s="94"/>
      <c r="O36" s="94"/>
      <c r="P36" s="94"/>
      <c r="Q36" s="94"/>
      <c r="R36" s="94"/>
      <c r="S36" s="94"/>
      <c r="T36" s="94"/>
      <c r="U36" s="94"/>
      <c r="V36" s="94"/>
      <c r="W36" s="94"/>
      <c r="X36" s="94"/>
      <c r="Y36" s="94"/>
      <c r="Z36" s="94"/>
      <c r="AA36" s="94"/>
      <c r="AB36" s="94"/>
      <c r="AC36" s="94"/>
      <c r="AD36" s="94"/>
      <c r="AE36" s="94"/>
    </row>
    <row r="37" customFormat="false" ht="15.75" hidden="false" customHeight="true" outlineLevel="0" collapsed="false">
      <c r="A37" s="94"/>
      <c r="B37" s="94"/>
      <c r="C37" s="94"/>
      <c r="D37" s="94"/>
      <c r="E37" s="94"/>
      <c r="F37" s="94"/>
      <c r="G37" s="94"/>
      <c r="H37" s="94"/>
      <c r="I37" s="94"/>
      <c r="J37" s="91" t="s">
        <v>9654</v>
      </c>
      <c r="K37" s="94"/>
      <c r="L37" s="94"/>
      <c r="M37" s="94"/>
      <c r="N37" s="94"/>
      <c r="O37" s="94"/>
      <c r="P37" s="94"/>
      <c r="Q37" s="94"/>
      <c r="R37" s="94"/>
      <c r="S37" s="94"/>
      <c r="T37" s="94"/>
      <c r="U37" s="94"/>
      <c r="V37" s="94"/>
      <c r="W37" s="94"/>
      <c r="X37" s="94"/>
      <c r="Y37" s="94"/>
      <c r="Z37" s="94"/>
      <c r="AA37" s="94"/>
      <c r="AB37" s="94"/>
      <c r="AC37" s="94"/>
      <c r="AD37" s="94"/>
      <c r="AE37" s="94"/>
    </row>
    <row r="38" customFormat="false" ht="15.75" hidden="false" customHeight="true" outlineLevel="0" collapsed="false">
      <c r="A38" s="94"/>
      <c r="B38" s="94"/>
      <c r="C38" s="94"/>
      <c r="D38" s="94"/>
      <c r="E38" s="94"/>
      <c r="F38" s="94"/>
      <c r="G38" s="94"/>
      <c r="H38" s="94"/>
      <c r="I38" s="94"/>
      <c r="J38" s="91" t="s">
        <v>9655</v>
      </c>
      <c r="K38" s="94"/>
      <c r="L38" s="94"/>
      <c r="M38" s="94"/>
      <c r="N38" s="94"/>
      <c r="O38" s="94"/>
      <c r="P38" s="94"/>
      <c r="Q38" s="94"/>
      <c r="R38" s="94"/>
      <c r="S38" s="94"/>
      <c r="T38" s="94"/>
      <c r="U38" s="94"/>
      <c r="V38" s="94"/>
      <c r="W38" s="94"/>
      <c r="X38" s="94"/>
      <c r="Y38" s="94"/>
      <c r="Z38" s="94"/>
      <c r="AA38" s="94"/>
      <c r="AB38" s="94"/>
      <c r="AC38" s="94"/>
      <c r="AD38" s="94"/>
      <c r="AE38" s="94"/>
    </row>
    <row r="39" customFormat="false" ht="15.75" hidden="false" customHeight="true" outlineLevel="0" collapsed="false">
      <c r="A39" s="91" t="n">
        <v>20</v>
      </c>
      <c r="B39" s="91" t="s">
        <v>83</v>
      </c>
      <c r="C39" s="91" t="s">
        <v>171</v>
      </c>
      <c r="D39" s="91" t="s">
        <v>424</v>
      </c>
      <c r="E39" s="91" t="s">
        <v>4819</v>
      </c>
      <c r="F39" s="91" t="n">
        <v>40</v>
      </c>
      <c r="G39" s="91" t="s">
        <v>4820</v>
      </c>
      <c r="H39" s="91" t="s">
        <v>4821</v>
      </c>
      <c r="I39" s="91" t="s">
        <v>4822</v>
      </c>
      <c r="J39" s="91" t="s">
        <v>4823</v>
      </c>
      <c r="K39" s="91" t="s">
        <v>4824</v>
      </c>
      <c r="L39" s="91" t="s">
        <v>4825</v>
      </c>
      <c r="M39" s="91" t="s">
        <v>9635</v>
      </c>
      <c r="N39" s="91" t="s">
        <v>9633</v>
      </c>
      <c r="O39" s="91" t="s">
        <v>9633</v>
      </c>
      <c r="P39" s="91" t="s">
        <v>9634</v>
      </c>
      <c r="Q39" s="91" t="s">
        <v>9633</v>
      </c>
      <c r="R39" s="91" t="s">
        <v>9635</v>
      </c>
      <c r="S39" s="91" t="s">
        <v>4826</v>
      </c>
      <c r="T39" s="91" t="s">
        <v>4827</v>
      </c>
      <c r="U39" s="91" t="s">
        <v>4828</v>
      </c>
      <c r="V39" s="91" t="s">
        <v>4829</v>
      </c>
      <c r="W39" s="91" t="n">
        <v>5</v>
      </c>
      <c r="X39" s="91" t="s">
        <v>59</v>
      </c>
    </row>
    <row r="40" customFormat="false" ht="15.75" hidden="false" customHeight="true" outlineLevel="0" collapsed="false">
      <c r="A40" s="91" t="n">
        <v>21</v>
      </c>
      <c r="B40" s="91" t="s">
        <v>45</v>
      </c>
      <c r="C40" s="91" t="s">
        <v>7933</v>
      </c>
      <c r="D40" s="91" t="s">
        <v>7750</v>
      </c>
      <c r="E40" s="91" t="s">
        <v>4831</v>
      </c>
      <c r="F40" s="91" t="n">
        <v>30</v>
      </c>
      <c r="G40" s="91" t="s">
        <v>4832</v>
      </c>
      <c r="H40" s="91" t="s">
        <v>4833</v>
      </c>
      <c r="I40" s="91" t="s">
        <v>4834</v>
      </c>
      <c r="J40" s="91" t="s">
        <v>4835</v>
      </c>
      <c r="K40" s="91" t="s">
        <v>4836</v>
      </c>
      <c r="L40" s="91" t="s">
        <v>4837</v>
      </c>
      <c r="M40" s="91" t="s">
        <v>9633</v>
      </c>
      <c r="N40" s="91" t="s">
        <v>9635</v>
      </c>
      <c r="O40" s="91" t="s">
        <v>9633</v>
      </c>
      <c r="P40" s="91" t="s">
        <v>9633</v>
      </c>
      <c r="Q40" s="91" t="s">
        <v>9635</v>
      </c>
      <c r="R40" s="91" t="s">
        <v>9634</v>
      </c>
      <c r="S40" s="91" t="s">
        <v>4838</v>
      </c>
      <c r="T40" s="91" t="s">
        <v>4839</v>
      </c>
      <c r="U40" s="91" t="s">
        <v>4840</v>
      </c>
      <c r="V40" s="91" t="s">
        <v>4841</v>
      </c>
      <c r="W40" s="91" t="n">
        <v>5</v>
      </c>
      <c r="X40" s="91" t="s">
        <v>59</v>
      </c>
    </row>
    <row r="41" customFormat="false" ht="15.75" hidden="false" customHeight="true" outlineLevel="0" collapsed="false">
      <c r="A41" s="91" t="n">
        <v>19</v>
      </c>
      <c r="B41" s="91" t="s">
        <v>45</v>
      </c>
      <c r="C41" s="91" t="s">
        <v>437</v>
      </c>
      <c r="D41" s="91" t="s">
        <v>7902</v>
      </c>
      <c r="E41" s="91" t="s">
        <v>4843</v>
      </c>
      <c r="F41" s="91" t="n">
        <v>15</v>
      </c>
      <c r="G41" s="91" t="s">
        <v>4844</v>
      </c>
      <c r="H41" s="91" t="s">
        <v>4845</v>
      </c>
      <c r="I41" s="91" t="s">
        <v>4846</v>
      </c>
      <c r="J41" s="91" t="s">
        <v>4847</v>
      </c>
      <c r="K41" s="91" t="s">
        <v>4848</v>
      </c>
      <c r="L41" s="91" t="s">
        <v>4849</v>
      </c>
      <c r="M41" s="91" t="s">
        <v>9633</v>
      </c>
      <c r="N41" s="91" t="s">
        <v>9633</v>
      </c>
      <c r="O41" s="91" t="s">
        <v>9633</v>
      </c>
      <c r="P41" s="91" t="s">
        <v>9633</v>
      </c>
      <c r="Q41" s="91" t="s">
        <v>9635</v>
      </c>
      <c r="R41" s="91" t="s">
        <v>9634</v>
      </c>
      <c r="S41" s="91" t="s">
        <v>4850</v>
      </c>
      <c r="T41" s="91" t="s">
        <v>4851</v>
      </c>
      <c r="U41" s="91" t="s">
        <v>4852</v>
      </c>
      <c r="V41" s="91" t="s">
        <v>59</v>
      </c>
      <c r="W41" s="91" t="n">
        <v>4</v>
      </c>
      <c r="X41" s="91" t="s">
        <v>59</v>
      </c>
    </row>
    <row r="42" customFormat="false" ht="15.75" hidden="false" customHeight="true" outlineLevel="0" collapsed="false">
      <c r="A42" s="91" t="n">
        <v>20</v>
      </c>
      <c r="B42" s="91" t="s">
        <v>83</v>
      </c>
      <c r="C42" s="91" t="s">
        <v>9648</v>
      </c>
      <c r="D42" s="91" t="s">
        <v>9648</v>
      </c>
      <c r="E42" s="91" t="s">
        <v>4854</v>
      </c>
      <c r="F42" s="91" t="n">
        <v>20</v>
      </c>
      <c r="G42" s="91" t="s">
        <v>4855</v>
      </c>
      <c r="H42" s="91" t="s">
        <v>4856</v>
      </c>
      <c r="I42" s="91" t="s">
        <v>4857</v>
      </c>
      <c r="J42" s="91" t="s">
        <v>4858</v>
      </c>
      <c r="K42" s="91" t="s">
        <v>4859</v>
      </c>
      <c r="L42" s="91" t="s">
        <v>4860</v>
      </c>
      <c r="M42" s="91" t="s">
        <v>9633</v>
      </c>
      <c r="N42" s="91" t="s">
        <v>9633</v>
      </c>
      <c r="O42" s="91" t="s">
        <v>9635</v>
      </c>
      <c r="P42" s="91" t="s">
        <v>9633</v>
      </c>
      <c r="Q42" s="91" t="s">
        <v>9634</v>
      </c>
      <c r="R42" s="91" t="s">
        <v>9635</v>
      </c>
      <c r="S42" s="91" t="s">
        <v>4861</v>
      </c>
      <c r="T42" s="91" t="s">
        <v>4862</v>
      </c>
      <c r="U42" s="91" t="s">
        <v>4863</v>
      </c>
      <c r="V42" s="91" t="s">
        <v>4864</v>
      </c>
      <c r="W42" s="91" t="n">
        <v>5</v>
      </c>
      <c r="X42" s="91" t="s">
        <v>4865</v>
      </c>
    </row>
    <row r="43" customFormat="false" ht="15.75" hidden="false" customHeight="true" outlineLevel="0" collapsed="false">
      <c r="A43" s="91" t="n">
        <v>21</v>
      </c>
      <c r="B43" s="91" t="s">
        <v>45</v>
      </c>
      <c r="C43" s="91" t="s">
        <v>9656</v>
      </c>
      <c r="D43" s="91" t="s">
        <v>9657</v>
      </c>
      <c r="E43" s="91" t="s">
        <v>4869</v>
      </c>
      <c r="F43" s="91" t="n">
        <v>30</v>
      </c>
      <c r="G43" s="91" t="s">
        <v>4870</v>
      </c>
      <c r="H43" s="91" t="s">
        <v>4871</v>
      </c>
      <c r="I43" s="91" t="s">
        <v>442</v>
      </c>
      <c r="J43" s="91" t="s">
        <v>1125</v>
      </c>
      <c r="K43" s="91" t="s">
        <v>4872</v>
      </c>
      <c r="L43" s="91" t="s">
        <v>4873</v>
      </c>
      <c r="M43" s="91" t="s">
        <v>9635</v>
      </c>
      <c r="N43" s="91" t="s">
        <v>9633</v>
      </c>
      <c r="O43" s="91" t="s">
        <v>9635</v>
      </c>
      <c r="P43" s="91" t="s">
        <v>9634</v>
      </c>
      <c r="Q43" s="91" t="s">
        <v>9633</v>
      </c>
      <c r="R43" s="91" t="s">
        <v>9635</v>
      </c>
      <c r="S43" s="91" t="s">
        <v>4874</v>
      </c>
      <c r="T43" s="91" t="s">
        <v>4875</v>
      </c>
      <c r="U43" s="91" t="s">
        <v>4876</v>
      </c>
      <c r="V43" s="91" t="s">
        <v>4877</v>
      </c>
      <c r="W43" s="91" t="n">
        <v>4</v>
      </c>
      <c r="X43" s="91" t="s">
        <v>59</v>
      </c>
    </row>
    <row r="44" customFormat="false" ht="15.75" hidden="false" customHeight="true" outlineLevel="0" collapsed="false">
      <c r="A44" s="94" t="n">
        <v>21</v>
      </c>
      <c r="B44" s="94" t="s">
        <v>45</v>
      </c>
      <c r="C44" s="94" t="s">
        <v>9008</v>
      </c>
      <c r="D44" s="94" t="s">
        <v>9658</v>
      </c>
      <c r="E44" s="94" t="s">
        <v>4879</v>
      </c>
      <c r="F44" s="94" t="n">
        <v>30</v>
      </c>
      <c r="G44" s="94" t="s">
        <v>4880</v>
      </c>
      <c r="H44" s="94" t="s">
        <v>4881</v>
      </c>
      <c r="I44" s="94" t="s">
        <v>4882</v>
      </c>
      <c r="J44" s="94" t="s">
        <v>4883</v>
      </c>
      <c r="K44" s="94" t="s">
        <v>4884</v>
      </c>
      <c r="L44" s="94" t="s">
        <v>4885</v>
      </c>
      <c r="M44" s="94" t="s">
        <v>9633</v>
      </c>
      <c r="N44" s="94" t="s">
        <v>9633</v>
      </c>
      <c r="O44" s="94" t="s">
        <v>9635</v>
      </c>
      <c r="P44" s="94" t="s">
        <v>9634</v>
      </c>
      <c r="Q44" s="94" t="s">
        <v>9633</v>
      </c>
      <c r="R44" s="94" t="s">
        <v>9635</v>
      </c>
      <c r="S44" s="91" t="s">
        <v>9659</v>
      </c>
      <c r="T44" s="94" t="s">
        <v>4887</v>
      </c>
      <c r="U44" s="94" t="s">
        <v>4888</v>
      </c>
      <c r="V44" s="94" t="s">
        <v>4889</v>
      </c>
      <c r="W44" s="94" t="n">
        <v>4</v>
      </c>
      <c r="X44" s="94" t="s">
        <v>59</v>
      </c>
      <c r="Y44" s="94"/>
      <c r="Z44" s="94"/>
      <c r="AA44" s="94"/>
      <c r="AB44" s="94"/>
      <c r="AC44" s="94"/>
      <c r="AD44" s="94"/>
      <c r="AE44" s="94"/>
    </row>
    <row r="45" customFormat="false" ht="15.75" hidden="false" customHeight="true" outlineLevel="0" collapsed="false">
      <c r="A45" s="94"/>
      <c r="B45" s="94"/>
      <c r="C45" s="94"/>
      <c r="D45" s="94"/>
      <c r="E45" s="94"/>
      <c r="F45" s="94"/>
      <c r="G45" s="94"/>
      <c r="H45" s="94"/>
      <c r="I45" s="94"/>
      <c r="J45" s="94"/>
      <c r="K45" s="94"/>
      <c r="L45" s="94"/>
      <c r="M45" s="94"/>
      <c r="N45" s="94"/>
      <c r="O45" s="94"/>
      <c r="P45" s="94"/>
      <c r="Q45" s="94"/>
      <c r="R45" s="94"/>
      <c r="S45" s="91" t="s">
        <v>9660</v>
      </c>
      <c r="T45" s="94"/>
      <c r="U45" s="94"/>
      <c r="V45" s="94"/>
      <c r="W45" s="94"/>
      <c r="X45" s="94"/>
      <c r="Y45" s="94"/>
      <c r="Z45" s="94"/>
      <c r="AA45" s="94"/>
      <c r="AB45" s="94"/>
      <c r="AC45" s="94"/>
      <c r="AD45" s="94"/>
      <c r="AE45" s="94"/>
    </row>
    <row r="46" customFormat="false" ht="15.75" hidden="false" customHeight="true" outlineLevel="0" collapsed="false">
      <c r="A46" s="91" t="n">
        <v>19</v>
      </c>
      <c r="B46" s="91" t="s">
        <v>83</v>
      </c>
      <c r="C46" s="91" t="s">
        <v>4867</v>
      </c>
      <c r="D46" s="91" t="s">
        <v>127</v>
      </c>
      <c r="E46" s="91" t="s">
        <v>4891</v>
      </c>
      <c r="F46" s="91" t="n">
        <v>37</v>
      </c>
      <c r="G46" s="91" t="s">
        <v>4892</v>
      </c>
      <c r="H46" s="91" t="s">
        <v>4893</v>
      </c>
      <c r="I46" s="91" t="s">
        <v>4894</v>
      </c>
      <c r="J46" s="91" t="s">
        <v>4895</v>
      </c>
      <c r="K46" s="91" t="s">
        <v>4896</v>
      </c>
      <c r="L46" s="91" t="s">
        <v>4897</v>
      </c>
      <c r="M46" s="91" t="s">
        <v>9633</v>
      </c>
      <c r="N46" s="91" t="s">
        <v>9633</v>
      </c>
      <c r="O46" s="91" t="s">
        <v>9635</v>
      </c>
      <c r="P46" s="91" t="s">
        <v>9633</v>
      </c>
      <c r="Q46" s="91" t="s">
        <v>9634</v>
      </c>
      <c r="R46" s="91" t="s">
        <v>9635</v>
      </c>
      <c r="S46" s="91" t="s">
        <v>4898</v>
      </c>
      <c r="T46" s="91" t="s">
        <v>4899</v>
      </c>
      <c r="U46" s="91" t="s">
        <v>4900</v>
      </c>
      <c r="V46" s="91" t="s">
        <v>4901</v>
      </c>
      <c r="W46" s="91" t="n">
        <v>3</v>
      </c>
      <c r="X46" s="91" t="s">
        <v>59</v>
      </c>
    </row>
    <row r="47" customFormat="false" ht="15.75" hidden="false" customHeight="true" outlineLevel="0" collapsed="false">
      <c r="A47" s="91" t="n">
        <v>21</v>
      </c>
      <c r="B47" s="91" t="s">
        <v>83</v>
      </c>
      <c r="C47" s="91" t="s">
        <v>8522</v>
      </c>
      <c r="D47" s="91" t="s">
        <v>7756</v>
      </c>
      <c r="E47" s="91" t="s">
        <v>4903</v>
      </c>
      <c r="F47" s="91" t="n">
        <v>20</v>
      </c>
      <c r="G47" s="91" t="s">
        <v>4904</v>
      </c>
      <c r="H47" s="91" t="s">
        <v>4905</v>
      </c>
      <c r="I47" s="91" t="s">
        <v>4906</v>
      </c>
      <c r="J47" s="91" t="s">
        <v>4907</v>
      </c>
      <c r="K47" s="91" t="s">
        <v>4908</v>
      </c>
      <c r="L47" s="91" t="s">
        <v>4909</v>
      </c>
      <c r="M47" s="91" t="s">
        <v>9633</v>
      </c>
      <c r="N47" s="91" t="s">
        <v>9633</v>
      </c>
      <c r="O47" s="91" t="s">
        <v>9635</v>
      </c>
      <c r="P47" s="91" t="s">
        <v>9634</v>
      </c>
      <c r="Q47" s="91" t="s">
        <v>9633</v>
      </c>
      <c r="R47" s="91" t="s">
        <v>9635</v>
      </c>
      <c r="S47" s="91" t="s">
        <v>4910</v>
      </c>
      <c r="T47" s="91" t="s">
        <v>4911</v>
      </c>
      <c r="U47" s="91" t="s">
        <v>4912</v>
      </c>
      <c r="V47" s="91" t="s">
        <v>4913</v>
      </c>
      <c r="W47" s="91" t="n">
        <v>5</v>
      </c>
      <c r="X47" s="91" t="s">
        <v>59</v>
      </c>
    </row>
    <row r="48" customFormat="false" ht="15.75" hidden="false" customHeight="true" outlineLevel="0" collapsed="false">
      <c r="A48" s="91" t="n">
        <v>19</v>
      </c>
      <c r="B48" s="91" t="s">
        <v>45</v>
      </c>
      <c r="C48" s="91" t="s">
        <v>9649</v>
      </c>
      <c r="D48" s="91" t="s">
        <v>9648</v>
      </c>
      <c r="E48" s="91" t="s">
        <v>4915</v>
      </c>
      <c r="F48" s="91" t="n">
        <v>20</v>
      </c>
      <c r="G48" s="91" t="s">
        <v>4916</v>
      </c>
      <c r="H48" s="91" t="s">
        <v>4917</v>
      </c>
      <c r="I48" s="91" t="s">
        <v>4918</v>
      </c>
      <c r="J48" s="91" t="s">
        <v>4919</v>
      </c>
      <c r="K48" s="91" t="s">
        <v>4920</v>
      </c>
      <c r="L48" s="91" t="s">
        <v>4921</v>
      </c>
      <c r="M48" s="91" t="s">
        <v>9635</v>
      </c>
      <c r="N48" s="91" t="s">
        <v>9633</v>
      </c>
      <c r="O48" s="91" t="s">
        <v>9633</v>
      </c>
      <c r="P48" s="91" t="s">
        <v>9635</v>
      </c>
      <c r="Q48" s="91" t="s">
        <v>9633</v>
      </c>
      <c r="R48" s="91" t="s">
        <v>9634</v>
      </c>
      <c r="S48" s="91" t="s">
        <v>4922</v>
      </c>
      <c r="T48" s="91" t="s">
        <v>4923</v>
      </c>
      <c r="U48" s="91" t="s">
        <v>4924</v>
      </c>
      <c r="V48" s="91" t="s">
        <v>4925</v>
      </c>
      <c r="W48" s="91" t="n">
        <v>5</v>
      </c>
      <c r="X48" s="91" t="s">
        <v>4926</v>
      </c>
    </row>
    <row r="49" customFormat="false" ht="15.75" hidden="false" customHeight="true" outlineLevel="0" collapsed="false">
      <c r="A49" s="91" t="n">
        <v>19</v>
      </c>
      <c r="B49" s="91" t="s">
        <v>45</v>
      </c>
      <c r="C49" s="91" t="s">
        <v>437</v>
      </c>
      <c r="D49" s="91" t="s">
        <v>7902</v>
      </c>
      <c r="E49" s="91" t="s">
        <v>4928</v>
      </c>
      <c r="F49" s="91" t="n">
        <v>15</v>
      </c>
      <c r="G49" s="91" t="s">
        <v>4929</v>
      </c>
      <c r="H49" s="91" t="s">
        <v>4930</v>
      </c>
      <c r="I49" s="91" t="s">
        <v>4931</v>
      </c>
      <c r="J49" s="91" t="s">
        <v>4932</v>
      </c>
      <c r="K49" s="91" t="s">
        <v>4933</v>
      </c>
      <c r="L49" s="91" t="s">
        <v>4934</v>
      </c>
      <c r="M49" s="91" t="s">
        <v>9633</v>
      </c>
      <c r="N49" s="91" t="s">
        <v>9633</v>
      </c>
      <c r="O49" s="91" t="s">
        <v>9633</v>
      </c>
      <c r="P49" s="91" t="s">
        <v>9633</v>
      </c>
      <c r="Q49" s="91" t="s">
        <v>9635</v>
      </c>
      <c r="R49" s="91" t="s">
        <v>9634</v>
      </c>
      <c r="S49" s="91" t="s">
        <v>4935</v>
      </c>
      <c r="T49" s="91" t="s">
        <v>4936</v>
      </c>
      <c r="U49" s="91" t="s">
        <v>4937</v>
      </c>
      <c r="V49" s="91" t="s">
        <v>4938</v>
      </c>
      <c r="W49" s="91" t="n">
        <v>4</v>
      </c>
      <c r="X49" s="91" t="s">
        <v>4939</v>
      </c>
    </row>
    <row r="50" customFormat="false" ht="15.75" hidden="false" customHeight="true" outlineLevel="0" collapsed="false">
      <c r="A50" s="91" t="n">
        <v>21</v>
      </c>
      <c r="B50" s="91" t="s">
        <v>45</v>
      </c>
      <c r="C50" s="91" t="s">
        <v>9656</v>
      </c>
      <c r="D50" s="91" t="s">
        <v>9657</v>
      </c>
      <c r="E50" s="91" t="s">
        <v>4941</v>
      </c>
      <c r="F50" s="91" t="n">
        <v>30</v>
      </c>
      <c r="G50" s="91" t="s">
        <v>4942</v>
      </c>
      <c r="H50" s="91" t="s">
        <v>4943</v>
      </c>
      <c r="I50" s="91" t="s">
        <v>4944</v>
      </c>
      <c r="J50" s="91" t="s">
        <v>4945</v>
      </c>
      <c r="K50" s="91" t="s">
        <v>4946</v>
      </c>
      <c r="L50" s="91" t="s">
        <v>4947</v>
      </c>
      <c r="M50" s="91" t="s">
        <v>9635</v>
      </c>
      <c r="N50" s="91" t="s">
        <v>9633</v>
      </c>
      <c r="O50" s="91" t="s">
        <v>9635</v>
      </c>
      <c r="P50" s="91" t="s">
        <v>9634</v>
      </c>
      <c r="Q50" s="91" t="s">
        <v>9633</v>
      </c>
      <c r="R50" s="91" t="s">
        <v>9635</v>
      </c>
      <c r="S50" s="91" t="s">
        <v>4948</v>
      </c>
      <c r="T50" s="91" t="s">
        <v>4949</v>
      </c>
      <c r="U50" s="91" t="s">
        <v>4950</v>
      </c>
      <c r="V50" s="91" t="s">
        <v>4951</v>
      </c>
      <c r="W50" s="91" t="n">
        <v>4</v>
      </c>
      <c r="X50" s="91" t="s">
        <v>4952</v>
      </c>
    </row>
    <row r="51" customFormat="false" ht="15.75" hidden="false" customHeight="true" outlineLevel="0" collapsed="false">
      <c r="A51" s="91" t="n">
        <v>22</v>
      </c>
      <c r="B51" s="91" t="s">
        <v>83</v>
      </c>
      <c r="C51" s="91" t="s">
        <v>9661</v>
      </c>
      <c r="D51" s="91" t="s">
        <v>9662</v>
      </c>
      <c r="E51" s="91" t="s">
        <v>4954</v>
      </c>
      <c r="F51" s="91" t="n">
        <v>15</v>
      </c>
      <c r="G51" s="91" t="s">
        <v>4955</v>
      </c>
      <c r="H51" s="91" t="s">
        <v>4956</v>
      </c>
      <c r="I51" s="91" t="s">
        <v>4957</v>
      </c>
      <c r="J51" s="91" t="s">
        <v>4958</v>
      </c>
      <c r="K51" s="91" t="s">
        <v>4959</v>
      </c>
      <c r="L51" s="91" t="s">
        <v>4960</v>
      </c>
      <c r="M51" s="91" t="s">
        <v>9635</v>
      </c>
      <c r="N51" s="91" t="s">
        <v>9633</v>
      </c>
      <c r="O51" s="91" t="s">
        <v>9633</v>
      </c>
      <c r="P51" s="91" t="s">
        <v>9634</v>
      </c>
      <c r="Q51" s="91" t="s">
        <v>9635</v>
      </c>
      <c r="R51" s="91" t="s">
        <v>9633</v>
      </c>
      <c r="S51" s="91" t="s">
        <v>4961</v>
      </c>
      <c r="T51" s="91" t="s">
        <v>4635</v>
      </c>
      <c r="U51" s="91" t="s">
        <v>4962</v>
      </c>
      <c r="V51" s="91" t="s">
        <v>4963</v>
      </c>
      <c r="W51" s="91" t="n">
        <v>4</v>
      </c>
      <c r="X51" s="91" t="s">
        <v>59</v>
      </c>
    </row>
    <row r="52" customFormat="false" ht="15.75" hidden="false" customHeight="true" outlineLevel="0" collapsed="false">
      <c r="A52" s="91" t="n">
        <v>19</v>
      </c>
      <c r="B52" s="91" t="s">
        <v>83</v>
      </c>
      <c r="C52" s="91" t="s">
        <v>4867</v>
      </c>
      <c r="D52" s="91" t="s">
        <v>127</v>
      </c>
      <c r="E52" s="91" t="s">
        <v>4965</v>
      </c>
      <c r="F52" s="91" t="n">
        <v>37</v>
      </c>
      <c r="G52" s="91" t="s">
        <v>4966</v>
      </c>
      <c r="H52" s="91" t="s">
        <v>4967</v>
      </c>
      <c r="I52" s="91" t="s">
        <v>4968</v>
      </c>
      <c r="J52" s="91" t="s">
        <v>4969</v>
      </c>
      <c r="K52" s="91" t="s">
        <v>4970</v>
      </c>
      <c r="L52" s="91" t="s">
        <v>4971</v>
      </c>
      <c r="M52" s="91" t="s">
        <v>9633</v>
      </c>
      <c r="N52" s="91" t="s">
        <v>9633</v>
      </c>
      <c r="O52" s="91" t="s">
        <v>9635</v>
      </c>
      <c r="P52" s="91" t="s">
        <v>9633</v>
      </c>
      <c r="Q52" s="91" t="s">
        <v>9634</v>
      </c>
      <c r="R52" s="91" t="s">
        <v>9635</v>
      </c>
      <c r="S52" s="91" t="s">
        <v>4972</v>
      </c>
      <c r="T52" s="91" t="s">
        <v>4973</v>
      </c>
      <c r="U52" s="91" t="s">
        <v>4974</v>
      </c>
      <c r="V52" s="91" t="s">
        <v>4975</v>
      </c>
      <c r="W52" s="91" t="n">
        <v>3</v>
      </c>
      <c r="X52" s="91" t="s">
        <v>4976</v>
      </c>
    </row>
    <row r="53" customFormat="false" ht="15.75" hidden="false" customHeight="true" outlineLevel="0" collapsed="false">
      <c r="A53" s="91" t="n">
        <v>21</v>
      </c>
      <c r="B53" s="91" t="s">
        <v>83</v>
      </c>
      <c r="C53" s="91" t="s">
        <v>8522</v>
      </c>
      <c r="D53" s="91" t="s">
        <v>7756</v>
      </c>
      <c r="E53" s="91" t="s">
        <v>4978</v>
      </c>
      <c r="F53" s="91" t="n">
        <v>20</v>
      </c>
      <c r="G53" s="91" t="s">
        <v>4979</v>
      </c>
      <c r="H53" s="91" t="s">
        <v>4980</v>
      </c>
      <c r="I53" s="91" t="s">
        <v>4981</v>
      </c>
      <c r="J53" s="91" t="s">
        <v>4982</v>
      </c>
      <c r="K53" s="91" t="s">
        <v>4983</v>
      </c>
      <c r="L53" s="91" t="s">
        <v>4984</v>
      </c>
      <c r="M53" s="91" t="s">
        <v>9633</v>
      </c>
      <c r="N53" s="91" t="s">
        <v>9633</v>
      </c>
      <c r="O53" s="91" t="s">
        <v>9635</v>
      </c>
      <c r="P53" s="91" t="s">
        <v>9634</v>
      </c>
      <c r="Q53" s="91" t="s">
        <v>9633</v>
      </c>
      <c r="R53" s="91" t="s">
        <v>9635</v>
      </c>
      <c r="S53" s="91" t="s">
        <v>4985</v>
      </c>
      <c r="T53" s="91" t="s">
        <v>4986</v>
      </c>
      <c r="U53" s="91" t="s">
        <v>4987</v>
      </c>
      <c r="V53" s="91" t="s">
        <v>4988</v>
      </c>
      <c r="W53" s="91" t="n">
        <v>5</v>
      </c>
      <c r="X53" s="91" t="s">
        <v>4989</v>
      </c>
    </row>
    <row r="54" customFormat="false" ht="15.75" hidden="false" customHeight="true" outlineLevel="0" collapsed="false">
      <c r="A54" s="91" t="n">
        <v>15</v>
      </c>
      <c r="B54" s="91" t="s">
        <v>45</v>
      </c>
      <c r="C54" s="91" t="s">
        <v>4867</v>
      </c>
      <c r="D54" s="91" t="s">
        <v>4867</v>
      </c>
      <c r="E54" s="91" t="s">
        <v>4991</v>
      </c>
      <c r="F54" s="91" t="n">
        <v>21</v>
      </c>
      <c r="G54" s="91" t="s">
        <v>4992</v>
      </c>
      <c r="H54" s="91" t="s">
        <v>4993</v>
      </c>
      <c r="I54" s="91" t="s">
        <v>4994</v>
      </c>
      <c r="J54" s="91" t="s">
        <v>4995</v>
      </c>
      <c r="K54" s="91" t="s">
        <v>59</v>
      </c>
      <c r="L54" s="91" t="s">
        <v>4996</v>
      </c>
      <c r="M54" s="91" t="s">
        <v>9635</v>
      </c>
      <c r="N54" s="91" t="s">
        <v>9633</v>
      </c>
      <c r="O54" s="91" t="s">
        <v>9635</v>
      </c>
      <c r="P54" s="91" t="s">
        <v>9634</v>
      </c>
      <c r="Q54" s="91" t="s">
        <v>9633</v>
      </c>
      <c r="R54" s="91" t="s">
        <v>9635</v>
      </c>
      <c r="S54" s="91" t="s">
        <v>4997</v>
      </c>
      <c r="T54" s="91" t="s">
        <v>4998</v>
      </c>
      <c r="U54" s="91" t="s">
        <v>4999</v>
      </c>
      <c r="V54" s="91" t="s">
        <v>59</v>
      </c>
      <c r="W54" s="91" t="n">
        <v>3</v>
      </c>
      <c r="X54" s="91" t="s">
        <v>59</v>
      </c>
    </row>
    <row r="55" customFormat="false" ht="15.75" hidden="false" customHeight="true" outlineLevel="0" collapsed="false">
      <c r="A55" s="91" t="n">
        <v>23</v>
      </c>
      <c r="B55" s="91" t="s">
        <v>83</v>
      </c>
      <c r="C55" s="91" t="s">
        <v>453</v>
      </c>
      <c r="D55" s="91" t="s">
        <v>453</v>
      </c>
      <c r="E55" s="91" t="s">
        <v>104</v>
      </c>
      <c r="F55" s="91" t="n">
        <v>15</v>
      </c>
      <c r="G55" s="91" t="s">
        <v>5001</v>
      </c>
      <c r="H55" s="91" t="s">
        <v>5002</v>
      </c>
      <c r="I55" s="91" t="s">
        <v>5003</v>
      </c>
      <c r="J55" s="91" t="s">
        <v>5004</v>
      </c>
      <c r="K55" s="91" t="s">
        <v>5005</v>
      </c>
      <c r="L55" s="91" t="s">
        <v>5006</v>
      </c>
      <c r="M55" s="91" t="s">
        <v>9633</v>
      </c>
      <c r="N55" s="91" t="s">
        <v>9633</v>
      </c>
      <c r="O55" s="91" t="s">
        <v>9633</v>
      </c>
      <c r="P55" s="91" t="s">
        <v>9634</v>
      </c>
      <c r="Q55" s="91" t="s">
        <v>9633</v>
      </c>
      <c r="R55" s="91" t="s">
        <v>9635</v>
      </c>
      <c r="S55" s="91" t="s">
        <v>5007</v>
      </c>
      <c r="T55" s="91" t="s">
        <v>5008</v>
      </c>
      <c r="U55" s="91" t="s">
        <v>5008</v>
      </c>
      <c r="V55" s="91" t="s">
        <v>5009</v>
      </c>
      <c r="W55" s="91" t="n">
        <v>3</v>
      </c>
      <c r="X55" s="91" t="s">
        <v>59</v>
      </c>
    </row>
    <row r="56" customFormat="false" ht="15.75" hidden="false" customHeight="true" outlineLevel="0" collapsed="false">
      <c r="A56" s="91" t="n">
        <v>20</v>
      </c>
      <c r="B56" s="91" t="s">
        <v>45</v>
      </c>
      <c r="C56" s="91" t="s">
        <v>71</v>
      </c>
      <c r="D56" s="91" t="s">
        <v>49</v>
      </c>
      <c r="E56" s="91" t="s">
        <v>5011</v>
      </c>
      <c r="F56" s="91" t="n">
        <v>40</v>
      </c>
      <c r="G56" s="91" t="s">
        <v>5012</v>
      </c>
      <c r="H56" s="91" t="s">
        <v>5013</v>
      </c>
      <c r="I56" s="91" t="s">
        <v>5014</v>
      </c>
      <c r="J56" s="91" t="s">
        <v>5015</v>
      </c>
      <c r="K56" s="91" t="s">
        <v>5016</v>
      </c>
      <c r="L56" s="91" t="s">
        <v>5017</v>
      </c>
      <c r="M56" s="91" t="s">
        <v>9633</v>
      </c>
      <c r="N56" s="91" t="s">
        <v>9633</v>
      </c>
      <c r="O56" s="91" t="s">
        <v>9635</v>
      </c>
      <c r="P56" s="91" t="s">
        <v>9634</v>
      </c>
      <c r="Q56" s="91" t="s">
        <v>9633</v>
      </c>
      <c r="R56" s="91" t="s">
        <v>9635</v>
      </c>
      <c r="S56" s="91" t="s">
        <v>5018</v>
      </c>
      <c r="T56" s="91" t="s">
        <v>3184</v>
      </c>
      <c r="U56" s="91" t="s">
        <v>5019</v>
      </c>
      <c r="V56" s="91" t="s">
        <v>5020</v>
      </c>
      <c r="W56" s="91" t="n">
        <v>4</v>
      </c>
      <c r="X56" s="91" t="s">
        <v>59</v>
      </c>
    </row>
    <row r="57" customFormat="false" ht="15.75" hidden="false" customHeight="true" outlineLevel="0" collapsed="false">
      <c r="A57" s="91" t="n">
        <v>26</v>
      </c>
      <c r="B57" s="91" t="s">
        <v>83</v>
      </c>
      <c r="C57" s="91" t="s">
        <v>171</v>
      </c>
      <c r="D57" s="91" t="s">
        <v>171</v>
      </c>
      <c r="E57" s="91" t="s">
        <v>5022</v>
      </c>
      <c r="F57" s="91" t="n">
        <v>20</v>
      </c>
      <c r="G57" s="91" t="s">
        <v>5023</v>
      </c>
      <c r="H57" s="91" t="s">
        <v>5024</v>
      </c>
      <c r="I57" s="91" t="s">
        <v>98</v>
      </c>
      <c r="J57" s="91" t="s">
        <v>5025</v>
      </c>
      <c r="K57" s="91" t="s">
        <v>5026</v>
      </c>
      <c r="L57" s="91" t="s">
        <v>5027</v>
      </c>
      <c r="M57" s="91" t="s">
        <v>9633</v>
      </c>
      <c r="N57" s="91" t="s">
        <v>9635</v>
      </c>
      <c r="O57" s="91" t="s">
        <v>9633</v>
      </c>
      <c r="P57" s="91" t="s">
        <v>9633</v>
      </c>
      <c r="Q57" s="91" t="s">
        <v>9634</v>
      </c>
      <c r="R57" s="91" t="s">
        <v>9635</v>
      </c>
      <c r="S57" s="91" t="s">
        <v>5028</v>
      </c>
      <c r="T57" s="91" t="s">
        <v>5029</v>
      </c>
      <c r="U57" s="91" t="s">
        <v>5030</v>
      </c>
      <c r="V57" s="91" t="s">
        <v>5031</v>
      </c>
      <c r="W57" s="91" t="n">
        <v>5</v>
      </c>
      <c r="X57" s="91" t="s">
        <v>59</v>
      </c>
    </row>
    <row r="58" customFormat="false" ht="15.75" hidden="false" customHeight="true" outlineLevel="0" collapsed="false">
      <c r="A58" s="91" t="n">
        <v>18</v>
      </c>
      <c r="B58" s="91" t="s">
        <v>83</v>
      </c>
      <c r="C58" s="91" t="s">
        <v>171</v>
      </c>
      <c r="D58" s="91" t="s">
        <v>4867</v>
      </c>
      <c r="E58" s="91" t="s">
        <v>5033</v>
      </c>
      <c r="F58" s="91" t="n">
        <v>15</v>
      </c>
      <c r="G58" s="91" t="s">
        <v>5034</v>
      </c>
      <c r="H58" s="91" t="s">
        <v>5035</v>
      </c>
      <c r="I58" s="91" t="s">
        <v>5036</v>
      </c>
      <c r="J58" s="91" t="s">
        <v>5037</v>
      </c>
      <c r="K58" s="91" t="s">
        <v>5038</v>
      </c>
      <c r="L58" s="91" t="s">
        <v>5039</v>
      </c>
      <c r="M58" s="91" t="s">
        <v>9635</v>
      </c>
      <c r="N58" s="91" t="s">
        <v>9633</v>
      </c>
      <c r="O58" s="91" t="s">
        <v>9633</v>
      </c>
      <c r="P58" s="91" t="s">
        <v>9635</v>
      </c>
      <c r="Q58" s="91" t="s">
        <v>9633</v>
      </c>
      <c r="R58" s="91" t="s">
        <v>9634</v>
      </c>
      <c r="S58" s="91" t="s">
        <v>5040</v>
      </c>
      <c r="T58" s="91" t="s">
        <v>5041</v>
      </c>
      <c r="U58" s="91" t="s">
        <v>5042</v>
      </c>
      <c r="V58" s="91" t="s">
        <v>5043</v>
      </c>
      <c r="W58" s="91" t="n">
        <v>3</v>
      </c>
      <c r="X58" s="91" t="s">
        <v>59</v>
      </c>
    </row>
    <row r="59" customFormat="false" ht="15.75" hidden="false" customHeight="true" outlineLevel="0" collapsed="false">
      <c r="A59" s="91" t="n">
        <v>26</v>
      </c>
      <c r="B59" s="91" t="s">
        <v>83</v>
      </c>
      <c r="C59" s="91" t="s">
        <v>171</v>
      </c>
      <c r="D59" s="91" t="s">
        <v>171</v>
      </c>
      <c r="E59" s="91" t="s">
        <v>5045</v>
      </c>
      <c r="F59" s="91" t="n">
        <v>20</v>
      </c>
      <c r="G59" s="91" t="s">
        <v>5046</v>
      </c>
      <c r="H59" s="91" t="s">
        <v>5047</v>
      </c>
      <c r="I59" s="91" t="s">
        <v>5048</v>
      </c>
      <c r="J59" s="91" t="s">
        <v>5049</v>
      </c>
      <c r="K59" s="91" t="s">
        <v>5050</v>
      </c>
      <c r="L59" s="91" t="s">
        <v>5051</v>
      </c>
      <c r="M59" s="91" t="s">
        <v>9633</v>
      </c>
      <c r="N59" s="91" t="s">
        <v>9635</v>
      </c>
      <c r="O59" s="91" t="s">
        <v>9633</v>
      </c>
      <c r="P59" s="91" t="s">
        <v>9633</v>
      </c>
      <c r="Q59" s="91" t="s">
        <v>9634</v>
      </c>
      <c r="R59" s="91" t="s">
        <v>9635</v>
      </c>
      <c r="S59" s="91" t="s">
        <v>5052</v>
      </c>
      <c r="T59" s="91" t="s">
        <v>5053</v>
      </c>
      <c r="U59" s="91" t="s">
        <v>5054</v>
      </c>
      <c r="V59" s="91" t="s">
        <v>5055</v>
      </c>
      <c r="W59" s="91" t="n">
        <v>3</v>
      </c>
      <c r="X59" s="91" t="s">
        <v>5056</v>
      </c>
    </row>
    <row r="60" customFormat="false" ht="15.75" hidden="false" customHeight="true" outlineLevel="0" collapsed="false">
      <c r="A60" s="94" t="n">
        <v>57</v>
      </c>
      <c r="B60" s="94" t="s">
        <v>45</v>
      </c>
      <c r="C60" s="94" t="s">
        <v>9663</v>
      </c>
      <c r="D60" s="94" t="s">
        <v>9664</v>
      </c>
      <c r="E60" s="94" t="s">
        <v>5058</v>
      </c>
      <c r="F60" s="94" t="n">
        <v>20</v>
      </c>
      <c r="G60" s="94" t="s">
        <v>5059</v>
      </c>
      <c r="H60" s="94" t="s">
        <v>5060</v>
      </c>
      <c r="I60" s="94" t="s">
        <v>5061</v>
      </c>
      <c r="J60" s="94" t="s">
        <v>5062</v>
      </c>
      <c r="K60" s="94" t="s">
        <v>5063</v>
      </c>
      <c r="L60" s="91" t="s">
        <v>9665</v>
      </c>
      <c r="M60" s="94" t="s">
        <v>9633</v>
      </c>
      <c r="N60" s="94" t="s">
        <v>9633</v>
      </c>
      <c r="O60" s="94" t="s">
        <v>9635</v>
      </c>
      <c r="P60" s="94" t="s">
        <v>9634</v>
      </c>
      <c r="Q60" s="94" t="s">
        <v>9633</v>
      </c>
      <c r="R60" s="94" t="s">
        <v>9635</v>
      </c>
      <c r="S60" s="94" t="s">
        <v>5065</v>
      </c>
      <c r="T60" s="94" t="s">
        <v>5066</v>
      </c>
      <c r="U60" s="94" t="s">
        <v>5067</v>
      </c>
      <c r="V60" s="94" t="s">
        <v>9666</v>
      </c>
      <c r="W60" s="94" t="n">
        <v>5</v>
      </c>
      <c r="X60" s="94" t="s">
        <v>59</v>
      </c>
      <c r="Y60" s="94"/>
      <c r="Z60" s="94"/>
      <c r="AA60" s="94"/>
      <c r="AB60" s="94"/>
      <c r="AC60" s="94"/>
      <c r="AD60" s="94"/>
      <c r="AE60" s="94"/>
    </row>
    <row r="61" customFormat="false" ht="15.75" hidden="false" customHeight="true" outlineLevel="0" collapsed="false">
      <c r="A61" s="94"/>
      <c r="B61" s="94"/>
      <c r="C61" s="94"/>
      <c r="D61" s="94"/>
      <c r="E61" s="94"/>
      <c r="F61" s="94"/>
      <c r="G61" s="94"/>
      <c r="H61" s="94"/>
      <c r="I61" s="94"/>
      <c r="J61" s="94"/>
      <c r="K61" s="94"/>
      <c r="L61" s="91" t="s">
        <v>9667</v>
      </c>
      <c r="M61" s="94"/>
      <c r="N61" s="94"/>
      <c r="O61" s="94"/>
      <c r="P61" s="94"/>
      <c r="Q61" s="94"/>
      <c r="R61" s="94"/>
      <c r="S61" s="94"/>
      <c r="T61" s="94"/>
      <c r="U61" s="94"/>
      <c r="V61" s="94"/>
      <c r="W61" s="94"/>
      <c r="X61" s="94"/>
      <c r="Y61" s="94"/>
      <c r="Z61" s="94"/>
      <c r="AA61" s="94"/>
      <c r="AB61" s="94"/>
      <c r="AC61" s="94"/>
      <c r="AD61" s="94"/>
      <c r="AE61" s="94"/>
    </row>
    <row r="62" customFormat="false" ht="15.75" hidden="false" customHeight="true" outlineLevel="0" collapsed="false">
      <c r="A62" s="94"/>
      <c r="B62" s="94"/>
      <c r="C62" s="94"/>
      <c r="D62" s="94"/>
      <c r="E62" s="94"/>
      <c r="F62" s="94"/>
      <c r="G62" s="94"/>
      <c r="H62" s="94"/>
      <c r="I62" s="94"/>
      <c r="J62" s="94"/>
      <c r="K62" s="94"/>
      <c r="L62" s="91" t="s">
        <v>9668</v>
      </c>
      <c r="M62" s="94"/>
      <c r="N62" s="94"/>
      <c r="O62" s="94"/>
      <c r="P62" s="94"/>
      <c r="Q62" s="94"/>
      <c r="R62" s="94"/>
      <c r="S62" s="94"/>
      <c r="T62" s="94"/>
      <c r="U62" s="94"/>
      <c r="V62" s="94"/>
      <c r="W62" s="94"/>
      <c r="X62" s="94"/>
      <c r="Y62" s="94"/>
      <c r="Z62" s="94"/>
      <c r="AA62" s="94"/>
      <c r="AB62" s="94"/>
      <c r="AC62" s="94"/>
      <c r="AD62" s="94"/>
      <c r="AE62" s="94"/>
    </row>
    <row r="63" customFormat="false" ht="15.75" hidden="false" customHeight="true" outlineLevel="0" collapsed="false">
      <c r="A63" s="91" t="n">
        <v>36</v>
      </c>
      <c r="B63" s="91" t="s">
        <v>45</v>
      </c>
      <c r="C63" s="91" t="s">
        <v>437</v>
      </c>
      <c r="D63" s="91" t="s">
        <v>4516</v>
      </c>
      <c r="E63" s="91" t="s">
        <v>104</v>
      </c>
      <c r="F63" s="91" t="n">
        <v>30</v>
      </c>
      <c r="G63" s="91" t="s">
        <v>5069</v>
      </c>
      <c r="H63" s="91" t="s">
        <v>5070</v>
      </c>
      <c r="I63" s="91" t="s">
        <v>5071</v>
      </c>
      <c r="J63" s="91" t="s">
        <v>5072</v>
      </c>
      <c r="K63" s="91" t="s">
        <v>5073</v>
      </c>
      <c r="L63" s="91" t="s">
        <v>5074</v>
      </c>
      <c r="M63" s="91" t="s">
        <v>9633</v>
      </c>
      <c r="N63" s="91" t="s">
        <v>9635</v>
      </c>
      <c r="O63" s="91" t="s">
        <v>9633</v>
      </c>
      <c r="P63" s="91" t="s">
        <v>9635</v>
      </c>
      <c r="Q63" s="91" t="s">
        <v>9634</v>
      </c>
      <c r="R63" s="91" t="s">
        <v>9633</v>
      </c>
      <c r="S63" s="91" t="s">
        <v>5075</v>
      </c>
      <c r="T63" s="91" t="s">
        <v>5076</v>
      </c>
      <c r="U63" s="91" t="s">
        <v>5077</v>
      </c>
      <c r="V63" s="91" t="s">
        <v>5078</v>
      </c>
      <c r="W63" s="91" t="n">
        <v>5</v>
      </c>
      <c r="X63" s="91" t="s">
        <v>59</v>
      </c>
    </row>
    <row r="64" customFormat="false" ht="15.75" hidden="false" customHeight="true" outlineLevel="0" collapsed="false">
      <c r="A64" s="95" t="n">
        <v>19</v>
      </c>
      <c r="B64" s="95" t="s">
        <v>45</v>
      </c>
      <c r="C64" s="95" t="s">
        <v>437</v>
      </c>
      <c r="D64" s="95" t="s">
        <v>7853</v>
      </c>
      <c r="E64" s="95" t="s">
        <v>5080</v>
      </c>
      <c r="F64" s="95" t="n">
        <v>30</v>
      </c>
      <c r="G64" s="95" t="s">
        <v>5081</v>
      </c>
      <c r="H64" s="95" t="s">
        <v>5082</v>
      </c>
      <c r="I64" s="95" t="s">
        <v>5083</v>
      </c>
      <c r="J64" s="95" t="s">
        <v>5084</v>
      </c>
      <c r="K64" s="95" t="s">
        <v>5085</v>
      </c>
      <c r="L64" s="95" t="s">
        <v>5086</v>
      </c>
      <c r="M64" s="95" t="s">
        <v>9635</v>
      </c>
      <c r="N64" s="95" t="s">
        <v>9633</v>
      </c>
      <c r="O64" s="95" t="s">
        <v>9633</v>
      </c>
      <c r="P64" s="95" t="s">
        <v>9634</v>
      </c>
      <c r="Q64" s="95" t="s">
        <v>9633</v>
      </c>
      <c r="R64" s="95" t="s">
        <v>9633</v>
      </c>
      <c r="S64" s="95" t="s">
        <v>5087</v>
      </c>
      <c r="T64" s="95" t="s">
        <v>5088</v>
      </c>
      <c r="U64" s="95" t="s">
        <v>5089</v>
      </c>
      <c r="V64" s="95" t="s">
        <v>5090</v>
      </c>
      <c r="W64" s="95" t="n">
        <v>4</v>
      </c>
      <c r="X64" s="95" t="s">
        <v>59</v>
      </c>
      <c r="Y64" s="95"/>
    </row>
    <row r="65" customFormat="false" ht="15.75" hidden="false" customHeight="true" outlineLevel="0" collapsed="false">
      <c r="A65" s="95" t="n">
        <v>21</v>
      </c>
      <c r="B65" s="95" t="s">
        <v>45</v>
      </c>
      <c r="C65" s="95" t="s">
        <v>437</v>
      </c>
      <c r="D65" s="95" t="s">
        <v>47</v>
      </c>
      <c r="E65" s="95" t="s">
        <v>5092</v>
      </c>
      <c r="F65" s="95" t="n">
        <v>37</v>
      </c>
      <c r="G65" s="95" t="s">
        <v>5093</v>
      </c>
      <c r="H65" s="95" t="s">
        <v>5094</v>
      </c>
      <c r="I65" s="95" t="s">
        <v>5095</v>
      </c>
      <c r="J65" s="95" t="s">
        <v>5096</v>
      </c>
      <c r="K65" s="95" t="s">
        <v>5097</v>
      </c>
      <c r="L65" s="95" t="s">
        <v>5098</v>
      </c>
      <c r="M65" s="95" t="s">
        <v>9635</v>
      </c>
      <c r="N65" s="95" t="s">
        <v>9633</v>
      </c>
      <c r="O65" s="95" t="s">
        <v>9633</v>
      </c>
      <c r="P65" s="95" t="s">
        <v>9634</v>
      </c>
      <c r="Q65" s="95" t="s">
        <v>9633</v>
      </c>
      <c r="R65" s="95" t="s">
        <v>9635</v>
      </c>
      <c r="S65" s="95" t="s">
        <v>5099</v>
      </c>
      <c r="T65" s="95" t="s">
        <v>5100</v>
      </c>
      <c r="U65" s="95" t="s">
        <v>5101</v>
      </c>
      <c r="V65" s="95" t="s">
        <v>5102</v>
      </c>
      <c r="W65" s="95" t="n">
        <v>5</v>
      </c>
      <c r="X65" s="95" t="s">
        <v>59</v>
      </c>
      <c r="Y65" s="95"/>
    </row>
    <row r="66" customFormat="false" ht="15.75" hidden="false" customHeight="true" outlineLevel="0" collapsed="false">
      <c r="A66" s="95" t="n">
        <v>21</v>
      </c>
      <c r="B66" s="95" t="s">
        <v>45</v>
      </c>
      <c r="C66" s="95" t="s">
        <v>9669</v>
      </c>
      <c r="D66" s="95" t="s">
        <v>7756</v>
      </c>
      <c r="E66" s="95" t="s">
        <v>9670</v>
      </c>
      <c r="F66" s="95" t="n">
        <v>30</v>
      </c>
      <c r="G66" s="95" t="s">
        <v>9671</v>
      </c>
      <c r="H66" s="95" t="s">
        <v>9672</v>
      </c>
      <c r="I66" s="95" t="s">
        <v>5106</v>
      </c>
      <c r="J66" s="95" t="s">
        <v>9673</v>
      </c>
      <c r="K66" s="95" t="s">
        <v>9674</v>
      </c>
      <c r="L66" s="95" t="s">
        <v>9675</v>
      </c>
      <c r="M66" s="95" t="s">
        <v>9633</v>
      </c>
      <c r="N66" s="95" t="s">
        <v>9635</v>
      </c>
      <c r="O66" s="95" t="s">
        <v>9633</v>
      </c>
      <c r="P66" s="95" t="s">
        <v>9634</v>
      </c>
      <c r="Q66" s="95" t="s">
        <v>9633</v>
      </c>
      <c r="R66" s="95" t="s">
        <v>9635</v>
      </c>
      <c r="S66" s="95" t="s">
        <v>9676</v>
      </c>
      <c r="T66" s="95" t="s">
        <v>9677</v>
      </c>
      <c r="U66" s="95" t="s">
        <v>5112</v>
      </c>
      <c r="V66" s="95" t="s">
        <v>9678</v>
      </c>
      <c r="W66" s="95" t="n">
        <v>3</v>
      </c>
      <c r="X66" s="95" t="s">
        <v>59</v>
      </c>
      <c r="Y66" s="95"/>
    </row>
    <row r="67" customFormat="false" ht="15.75" hidden="false" customHeight="true" outlineLevel="0" collapsed="false">
      <c r="A67" s="95" t="n">
        <v>23</v>
      </c>
      <c r="B67" s="95" t="s">
        <v>45</v>
      </c>
      <c r="C67" s="95" t="s">
        <v>8910</v>
      </c>
      <c r="D67" s="95" t="s">
        <v>7845</v>
      </c>
      <c r="E67" s="95" t="s">
        <v>5114</v>
      </c>
      <c r="F67" s="95" t="n">
        <v>25</v>
      </c>
      <c r="G67" s="95" t="s">
        <v>5115</v>
      </c>
      <c r="H67" s="95" t="s">
        <v>386</v>
      </c>
      <c r="I67" s="95" t="s">
        <v>5116</v>
      </c>
      <c r="J67" s="95" t="s">
        <v>5117</v>
      </c>
      <c r="K67" s="95" t="s">
        <v>5118</v>
      </c>
      <c r="L67" s="95" t="s">
        <v>5119</v>
      </c>
      <c r="M67" s="95" t="s">
        <v>9633</v>
      </c>
      <c r="N67" s="95" t="s">
        <v>9633</v>
      </c>
      <c r="O67" s="95" t="s">
        <v>9635</v>
      </c>
      <c r="P67" s="95" t="s">
        <v>9633</v>
      </c>
      <c r="Q67" s="95" t="s">
        <v>9634</v>
      </c>
      <c r="R67" s="95" t="s">
        <v>9635</v>
      </c>
      <c r="S67" s="95" t="s">
        <v>5120</v>
      </c>
      <c r="T67" s="95" t="s">
        <v>5121</v>
      </c>
      <c r="U67" s="95" t="s">
        <v>5122</v>
      </c>
      <c r="V67" s="95" t="s">
        <v>5123</v>
      </c>
      <c r="W67" s="95" t="n">
        <v>4</v>
      </c>
      <c r="X67" s="95" t="s">
        <v>59</v>
      </c>
    </row>
    <row r="68" customFormat="false" ht="15.75" hidden="false" customHeight="true" outlineLevel="0" collapsed="false">
      <c r="A68" s="95" t="n">
        <v>23</v>
      </c>
      <c r="B68" s="95" t="s">
        <v>45</v>
      </c>
      <c r="C68" s="95" t="s">
        <v>437</v>
      </c>
      <c r="D68" s="95" t="s">
        <v>71</v>
      </c>
      <c r="E68" s="95" t="s">
        <v>5125</v>
      </c>
      <c r="F68" s="95" t="n">
        <v>15</v>
      </c>
      <c r="G68" s="95" t="s">
        <v>5126</v>
      </c>
      <c r="H68" s="95" t="s">
        <v>5127</v>
      </c>
      <c r="I68" s="95" t="s">
        <v>5128</v>
      </c>
      <c r="J68" s="95" t="s">
        <v>5129</v>
      </c>
      <c r="K68" s="95" t="s">
        <v>5130</v>
      </c>
      <c r="L68" s="95" t="s">
        <v>5131</v>
      </c>
      <c r="M68" s="95" t="s">
        <v>9633</v>
      </c>
      <c r="N68" s="95" t="s">
        <v>9635</v>
      </c>
      <c r="O68" s="95" t="s">
        <v>9635</v>
      </c>
      <c r="P68" s="95" t="s">
        <v>9633</v>
      </c>
      <c r="Q68" s="95" t="s">
        <v>9634</v>
      </c>
      <c r="R68" s="95" t="s">
        <v>9635</v>
      </c>
      <c r="S68" s="95" t="s">
        <v>5132</v>
      </c>
      <c r="T68" s="95" t="s">
        <v>5133</v>
      </c>
      <c r="U68" s="95" t="s">
        <v>5134</v>
      </c>
      <c r="V68" s="95" t="s">
        <v>5135</v>
      </c>
      <c r="W68" s="95" t="n">
        <v>5</v>
      </c>
      <c r="X68" s="95" t="s">
        <v>59</v>
      </c>
    </row>
    <row r="69" customFormat="false" ht="15.75" hidden="false" customHeight="true" outlineLevel="0" collapsed="false">
      <c r="A69" s="95" t="n">
        <v>21</v>
      </c>
      <c r="B69" s="95" t="s">
        <v>45</v>
      </c>
      <c r="C69" s="95" t="s">
        <v>127</v>
      </c>
      <c r="D69" s="95" t="s">
        <v>49</v>
      </c>
      <c r="E69" s="95" t="s">
        <v>5137</v>
      </c>
      <c r="F69" s="95" t="n">
        <v>25</v>
      </c>
      <c r="G69" s="95" t="s">
        <v>1731</v>
      </c>
      <c r="H69" s="95" t="s">
        <v>5138</v>
      </c>
      <c r="I69" s="95" t="s">
        <v>5139</v>
      </c>
      <c r="J69" s="95" t="s">
        <v>5140</v>
      </c>
      <c r="K69" s="95" t="s">
        <v>5141</v>
      </c>
      <c r="L69" s="95" t="s">
        <v>5142</v>
      </c>
      <c r="M69" s="95" t="s">
        <v>9633</v>
      </c>
      <c r="N69" s="95" t="s">
        <v>9635</v>
      </c>
      <c r="O69" s="95" t="s">
        <v>9635</v>
      </c>
      <c r="P69" s="95" t="s">
        <v>9634</v>
      </c>
      <c r="Q69" s="95" t="s">
        <v>9633</v>
      </c>
      <c r="R69" s="95" t="s">
        <v>9635</v>
      </c>
      <c r="S69" s="95" t="s">
        <v>5143</v>
      </c>
      <c r="T69" s="95" t="s">
        <v>5144</v>
      </c>
      <c r="U69" s="95" t="s">
        <v>5145</v>
      </c>
      <c r="V69" s="95" t="s">
        <v>5146</v>
      </c>
      <c r="W69" s="95" t="n">
        <v>4</v>
      </c>
      <c r="X69" s="95" t="s">
        <v>59</v>
      </c>
      <c r="Y69" s="95"/>
    </row>
    <row r="70" customFormat="false" ht="15.75" hidden="false" customHeight="true" outlineLevel="0" collapsed="false">
      <c r="A70" s="95" t="n">
        <v>55</v>
      </c>
      <c r="B70" s="95" t="s">
        <v>45</v>
      </c>
      <c r="C70" s="95" t="s">
        <v>437</v>
      </c>
      <c r="D70" s="95" t="s">
        <v>437</v>
      </c>
      <c r="E70" s="95" t="s">
        <v>9679</v>
      </c>
      <c r="F70" s="95" t="n">
        <v>20</v>
      </c>
      <c r="G70" s="95" t="s">
        <v>5149</v>
      </c>
      <c r="H70" s="95" t="s">
        <v>9680</v>
      </c>
      <c r="I70" s="95" t="s">
        <v>5151</v>
      </c>
      <c r="J70" s="95" t="s">
        <v>9681</v>
      </c>
      <c r="K70" s="95" t="s">
        <v>5153</v>
      </c>
      <c r="L70" s="95" t="s">
        <v>5154</v>
      </c>
      <c r="M70" s="95" t="s">
        <v>9634</v>
      </c>
      <c r="N70" s="95" t="s">
        <v>9633</v>
      </c>
      <c r="O70" s="95" t="s">
        <v>9635</v>
      </c>
      <c r="P70" s="95" t="s">
        <v>9633</v>
      </c>
      <c r="Q70" s="95" t="s">
        <v>9634</v>
      </c>
      <c r="R70" s="95" t="s">
        <v>9635</v>
      </c>
      <c r="S70" s="95" t="s">
        <v>5155</v>
      </c>
      <c r="T70" s="95" t="s">
        <v>5156</v>
      </c>
      <c r="U70" s="95" t="s">
        <v>5156</v>
      </c>
      <c r="V70" s="95" t="s">
        <v>5157</v>
      </c>
      <c r="W70" s="95" t="n">
        <v>5</v>
      </c>
      <c r="X70" s="95" t="s">
        <v>59</v>
      </c>
      <c r="Y70" s="95"/>
    </row>
    <row r="71" customFormat="false" ht="15.75" hidden="false" customHeight="true" outlineLevel="0" collapsed="false">
      <c r="A71" s="95" t="n">
        <v>25</v>
      </c>
      <c r="B71" s="95" t="s">
        <v>45</v>
      </c>
      <c r="C71" s="95" t="s">
        <v>71</v>
      </c>
      <c r="D71" s="95" t="s">
        <v>71</v>
      </c>
      <c r="E71" s="95" t="s">
        <v>129</v>
      </c>
      <c r="F71" s="95" t="n">
        <v>30</v>
      </c>
      <c r="G71" s="95" t="s">
        <v>5159</v>
      </c>
      <c r="H71" s="95" t="s">
        <v>9682</v>
      </c>
      <c r="I71" s="95" t="s">
        <v>5161</v>
      </c>
      <c r="J71" s="95" t="s">
        <v>9683</v>
      </c>
      <c r="K71" s="95" t="s">
        <v>5163</v>
      </c>
      <c r="L71" s="95" t="s">
        <v>9684</v>
      </c>
      <c r="M71" s="95" t="s">
        <v>9634</v>
      </c>
      <c r="N71" s="95" t="s">
        <v>9633</v>
      </c>
      <c r="O71" s="95" t="s">
        <v>9634</v>
      </c>
      <c r="P71" s="95" t="s">
        <v>9634</v>
      </c>
      <c r="Q71" s="95" t="s">
        <v>9633</v>
      </c>
      <c r="R71" s="95" t="s">
        <v>9635</v>
      </c>
      <c r="S71" s="95" t="s">
        <v>5165</v>
      </c>
      <c r="T71" s="95" t="s">
        <v>5166</v>
      </c>
      <c r="U71" s="95" t="s">
        <v>5167</v>
      </c>
      <c r="V71" s="95" t="s">
        <v>5168</v>
      </c>
      <c r="W71" s="95" t="n">
        <v>4</v>
      </c>
      <c r="X71" s="95" t="s">
        <v>59</v>
      </c>
      <c r="Y71" s="95"/>
    </row>
    <row r="72" customFormat="false" ht="15.75" hidden="false" customHeight="true" outlineLevel="0" collapsed="false">
      <c r="A72" s="95" t="n">
        <v>35</v>
      </c>
      <c r="B72" s="95" t="s">
        <v>83</v>
      </c>
      <c r="C72" s="95" t="s">
        <v>71</v>
      </c>
      <c r="D72" s="95" t="s">
        <v>71</v>
      </c>
      <c r="E72" s="95" t="s">
        <v>104</v>
      </c>
      <c r="F72" s="95" t="n">
        <v>32</v>
      </c>
      <c r="G72" s="95" t="s">
        <v>5170</v>
      </c>
      <c r="H72" s="95" t="s">
        <v>5171</v>
      </c>
      <c r="I72" s="95" t="s">
        <v>5172</v>
      </c>
      <c r="J72" s="95" t="s">
        <v>9685</v>
      </c>
      <c r="K72" s="95" t="s">
        <v>5174</v>
      </c>
      <c r="L72" s="95" t="s">
        <v>9686</v>
      </c>
      <c r="M72" s="95" t="s">
        <v>9635</v>
      </c>
      <c r="N72" s="95" t="s">
        <v>9633</v>
      </c>
      <c r="O72" s="95" t="s">
        <v>9634</v>
      </c>
      <c r="P72" s="95" t="s">
        <v>9634</v>
      </c>
      <c r="Q72" s="95" t="s">
        <v>9633</v>
      </c>
      <c r="R72" s="95" t="s">
        <v>9635</v>
      </c>
      <c r="S72" s="95" t="s">
        <v>5176</v>
      </c>
      <c r="T72" s="95" t="s">
        <v>5177</v>
      </c>
      <c r="U72" s="95" t="s">
        <v>9687</v>
      </c>
      <c r="V72" s="95" t="s">
        <v>9688</v>
      </c>
      <c r="W72" s="95" t="n">
        <v>5</v>
      </c>
      <c r="X72" s="95" t="s">
        <v>59</v>
      </c>
      <c r="Y72" s="95"/>
    </row>
    <row r="73" customFormat="false" ht="15.75" hidden="false" customHeight="true" outlineLevel="0" collapsed="false">
      <c r="A73" s="95" t="n">
        <v>21</v>
      </c>
      <c r="B73" s="95" t="s">
        <v>83</v>
      </c>
      <c r="C73" s="95" t="s">
        <v>49</v>
      </c>
      <c r="D73" s="95" t="s">
        <v>49</v>
      </c>
      <c r="E73" s="95" t="s">
        <v>5181</v>
      </c>
      <c r="F73" s="95" t="n">
        <v>30</v>
      </c>
      <c r="G73" s="95" t="s">
        <v>5182</v>
      </c>
      <c r="H73" s="95" t="s">
        <v>5183</v>
      </c>
      <c r="I73" s="95" t="s">
        <v>9689</v>
      </c>
      <c r="J73" s="95" t="s">
        <v>9690</v>
      </c>
      <c r="K73" s="95" t="s">
        <v>9691</v>
      </c>
      <c r="L73" s="95" t="s">
        <v>9692</v>
      </c>
      <c r="M73" s="95" t="s">
        <v>9633</v>
      </c>
      <c r="N73" s="95" t="s">
        <v>9635</v>
      </c>
      <c r="O73" s="95" t="s">
        <v>9634</v>
      </c>
      <c r="P73" s="95" t="s">
        <v>9633</v>
      </c>
      <c r="Q73" s="95" t="s">
        <v>9635</v>
      </c>
      <c r="R73" s="95" t="s">
        <v>9634</v>
      </c>
      <c r="S73" s="95" t="s">
        <v>9693</v>
      </c>
      <c r="T73" s="95" t="s">
        <v>5189</v>
      </c>
      <c r="U73" s="95" t="s">
        <v>5190</v>
      </c>
      <c r="V73" s="95" t="s">
        <v>5191</v>
      </c>
      <c r="W73" s="95" t="n">
        <v>4</v>
      </c>
      <c r="X73" s="95" t="s">
        <v>59</v>
      </c>
      <c r="Y73" s="95"/>
    </row>
    <row r="74" customFormat="false" ht="15.75" hidden="false" customHeight="true" outlineLevel="0" collapsed="false">
      <c r="A74" s="95" t="n">
        <v>21</v>
      </c>
      <c r="B74" s="95" t="s">
        <v>45</v>
      </c>
      <c r="C74" s="95" t="s">
        <v>9694</v>
      </c>
      <c r="D74" s="95" t="s">
        <v>9694</v>
      </c>
      <c r="E74" s="95" t="s">
        <v>5193</v>
      </c>
      <c r="F74" s="95" t="n">
        <v>30</v>
      </c>
      <c r="G74" s="95" t="s">
        <v>5194</v>
      </c>
      <c r="H74" s="95" t="s">
        <v>5195</v>
      </c>
      <c r="I74" s="95" t="s">
        <v>5196</v>
      </c>
      <c r="J74" s="95" t="s">
        <v>5197</v>
      </c>
      <c r="K74" s="95" t="s">
        <v>5198</v>
      </c>
      <c r="L74" s="95" t="s">
        <v>5199</v>
      </c>
      <c r="M74" s="95" t="s">
        <v>9635</v>
      </c>
      <c r="N74" s="95" t="s">
        <v>9633</v>
      </c>
      <c r="O74" s="95" t="s">
        <v>9634</v>
      </c>
      <c r="P74" s="95" t="s">
        <v>9634</v>
      </c>
      <c r="Q74" s="95" t="s">
        <v>9633</v>
      </c>
      <c r="R74" s="95" t="s">
        <v>9635</v>
      </c>
      <c r="S74" s="95" t="s">
        <v>5200</v>
      </c>
      <c r="T74" s="95" t="s">
        <v>5201</v>
      </c>
      <c r="U74" s="95" t="s">
        <v>5202</v>
      </c>
      <c r="V74" s="95" t="s">
        <v>5203</v>
      </c>
      <c r="W74" s="95" t="n">
        <v>4</v>
      </c>
      <c r="X74" s="95" t="s">
        <v>59</v>
      </c>
      <c r="Y74" s="95"/>
    </row>
    <row r="75" customFormat="false" ht="15.75" hidden="false" customHeight="true" outlineLevel="0" collapsed="false">
      <c r="A75" s="95" t="n">
        <v>21</v>
      </c>
      <c r="B75" s="95" t="s">
        <v>45</v>
      </c>
      <c r="C75" s="95" t="s">
        <v>47</v>
      </c>
      <c r="D75" s="95" t="s">
        <v>47</v>
      </c>
      <c r="E75" s="95" t="s">
        <v>5205</v>
      </c>
      <c r="F75" s="95" t="n">
        <v>20</v>
      </c>
      <c r="G75" s="95" t="s">
        <v>5206</v>
      </c>
      <c r="H75" s="95" t="s">
        <v>5207</v>
      </c>
      <c r="I75" s="95" t="s">
        <v>5208</v>
      </c>
      <c r="J75" s="95" t="s">
        <v>5015</v>
      </c>
      <c r="K75" s="95" t="s">
        <v>59</v>
      </c>
      <c r="L75" s="95" t="s">
        <v>5209</v>
      </c>
      <c r="M75" s="95" t="s">
        <v>9635</v>
      </c>
      <c r="N75" s="95" t="s">
        <v>9633</v>
      </c>
      <c r="O75" s="95" t="s">
        <v>9634</v>
      </c>
      <c r="P75" s="95" t="s">
        <v>9635</v>
      </c>
      <c r="Q75" s="95" t="s">
        <v>9633</v>
      </c>
      <c r="R75" s="95" t="s">
        <v>9634</v>
      </c>
      <c r="S75" s="95" t="s">
        <v>5210</v>
      </c>
      <c r="T75" s="95" t="s">
        <v>5211</v>
      </c>
      <c r="U75" s="95" t="s">
        <v>5212</v>
      </c>
      <c r="V75" s="95" t="s">
        <v>5213</v>
      </c>
      <c r="W75" s="95" t="n">
        <v>5</v>
      </c>
      <c r="X75" s="95" t="s">
        <v>59</v>
      </c>
    </row>
    <row r="76" customFormat="false" ht="15.75" hidden="false" customHeight="true" outlineLevel="0" collapsed="false">
      <c r="A76" s="95" t="n">
        <v>21</v>
      </c>
      <c r="B76" s="95" t="s">
        <v>45</v>
      </c>
      <c r="C76" s="95" t="s">
        <v>46</v>
      </c>
      <c r="D76" s="95" t="s">
        <v>49</v>
      </c>
      <c r="E76" s="95" t="s">
        <v>5215</v>
      </c>
      <c r="F76" s="95" t="n">
        <v>33</v>
      </c>
      <c r="G76" s="95" t="s">
        <v>5216</v>
      </c>
      <c r="H76" s="95" t="s">
        <v>9695</v>
      </c>
      <c r="I76" s="95" t="s">
        <v>5218</v>
      </c>
      <c r="J76" s="95" t="s">
        <v>5219</v>
      </c>
      <c r="K76" s="95" t="s">
        <v>9696</v>
      </c>
      <c r="L76" s="95" t="s">
        <v>9697</v>
      </c>
      <c r="M76" s="95" t="s">
        <v>9634</v>
      </c>
      <c r="N76" s="95" t="s">
        <v>9633</v>
      </c>
      <c r="O76" s="95" t="s">
        <v>9635</v>
      </c>
      <c r="P76" s="95" t="s">
        <v>9635</v>
      </c>
      <c r="Q76" s="95" t="s">
        <v>9633</v>
      </c>
      <c r="R76" s="95" t="s">
        <v>9634</v>
      </c>
      <c r="S76" s="95" t="s">
        <v>9698</v>
      </c>
      <c r="T76" s="95" t="s">
        <v>9699</v>
      </c>
      <c r="U76" s="95" t="s">
        <v>5224</v>
      </c>
      <c r="V76" s="95" t="s">
        <v>9700</v>
      </c>
      <c r="W76" s="95" t="n">
        <v>4</v>
      </c>
      <c r="X76" s="95" t="s">
        <v>59</v>
      </c>
      <c r="Y76" s="95"/>
    </row>
    <row r="77" customFormat="false" ht="15.75" hidden="false" customHeight="true" outlineLevel="0" collapsed="false">
      <c r="A77" s="95" t="n">
        <v>49</v>
      </c>
      <c r="B77" s="95" t="s">
        <v>45</v>
      </c>
      <c r="C77" s="95" t="s">
        <v>9701</v>
      </c>
      <c r="D77" s="95" t="s">
        <v>9702</v>
      </c>
      <c r="E77" s="95" t="s">
        <v>5229</v>
      </c>
      <c r="F77" s="95" t="n">
        <v>30</v>
      </c>
      <c r="G77" s="95" t="s">
        <v>5230</v>
      </c>
      <c r="H77" s="95" t="s">
        <v>5231</v>
      </c>
      <c r="I77" s="95" t="s">
        <v>5232</v>
      </c>
      <c r="J77" s="95" t="s">
        <v>9703</v>
      </c>
      <c r="K77" s="95" t="s">
        <v>9704</v>
      </c>
      <c r="L77" s="95" t="s">
        <v>5235</v>
      </c>
      <c r="M77" s="95" t="s">
        <v>9634</v>
      </c>
      <c r="N77" s="95" t="s">
        <v>9635</v>
      </c>
      <c r="O77" s="95" t="s">
        <v>9633</v>
      </c>
      <c r="P77" s="95" t="s">
        <v>9635</v>
      </c>
      <c r="Q77" s="95" t="s">
        <v>9634</v>
      </c>
      <c r="R77" s="95" t="s">
        <v>9633</v>
      </c>
      <c r="S77" s="95" t="s">
        <v>5236</v>
      </c>
      <c r="T77" s="95" t="s">
        <v>5237</v>
      </c>
      <c r="U77" s="95" t="s">
        <v>5238</v>
      </c>
      <c r="V77" s="95" t="s">
        <v>9705</v>
      </c>
      <c r="W77" s="95" t="n">
        <v>5</v>
      </c>
      <c r="X77" s="95" t="s">
        <v>59</v>
      </c>
      <c r="Y77" s="95"/>
    </row>
    <row r="78" customFormat="false" ht="15.75" hidden="false" customHeight="true" outlineLevel="0" collapsed="false">
      <c r="A78" s="95" t="n">
        <v>18</v>
      </c>
      <c r="B78" s="95" t="s">
        <v>83</v>
      </c>
      <c r="C78" s="95" t="s">
        <v>71</v>
      </c>
      <c r="D78" s="95" t="s">
        <v>71</v>
      </c>
      <c r="E78" s="95" t="s">
        <v>5241</v>
      </c>
      <c r="F78" s="95" t="n">
        <v>20</v>
      </c>
      <c r="G78" s="95" t="s">
        <v>5242</v>
      </c>
      <c r="H78" s="95" t="s">
        <v>5243</v>
      </c>
      <c r="I78" s="95" t="s">
        <v>5244</v>
      </c>
      <c r="J78" s="95" t="s">
        <v>5245</v>
      </c>
      <c r="K78" s="95" t="s">
        <v>5246</v>
      </c>
      <c r="L78" s="95" t="s">
        <v>5247</v>
      </c>
      <c r="M78" s="95" t="s">
        <v>9635</v>
      </c>
      <c r="N78" s="95" t="s">
        <v>9633</v>
      </c>
      <c r="O78" s="95" t="s">
        <v>9634</v>
      </c>
      <c r="P78" s="95" t="s">
        <v>9634</v>
      </c>
      <c r="Q78" s="95" t="s">
        <v>9635</v>
      </c>
      <c r="R78" s="95" t="s">
        <v>9633</v>
      </c>
      <c r="S78" s="95" t="s">
        <v>5248</v>
      </c>
      <c r="T78" s="95" t="s">
        <v>5249</v>
      </c>
      <c r="U78" s="95" t="s">
        <v>5250</v>
      </c>
      <c r="V78" s="95" t="s">
        <v>9706</v>
      </c>
      <c r="W78" s="95" t="n">
        <v>4</v>
      </c>
      <c r="X78" s="95" t="s">
        <v>59</v>
      </c>
      <c r="Y78" s="95"/>
    </row>
    <row r="79" customFormat="false" ht="15.75" hidden="false" customHeight="true" outlineLevel="0" collapsed="false">
      <c r="A79" s="95" t="n">
        <v>51</v>
      </c>
      <c r="B79" s="95" t="s">
        <v>83</v>
      </c>
      <c r="C79" s="95" t="s">
        <v>437</v>
      </c>
      <c r="D79" s="95" t="s">
        <v>171</v>
      </c>
      <c r="E79" s="95" t="s">
        <v>9707</v>
      </c>
      <c r="F79" s="95" t="n">
        <v>15</v>
      </c>
      <c r="G79" s="95" t="s">
        <v>9708</v>
      </c>
      <c r="H79" s="95" t="s">
        <v>9709</v>
      </c>
      <c r="I79" s="95" t="s">
        <v>5256</v>
      </c>
      <c r="J79" s="95" t="s">
        <v>9710</v>
      </c>
      <c r="K79" s="95" t="s">
        <v>9711</v>
      </c>
      <c r="L79" s="95" t="s">
        <v>5259</v>
      </c>
      <c r="M79" s="95" t="s">
        <v>9634</v>
      </c>
      <c r="N79" s="95" t="s">
        <v>9633</v>
      </c>
      <c r="O79" s="95" t="s">
        <v>9635</v>
      </c>
      <c r="P79" s="95" t="s">
        <v>9634</v>
      </c>
      <c r="Q79" s="95" t="s">
        <v>9633</v>
      </c>
      <c r="R79" s="95" t="s">
        <v>9635</v>
      </c>
      <c r="S79" s="95" t="s">
        <v>9712</v>
      </c>
      <c r="T79" s="95" t="s">
        <v>2215</v>
      </c>
      <c r="U79" s="95" t="s">
        <v>1845</v>
      </c>
      <c r="V79" s="95" t="s">
        <v>9713</v>
      </c>
      <c r="W79" s="95" t="n">
        <v>5</v>
      </c>
      <c r="X79" s="95" t="s">
        <v>59</v>
      </c>
      <c r="Y79" s="95"/>
    </row>
    <row r="80" customFormat="false" ht="15.75" hidden="false" customHeight="true" outlineLevel="0" collapsed="false">
      <c r="A80" s="95" t="n">
        <v>23</v>
      </c>
      <c r="B80" s="95" t="s">
        <v>45</v>
      </c>
      <c r="C80" s="95" t="s">
        <v>437</v>
      </c>
      <c r="D80" s="95" t="s">
        <v>7853</v>
      </c>
      <c r="E80" s="95" t="s">
        <v>5263</v>
      </c>
      <c r="F80" s="95" t="n">
        <v>40</v>
      </c>
      <c r="G80" s="95" t="s">
        <v>5264</v>
      </c>
      <c r="H80" s="95" t="s">
        <v>9714</v>
      </c>
      <c r="I80" s="95" t="s">
        <v>5266</v>
      </c>
      <c r="J80" s="95" t="s">
        <v>5267</v>
      </c>
      <c r="K80" s="95" t="s">
        <v>5268</v>
      </c>
      <c r="L80" s="95" t="s">
        <v>5269</v>
      </c>
      <c r="M80" s="95" t="s">
        <v>9633</v>
      </c>
      <c r="N80" s="95" t="s">
        <v>9634</v>
      </c>
      <c r="O80" s="95" t="s">
        <v>9635</v>
      </c>
      <c r="P80" s="95" t="s">
        <v>9634</v>
      </c>
      <c r="Q80" s="95" t="s">
        <v>9633</v>
      </c>
      <c r="R80" s="95" t="s">
        <v>9635</v>
      </c>
      <c r="S80" s="95" t="s">
        <v>5270</v>
      </c>
      <c r="T80" s="95" t="s">
        <v>5271</v>
      </c>
      <c r="U80" s="95" t="s">
        <v>5272</v>
      </c>
      <c r="V80" s="95" t="s">
        <v>5273</v>
      </c>
      <c r="W80" s="95" t="n">
        <v>4</v>
      </c>
      <c r="X80" s="95" t="s">
        <v>59</v>
      </c>
      <c r="Y80" s="95"/>
    </row>
    <row r="81" customFormat="false" ht="15.75" hidden="false" customHeight="true" outlineLevel="0" collapsed="false">
      <c r="A81" s="95" t="n">
        <v>23</v>
      </c>
      <c r="B81" s="95" t="s">
        <v>45</v>
      </c>
      <c r="C81" s="95" t="s">
        <v>8910</v>
      </c>
      <c r="D81" s="95" t="s">
        <v>9715</v>
      </c>
      <c r="E81" s="95" t="s">
        <v>9716</v>
      </c>
      <c r="F81" s="95" t="n">
        <v>30</v>
      </c>
      <c r="G81" s="95" t="s">
        <v>9717</v>
      </c>
      <c r="H81" s="95" t="s">
        <v>9718</v>
      </c>
      <c r="I81" s="95" t="s">
        <v>9719</v>
      </c>
      <c r="J81" s="95" t="s">
        <v>9720</v>
      </c>
      <c r="K81" s="95" t="s">
        <v>9721</v>
      </c>
      <c r="L81" s="95" t="s">
        <v>9722</v>
      </c>
      <c r="M81" s="95" t="s">
        <v>9635</v>
      </c>
      <c r="N81" s="95" t="s">
        <v>9634</v>
      </c>
      <c r="O81" s="95" t="s">
        <v>9633</v>
      </c>
      <c r="P81" s="95" t="s">
        <v>9634</v>
      </c>
      <c r="Q81" s="95" t="s">
        <v>9633</v>
      </c>
      <c r="R81" s="95" t="s">
        <v>9635</v>
      </c>
      <c r="S81" s="95" t="s">
        <v>9723</v>
      </c>
      <c r="T81" s="95" t="s">
        <v>9724</v>
      </c>
      <c r="U81" s="95" t="s">
        <v>9725</v>
      </c>
      <c r="V81" s="95" t="s">
        <v>9726</v>
      </c>
      <c r="W81" s="95" t="n">
        <v>4</v>
      </c>
      <c r="X81" s="95" t="s">
        <v>59</v>
      </c>
      <c r="Y81" s="95"/>
    </row>
    <row r="82" customFormat="false" ht="15.75" hidden="false" customHeight="true" outlineLevel="0" collapsed="false">
      <c r="A82" s="95" t="n">
        <v>54</v>
      </c>
      <c r="B82" s="95" t="s">
        <v>83</v>
      </c>
      <c r="C82" s="95" t="s">
        <v>437</v>
      </c>
      <c r="D82" s="95" t="s">
        <v>437</v>
      </c>
      <c r="E82" s="95" t="s">
        <v>5287</v>
      </c>
      <c r="F82" s="95" t="n">
        <v>40</v>
      </c>
      <c r="G82" s="95" t="s">
        <v>5288</v>
      </c>
      <c r="H82" s="95" t="s">
        <v>5289</v>
      </c>
      <c r="I82" s="95" t="s">
        <v>5290</v>
      </c>
      <c r="J82" s="95" t="s">
        <v>5291</v>
      </c>
      <c r="K82" s="95" t="s">
        <v>5292</v>
      </c>
      <c r="L82" s="95" t="s">
        <v>9727</v>
      </c>
      <c r="M82" s="95" t="s">
        <v>9634</v>
      </c>
      <c r="N82" s="95" t="s">
        <v>9633</v>
      </c>
      <c r="O82" s="95" t="s">
        <v>9635</v>
      </c>
      <c r="P82" s="95" t="s">
        <v>9634</v>
      </c>
      <c r="Q82" s="95" t="s">
        <v>9633</v>
      </c>
      <c r="R82" s="95" t="s">
        <v>9635</v>
      </c>
      <c r="S82" s="95" t="s">
        <v>5294</v>
      </c>
      <c r="T82" s="95" t="s">
        <v>5295</v>
      </c>
      <c r="U82" s="95" t="s">
        <v>5296</v>
      </c>
      <c r="V82" s="95" t="s">
        <v>5297</v>
      </c>
      <c r="W82" s="95" t="n">
        <v>4</v>
      </c>
      <c r="X82" s="95" t="s">
        <v>59</v>
      </c>
      <c r="Y82" s="95"/>
    </row>
    <row r="83" customFormat="false" ht="15.75" hidden="false" customHeight="true" outlineLevel="0" collapsed="false">
      <c r="A83" s="95" t="n">
        <v>15</v>
      </c>
      <c r="B83" s="95" t="s">
        <v>83</v>
      </c>
      <c r="C83" s="95" t="s">
        <v>71</v>
      </c>
      <c r="D83" s="95" t="s">
        <v>71</v>
      </c>
      <c r="E83" s="95" t="s">
        <v>104</v>
      </c>
      <c r="F83" s="95" t="n">
        <v>40</v>
      </c>
      <c r="G83" s="95" t="s">
        <v>5299</v>
      </c>
      <c r="H83" s="95" t="s">
        <v>5300</v>
      </c>
      <c r="I83" s="95" t="s">
        <v>98</v>
      </c>
      <c r="J83" s="95" t="s">
        <v>9728</v>
      </c>
      <c r="K83" s="95" t="s">
        <v>5302</v>
      </c>
      <c r="L83" s="95" t="s">
        <v>9729</v>
      </c>
      <c r="M83" s="95" t="s">
        <v>9635</v>
      </c>
      <c r="N83" s="95" t="s">
        <v>9633</v>
      </c>
      <c r="O83" s="95" t="s">
        <v>9634</v>
      </c>
      <c r="P83" s="95" t="s">
        <v>9635</v>
      </c>
      <c r="Q83" s="95" t="s">
        <v>9634</v>
      </c>
      <c r="R83" s="95" t="s">
        <v>9633</v>
      </c>
      <c r="S83" s="95" t="s">
        <v>5304</v>
      </c>
      <c r="T83" s="95" t="s">
        <v>5305</v>
      </c>
      <c r="U83" s="95" t="s">
        <v>9730</v>
      </c>
      <c r="V83" s="95" t="s">
        <v>5307</v>
      </c>
      <c r="W83" s="95" t="n">
        <v>4</v>
      </c>
      <c r="X83" s="95" t="s">
        <v>59</v>
      </c>
      <c r="Y83" s="95"/>
    </row>
    <row r="84" customFormat="false" ht="15.75" hidden="false" customHeight="true" outlineLevel="0" collapsed="false">
      <c r="A84" s="95" t="n">
        <v>53</v>
      </c>
      <c r="B84" s="95" t="s">
        <v>45</v>
      </c>
      <c r="C84" s="95" t="s">
        <v>9731</v>
      </c>
      <c r="D84" s="95" t="s">
        <v>71</v>
      </c>
      <c r="E84" s="95" t="s">
        <v>5310</v>
      </c>
      <c r="F84" s="95" t="n">
        <v>25</v>
      </c>
      <c r="G84" s="95" t="s">
        <v>5311</v>
      </c>
      <c r="H84" s="95" t="s">
        <v>5312</v>
      </c>
      <c r="I84" s="95" t="s">
        <v>5313</v>
      </c>
      <c r="J84" s="95" t="s">
        <v>5314</v>
      </c>
      <c r="K84" s="95" t="s">
        <v>5315</v>
      </c>
      <c r="L84" s="95" t="s">
        <v>5316</v>
      </c>
      <c r="M84" s="95" t="s">
        <v>9633</v>
      </c>
      <c r="N84" s="95" t="s">
        <v>9635</v>
      </c>
      <c r="O84" s="95" t="s">
        <v>9634</v>
      </c>
      <c r="P84" s="95" t="s">
        <v>9634</v>
      </c>
      <c r="Q84" s="95" t="s">
        <v>9633</v>
      </c>
      <c r="R84" s="95" t="s">
        <v>9635</v>
      </c>
      <c r="S84" s="95" t="s">
        <v>5317</v>
      </c>
      <c r="T84" s="95" t="s">
        <v>5318</v>
      </c>
      <c r="U84" s="95" t="s">
        <v>5319</v>
      </c>
      <c r="V84" s="95" t="s">
        <v>5320</v>
      </c>
      <c r="W84" s="95" t="n">
        <v>5</v>
      </c>
      <c r="X84" s="95" t="s">
        <v>59</v>
      </c>
      <c r="Y84" s="95"/>
    </row>
    <row r="85" customFormat="false" ht="15.75" hidden="false" customHeight="true" outlineLevel="0" collapsed="false">
      <c r="A85" s="95" t="n">
        <v>22</v>
      </c>
      <c r="B85" s="95" t="s">
        <v>45</v>
      </c>
      <c r="C85" s="95" t="s">
        <v>902</v>
      </c>
      <c r="D85" s="95" t="s">
        <v>49</v>
      </c>
      <c r="E85" s="95" t="s">
        <v>5322</v>
      </c>
      <c r="F85" s="95" t="n">
        <v>25</v>
      </c>
      <c r="G85" s="95" t="s">
        <v>5323</v>
      </c>
      <c r="H85" s="95" t="s">
        <v>5324</v>
      </c>
      <c r="I85" s="95" t="s">
        <v>5325</v>
      </c>
      <c r="J85" s="95" t="s">
        <v>5326</v>
      </c>
      <c r="K85" s="95" t="s">
        <v>5327</v>
      </c>
      <c r="L85" s="95" t="s">
        <v>5328</v>
      </c>
      <c r="M85" s="95" t="s">
        <v>9634</v>
      </c>
      <c r="N85" s="95" t="s">
        <v>9635</v>
      </c>
      <c r="O85" s="95" t="s">
        <v>9633</v>
      </c>
      <c r="P85" s="95" t="s">
        <v>9635</v>
      </c>
      <c r="Q85" s="95" t="s">
        <v>9634</v>
      </c>
      <c r="R85" s="95" t="s">
        <v>9633</v>
      </c>
      <c r="S85" s="95" t="s">
        <v>5329</v>
      </c>
      <c r="T85" s="95" t="s">
        <v>5330</v>
      </c>
      <c r="U85" s="95" t="s">
        <v>5331</v>
      </c>
      <c r="V85" s="95" t="s">
        <v>9732</v>
      </c>
      <c r="W85" s="95" t="n">
        <v>4</v>
      </c>
      <c r="X85" s="95" t="s">
        <v>59</v>
      </c>
      <c r="Y85" s="95"/>
    </row>
    <row r="86" customFormat="false" ht="15.75" hidden="false" customHeight="true" outlineLevel="0" collapsed="false">
      <c r="A86" s="95" t="n">
        <v>21</v>
      </c>
      <c r="B86" s="95" t="s">
        <v>83</v>
      </c>
      <c r="C86" s="95" t="s">
        <v>46</v>
      </c>
      <c r="D86" s="95" t="s">
        <v>49</v>
      </c>
      <c r="E86" s="95" t="s">
        <v>104</v>
      </c>
      <c r="F86" s="95" t="n">
        <v>20</v>
      </c>
      <c r="G86" s="95" t="s">
        <v>5159</v>
      </c>
      <c r="H86" s="95" t="s">
        <v>5334</v>
      </c>
      <c r="I86" s="95" t="s">
        <v>5335</v>
      </c>
      <c r="J86" s="95" t="s">
        <v>5336</v>
      </c>
      <c r="K86" s="95" t="s">
        <v>5337</v>
      </c>
      <c r="L86" s="95" t="s">
        <v>5338</v>
      </c>
      <c r="M86" s="95" t="s">
        <v>9634</v>
      </c>
      <c r="N86" s="95" t="s">
        <v>9633</v>
      </c>
      <c r="O86" s="95" t="s">
        <v>9635</v>
      </c>
      <c r="P86" s="95" t="s">
        <v>9635</v>
      </c>
      <c r="Q86" s="95" t="s">
        <v>9633</v>
      </c>
      <c r="R86" s="95" t="s">
        <v>9634</v>
      </c>
      <c r="S86" s="95" t="s">
        <v>5339</v>
      </c>
      <c r="T86" s="95" t="s">
        <v>5340</v>
      </c>
      <c r="U86" s="95" t="s">
        <v>5341</v>
      </c>
      <c r="V86" s="95" t="s">
        <v>59</v>
      </c>
      <c r="W86" s="95" t="n">
        <v>3</v>
      </c>
      <c r="X86" s="95" t="s">
        <v>59</v>
      </c>
      <c r="Y86" s="95"/>
    </row>
    <row r="87" customFormat="false" ht="15.75" hidden="false" customHeight="true" outlineLevel="0" collapsed="false">
      <c r="A87" s="95" t="n">
        <v>21</v>
      </c>
      <c r="B87" s="95" t="s">
        <v>45</v>
      </c>
      <c r="C87" s="95" t="s">
        <v>2521</v>
      </c>
      <c r="D87" s="95" t="s">
        <v>2521</v>
      </c>
      <c r="E87" s="95" t="s">
        <v>5343</v>
      </c>
      <c r="F87" s="95" t="n">
        <v>20</v>
      </c>
      <c r="G87" s="95" t="s">
        <v>5344</v>
      </c>
      <c r="H87" s="95" t="s">
        <v>5345</v>
      </c>
      <c r="I87" s="95" t="s">
        <v>5346</v>
      </c>
      <c r="J87" s="95" t="s">
        <v>5347</v>
      </c>
      <c r="K87" s="95" t="s">
        <v>9733</v>
      </c>
      <c r="L87" s="95" t="s">
        <v>5349</v>
      </c>
      <c r="M87" s="95" t="s">
        <v>9634</v>
      </c>
      <c r="N87" s="95" t="s">
        <v>9635</v>
      </c>
      <c r="O87" s="95" t="s">
        <v>9633</v>
      </c>
      <c r="P87" s="95" t="s">
        <v>9635</v>
      </c>
      <c r="Q87" s="95" t="s">
        <v>9633</v>
      </c>
      <c r="R87" s="95" t="s">
        <v>9634</v>
      </c>
      <c r="S87" s="95" t="s">
        <v>5350</v>
      </c>
      <c r="T87" s="95" t="s">
        <v>5351</v>
      </c>
      <c r="U87" s="95" t="s">
        <v>5352</v>
      </c>
      <c r="V87" s="95" t="s">
        <v>442</v>
      </c>
      <c r="W87" s="95" t="n">
        <v>4</v>
      </c>
      <c r="X87" s="95" t="s">
        <v>59</v>
      </c>
      <c r="Y87" s="95"/>
    </row>
    <row r="88" customFormat="false" ht="15.75" hidden="false" customHeight="true" outlineLevel="0" collapsed="false">
      <c r="A88" s="95" t="n">
        <v>21</v>
      </c>
      <c r="B88" s="95" t="s">
        <v>45</v>
      </c>
      <c r="C88" s="95" t="s">
        <v>9734</v>
      </c>
      <c r="D88" s="95" t="s">
        <v>9735</v>
      </c>
      <c r="E88" s="95" t="s">
        <v>9736</v>
      </c>
      <c r="F88" s="95" t="n">
        <v>33</v>
      </c>
      <c r="G88" s="95" t="s">
        <v>9737</v>
      </c>
      <c r="H88" s="95" t="s">
        <v>9738</v>
      </c>
      <c r="I88" s="95" t="s">
        <v>9739</v>
      </c>
      <c r="J88" s="95" t="s">
        <v>9740</v>
      </c>
      <c r="K88" s="95" t="s">
        <v>9741</v>
      </c>
      <c r="L88" s="95" t="s">
        <v>5359</v>
      </c>
      <c r="M88" s="95" t="s">
        <v>9633</v>
      </c>
      <c r="N88" s="95" t="s">
        <v>9634</v>
      </c>
      <c r="O88" s="95" t="s">
        <v>9635</v>
      </c>
      <c r="P88" s="95" t="s">
        <v>9633</v>
      </c>
      <c r="Q88" s="95" t="s">
        <v>9634</v>
      </c>
      <c r="R88" s="95" t="s">
        <v>9635</v>
      </c>
      <c r="S88" s="95" t="s">
        <v>9742</v>
      </c>
      <c r="T88" s="95" t="s">
        <v>9743</v>
      </c>
      <c r="U88" s="95" t="s">
        <v>9744</v>
      </c>
      <c r="V88" s="95" t="s">
        <v>9745</v>
      </c>
      <c r="W88" s="95" t="n">
        <v>3</v>
      </c>
      <c r="X88" s="95" t="s">
        <v>59</v>
      </c>
      <c r="Y88" s="95"/>
    </row>
    <row r="89" customFormat="false" ht="15.75" hidden="false" customHeight="true" outlineLevel="0" collapsed="false">
      <c r="A89" s="95" t="n">
        <v>23</v>
      </c>
      <c r="B89" s="95" t="s">
        <v>45</v>
      </c>
      <c r="C89" s="95" t="s">
        <v>9746</v>
      </c>
      <c r="D89" s="95" t="s">
        <v>9747</v>
      </c>
      <c r="E89" s="95" t="s">
        <v>9748</v>
      </c>
      <c r="F89" s="95" t="n">
        <v>12</v>
      </c>
      <c r="G89" s="95" t="s">
        <v>9749</v>
      </c>
      <c r="H89" s="95" t="s">
        <v>5369</v>
      </c>
      <c r="I89" s="95" t="s">
        <v>5370</v>
      </c>
      <c r="J89" s="95" t="s">
        <v>9750</v>
      </c>
      <c r="K89" s="95" t="s">
        <v>5372</v>
      </c>
      <c r="L89" s="95" t="s">
        <v>9751</v>
      </c>
      <c r="M89" s="95" t="s">
        <v>9633</v>
      </c>
      <c r="N89" s="95" t="s">
        <v>9634</v>
      </c>
      <c r="O89" s="95" t="s">
        <v>9635</v>
      </c>
      <c r="P89" s="95" t="s">
        <v>9634</v>
      </c>
      <c r="Q89" s="95" t="s">
        <v>9633</v>
      </c>
      <c r="R89" s="95" t="s">
        <v>9635</v>
      </c>
      <c r="S89" s="95" t="s">
        <v>9752</v>
      </c>
      <c r="T89" s="95" t="s">
        <v>5361</v>
      </c>
      <c r="U89" s="95" t="s">
        <v>9753</v>
      </c>
      <c r="V89" s="95" t="s">
        <v>9754</v>
      </c>
      <c r="W89" s="95" t="n">
        <v>2</v>
      </c>
      <c r="X89" s="95" t="s">
        <v>59</v>
      </c>
      <c r="Y89" s="95"/>
    </row>
    <row r="90" customFormat="false" ht="15.75" hidden="false" customHeight="true" outlineLevel="0" collapsed="false">
      <c r="A90" s="95" t="n">
        <v>20</v>
      </c>
      <c r="B90" s="95" t="s">
        <v>83</v>
      </c>
      <c r="C90" s="95" t="s">
        <v>9755</v>
      </c>
      <c r="D90" s="95" t="s">
        <v>9746</v>
      </c>
      <c r="E90" s="95" t="s">
        <v>5378</v>
      </c>
      <c r="F90" s="95" t="n">
        <v>15</v>
      </c>
      <c r="G90" s="95" t="s">
        <v>9756</v>
      </c>
      <c r="H90" s="95" t="s">
        <v>9757</v>
      </c>
      <c r="I90" s="95" t="s">
        <v>9758</v>
      </c>
      <c r="J90" s="95" t="s">
        <v>5382</v>
      </c>
      <c r="K90" s="95" t="s">
        <v>5383</v>
      </c>
      <c r="L90" s="95" t="s">
        <v>5384</v>
      </c>
      <c r="M90" s="95" t="s">
        <v>9635</v>
      </c>
      <c r="N90" s="95" t="s">
        <v>9633</v>
      </c>
      <c r="O90" s="95" t="s">
        <v>9634</v>
      </c>
      <c r="P90" s="95" t="s">
        <v>9634</v>
      </c>
      <c r="Q90" s="95" t="s">
        <v>9633</v>
      </c>
      <c r="R90" s="95" t="s">
        <v>9635</v>
      </c>
      <c r="S90" s="95" t="s">
        <v>5385</v>
      </c>
      <c r="T90" s="95" t="s">
        <v>5386</v>
      </c>
      <c r="U90" s="95" t="s">
        <v>5387</v>
      </c>
      <c r="V90" s="95" t="s">
        <v>5388</v>
      </c>
      <c r="W90" s="95" t="n">
        <v>5</v>
      </c>
      <c r="X90" s="95" t="s">
        <v>59</v>
      </c>
      <c r="Y90" s="95"/>
    </row>
    <row r="91" customFormat="false" ht="15.75" hidden="false" customHeight="true" outlineLevel="0" collapsed="false">
      <c r="A91" s="95" t="n">
        <v>28</v>
      </c>
      <c r="B91" s="95" t="s">
        <v>45</v>
      </c>
      <c r="C91" s="95" t="s">
        <v>289</v>
      </c>
      <c r="D91" s="95" t="s">
        <v>71</v>
      </c>
      <c r="E91" s="95" t="s">
        <v>5390</v>
      </c>
      <c r="F91" s="95" t="n">
        <v>15</v>
      </c>
      <c r="G91" s="95" t="s">
        <v>5391</v>
      </c>
      <c r="H91" s="95" t="s">
        <v>5391</v>
      </c>
      <c r="I91" s="95" t="s">
        <v>98</v>
      </c>
      <c r="J91" s="95" t="s">
        <v>5392</v>
      </c>
      <c r="K91" s="95" t="s">
        <v>9759</v>
      </c>
      <c r="L91" s="95" t="s">
        <v>5393</v>
      </c>
      <c r="M91" s="95" t="s">
        <v>9633</v>
      </c>
      <c r="N91" s="95" t="s">
        <v>9635</v>
      </c>
      <c r="O91" s="95" t="s">
        <v>9634</v>
      </c>
      <c r="P91" s="95" t="s">
        <v>9635</v>
      </c>
      <c r="Q91" s="95" t="s">
        <v>9633</v>
      </c>
      <c r="R91" s="95" t="s">
        <v>9634</v>
      </c>
      <c r="S91" s="95" t="s">
        <v>5394</v>
      </c>
      <c r="T91" s="95" t="s">
        <v>5395</v>
      </c>
      <c r="U91" s="95" t="s">
        <v>5396</v>
      </c>
      <c r="V91" s="95" t="s">
        <v>5397</v>
      </c>
      <c r="W91" s="95" t="n">
        <v>3</v>
      </c>
      <c r="X91" s="95" t="s">
        <v>59</v>
      </c>
      <c r="Y91" s="95"/>
    </row>
    <row r="92" customFormat="false" ht="15.75" hidden="false" customHeight="true" outlineLevel="0" collapsed="false">
      <c r="A92" s="95" t="n">
        <v>23</v>
      </c>
      <c r="B92" s="95" t="s">
        <v>83</v>
      </c>
      <c r="C92" s="95" t="s">
        <v>49</v>
      </c>
      <c r="D92" s="95" t="s">
        <v>49</v>
      </c>
      <c r="E92" s="95" t="s">
        <v>5399</v>
      </c>
      <c r="F92" s="95" t="n">
        <v>22</v>
      </c>
      <c r="G92" s="95" t="s">
        <v>5400</v>
      </c>
      <c r="H92" s="95" t="s">
        <v>5401</v>
      </c>
      <c r="I92" s="95" t="s">
        <v>5402</v>
      </c>
      <c r="J92" s="95" t="s">
        <v>5403</v>
      </c>
      <c r="K92" s="95" t="s">
        <v>5404</v>
      </c>
      <c r="L92" s="95" t="s">
        <v>5405</v>
      </c>
      <c r="M92" s="95" t="s">
        <v>9635</v>
      </c>
      <c r="N92" s="95" t="s">
        <v>9634</v>
      </c>
      <c r="O92" s="95" t="s">
        <v>9633</v>
      </c>
      <c r="P92" s="95" t="s">
        <v>9635</v>
      </c>
      <c r="Q92" s="95" t="s">
        <v>9634</v>
      </c>
      <c r="R92" s="95" t="s">
        <v>9633</v>
      </c>
      <c r="S92" s="95" t="s">
        <v>5406</v>
      </c>
      <c r="T92" s="95" t="s">
        <v>5407</v>
      </c>
      <c r="U92" s="95" t="s">
        <v>1322</v>
      </c>
      <c r="V92" s="95" t="s">
        <v>59</v>
      </c>
      <c r="W92" s="95" t="n">
        <v>5</v>
      </c>
      <c r="X92" s="95" t="s">
        <v>59</v>
      </c>
      <c r="Y92" s="95"/>
    </row>
    <row r="93" customFormat="false" ht="15.75" hidden="false" customHeight="true" outlineLevel="0" collapsed="false">
      <c r="A93" s="95" t="n">
        <v>19</v>
      </c>
      <c r="B93" s="95" t="s">
        <v>45</v>
      </c>
      <c r="C93" s="95" t="s">
        <v>171</v>
      </c>
      <c r="D93" s="95" t="s">
        <v>171</v>
      </c>
      <c r="E93" s="95" t="s">
        <v>5409</v>
      </c>
      <c r="F93" s="95" t="n">
        <v>30</v>
      </c>
      <c r="G93" s="95" t="s">
        <v>5410</v>
      </c>
      <c r="H93" s="95" t="s">
        <v>5411</v>
      </c>
      <c r="I93" s="95" t="s">
        <v>1390</v>
      </c>
      <c r="J93" s="95" t="s">
        <v>5412</v>
      </c>
      <c r="K93" s="95" t="s">
        <v>9678</v>
      </c>
      <c r="L93" s="95" t="s">
        <v>5413</v>
      </c>
      <c r="M93" s="95" t="s">
        <v>9633</v>
      </c>
      <c r="N93" s="95" t="s">
        <v>9634</v>
      </c>
      <c r="O93" s="95" t="s">
        <v>9635</v>
      </c>
      <c r="P93" s="95" t="s">
        <v>9633</v>
      </c>
      <c r="Q93" s="95" t="s">
        <v>9634</v>
      </c>
      <c r="R93" s="95" t="s">
        <v>9635</v>
      </c>
      <c r="S93" s="95" t="s">
        <v>5414</v>
      </c>
      <c r="T93" s="95" t="s">
        <v>5415</v>
      </c>
      <c r="U93" s="95" t="s">
        <v>5416</v>
      </c>
      <c r="V93" s="95" t="s">
        <v>59</v>
      </c>
      <c r="W93" s="95" t="n">
        <v>4</v>
      </c>
      <c r="X93" s="95" t="s">
        <v>59</v>
      </c>
      <c r="Y93" s="95"/>
    </row>
    <row r="94" customFormat="false" ht="15.75" hidden="false" customHeight="true" outlineLevel="0" collapsed="false">
      <c r="A94" s="91" t="n">
        <v>54</v>
      </c>
      <c r="B94" s="91" t="s">
        <v>45</v>
      </c>
      <c r="C94" s="91" t="s">
        <v>9760</v>
      </c>
      <c r="D94" s="91" t="s">
        <v>49</v>
      </c>
      <c r="E94" s="91" t="s">
        <v>5418</v>
      </c>
      <c r="F94" s="91" t="n">
        <v>20</v>
      </c>
      <c r="G94" s="91" t="s">
        <v>5419</v>
      </c>
      <c r="H94" s="91" t="s">
        <v>5420</v>
      </c>
      <c r="I94" s="91" t="s">
        <v>885</v>
      </c>
      <c r="J94" s="91" t="s">
        <v>5421</v>
      </c>
      <c r="K94" s="91" t="s">
        <v>5422</v>
      </c>
      <c r="L94" s="91" t="s">
        <v>5423</v>
      </c>
      <c r="M94" s="91" t="s">
        <v>9635</v>
      </c>
      <c r="N94" s="91" t="s">
        <v>9633</v>
      </c>
      <c r="O94" s="91" t="s">
        <v>9635</v>
      </c>
      <c r="P94" s="91" t="s">
        <v>9634</v>
      </c>
      <c r="Q94" s="91" t="s">
        <v>9633</v>
      </c>
      <c r="R94" s="91" t="s">
        <v>9635</v>
      </c>
      <c r="S94" s="91" t="s">
        <v>5424</v>
      </c>
      <c r="T94" s="91" t="s">
        <v>5425</v>
      </c>
      <c r="U94" s="91" t="s">
        <v>5426</v>
      </c>
      <c r="V94" s="91" t="s">
        <v>5427</v>
      </c>
      <c r="W94" s="91" t="n">
        <v>4</v>
      </c>
      <c r="X94" s="91" t="s">
        <v>59</v>
      </c>
    </row>
    <row r="95" customFormat="false" ht="15.75" hidden="false" customHeight="true" outlineLevel="0" collapsed="false">
      <c r="A95" s="94" t="n">
        <v>22</v>
      </c>
      <c r="B95" s="94" t="s">
        <v>83</v>
      </c>
      <c r="C95" s="94" t="s">
        <v>7756</v>
      </c>
      <c r="D95" s="94" t="s">
        <v>7756</v>
      </c>
      <c r="E95" s="94" t="s">
        <v>5429</v>
      </c>
      <c r="F95" s="94" t="n">
        <v>30</v>
      </c>
      <c r="G95" s="94" t="s">
        <v>5395</v>
      </c>
      <c r="H95" s="94" t="s">
        <v>5430</v>
      </c>
      <c r="I95" s="94" t="s">
        <v>98</v>
      </c>
      <c r="J95" s="91" t="s">
        <v>9761</v>
      </c>
      <c r="K95" s="94" t="s">
        <v>5432</v>
      </c>
      <c r="L95" s="94" t="s">
        <v>5433</v>
      </c>
      <c r="M95" s="94" t="s">
        <v>9633</v>
      </c>
      <c r="N95" s="94" t="s">
        <v>9633</v>
      </c>
      <c r="O95" s="94" t="s">
        <v>9635</v>
      </c>
      <c r="P95" s="94" t="s">
        <v>9634</v>
      </c>
      <c r="Q95" s="94" t="s">
        <v>9633</v>
      </c>
      <c r="R95" s="94" t="s">
        <v>9635</v>
      </c>
      <c r="S95" s="94" t="s">
        <v>5434</v>
      </c>
      <c r="T95" s="94" t="s">
        <v>5435</v>
      </c>
      <c r="U95" s="94" t="s">
        <v>5436</v>
      </c>
      <c r="V95" s="94" t="s">
        <v>5437</v>
      </c>
      <c r="W95" s="94" t="n">
        <v>3</v>
      </c>
      <c r="X95" s="94" t="s">
        <v>59</v>
      </c>
      <c r="Y95" s="94"/>
      <c r="Z95" s="94"/>
      <c r="AA95" s="94"/>
      <c r="AB95" s="94"/>
      <c r="AC95" s="94"/>
      <c r="AD95" s="94"/>
      <c r="AE95" s="94"/>
    </row>
    <row r="96" customFormat="false" ht="15.75" hidden="false" customHeight="true" outlineLevel="0" collapsed="false">
      <c r="A96" s="94"/>
      <c r="B96" s="94"/>
      <c r="C96" s="94"/>
      <c r="D96" s="94"/>
      <c r="E96" s="94"/>
      <c r="F96" s="94"/>
      <c r="G96" s="94"/>
      <c r="H96" s="94"/>
      <c r="I96" s="94"/>
      <c r="J96" s="91" t="s">
        <v>9762</v>
      </c>
      <c r="K96" s="94"/>
      <c r="L96" s="94"/>
      <c r="M96" s="94"/>
      <c r="N96" s="94"/>
      <c r="O96" s="94"/>
      <c r="P96" s="94"/>
      <c r="Q96" s="94"/>
      <c r="R96" s="94"/>
      <c r="S96" s="94"/>
      <c r="T96" s="94"/>
      <c r="U96" s="94"/>
      <c r="V96" s="94"/>
      <c r="W96" s="94"/>
      <c r="X96" s="94"/>
      <c r="Y96" s="94"/>
      <c r="Z96" s="94"/>
      <c r="AA96" s="94"/>
      <c r="AB96" s="94"/>
      <c r="AC96" s="94"/>
      <c r="AD96" s="94"/>
      <c r="AE96" s="94"/>
    </row>
    <row r="97" customFormat="false" ht="15.75" hidden="false" customHeight="true" outlineLevel="0" collapsed="false">
      <c r="A97" s="94"/>
      <c r="B97" s="94"/>
      <c r="C97" s="94"/>
      <c r="D97" s="94"/>
      <c r="E97" s="94"/>
      <c r="F97" s="94"/>
      <c r="G97" s="94"/>
      <c r="H97" s="94"/>
      <c r="I97" s="94"/>
      <c r="J97" s="91" t="s">
        <v>9763</v>
      </c>
      <c r="K97" s="94"/>
      <c r="L97" s="94"/>
      <c r="M97" s="94"/>
      <c r="N97" s="94"/>
      <c r="O97" s="94"/>
      <c r="P97" s="94"/>
      <c r="Q97" s="94"/>
      <c r="R97" s="94"/>
      <c r="S97" s="94"/>
      <c r="T97" s="94"/>
      <c r="U97" s="94"/>
      <c r="V97" s="94"/>
      <c r="W97" s="94"/>
      <c r="X97" s="94"/>
      <c r="Y97" s="94"/>
      <c r="Z97" s="94"/>
      <c r="AA97" s="94"/>
      <c r="AB97" s="94"/>
      <c r="AC97" s="94"/>
      <c r="AD97" s="94"/>
      <c r="AE97" s="94"/>
    </row>
    <row r="98" customFormat="false" ht="15.75" hidden="false" customHeight="true" outlineLevel="0" collapsed="false">
      <c r="A98" s="91" t="n">
        <v>20</v>
      </c>
      <c r="B98" s="91" t="s">
        <v>45</v>
      </c>
      <c r="C98" s="91" t="s">
        <v>837</v>
      </c>
      <c r="D98" s="91" t="s">
        <v>7988</v>
      </c>
      <c r="E98" s="91" t="s">
        <v>5439</v>
      </c>
      <c r="F98" s="91" t="n">
        <v>20</v>
      </c>
      <c r="G98" s="91" t="s">
        <v>5440</v>
      </c>
      <c r="H98" s="91" t="s">
        <v>5441</v>
      </c>
      <c r="I98" s="91" t="s">
        <v>895</v>
      </c>
      <c r="J98" s="91" t="s">
        <v>5442</v>
      </c>
      <c r="K98" s="91" t="s">
        <v>5443</v>
      </c>
      <c r="L98" s="91" t="s">
        <v>5444</v>
      </c>
      <c r="M98" s="91" t="s">
        <v>9633</v>
      </c>
      <c r="N98" s="91" t="s">
        <v>9633</v>
      </c>
      <c r="O98" s="91" t="s">
        <v>9635</v>
      </c>
      <c r="P98" s="91" t="s">
        <v>9634</v>
      </c>
      <c r="Q98" s="91" t="s">
        <v>9635</v>
      </c>
      <c r="R98" s="91" t="s">
        <v>9633</v>
      </c>
      <c r="S98" s="91" t="s">
        <v>5445</v>
      </c>
      <c r="T98" s="91" t="s">
        <v>5446</v>
      </c>
      <c r="U98" s="91" t="s">
        <v>5447</v>
      </c>
      <c r="V98" s="91" t="s">
        <v>442</v>
      </c>
      <c r="W98" s="91" t="n">
        <v>4</v>
      </c>
      <c r="X98" s="91" t="s">
        <v>59</v>
      </c>
    </row>
    <row r="99" customFormat="false" ht="15.75" hidden="false" customHeight="true" outlineLevel="0" collapsed="false">
      <c r="A99" s="91" t="n">
        <v>21</v>
      </c>
      <c r="B99" s="91" t="s">
        <v>45</v>
      </c>
      <c r="C99" s="91" t="s">
        <v>171</v>
      </c>
      <c r="D99" s="91" t="s">
        <v>171</v>
      </c>
      <c r="E99" s="91" t="s">
        <v>5449</v>
      </c>
      <c r="F99" s="91" t="n">
        <v>40</v>
      </c>
      <c r="G99" s="91" t="s">
        <v>5450</v>
      </c>
      <c r="H99" s="91" t="s">
        <v>5451</v>
      </c>
      <c r="I99" s="91" t="s">
        <v>5452</v>
      </c>
      <c r="J99" s="91" t="s">
        <v>5453</v>
      </c>
      <c r="K99" s="91" t="s">
        <v>5454</v>
      </c>
      <c r="L99" s="91" t="s">
        <v>5455</v>
      </c>
      <c r="M99" s="91" t="s">
        <v>9635</v>
      </c>
      <c r="N99" s="91" t="s">
        <v>9633</v>
      </c>
      <c r="O99" s="91" t="s">
        <v>9635</v>
      </c>
      <c r="P99" s="91" t="s">
        <v>9634</v>
      </c>
      <c r="Q99" s="91" t="s">
        <v>9635</v>
      </c>
      <c r="R99" s="91" t="s">
        <v>9633</v>
      </c>
      <c r="S99" s="91" t="s">
        <v>5456</v>
      </c>
      <c r="T99" s="91" t="s">
        <v>5019</v>
      </c>
      <c r="U99" s="91" t="s">
        <v>5457</v>
      </c>
      <c r="V99" s="91" t="s">
        <v>5458</v>
      </c>
      <c r="W99" s="91" t="n">
        <v>4</v>
      </c>
      <c r="X99" s="91" t="s">
        <v>59</v>
      </c>
    </row>
    <row r="100" customFormat="false" ht="15.75" hidden="false" customHeight="true" outlineLevel="0" collapsed="false">
      <c r="A100" s="91" t="n">
        <v>55</v>
      </c>
      <c r="B100" s="91" t="s">
        <v>83</v>
      </c>
      <c r="C100" s="91" t="s">
        <v>437</v>
      </c>
      <c r="D100" s="91" t="s">
        <v>47</v>
      </c>
      <c r="E100" s="91" t="s">
        <v>5460</v>
      </c>
      <c r="F100" s="91" t="n">
        <v>25</v>
      </c>
      <c r="G100" s="91" t="s">
        <v>5461</v>
      </c>
      <c r="H100" s="91" t="s">
        <v>5462</v>
      </c>
      <c r="I100" s="91" t="s">
        <v>5463</v>
      </c>
      <c r="J100" s="91" t="s">
        <v>5464</v>
      </c>
      <c r="K100" s="91" t="s">
        <v>5465</v>
      </c>
      <c r="L100" s="91" t="s">
        <v>5466</v>
      </c>
      <c r="M100" s="91" t="s">
        <v>9633</v>
      </c>
      <c r="N100" s="91" t="s">
        <v>9633</v>
      </c>
      <c r="O100" s="91" t="s">
        <v>9633</v>
      </c>
      <c r="P100" s="91" t="s">
        <v>9633</v>
      </c>
      <c r="Q100" s="91" t="s">
        <v>9635</v>
      </c>
      <c r="R100" s="91" t="s">
        <v>9634</v>
      </c>
      <c r="S100" s="91" t="s">
        <v>5467</v>
      </c>
      <c r="T100" s="91" t="s">
        <v>5468</v>
      </c>
      <c r="U100" s="91" t="s">
        <v>5469</v>
      </c>
      <c r="V100" s="91" t="s">
        <v>98</v>
      </c>
      <c r="W100" s="91" t="n">
        <v>4</v>
      </c>
      <c r="X100" s="91" t="s">
        <v>59</v>
      </c>
    </row>
    <row r="101" customFormat="false" ht="15.75" hidden="false" customHeight="true" outlineLevel="0" collapsed="false">
      <c r="A101" s="91" t="n">
        <v>22</v>
      </c>
      <c r="B101" s="91" t="s">
        <v>83</v>
      </c>
      <c r="C101" s="91" t="s">
        <v>7756</v>
      </c>
      <c r="D101" s="91" t="s">
        <v>7756</v>
      </c>
      <c r="E101" s="91" t="s">
        <v>5471</v>
      </c>
      <c r="F101" s="91" t="n">
        <v>30</v>
      </c>
      <c r="G101" s="91" t="s">
        <v>5472</v>
      </c>
      <c r="H101" s="91" t="s">
        <v>5473</v>
      </c>
      <c r="I101" s="91" t="s">
        <v>5474</v>
      </c>
      <c r="J101" s="91" t="s">
        <v>5475</v>
      </c>
      <c r="K101" s="91" t="s">
        <v>5476</v>
      </c>
      <c r="L101" s="91" t="s">
        <v>5477</v>
      </c>
      <c r="M101" s="91" t="s">
        <v>9633</v>
      </c>
      <c r="N101" s="91" t="s">
        <v>9633</v>
      </c>
      <c r="O101" s="91" t="s">
        <v>9635</v>
      </c>
      <c r="P101" s="91" t="s">
        <v>9634</v>
      </c>
      <c r="Q101" s="91" t="s">
        <v>9633</v>
      </c>
      <c r="R101" s="91" t="s">
        <v>9635</v>
      </c>
      <c r="S101" s="91" t="s">
        <v>5478</v>
      </c>
      <c r="T101" s="91" t="s">
        <v>5479</v>
      </c>
      <c r="U101" s="91" t="s">
        <v>5480</v>
      </c>
      <c r="V101" s="91" t="s">
        <v>5481</v>
      </c>
      <c r="W101" s="91" t="n">
        <v>3</v>
      </c>
      <c r="X101" s="91" t="s">
        <v>5482</v>
      </c>
    </row>
    <row r="102" customFormat="false" ht="15.75" hidden="false" customHeight="true" outlineLevel="0" collapsed="false">
      <c r="A102" s="91" t="n">
        <v>21</v>
      </c>
      <c r="B102" s="91" t="s">
        <v>45</v>
      </c>
      <c r="C102" s="91" t="s">
        <v>171</v>
      </c>
      <c r="D102" s="91" t="s">
        <v>171</v>
      </c>
      <c r="E102" s="91" t="s">
        <v>5484</v>
      </c>
      <c r="F102" s="91" t="n">
        <v>40</v>
      </c>
      <c r="G102" s="91" t="s">
        <v>5485</v>
      </c>
      <c r="H102" s="91" t="s">
        <v>5486</v>
      </c>
      <c r="I102" s="91" t="s">
        <v>5487</v>
      </c>
      <c r="J102" s="91" t="s">
        <v>5488</v>
      </c>
      <c r="K102" s="91" t="s">
        <v>5489</v>
      </c>
      <c r="L102" s="91" t="s">
        <v>5490</v>
      </c>
      <c r="M102" s="91" t="s">
        <v>9635</v>
      </c>
      <c r="N102" s="91" t="s">
        <v>9633</v>
      </c>
      <c r="O102" s="91" t="s">
        <v>9635</v>
      </c>
      <c r="P102" s="91" t="s">
        <v>9634</v>
      </c>
      <c r="Q102" s="91" t="s">
        <v>9635</v>
      </c>
      <c r="R102" s="91" t="s">
        <v>9633</v>
      </c>
      <c r="S102" s="91" t="s">
        <v>5491</v>
      </c>
      <c r="T102" s="91" t="s">
        <v>5492</v>
      </c>
      <c r="U102" s="91" t="s">
        <v>5493</v>
      </c>
      <c r="V102" s="91" t="s">
        <v>5494</v>
      </c>
      <c r="W102" s="91" t="n">
        <v>4</v>
      </c>
      <c r="X102" s="91" t="s">
        <v>5495</v>
      </c>
    </row>
    <row r="103" customFormat="false" ht="15.75" hidden="false" customHeight="true" outlineLevel="0" collapsed="false">
      <c r="A103" s="91" t="n">
        <v>55</v>
      </c>
      <c r="B103" s="91" t="s">
        <v>83</v>
      </c>
      <c r="C103" s="91" t="s">
        <v>437</v>
      </c>
      <c r="D103" s="91" t="s">
        <v>47</v>
      </c>
      <c r="E103" s="91" t="s">
        <v>5497</v>
      </c>
      <c r="F103" s="91" t="n">
        <v>25</v>
      </c>
      <c r="G103" s="91" t="s">
        <v>5498</v>
      </c>
      <c r="H103" s="91" t="s">
        <v>5499</v>
      </c>
      <c r="I103" s="91" t="s">
        <v>5500</v>
      </c>
      <c r="J103" s="91" t="s">
        <v>5501</v>
      </c>
      <c r="K103" s="91" t="s">
        <v>5502</v>
      </c>
      <c r="L103" s="91" t="s">
        <v>5503</v>
      </c>
      <c r="M103" s="91" t="s">
        <v>9633</v>
      </c>
      <c r="N103" s="91" t="s">
        <v>9633</v>
      </c>
      <c r="O103" s="91" t="s">
        <v>9633</v>
      </c>
      <c r="P103" s="91" t="s">
        <v>9633</v>
      </c>
      <c r="Q103" s="91" t="s">
        <v>9635</v>
      </c>
      <c r="R103" s="91" t="s">
        <v>9634</v>
      </c>
      <c r="S103" s="91" t="s">
        <v>5504</v>
      </c>
      <c r="T103" s="91" t="s">
        <v>5505</v>
      </c>
      <c r="U103" s="91" t="s">
        <v>5506</v>
      </c>
      <c r="V103" s="91" t="s">
        <v>5507</v>
      </c>
      <c r="W103" s="91" t="n">
        <v>4</v>
      </c>
      <c r="X103" s="91" t="s">
        <v>5508</v>
      </c>
    </row>
    <row r="104" customFormat="false" ht="15.75" hidden="false" customHeight="true" outlineLevel="0" collapsed="false">
      <c r="A104" s="91" t="n">
        <v>52</v>
      </c>
      <c r="B104" s="91" t="s">
        <v>45</v>
      </c>
      <c r="C104" s="91" t="s">
        <v>437</v>
      </c>
      <c r="D104" s="91" t="s">
        <v>71</v>
      </c>
      <c r="E104" s="91" t="n">
        <v>60</v>
      </c>
      <c r="F104" s="91" t="n">
        <v>20</v>
      </c>
      <c r="G104" s="91" t="s">
        <v>5511</v>
      </c>
      <c r="H104" s="91" t="s">
        <v>5512</v>
      </c>
      <c r="I104" s="91" t="s">
        <v>59</v>
      </c>
      <c r="J104" s="91" t="s">
        <v>5513</v>
      </c>
      <c r="K104" s="91" t="s">
        <v>5514</v>
      </c>
      <c r="L104" s="91" t="s">
        <v>5515</v>
      </c>
      <c r="M104" s="91" t="s">
        <v>9633</v>
      </c>
      <c r="N104" s="91" t="s">
        <v>9633</v>
      </c>
      <c r="O104" s="91" t="s">
        <v>9633</v>
      </c>
      <c r="P104" s="91" t="s">
        <v>9633</v>
      </c>
      <c r="Q104" s="91" t="s">
        <v>9634</v>
      </c>
      <c r="R104" s="91" t="s">
        <v>9635</v>
      </c>
      <c r="S104" s="91" t="s">
        <v>5516</v>
      </c>
      <c r="T104" s="91" t="s">
        <v>5517</v>
      </c>
      <c r="U104" s="91" t="s">
        <v>5019</v>
      </c>
      <c r="V104" s="91" t="s">
        <v>59</v>
      </c>
      <c r="W104" s="91" t="n">
        <v>4</v>
      </c>
      <c r="X104" s="91" t="s">
        <v>59</v>
      </c>
    </row>
    <row r="105" customFormat="false" ht="15.75" hidden="false" customHeight="true" outlineLevel="0" collapsed="false">
      <c r="A105" s="91" t="n">
        <v>52</v>
      </c>
      <c r="B105" s="91" t="s">
        <v>45</v>
      </c>
      <c r="C105" s="91" t="s">
        <v>437</v>
      </c>
      <c r="D105" s="91" t="s">
        <v>71</v>
      </c>
      <c r="E105" s="91" t="s">
        <v>5519</v>
      </c>
      <c r="F105" s="91" t="n">
        <v>20</v>
      </c>
      <c r="G105" s="91" t="s">
        <v>5520</v>
      </c>
      <c r="H105" s="91" t="s">
        <v>5521</v>
      </c>
      <c r="I105" s="91" t="s">
        <v>5522</v>
      </c>
      <c r="J105" s="91" t="s">
        <v>5523</v>
      </c>
      <c r="K105" s="91" t="s">
        <v>5524</v>
      </c>
      <c r="L105" s="91" t="s">
        <v>5525</v>
      </c>
      <c r="M105" s="91" t="s">
        <v>9633</v>
      </c>
      <c r="N105" s="91" t="s">
        <v>9633</v>
      </c>
      <c r="O105" s="91" t="s">
        <v>9633</v>
      </c>
      <c r="P105" s="91" t="s">
        <v>9633</v>
      </c>
      <c r="Q105" s="91" t="s">
        <v>9634</v>
      </c>
      <c r="R105" s="91" t="s">
        <v>9635</v>
      </c>
      <c r="S105" s="91" t="s">
        <v>5526</v>
      </c>
      <c r="T105" s="91" t="s">
        <v>5527</v>
      </c>
      <c r="U105" s="91" t="s">
        <v>5528</v>
      </c>
      <c r="V105" s="91" t="s">
        <v>5529</v>
      </c>
      <c r="W105" s="91" t="n">
        <v>4</v>
      </c>
      <c r="X105" s="91" t="s">
        <v>5530</v>
      </c>
    </row>
    <row r="106" customFormat="false" ht="15.75" hidden="false" customHeight="true" outlineLevel="0" collapsed="false">
      <c r="A106" s="91" t="n">
        <v>22</v>
      </c>
      <c r="B106" s="91" t="s">
        <v>83</v>
      </c>
      <c r="C106" s="91" t="s">
        <v>532</v>
      </c>
      <c r="D106" s="91" t="s">
        <v>3277</v>
      </c>
      <c r="E106" s="91" t="s">
        <v>5532</v>
      </c>
      <c r="F106" s="91" t="n">
        <v>30</v>
      </c>
      <c r="G106" s="91" t="s">
        <v>547</v>
      </c>
      <c r="H106" s="91" t="s">
        <v>5533</v>
      </c>
      <c r="I106" s="91" t="s">
        <v>5534</v>
      </c>
      <c r="J106" s="91" t="s">
        <v>5535</v>
      </c>
      <c r="K106" s="91" t="s">
        <v>5536</v>
      </c>
      <c r="L106" s="91" t="s">
        <v>5537</v>
      </c>
      <c r="M106" s="91" t="s">
        <v>9635</v>
      </c>
      <c r="N106" s="91" t="s">
        <v>9633</v>
      </c>
      <c r="O106" s="91" t="s">
        <v>9635</v>
      </c>
      <c r="P106" s="91" t="s">
        <v>9634</v>
      </c>
      <c r="Q106" s="91" t="s">
        <v>9633</v>
      </c>
      <c r="R106" s="91" t="s">
        <v>9635</v>
      </c>
      <c r="S106" s="91" t="s">
        <v>5538</v>
      </c>
      <c r="T106" s="91" t="s">
        <v>5539</v>
      </c>
      <c r="U106" s="91" t="s">
        <v>5540</v>
      </c>
      <c r="V106" s="91" t="s">
        <v>5541</v>
      </c>
      <c r="W106" s="91" t="n">
        <v>4</v>
      </c>
      <c r="X106" s="91" t="s">
        <v>59</v>
      </c>
    </row>
    <row r="107" customFormat="false" ht="15.75" hidden="false" customHeight="true" outlineLevel="0" collapsed="false">
      <c r="A107" s="91" t="n">
        <v>22</v>
      </c>
      <c r="B107" s="91" t="s">
        <v>83</v>
      </c>
      <c r="C107" s="91" t="s">
        <v>544</v>
      </c>
      <c r="D107" s="91" t="s">
        <v>49</v>
      </c>
      <c r="E107" s="91" t="s">
        <v>5543</v>
      </c>
      <c r="F107" s="91" t="n">
        <v>20</v>
      </c>
      <c r="G107" s="91" t="s">
        <v>5544</v>
      </c>
      <c r="H107" s="91" t="s">
        <v>5545</v>
      </c>
      <c r="I107" s="91" t="s">
        <v>5546</v>
      </c>
      <c r="J107" s="91" t="s">
        <v>5547</v>
      </c>
      <c r="K107" s="91" t="s">
        <v>5548</v>
      </c>
      <c r="L107" s="91" t="s">
        <v>5549</v>
      </c>
      <c r="M107" s="91" t="s">
        <v>9633</v>
      </c>
      <c r="N107" s="91" t="s">
        <v>9635</v>
      </c>
      <c r="O107" s="91" t="s">
        <v>9635</v>
      </c>
      <c r="P107" s="91" t="s">
        <v>9633</v>
      </c>
      <c r="Q107" s="91" t="s">
        <v>9634</v>
      </c>
      <c r="R107" s="91" t="s">
        <v>9635</v>
      </c>
      <c r="S107" s="91" t="s">
        <v>5550</v>
      </c>
      <c r="T107" s="91" t="s">
        <v>5551</v>
      </c>
      <c r="U107" s="91" t="s">
        <v>5552</v>
      </c>
      <c r="V107" s="91" t="s">
        <v>5553</v>
      </c>
      <c r="W107" s="91" t="n">
        <v>5</v>
      </c>
      <c r="X107" s="91" t="s">
        <v>5554</v>
      </c>
    </row>
    <row r="108" customFormat="false" ht="15.75" hidden="false" customHeight="true" outlineLevel="0" collapsed="false">
      <c r="A108" s="91" t="n">
        <v>22</v>
      </c>
      <c r="B108" s="91" t="s">
        <v>83</v>
      </c>
      <c r="C108" s="91" t="s">
        <v>544</v>
      </c>
      <c r="D108" s="91" t="s">
        <v>49</v>
      </c>
      <c r="E108" s="91" t="s">
        <v>5556</v>
      </c>
      <c r="F108" s="91" t="n">
        <v>20</v>
      </c>
      <c r="G108" s="91" t="s">
        <v>5557</v>
      </c>
      <c r="H108" s="91" t="s">
        <v>5558</v>
      </c>
      <c r="I108" s="91" t="s">
        <v>5559</v>
      </c>
      <c r="J108" s="91" t="s">
        <v>5560</v>
      </c>
      <c r="K108" s="91" t="s">
        <v>5561</v>
      </c>
      <c r="L108" s="91" t="s">
        <v>5562</v>
      </c>
      <c r="M108" s="91" t="s">
        <v>9633</v>
      </c>
      <c r="N108" s="91" t="s">
        <v>9635</v>
      </c>
      <c r="O108" s="91" t="s">
        <v>9635</v>
      </c>
      <c r="P108" s="91" t="s">
        <v>9633</v>
      </c>
      <c r="Q108" s="91" t="s">
        <v>9634</v>
      </c>
      <c r="R108" s="91" t="s">
        <v>9635</v>
      </c>
      <c r="S108" s="91" t="s">
        <v>5563</v>
      </c>
      <c r="T108" s="91" t="s">
        <v>5564</v>
      </c>
      <c r="U108" s="91" t="s">
        <v>5565</v>
      </c>
      <c r="V108" s="91" t="s">
        <v>5566</v>
      </c>
      <c r="W108" s="91" t="n">
        <v>5</v>
      </c>
      <c r="X108" s="91" t="s">
        <v>59</v>
      </c>
    </row>
    <row r="109" customFormat="false" ht="15.75" hidden="false" customHeight="true" outlineLevel="0" collapsed="false">
      <c r="A109" s="91" t="n">
        <v>18</v>
      </c>
      <c r="B109" s="91" t="s">
        <v>45</v>
      </c>
      <c r="C109" s="91" t="s">
        <v>4867</v>
      </c>
      <c r="D109" s="91" t="s">
        <v>127</v>
      </c>
      <c r="E109" s="91" t="s">
        <v>5568</v>
      </c>
      <c r="F109" s="91" t="n">
        <v>20</v>
      </c>
      <c r="G109" s="91" t="s">
        <v>5569</v>
      </c>
      <c r="H109" s="91" t="s">
        <v>5570</v>
      </c>
      <c r="I109" s="91" t="s">
        <v>5571</v>
      </c>
      <c r="J109" s="91" t="s">
        <v>5572</v>
      </c>
      <c r="K109" s="91" t="s">
        <v>5573</v>
      </c>
      <c r="L109" s="91" t="s">
        <v>5574</v>
      </c>
      <c r="M109" s="91" t="s">
        <v>9635</v>
      </c>
      <c r="N109" s="91" t="s">
        <v>9634</v>
      </c>
      <c r="O109" s="91" t="s">
        <v>9633</v>
      </c>
      <c r="P109" s="91" t="s">
        <v>9634</v>
      </c>
      <c r="Q109" s="91" t="s">
        <v>9635</v>
      </c>
      <c r="R109" s="91" t="s">
        <v>9633</v>
      </c>
      <c r="S109" s="91" t="s">
        <v>5575</v>
      </c>
      <c r="T109" s="91" t="s">
        <v>5576</v>
      </c>
      <c r="U109" s="91" t="s">
        <v>5577</v>
      </c>
      <c r="V109" s="91" t="s">
        <v>5578</v>
      </c>
      <c r="W109" s="91" t="n">
        <v>4</v>
      </c>
      <c r="X109" s="91" t="s">
        <v>5579</v>
      </c>
    </row>
    <row r="110" customFormat="false" ht="15.75" hidden="false" customHeight="true" outlineLevel="0" collapsed="false">
      <c r="A110" s="91" t="n">
        <v>18</v>
      </c>
      <c r="B110" s="91" t="s">
        <v>83</v>
      </c>
      <c r="C110" s="91" t="s">
        <v>437</v>
      </c>
      <c r="D110" s="91" t="s">
        <v>71</v>
      </c>
      <c r="E110" s="91" t="s">
        <v>5581</v>
      </c>
      <c r="F110" s="91" t="n">
        <v>20</v>
      </c>
      <c r="G110" s="91" t="s">
        <v>5582</v>
      </c>
      <c r="H110" s="91" t="s">
        <v>5583</v>
      </c>
      <c r="I110" s="91" t="s">
        <v>5584</v>
      </c>
      <c r="J110" s="91" t="s">
        <v>5585</v>
      </c>
      <c r="K110" s="91" t="s">
        <v>5586</v>
      </c>
      <c r="L110" s="91" t="s">
        <v>5587</v>
      </c>
      <c r="M110" s="91" t="s">
        <v>9634</v>
      </c>
      <c r="N110" s="91" t="s">
        <v>9635</v>
      </c>
      <c r="O110" s="91" t="s">
        <v>9633</v>
      </c>
      <c r="P110" s="91" t="s">
        <v>9635</v>
      </c>
      <c r="Q110" s="91" t="s">
        <v>9633</v>
      </c>
      <c r="R110" s="91" t="s">
        <v>9634</v>
      </c>
      <c r="S110" s="91" t="s">
        <v>5588</v>
      </c>
      <c r="T110" s="91" t="s">
        <v>5589</v>
      </c>
      <c r="U110" s="91" t="s">
        <v>5590</v>
      </c>
      <c r="V110" s="91" t="s">
        <v>5591</v>
      </c>
      <c r="W110" s="91" t="n">
        <v>5</v>
      </c>
      <c r="X110" s="91" t="s">
        <v>5592</v>
      </c>
    </row>
    <row r="111" customFormat="false" ht="15.75" hidden="false" customHeight="true" outlineLevel="0" collapsed="false">
      <c r="A111" s="91" t="n">
        <v>23</v>
      </c>
      <c r="B111" s="91" t="s">
        <v>45</v>
      </c>
      <c r="C111" s="91" t="s">
        <v>9045</v>
      </c>
      <c r="D111" s="91" t="s">
        <v>71</v>
      </c>
      <c r="E111" s="91" t="s">
        <v>5594</v>
      </c>
      <c r="F111" s="91" t="n">
        <v>25</v>
      </c>
      <c r="G111" s="91" t="s">
        <v>5595</v>
      </c>
      <c r="H111" s="91" t="s">
        <v>5596</v>
      </c>
      <c r="I111" s="91" t="s">
        <v>5597</v>
      </c>
      <c r="J111" s="91" t="s">
        <v>5598</v>
      </c>
      <c r="K111" s="91" t="s">
        <v>5599</v>
      </c>
      <c r="L111" s="91" t="s">
        <v>5600</v>
      </c>
      <c r="M111" s="91" t="s">
        <v>9635</v>
      </c>
      <c r="N111" s="91" t="s">
        <v>9633</v>
      </c>
      <c r="O111" s="91" t="s">
        <v>9635</v>
      </c>
      <c r="P111" s="91" t="s">
        <v>9634</v>
      </c>
      <c r="Q111" s="91" t="s">
        <v>9633</v>
      </c>
      <c r="R111" s="91" t="s">
        <v>9635</v>
      </c>
      <c r="S111" s="91" t="s">
        <v>5601</v>
      </c>
      <c r="T111" s="91" t="s">
        <v>5602</v>
      </c>
      <c r="U111" s="91" t="s">
        <v>5603</v>
      </c>
      <c r="V111" s="91" t="s">
        <v>5604</v>
      </c>
      <c r="W111" s="91" t="n">
        <v>3</v>
      </c>
      <c r="X111" s="91" t="s">
        <v>59</v>
      </c>
    </row>
    <row r="112" customFormat="false" ht="15.75" hidden="false" customHeight="true" outlineLevel="0" collapsed="false">
      <c r="A112" s="91" t="n">
        <v>22</v>
      </c>
      <c r="B112" s="91" t="s">
        <v>45</v>
      </c>
      <c r="C112" s="91" t="s">
        <v>9731</v>
      </c>
      <c r="D112" s="91" t="s">
        <v>114</v>
      </c>
      <c r="E112" s="91" t="s">
        <v>5606</v>
      </c>
      <c r="F112" s="91" t="n">
        <v>30</v>
      </c>
      <c r="G112" s="91" t="s">
        <v>5607</v>
      </c>
      <c r="H112" s="91" t="s">
        <v>5608</v>
      </c>
      <c r="I112" s="91" t="s">
        <v>98</v>
      </c>
      <c r="J112" s="91" t="s">
        <v>5609</v>
      </c>
      <c r="K112" s="91" t="s">
        <v>5610</v>
      </c>
      <c r="L112" s="91" t="s">
        <v>5611</v>
      </c>
      <c r="M112" s="91" t="s">
        <v>9633</v>
      </c>
      <c r="N112" s="91" t="s">
        <v>9633</v>
      </c>
      <c r="O112" s="91" t="s">
        <v>9635</v>
      </c>
      <c r="P112" s="91" t="s">
        <v>9634</v>
      </c>
      <c r="Q112" s="91" t="s">
        <v>9633</v>
      </c>
      <c r="R112" s="91" t="s">
        <v>9635</v>
      </c>
      <c r="S112" s="91" t="s">
        <v>5612</v>
      </c>
      <c r="T112" s="91" t="s">
        <v>5613</v>
      </c>
      <c r="U112" s="91" t="s">
        <v>5614</v>
      </c>
      <c r="V112" s="91" t="s">
        <v>5615</v>
      </c>
      <c r="W112" s="91" t="n">
        <v>3</v>
      </c>
      <c r="X112" s="91" t="s">
        <v>59</v>
      </c>
    </row>
    <row r="113" customFormat="false" ht="15.75" hidden="false" customHeight="true" outlineLevel="0" collapsed="false">
      <c r="A113" s="91" t="n">
        <v>22</v>
      </c>
      <c r="B113" s="91" t="s">
        <v>45</v>
      </c>
      <c r="C113" s="91" t="s">
        <v>437</v>
      </c>
      <c r="D113" s="91" t="s">
        <v>7902</v>
      </c>
      <c r="E113" s="91" t="s">
        <v>5617</v>
      </c>
      <c r="F113" s="91" t="n">
        <v>20</v>
      </c>
      <c r="G113" s="91" t="s">
        <v>5618</v>
      </c>
      <c r="H113" s="91" t="s">
        <v>5619</v>
      </c>
      <c r="I113" s="91" t="s">
        <v>98</v>
      </c>
      <c r="J113" s="91" t="s">
        <v>5620</v>
      </c>
      <c r="K113" s="91" t="s">
        <v>5621</v>
      </c>
      <c r="L113" s="91" t="s">
        <v>5622</v>
      </c>
      <c r="M113" s="91" t="s">
        <v>9633</v>
      </c>
      <c r="N113" s="91" t="s">
        <v>9633</v>
      </c>
      <c r="O113" s="91" t="s">
        <v>9635</v>
      </c>
      <c r="P113" s="91" t="s">
        <v>9633</v>
      </c>
      <c r="Q113" s="91" t="s">
        <v>9634</v>
      </c>
      <c r="R113" s="91" t="s">
        <v>9635</v>
      </c>
      <c r="S113" s="91" t="s">
        <v>5623</v>
      </c>
      <c r="T113" s="91" t="s">
        <v>5624</v>
      </c>
      <c r="U113" s="91" t="s">
        <v>5625</v>
      </c>
      <c r="V113" s="91" t="s">
        <v>5626</v>
      </c>
      <c r="W113" s="91" t="n">
        <v>2</v>
      </c>
      <c r="X113" s="91" t="s">
        <v>59</v>
      </c>
    </row>
    <row r="114" customFormat="false" ht="15.75" hidden="false" customHeight="true" outlineLevel="0" collapsed="false">
      <c r="A114" s="91" t="n">
        <v>25</v>
      </c>
      <c r="B114" s="91" t="s">
        <v>45</v>
      </c>
      <c r="C114" s="91" t="s">
        <v>437</v>
      </c>
      <c r="D114" s="91" t="s">
        <v>9764</v>
      </c>
      <c r="E114" s="91" t="s">
        <v>5628</v>
      </c>
      <c r="F114" s="91" t="n">
        <v>20</v>
      </c>
      <c r="G114" s="91" t="s">
        <v>5629</v>
      </c>
      <c r="H114" s="91" t="s">
        <v>5630</v>
      </c>
      <c r="I114" s="91" t="s">
        <v>5631</v>
      </c>
      <c r="J114" s="91" t="s">
        <v>5632</v>
      </c>
      <c r="K114" s="91" t="s">
        <v>5633</v>
      </c>
      <c r="L114" s="91" t="s">
        <v>5634</v>
      </c>
      <c r="M114" s="91" t="s">
        <v>9633</v>
      </c>
      <c r="N114" s="91" t="s">
        <v>9633</v>
      </c>
      <c r="O114" s="91" t="s">
        <v>9633</v>
      </c>
      <c r="P114" s="91" t="s">
        <v>9634</v>
      </c>
      <c r="Q114" s="91" t="s">
        <v>9633</v>
      </c>
      <c r="R114" s="91" t="s">
        <v>9635</v>
      </c>
      <c r="S114" s="91" t="s">
        <v>5635</v>
      </c>
      <c r="T114" s="91" t="s">
        <v>5636</v>
      </c>
      <c r="U114" s="91" t="s">
        <v>5636</v>
      </c>
      <c r="V114" s="91" t="s">
        <v>5637</v>
      </c>
      <c r="W114" s="91" t="n">
        <v>5</v>
      </c>
      <c r="X114" s="91" t="s">
        <v>59</v>
      </c>
    </row>
    <row r="115" customFormat="false" ht="15.75" hidden="false" customHeight="true" outlineLevel="0" collapsed="false">
      <c r="A115" s="91" t="n">
        <v>24</v>
      </c>
      <c r="B115" s="91" t="s">
        <v>45</v>
      </c>
      <c r="C115" s="91" t="s">
        <v>437</v>
      </c>
      <c r="D115" s="91" t="s">
        <v>47</v>
      </c>
      <c r="E115" s="91" t="s">
        <v>5639</v>
      </c>
      <c r="F115" s="91" t="n">
        <v>40</v>
      </c>
      <c r="G115" s="91" t="s">
        <v>5640</v>
      </c>
      <c r="H115" s="91" t="s">
        <v>5641</v>
      </c>
      <c r="I115" s="91" t="s">
        <v>5642</v>
      </c>
      <c r="J115" s="91" t="s">
        <v>5643</v>
      </c>
      <c r="K115" s="91" t="s">
        <v>5644</v>
      </c>
      <c r="L115" s="91" t="s">
        <v>5645</v>
      </c>
      <c r="M115" s="91" t="s">
        <v>9633</v>
      </c>
      <c r="N115" s="91" t="s">
        <v>9633</v>
      </c>
      <c r="O115" s="91" t="s">
        <v>9635</v>
      </c>
      <c r="P115" s="91" t="s">
        <v>9634</v>
      </c>
      <c r="Q115" s="91" t="s">
        <v>9633</v>
      </c>
      <c r="R115" s="91" t="s">
        <v>9635</v>
      </c>
      <c r="S115" s="91" t="s">
        <v>5646</v>
      </c>
      <c r="T115" s="91" t="s">
        <v>5295</v>
      </c>
      <c r="U115" s="91" t="s">
        <v>5647</v>
      </c>
      <c r="V115" s="91" t="s">
        <v>5648</v>
      </c>
      <c r="W115" s="91" t="n">
        <v>4</v>
      </c>
      <c r="X115" s="91" t="s">
        <v>59</v>
      </c>
    </row>
  </sheetData>
  <mergeCells count="209">
    <mergeCell ref="A20:A22"/>
    <mergeCell ref="B20:B22"/>
    <mergeCell ref="C20:C22"/>
    <mergeCell ref="D20:D22"/>
    <mergeCell ref="E20:E22"/>
    <mergeCell ref="F20:F22"/>
    <mergeCell ref="G20:G22"/>
    <mergeCell ref="H20:H22"/>
    <mergeCell ref="I20:I22"/>
    <mergeCell ref="J20:J22"/>
    <mergeCell ref="K20:K22"/>
    <mergeCell ref="M20:M22"/>
    <mergeCell ref="N20:N22"/>
    <mergeCell ref="O20:O22"/>
    <mergeCell ref="P20:P22"/>
    <mergeCell ref="Q20:Q22"/>
    <mergeCell ref="R20:R22"/>
    <mergeCell ref="S20:S22"/>
    <mergeCell ref="T20:T22"/>
    <mergeCell ref="U20:U22"/>
    <mergeCell ref="V20:V22"/>
    <mergeCell ref="W20:W22"/>
    <mergeCell ref="X20:X22"/>
    <mergeCell ref="Y20:Y22"/>
    <mergeCell ref="Z20:Z22"/>
    <mergeCell ref="AA20:AA22"/>
    <mergeCell ref="AB20:AB22"/>
    <mergeCell ref="AC20:AC22"/>
    <mergeCell ref="AD20:AD22"/>
    <mergeCell ref="AE20:AE22"/>
    <mergeCell ref="A26:A28"/>
    <mergeCell ref="B26:B28"/>
    <mergeCell ref="C26:C28"/>
    <mergeCell ref="D26:D28"/>
    <mergeCell ref="E26:E28"/>
    <mergeCell ref="F26:F28"/>
    <mergeCell ref="G26:G28"/>
    <mergeCell ref="H26:H28"/>
    <mergeCell ref="I26:I28"/>
    <mergeCell ref="J26:J28"/>
    <mergeCell ref="K26:K28"/>
    <mergeCell ref="M26:M28"/>
    <mergeCell ref="N26:N28"/>
    <mergeCell ref="O26:O28"/>
    <mergeCell ref="P26:P28"/>
    <mergeCell ref="Q26:Q28"/>
    <mergeCell ref="R26:R28"/>
    <mergeCell ref="T26:T28"/>
    <mergeCell ref="U26:U28"/>
    <mergeCell ref="V26:V28"/>
    <mergeCell ref="W26:W28"/>
    <mergeCell ref="X26:X28"/>
    <mergeCell ref="Y26:Y28"/>
    <mergeCell ref="Z26:Z28"/>
    <mergeCell ref="AA26:AA28"/>
    <mergeCell ref="AB26:AB28"/>
    <mergeCell ref="AC26:AC28"/>
    <mergeCell ref="AD26:AD28"/>
    <mergeCell ref="AE26:AE28"/>
    <mergeCell ref="A32:A34"/>
    <mergeCell ref="B32:B34"/>
    <mergeCell ref="C32:C34"/>
    <mergeCell ref="D32:D34"/>
    <mergeCell ref="E32:E34"/>
    <mergeCell ref="F32:F34"/>
    <mergeCell ref="G32:G34"/>
    <mergeCell ref="H32:H34"/>
    <mergeCell ref="I32:I34"/>
    <mergeCell ref="J32:J34"/>
    <mergeCell ref="K32:K34"/>
    <mergeCell ref="L32:L34"/>
    <mergeCell ref="M32:M34"/>
    <mergeCell ref="N32:N34"/>
    <mergeCell ref="O32:O34"/>
    <mergeCell ref="P32:P34"/>
    <mergeCell ref="Q32:Q34"/>
    <mergeCell ref="R32:R34"/>
    <mergeCell ref="T32:T34"/>
    <mergeCell ref="U32:U34"/>
    <mergeCell ref="V32:V34"/>
    <mergeCell ref="W32:W34"/>
    <mergeCell ref="X32:X34"/>
    <mergeCell ref="Y32:Y34"/>
    <mergeCell ref="Z32:Z34"/>
    <mergeCell ref="AA32:AA34"/>
    <mergeCell ref="AB32:AB34"/>
    <mergeCell ref="AC32:AC34"/>
    <mergeCell ref="AD32:AD34"/>
    <mergeCell ref="AE32:AE34"/>
    <mergeCell ref="A35:A38"/>
    <mergeCell ref="B35:B38"/>
    <mergeCell ref="C35:C38"/>
    <mergeCell ref="D35:D38"/>
    <mergeCell ref="E35:E38"/>
    <mergeCell ref="F35:F38"/>
    <mergeCell ref="G35:G38"/>
    <mergeCell ref="H35:H38"/>
    <mergeCell ref="I35:I38"/>
    <mergeCell ref="K35:K38"/>
    <mergeCell ref="L35:L38"/>
    <mergeCell ref="M35:M38"/>
    <mergeCell ref="N35:N38"/>
    <mergeCell ref="O35:O38"/>
    <mergeCell ref="P35:P38"/>
    <mergeCell ref="Q35:Q38"/>
    <mergeCell ref="R35:R38"/>
    <mergeCell ref="S35:S38"/>
    <mergeCell ref="T35:T38"/>
    <mergeCell ref="U35:U38"/>
    <mergeCell ref="V35:V38"/>
    <mergeCell ref="W35:W38"/>
    <mergeCell ref="X35:X38"/>
    <mergeCell ref="Y35:Y38"/>
    <mergeCell ref="Z35:Z38"/>
    <mergeCell ref="AA35:AA38"/>
    <mergeCell ref="AB35:AB38"/>
    <mergeCell ref="AC35:AC38"/>
    <mergeCell ref="AD35:AD38"/>
    <mergeCell ref="AE35:AE38"/>
    <mergeCell ref="A44:A45"/>
    <mergeCell ref="B44:B45"/>
    <mergeCell ref="C44:C45"/>
    <mergeCell ref="D44:D45"/>
    <mergeCell ref="E44:E45"/>
    <mergeCell ref="F44:F45"/>
    <mergeCell ref="G44:G45"/>
    <mergeCell ref="H44:H45"/>
    <mergeCell ref="I44:I45"/>
    <mergeCell ref="J44:J45"/>
    <mergeCell ref="K44:K45"/>
    <mergeCell ref="L44:L45"/>
    <mergeCell ref="M44:M45"/>
    <mergeCell ref="N44:N45"/>
    <mergeCell ref="O44:O45"/>
    <mergeCell ref="P44:P45"/>
    <mergeCell ref="Q44:Q45"/>
    <mergeCell ref="R44:R45"/>
    <mergeCell ref="T44:T45"/>
    <mergeCell ref="U44:U45"/>
    <mergeCell ref="V44:V45"/>
    <mergeCell ref="W44:W45"/>
    <mergeCell ref="X44:X45"/>
    <mergeCell ref="Y44:Y45"/>
    <mergeCell ref="Z44:Z45"/>
    <mergeCell ref="AA44:AA45"/>
    <mergeCell ref="AB44:AB45"/>
    <mergeCell ref="AC44:AC45"/>
    <mergeCell ref="AD44:AD45"/>
    <mergeCell ref="AE44:AE45"/>
    <mergeCell ref="A60:A62"/>
    <mergeCell ref="B60:B62"/>
    <mergeCell ref="C60:C62"/>
    <mergeCell ref="D60:D62"/>
    <mergeCell ref="E60:E62"/>
    <mergeCell ref="F60:F62"/>
    <mergeCell ref="G60:G62"/>
    <mergeCell ref="H60:H62"/>
    <mergeCell ref="I60:I62"/>
    <mergeCell ref="J60:J62"/>
    <mergeCell ref="K60:K62"/>
    <mergeCell ref="M60:M62"/>
    <mergeCell ref="N60:N62"/>
    <mergeCell ref="O60:O62"/>
    <mergeCell ref="P60:P62"/>
    <mergeCell ref="Q60:Q62"/>
    <mergeCell ref="R60:R62"/>
    <mergeCell ref="S60:S62"/>
    <mergeCell ref="T60:T62"/>
    <mergeCell ref="U60:U62"/>
    <mergeCell ref="V60:V62"/>
    <mergeCell ref="W60:W62"/>
    <mergeCell ref="X60:X62"/>
    <mergeCell ref="Y60:Y62"/>
    <mergeCell ref="Z60:Z62"/>
    <mergeCell ref="AA60:AA62"/>
    <mergeCell ref="AB60:AB62"/>
    <mergeCell ref="AC60:AC62"/>
    <mergeCell ref="AD60:AD62"/>
    <mergeCell ref="AE60:AE62"/>
    <mergeCell ref="A95:A97"/>
    <mergeCell ref="B95:B97"/>
    <mergeCell ref="C95:C97"/>
    <mergeCell ref="D95:D97"/>
    <mergeCell ref="E95:E97"/>
    <mergeCell ref="F95:F97"/>
    <mergeCell ref="G95:G97"/>
    <mergeCell ref="H95:H97"/>
    <mergeCell ref="I95:I97"/>
    <mergeCell ref="K95:K97"/>
    <mergeCell ref="L95:L97"/>
    <mergeCell ref="M95:M97"/>
    <mergeCell ref="N95:N97"/>
    <mergeCell ref="O95:O97"/>
    <mergeCell ref="P95:P97"/>
    <mergeCell ref="Q95:Q97"/>
    <mergeCell ref="R95:R97"/>
    <mergeCell ref="S95:S97"/>
    <mergeCell ref="T95:T97"/>
    <mergeCell ref="U95:U97"/>
    <mergeCell ref="V95:V97"/>
    <mergeCell ref="W95:W97"/>
    <mergeCell ref="X95:X97"/>
    <mergeCell ref="Y95:Y97"/>
    <mergeCell ref="Z95:Z97"/>
    <mergeCell ref="AA95:AA97"/>
    <mergeCell ref="AB95:AB97"/>
    <mergeCell ref="AC95:AC97"/>
    <mergeCell ref="AD95:AD97"/>
    <mergeCell ref="AE95:AE9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76"/>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I2" activeCellId="0" sqref="I2"/>
    </sheetView>
  </sheetViews>
  <sheetFormatPr defaultColWidth="21.6640625" defaultRowHeight="15.75" zeroHeight="false" outlineLevelRow="0" outlineLevelCol="0"/>
  <cols>
    <col collapsed="false" customWidth="false" hidden="false" outlineLevel="0" max="16384" min="1" style="96" width="21.66"/>
  </cols>
  <sheetData>
    <row r="1" s="99" customFormat="true" ht="135.75" hidden="false" customHeight="true" outlineLevel="0" collapsed="false">
      <c r="A1" s="97" t="s">
        <v>8940</v>
      </c>
      <c r="B1" s="97" t="s">
        <v>8941</v>
      </c>
      <c r="C1" s="97" t="s">
        <v>9765</v>
      </c>
      <c r="D1" s="97" t="s">
        <v>9766</v>
      </c>
      <c r="E1" s="97" t="s">
        <v>9767</v>
      </c>
      <c r="F1" s="97" t="s">
        <v>9768</v>
      </c>
      <c r="G1" s="97" t="s">
        <v>7730</v>
      </c>
      <c r="H1" s="97" t="s">
        <v>9769</v>
      </c>
      <c r="I1" s="97" t="s">
        <v>7732</v>
      </c>
      <c r="J1" s="97" t="s">
        <v>7733</v>
      </c>
      <c r="K1" s="97" t="s">
        <v>7734</v>
      </c>
      <c r="L1" s="97" t="s">
        <v>7735</v>
      </c>
      <c r="M1" s="97" t="s">
        <v>7736</v>
      </c>
      <c r="N1" s="97" t="s">
        <v>9770</v>
      </c>
      <c r="O1" s="97" t="s">
        <v>9771</v>
      </c>
      <c r="P1" s="97" t="s">
        <v>9772</v>
      </c>
      <c r="Q1" s="97" t="s">
        <v>9773</v>
      </c>
      <c r="R1" s="97" t="s">
        <v>9774</v>
      </c>
      <c r="S1" s="97" t="s">
        <v>9775</v>
      </c>
      <c r="T1" s="97" t="s">
        <v>9776</v>
      </c>
      <c r="U1" s="97" t="s">
        <v>9777</v>
      </c>
      <c r="V1" s="97" t="s">
        <v>9778</v>
      </c>
      <c r="W1" s="97" t="s">
        <v>7744</v>
      </c>
      <c r="X1" s="97" t="s">
        <v>9779</v>
      </c>
      <c r="Y1" s="97" t="s">
        <v>9780</v>
      </c>
      <c r="Z1" s="97" t="s">
        <v>9781</v>
      </c>
      <c r="AA1" s="97" t="s">
        <v>9782</v>
      </c>
      <c r="AB1" s="97" t="s">
        <v>9783</v>
      </c>
      <c r="AC1" s="97" t="s">
        <v>9784</v>
      </c>
      <c r="AD1" s="97" t="s">
        <v>9785</v>
      </c>
      <c r="AE1" s="98"/>
      <c r="AF1" s="98"/>
      <c r="AG1" s="98"/>
      <c r="AH1" s="98"/>
      <c r="AI1" s="98"/>
      <c r="AJ1" s="98"/>
    </row>
    <row r="2" customFormat="false" ht="15.75" hidden="false" customHeight="true" outlineLevel="0" collapsed="false">
      <c r="A2" s="100" t="n">
        <v>22</v>
      </c>
      <c r="B2" s="100" t="s">
        <v>9786</v>
      </c>
      <c r="C2" s="100" t="s">
        <v>47</v>
      </c>
      <c r="D2" s="100" t="s">
        <v>92</v>
      </c>
      <c r="E2" s="100" t="s">
        <v>47</v>
      </c>
      <c r="F2" s="100" t="s">
        <v>92</v>
      </c>
      <c r="G2" s="100" t="s">
        <v>5650</v>
      </c>
      <c r="H2" s="100" t="n">
        <v>20</v>
      </c>
      <c r="I2" s="100" t="s">
        <v>5651</v>
      </c>
      <c r="J2" s="100" t="s">
        <v>5652</v>
      </c>
      <c r="K2" s="100" t="s">
        <v>59</v>
      </c>
      <c r="L2" s="100" t="s">
        <v>5653</v>
      </c>
      <c r="M2" s="100" t="s">
        <v>5654</v>
      </c>
      <c r="N2" s="100" t="s">
        <v>9787</v>
      </c>
      <c r="O2" s="100" t="s">
        <v>9788</v>
      </c>
      <c r="P2" s="100" t="s">
        <v>9789</v>
      </c>
      <c r="Q2" s="100" t="n">
        <v>2</v>
      </c>
      <c r="R2" s="100" t="s">
        <v>9790</v>
      </c>
      <c r="S2" s="100" t="s">
        <v>9791</v>
      </c>
      <c r="T2" s="100" t="n">
        <v>2</v>
      </c>
      <c r="U2" s="100" t="s">
        <v>9790</v>
      </c>
      <c r="V2" s="100" t="s">
        <v>9791</v>
      </c>
      <c r="W2" s="100" t="s">
        <v>5656</v>
      </c>
      <c r="X2" s="100" t="s">
        <v>4634</v>
      </c>
      <c r="Y2" s="100" t="s">
        <v>5657</v>
      </c>
      <c r="Z2" s="100" t="s">
        <v>9792</v>
      </c>
      <c r="AA2" s="100" t="s">
        <v>5658</v>
      </c>
      <c r="AB2" s="100" t="s">
        <v>59</v>
      </c>
      <c r="AC2" s="100" t="s">
        <v>59</v>
      </c>
      <c r="AD2" s="100" t="s">
        <v>59</v>
      </c>
      <c r="AE2" s="49"/>
      <c r="AF2" s="49"/>
      <c r="AG2" s="49"/>
      <c r="AH2" s="49"/>
      <c r="AI2" s="49"/>
      <c r="AJ2" s="49"/>
    </row>
    <row r="3" customFormat="false" ht="15.75" hidden="false" customHeight="true" outlineLevel="0" collapsed="false">
      <c r="A3" s="100" t="n">
        <v>27</v>
      </c>
      <c r="B3" s="100" t="s">
        <v>9786</v>
      </c>
      <c r="C3" s="100" t="s">
        <v>3947</v>
      </c>
      <c r="D3" s="49"/>
      <c r="E3" s="100" t="s">
        <v>47</v>
      </c>
      <c r="F3" s="100" t="s">
        <v>49</v>
      </c>
      <c r="G3" s="100" t="s">
        <v>9793</v>
      </c>
      <c r="H3" s="100" t="n">
        <v>30</v>
      </c>
      <c r="I3" s="100" t="s">
        <v>9794</v>
      </c>
      <c r="J3" s="100" t="s">
        <v>9795</v>
      </c>
      <c r="K3" s="100" t="s">
        <v>9796</v>
      </c>
      <c r="L3" s="100" t="s">
        <v>5664</v>
      </c>
      <c r="M3" s="100" t="s">
        <v>5665</v>
      </c>
      <c r="N3" s="100" t="s">
        <v>9797</v>
      </c>
      <c r="O3" s="100" t="s">
        <v>9798</v>
      </c>
      <c r="P3" s="100" t="s">
        <v>9799</v>
      </c>
      <c r="Q3" s="100" t="s">
        <v>9790</v>
      </c>
      <c r="R3" s="100" t="n">
        <v>2</v>
      </c>
      <c r="S3" s="100" t="s">
        <v>9791</v>
      </c>
      <c r="T3" s="100" t="n">
        <v>2</v>
      </c>
      <c r="U3" s="100" t="s">
        <v>9790</v>
      </c>
      <c r="V3" s="100" t="s">
        <v>9791</v>
      </c>
      <c r="W3" s="100" t="s">
        <v>9800</v>
      </c>
      <c r="X3" s="100" t="s">
        <v>5295</v>
      </c>
      <c r="Y3" s="100" t="s">
        <v>9801</v>
      </c>
      <c r="Z3" s="100" t="s">
        <v>9792</v>
      </c>
      <c r="AA3" s="100" t="s">
        <v>5669</v>
      </c>
      <c r="AB3" s="100" t="s">
        <v>5670</v>
      </c>
      <c r="AC3" s="100" t="s">
        <v>59</v>
      </c>
      <c r="AD3" s="100" t="s">
        <v>59</v>
      </c>
      <c r="AE3" s="49"/>
      <c r="AF3" s="49"/>
      <c r="AG3" s="49"/>
      <c r="AH3" s="49"/>
      <c r="AI3" s="49"/>
      <c r="AJ3" s="49"/>
    </row>
    <row r="4" customFormat="false" ht="15.75" hidden="false" customHeight="true" outlineLevel="0" collapsed="false">
      <c r="A4" s="100" t="n">
        <v>20</v>
      </c>
      <c r="B4" s="100" t="s">
        <v>9802</v>
      </c>
      <c r="C4" s="100" t="s">
        <v>47</v>
      </c>
      <c r="D4" s="100" t="s">
        <v>49</v>
      </c>
      <c r="E4" s="100" t="s">
        <v>47</v>
      </c>
      <c r="F4" s="100" t="s">
        <v>49</v>
      </c>
      <c r="G4" s="100" t="s">
        <v>5672</v>
      </c>
      <c r="H4" s="100" t="n">
        <v>20</v>
      </c>
      <c r="I4" s="100" t="s">
        <v>5673</v>
      </c>
      <c r="J4" s="100" t="s">
        <v>5674</v>
      </c>
      <c r="K4" s="100" t="s">
        <v>5675</v>
      </c>
      <c r="L4" s="100" t="s">
        <v>5676</v>
      </c>
      <c r="M4" s="100" t="s">
        <v>5677</v>
      </c>
      <c r="N4" s="100" t="s">
        <v>9803</v>
      </c>
      <c r="O4" s="100" t="s">
        <v>9804</v>
      </c>
      <c r="P4" s="100" t="s">
        <v>9805</v>
      </c>
      <c r="Q4" s="100" t="s">
        <v>9791</v>
      </c>
      <c r="R4" s="100" t="n">
        <v>2</v>
      </c>
      <c r="S4" s="100" t="s">
        <v>9790</v>
      </c>
      <c r="T4" s="100" t="s">
        <v>9790</v>
      </c>
      <c r="U4" s="100" t="n">
        <v>2</v>
      </c>
      <c r="V4" s="100" t="s">
        <v>9791</v>
      </c>
      <c r="W4" s="100" t="s">
        <v>5679</v>
      </c>
      <c r="X4" s="100" t="s">
        <v>9792</v>
      </c>
      <c r="Y4" s="100" t="s">
        <v>5680</v>
      </c>
      <c r="Z4" s="100" t="s">
        <v>4634</v>
      </c>
      <c r="AA4" s="100" t="s">
        <v>5681</v>
      </c>
      <c r="AB4" s="100" t="s">
        <v>5682</v>
      </c>
      <c r="AC4" s="100" t="s">
        <v>59</v>
      </c>
      <c r="AD4" s="100" t="s">
        <v>59</v>
      </c>
      <c r="AE4" s="49"/>
      <c r="AF4" s="49"/>
      <c r="AG4" s="49"/>
      <c r="AH4" s="49"/>
      <c r="AI4" s="49"/>
      <c r="AJ4" s="49"/>
    </row>
    <row r="5" customFormat="false" ht="15.75" hidden="false" customHeight="true" outlineLevel="0" collapsed="false">
      <c r="A5" s="100" t="n">
        <v>21</v>
      </c>
      <c r="B5" s="100" t="s">
        <v>9786</v>
      </c>
      <c r="C5" s="100" t="s">
        <v>47</v>
      </c>
      <c r="D5" s="100" t="s">
        <v>49</v>
      </c>
      <c r="E5" s="100" t="s">
        <v>47</v>
      </c>
      <c r="F5" s="100" t="s">
        <v>49</v>
      </c>
      <c r="G5" s="100" t="s">
        <v>104</v>
      </c>
      <c r="H5" s="100" t="n">
        <v>20</v>
      </c>
      <c r="I5" s="100" t="s">
        <v>5684</v>
      </c>
      <c r="J5" s="100" t="s">
        <v>5685</v>
      </c>
      <c r="K5" s="100" t="s">
        <v>5686</v>
      </c>
      <c r="L5" s="100" t="s">
        <v>5687</v>
      </c>
      <c r="M5" s="100" t="s">
        <v>5688</v>
      </c>
      <c r="N5" s="100" t="s">
        <v>9806</v>
      </c>
      <c r="O5" s="100" t="s">
        <v>9807</v>
      </c>
      <c r="P5" s="100" t="s">
        <v>9808</v>
      </c>
      <c r="Q5" s="100" t="n">
        <v>2</v>
      </c>
      <c r="R5" s="100" t="s">
        <v>9790</v>
      </c>
      <c r="S5" s="100" t="s">
        <v>9791</v>
      </c>
      <c r="T5" s="100" t="n">
        <v>2</v>
      </c>
      <c r="U5" s="100" t="s">
        <v>9790</v>
      </c>
      <c r="V5" s="100" t="s">
        <v>9791</v>
      </c>
      <c r="W5" s="100" t="s">
        <v>5690</v>
      </c>
      <c r="X5" s="100" t="s">
        <v>5295</v>
      </c>
      <c r="Y5" s="100" t="s">
        <v>9809</v>
      </c>
      <c r="Z5" s="100" t="s">
        <v>9792</v>
      </c>
      <c r="AA5" s="100" t="s">
        <v>9810</v>
      </c>
      <c r="AB5" s="100" t="s">
        <v>9811</v>
      </c>
      <c r="AC5" s="100" t="s">
        <v>59</v>
      </c>
      <c r="AD5" s="100" t="s">
        <v>59</v>
      </c>
      <c r="AE5" s="49"/>
      <c r="AF5" s="49"/>
      <c r="AG5" s="49"/>
      <c r="AH5" s="49"/>
      <c r="AI5" s="49"/>
      <c r="AJ5" s="49"/>
    </row>
    <row r="6" customFormat="false" ht="15.75" hidden="false" customHeight="true" outlineLevel="0" collapsed="false">
      <c r="A6" s="101" t="n">
        <v>21</v>
      </c>
      <c r="B6" s="101" t="s">
        <v>9802</v>
      </c>
      <c r="C6" s="101" t="s">
        <v>47</v>
      </c>
      <c r="D6" s="101" t="s">
        <v>825</v>
      </c>
      <c r="E6" s="101" t="s">
        <v>47</v>
      </c>
      <c r="F6" s="101" t="s">
        <v>49</v>
      </c>
      <c r="G6" s="101" t="s">
        <v>5695</v>
      </c>
      <c r="H6" s="101" t="n">
        <v>50</v>
      </c>
      <c r="I6" s="101" t="s">
        <v>5696</v>
      </c>
      <c r="J6" s="101" t="s">
        <v>5697</v>
      </c>
      <c r="K6" s="101" t="s">
        <v>5698</v>
      </c>
      <c r="L6" s="100" t="s">
        <v>9812</v>
      </c>
      <c r="M6" s="101" t="s">
        <v>5700</v>
      </c>
      <c r="N6" s="101" t="s">
        <v>9813</v>
      </c>
      <c r="O6" s="101" t="s">
        <v>9814</v>
      </c>
      <c r="P6" s="101" t="s">
        <v>9815</v>
      </c>
      <c r="Q6" s="101" t="s">
        <v>9790</v>
      </c>
      <c r="R6" s="101" t="n">
        <v>2</v>
      </c>
      <c r="S6" s="101" t="s">
        <v>9791</v>
      </c>
      <c r="T6" s="101" t="n">
        <v>2</v>
      </c>
      <c r="U6" s="101" t="s">
        <v>9790</v>
      </c>
      <c r="V6" s="101" t="s">
        <v>9791</v>
      </c>
      <c r="W6" s="101" t="s">
        <v>5702</v>
      </c>
      <c r="X6" s="101" t="s">
        <v>9792</v>
      </c>
      <c r="Y6" s="101" t="s">
        <v>5703</v>
      </c>
      <c r="Z6" s="101" t="s">
        <v>9792</v>
      </c>
      <c r="AA6" s="101" t="s">
        <v>5704</v>
      </c>
      <c r="AB6" s="101" t="s">
        <v>5705</v>
      </c>
      <c r="AC6" s="101" t="s">
        <v>59</v>
      </c>
      <c r="AD6" s="101" t="s">
        <v>59</v>
      </c>
      <c r="AE6" s="102"/>
      <c r="AF6" s="102"/>
      <c r="AG6" s="102"/>
      <c r="AH6" s="102"/>
      <c r="AI6" s="102"/>
      <c r="AJ6" s="102"/>
    </row>
    <row r="7" customFormat="false" ht="15.75" hidden="false" customHeight="true" outlineLevel="0" collapsed="false">
      <c r="A7" s="101"/>
      <c r="B7" s="101"/>
      <c r="C7" s="101"/>
      <c r="D7" s="101"/>
      <c r="E7" s="101"/>
      <c r="F7" s="101"/>
      <c r="G7" s="101"/>
      <c r="H7" s="101"/>
      <c r="I7" s="101"/>
      <c r="J7" s="101"/>
      <c r="K7" s="101"/>
      <c r="L7" s="100" t="s">
        <v>9816</v>
      </c>
      <c r="M7" s="101"/>
      <c r="N7" s="101"/>
      <c r="O7" s="101"/>
      <c r="P7" s="101"/>
      <c r="Q7" s="101"/>
      <c r="R7" s="101"/>
      <c r="S7" s="101"/>
      <c r="T7" s="101"/>
      <c r="U7" s="101"/>
      <c r="V7" s="101"/>
      <c r="W7" s="101"/>
      <c r="X7" s="101"/>
      <c r="Y7" s="101"/>
      <c r="Z7" s="101"/>
      <c r="AA7" s="101"/>
      <c r="AB7" s="101"/>
      <c r="AC7" s="101"/>
      <c r="AD7" s="101"/>
      <c r="AE7" s="101"/>
      <c r="AF7" s="101"/>
      <c r="AG7" s="101"/>
      <c r="AH7" s="101"/>
      <c r="AI7" s="101"/>
      <c r="AJ7" s="101"/>
    </row>
    <row r="8" customFormat="false" ht="15.75" hidden="false" customHeight="true" outlineLevel="0" collapsed="false">
      <c r="A8" s="101"/>
      <c r="B8" s="101"/>
      <c r="C8" s="101"/>
      <c r="D8" s="101"/>
      <c r="E8" s="101"/>
      <c r="F8" s="101"/>
      <c r="G8" s="101"/>
      <c r="H8" s="101"/>
      <c r="I8" s="101"/>
      <c r="J8" s="101"/>
      <c r="K8" s="101"/>
      <c r="L8" s="100" t="s">
        <v>9817</v>
      </c>
      <c r="M8" s="101"/>
      <c r="N8" s="101"/>
      <c r="O8" s="101"/>
      <c r="P8" s="101"/>
      <c r="Q8" s="101"/>
      <c r="R8" s="101"/>
      <c r="S8" s="101"/>
      <c r="T8" s="101"/>
      <c r="U8" s="101"/>
      <c r="V8" s="101"/>
      <c r="W8" s="101"/>
      <c r="X8" s="101"/>
      <c r="Y8" s="101"/>
      <c r="Z8" s="101"/>
      <c r="AA8" s="101"/>
      <c r="AB8" s="101"/>
      <c r="AC8" s="101"/>
      <c r="AD8" s="101"/>
      <c r="AE8" s="101"/>
      <c r="AF8" s="101"/>
      <c r="AG8" s="101"/>
      <c r="AH8" s="101"/>
      <c r="AI8" s="101"/>
      <c r="AJ8" s="101"/>
    </row>
    <row r="9" customFormat="false" ht="15.75" hidden="false" customHeight="true" outlineLevel="0" collapsed="false">
      <c r="A9" s="100" t="n">
        <v>22</v>
      </c>
      <c r="B9" s="100" t="s">
        <v>9786</v>
      </c>
      <c r="C9" s="100" t="s">
        <v>1025</v>
      </c>
      <c r="D9" s="49"/>
      <c r="E9" s="100" t="s">
        <v>47</v>
      </c>
      <c r="F9" s="100" t="s">
        <v>49</v>
      </c>
      <c r="G9" s="100" t="s">
        <v>5707</v>
      </c>
      <c r="H9" s="100" t="n">
        <v>30</v>
      </c>
      <c r="I9" s="100" t="s">
        <v>9818</v>
      </c>
      <c r="J9" s="100" t="s">
        <v>5709</v>
      </c>
      <c r="K9" s="100" t="s">
        <v>5710</v>
      </c>
      <c r="L9" s="100" t="s">
        <v>5711</v>
      </c>
      <c r="M9" s="100" t="s">
        <v>5712</v>
      </c>
      <c r="N9" s="100" t="s">
        <v>9819</v>
      </c>
      <c r="O9" s="100" t="s">
        <v>9820</v>
      </c>
      <c r="P9" s="100" t="s">
        <v>9821</v>
      </c>
      <c r="Q9" s="100" t="s">
        <v>9790</v>
      </c>
      <c r="R9" s="100" t="s">
        <v>9791</v>
      </c>
      <c r="S9" s="100" t="n">
        <v>2</v>
      </c>
      <c r="T9" s="100" t="s">
        <v>9790</v>
      </c>
      <c r="U9" s="100" t="n">
        <v>2</v>
      </c>
      <c r="V9" s="100" t="s">
        <v>9791</v>
      </c>
      <c r="W9" s="100" t="s">
        <v>9822</v>
      </c>
      <c r="X9" s="100" t="s">
        <v>9792</v>
      </c>
      <c r="Y9" s="100" t="s">
        <v>9823</v>
      </c>
      <c r="Z9" s="100" t="s">
        <v>4634</v>
      </c>
      <c r="AA9" s="100" t="s">
        <v>5716</v>
      </c>
      <c r="AB9" s="100" t="s">
        <v>9824</v>
      </c>
      <c r="AC9" s="100" t="s">
        <v>59</v>
      </c>
      <c r="AD9" s="100" t="s">
        <v>59</v>
      </c>
      <c r="AE9" s="49"/>
      <c r="AF9" s="49"/>
      <c r="AG9" s="49"/>
      <c r="AH9" s="49"/>
      <c r="AI9" s="49"/>
      <c r="AJ9" s="49"/>
    </row>
    <row r="10" customFormat="false" ht="15.75" hidden="false" customHeight="true" outlineLevel="0" collapsed="false">
      <c r="A10" s="100" t="n">
        <v>22</v>
      </c>
      <c r="B10" s="100" t="s">
        <v>9802</v>
      </c>
      <c r="C10" s="100" t="s">
        <v>1025</v>
      </c>
      <c r="D10" s="49"/>
      <c r="E10" s="100" t="s">
        <v>47</v>
      </c>
      <c r="F10" s="100" t="s">
        <v>49</v>
      </c>
      <c r="G10" s="100" t="s">
        <v>5719</v>
      </c>
      <c r="H10" s="100" t="n">
        <v>8</v>
      </c>
      <c r="I10" s="100" t="s">
        <v>5720</v>
      </c>
      <c r="J10" s="100" t="s">
        <v>5721</v>
      </c>
      <c r="K10" s="100" t="s">
        <v>2242</v>
      </c>
      <c r="L10" s="100" t="s">
        <v>9825</v>
      </c>
      <c r="M10" s="100" t="s">
        <v>9826</v>
      </c>
      <c r="N10" s="100" t="s">
        <v>9827</v>
      </c>
      <c r="O10" s="100" t="s">
        <v>9828</v>
      </c>
      <c r="P10" s="100" t="s">
        <v>9829</v>
      </c>
      <c r="Q10" s="100" t="n">
        <v>2</v>
      </c>
      <c r="R10" s="100" t="s">
        <v>9790</v>
      </c>
      <c r="S10" s="100" t="s">
        <v>9791</v>
      </c>
      <c r="T10" s="100" t="s">
        <v>9791</v>
      </c>
      <c r="U10" s="100" t="s">
        <v>9790</v>
      </c>
      <c r="V10" s="100" t="n">
        <v>2</v>
      </c>
      <c r="W10" s="100" t="s">
        <v>9830</v>
      </c>
      <c r="X10" s="100" t="s">
        <v>5295</v>
      </c>
      <c r="Y10" s="100" t="s">
        <v>5726</v>
      </c>
      <c r="Z10" s="100" t="s">
        <v>9792</v>
      </c>
      <c r="AA10" s="100" t="s">
        <v>9831</v>
      </c>
      <c r="AB10" s="100" t="s">
        <v>9832</v>
      </c>
      <c r="AC10" s="100" t="s">
        <v>59</v>
      </c>
      <c r="AD10" s="100" t="s">
        <v>59</v>
      </c>
      <c r="AE10" s="49"/>
      <c r="AF10" s="49"/>
      <c r="AG10" s="49"/>
      <c r="AH10" s="49"/>
      <c r="AI10" s="49"/>
      <c r="AJ10" s="49"/>
    </row>
    <row r="11" customFormat="false" ht="15.75" hidden="false" customHeight="true" outlineLevel="0" collapsed="false">
      <c r="A11" s="100" t="n">
        <v>21</v>
      </c>
      <c r="B11" s="100" t="s">
        <v>9786</v>
      </c>
      <c r="C11" s="100" t="s">
        <v>47</v>
      </c>
      <c r="D11" s="100" t="s">
        <v>256</v>
      </c>
      <c r="E11" s="100" t="s">
        <v>47</v>
      </c>
      <c r="F11" s="100" t="s">
        <v>5730</v>
      </c>
      <c r="G11" s="100" t="s">
        <v>5732</v>
      </c>
      <c r="H11" s="100" t="n">
        <v>35</v>
      </c>
      <c r="I11" s="100" t="s">
        <v>5733</v>
      </c>
      <c r="J11" s="100" t="s">
        <v>5734</v>
      </c>
      <c r="K11" s="100" t="s">
        <v>5735</v>
      </c>
      <c r="L11" s="100" t="s">
        <v>5736</v>
      </c>
      <c r="M11" s="100" t="s">
        <v>59</v>
      </c>
      <c r="N11" s="100" t="s">
        <v>9833</v>
      </c>
      <c r="O11" s="100" t="s">
        <v>9834</v>
      </c>
      <c r="P11" s="100" t="s">
        <v>9835</v>
      </c>
      <c r="Q11" s="100" t="n">
        <v>2</v>
      </c>
      <c r="R11" s="100" t="s">
        <v>9790</v>
      </c>
      <c r="S11" s="100" t="s">
        <v>9791</v>
      </c>
      <c r="T11" s="100" t="s">
        <v>9790</v>
      </c>
      <c r="U11" s="100" t="n">
        <v>2</v>
      </c>
      <c r="V11" s="100" t="s">
        <v>9791</v>
      </c>
      <c r="W11" s="100" t="s">
        <v>5738</v>
      </c>
      <c r="X11" s="100" t="s">
        <v>9792</v>
      </c>
      <c r="Y11" s="100" t="s">
        <v>5739</v>
      </c>
      <c r="Z11" s="100" t="s">
        <v>9792</v>
      </c>
      <c r="AA11" s="100" t="s">
        <v>5740</v>
      </c>
      <c r="AB11" s="100" t="s">
        <v>59</v>
      </c>
      <c r="AC11" s="100" t="s">
        <v>59</v>
      </c>
      <c r="AD11" s="100" t="s">
        <v>59</v>
      </c>
      <c r="AE11" s="49"/>
      <c r="AF11" s="49"/>
      <c r="AG11" s="49"/>
      <c r="AH11" s="49"/>
      <c r="AI11" s="49"/>
      <c r="AJ11" s="49"/>
    </row>
    <row r="12" customFormat="false" ht="15.75" hidden="false" customHeight="true" outlineLevel="0" collapsed="false">
      <c r="A12" s="100" t="n">
        <v>20</v>
      </c>
      <c r="B12" s="100" t="s">
        <v>9802</v>
      </c>
      <c r="C12" s="100" t="s">
        <v>47</v>
      </c>
      <c r="D12" s="100" t="s">
        <v>825</v>
      </c>
      <c r="E12" s="100" t="s">
        <v>47</v>
      </c>
      <c r="F12" s="100" t="s">
        <v>49</v>
      </c>
      <c r="G12" s="100" t="s">
        <v>5742</v>
      </c>
      <c r="H12" s="100" t="n">
        <v>10</v>
      </c>
      <c r="I12" s="100" t="s">
        <v>9836</v>
      </c>
      <c r="J12" s="100" t="s">
        <v>9837</v>
      </c>
      <c r="K12" s="100" t="s">
        <v>9838</v>
      </c>
      <c r="L12" s="100" t="s">
        <v>9839</v>
      </c>
      <c r="M12" s="100" t="s">
        <v>9840</v>
      </c>
      <c r="N12" s="100" t="s">
        <v>9841</v>
      </c>
      <c r="O12" s="100" t="s">
        <v>9842</v>
      </c>
      <c r="P12" s="100" t="s">
        <v>9843</v>
      </c>
      <c r="Q12" s="100" t="n">
        <v>2</v>
      </c>
      <c r="R12" s="100" t="s">
        <v>9790</v>
      </c>
      <c r="S12" s="100" t="s">
        <v>9791</v>
      </c>
      <c r="T12" s="100" t="n">
        <v>2</v>
      </c>
      <c r="U12" s="100" t="s">
        <v>9790</v>
      </c>
      <c r="V12" s="100" t="s">
        <v>9791</v>
      </c>
      <c r="W12" s="100" t="s">
        <v>9844</v>
      </c>
      <c r="X12" s="100" t="s">
        <v>4634</v>
      </c>
      <c r="Y12" s="100" t="s">
        <v>9845</v>
      </c>
      <c r="Z12" s="100" t="s">
        <v>5295</v>
      </c>
      <c r="AA12" s="100" t="s">
        <v>9846</v>
      </c>
      <c r="AB12" s="100" t="s">
        <v>9847</v>
      </c>
      <c r="AC12" s="100" t="s">
        <v>59</v>
      </c>
      <c r="AD12" s="100" t="s">
        <v>59</v>
      </c>
      <c r="AE12" s="49"/>
      <c r="AF12" s="49"/>
      <c r="AG12" s="49"/>
      <c r="AH12" s="49"/>
      <c r="AI12" s="49"/>
      <c r="AJ12" s="49"/>
    </row>
    <row r="13" customFormat="false" ht="15.75" hidden="false" customHeight="true" outlineLevel="0" collapsed="false">
      <c r="A13" s="100" t="n">
        <v>21</v>
      </c>
      <c r="B13" s="100" t="s">
        <v>9802</v>
      </c>
      <c r="C13" s="100" t="s">
        <v>47</v>
      </c>
      <c r="D13" s="100" t="s">
        <v>71</v>
      </c>
      <c r="E13" s="100" t="s">
        <v>47</v>
      </c>
      <c r="F13" s="100" t="s">
        <v>49</v>
      </c>
      <c r="G13" s="100" t="s">
        <v>104</v>
      </c>
      <c r="H13" s="100" t="n">
        <v>20</v>
      </c>
      <c r="I13" s="100" t="s">
        <v>5754</v>
      </c>
      <c r="J13" s="100" t="s">
        <v>5755</v>
      </c>
      <c r="K13" s="100" t="s">
        <v>5756</v>
      </c>
      <c r="L13" s="100" t="s">
        <v>5757</v>
      </c>
      <c r="M13" s="100" t="s">
        <v>5758</v>
      </c>
      <c r="N13" s="100" t="s">
        <v>9848</v>
      </c>
      <c r="O13" s="100" t="s">
        <v>9849</v>
      </c>
      <c r="P13" s="100" t="s">
        <v>9850</v>
      </c>
      <c r="Q13" s="100" t="s">
        <v>9790</v>
      </c>
      <c r="R13" s="100" t="n">
        <v>2</v>
      </c>
      <c r="S13" s="100" t="s">
        <v>9791</v>
      </c>
      <c r="T13" s="100" t="n">
        <v>2</v>
      </c>
      <c r="U13" s="100" t="s">
        <v>9790</v>
      </c>
      <c r="V13" s="100" t="s">
        <v>9791</v>
      </c>
      <c r="W13" s="100" t="s">
        <v>5760</v>
      </c>
      <c r="X13" s="100" t="s">
        <v>4634</v>
      </c>
      <c r="Y13" s="100" t="s">
        <v>5761</v>
      </c>
      <c r="Z13" s="100" t="s">
        <v>9792</v>
      </c>
      <c r="AA13" s="100" t="s">
        <v>5762</v>
      </c>
      <c r="AB13" s="100" t="s">
        <v>5763</v>
      </c>
      <c r="AC13" s="100" t="s">
        <v>59</v>
      </c>
      <c r="AD13" s="100" t="s">
        <v>59</v>
      </c>
      <c r="AE13" s="49"/>
      <c r="AF13" s="49"/>
      <c r="AG13" s="49"/>
      <c r="AH13" s="49"/>
      <c r="AI13" s="49"/>
      <c r="AJ13" s="49"/>
    </row>
    <row r="14" customFormat="false" ht="15.75" hidden="false" customHeight="true" outlineLevel="0" collapsed="false">
      <c r="A14" s="101" t="n">
        <v>20</v>
      </c>
      <c r="B14" s="101" t="s">
        <v>9802</v>
      </c>
      <c r="C14" s="101" t="s">
        <v>437</v>
      </c>
      <c r="D14" s="102"/>
      <c r="E14" s="101" t="s">
        <v>47</v>
      </c>
      <c r="F14" s="101" t="s">
        <v>159</v>
      </c>
      <c r="G14" s="101" t="s">
        <v>311</v>
      </c>
      <c r="H14" s="101" t="n">
        <v>20</v>
      </c>
      <c r="I14" s="101" t="s">
        <v>3245</v>
      </c>
      <c r="J14" s="101" t="s">
        <v>5765</v>
      </c>
      <c r="K14" s="101" t="s">
        <v>895</v>
      </c>
      <c r="L14" s="100" t="s">
        <v>9851</v>
      </c>
      <c r="M14" s="101" t="s">
        <v>5767</v>
      </c>
      <c r="N14" s="101" t="s">
        <v>9852</v>
      </c>
      <c r="O14" s="101" t="s">
        <v>9853</v>
      </c>
      <c r="P14" s="101" t="s">
        <v>9854</v>
      </c>
      <c r="Q14" s="101" t="s">
        <v>9790</v>
      </c>
      <c r="R14" s="101" t="s">
        <v>9791</v>
      </c>
      <c r="S14" s="101" t="n">
        <v>2</v>
      </c>
      <c r="T14" s="101" t="s">
        <v>9790</v>
      </c>
      <c r="U14" s="101" t="s">
        <v>9791</v>
      </c>
      <c r="V14" s="101" t="n">
        <v>2</v>
      </c>
      <c r="W14" s="101" t="s">
        <v>3183</v>
      </c>
      <c r="X14" s="101" t="s">
        <v>9792</v>
      </c>
      <c r="Y14" s="101" t="s">
        <v>5769</v>
      </c>
      <c r="Z14" s="101" t="s">
        <v>4634</v>
      </c>
      <c r="AA14" s="101" t="s">
        <v>5770</v>
      </c>
      <c r="AB14" s="101" t="s">
        <v>442</v>
      </c>
      <c r="AC14" s="101" t="s">
        <v>98</v>
      </c>
      <c r="AD14" s="101" t="s">
        <v>59</v>
      </c>
      <c r="AE14" s="102"/>
      <c r="AF14" s="102"/>
      <c r="AG14" s="102"/>
      <c r="AH14" s="102"/>
      <c r="AI14" s="102"/>
      <c r="AJ14" s="102"/>
    </row>
    <row r="15" customFormat="false" ht="15.75" hidden="false" customHeight="true" outlineLevel="0" collapsed="false">
      <c r="A15" s="101"/>
      <c r="B15" s="101"/>
      <c r="C15" s="101"/>
      <c r="D15" s="101"/>
      <c r="E15" s="101"/>
      <c r="F15" s="101"/>
      <c r="G15" s="101"/>
      <c r="H15" s="101"/>
      <c r="I15" s="101"/>
      <c r="J15" s="101"/>
      <c r="K15" s="101"/>
      <c r="L15" s="100" t="s">
        <v>9855</v>
      </c>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row>
    <row r="16" customFormat="false" ht="15.75" hidden="false" customHeight="true" outlineLevel="0" collapsed="false">
      <c r="A16" s="101"/>
      <c r="B16" s="101"/>
      <c r="C16" s="101"/>
      <c r="D16" s="101"/>
      <c r="E16" s="101"/>
      <c r="F16" s="101"/>
      <c r="G16" s="101"/>
      <c r="H16" s="101"/>
      <c r="I16" s="101"/>
      <c r="J16" s="101"/>
      <c r="K16" s="101"/>
      <c r="L16" s="100" t="s">
        <v>9856</v>
      </c>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row>
    <row r="17" customFormat="false" ht="15.75" hidden="false" customHeight="true" outlineLevel="0" collapsed="false">
      <c r="A17" s="100" t="n">
        <v>22</v>
      </c>
      <c r="B17" s="100" t="s">
        <v>9786</v>
      </c>
      <c r="C17" s="100" t="s">
        <v>47</v>
      </c>
      <c r="D17" s="100" t="s">
        <v>49</v>
      </c>
      <c r="E17" s="100" t="s">
        <v>47</v>
      </c>
      <c r="F17" s="100" t="s">
        <v>49</v>
      </c>
      <c r="G17" s="100" t="s">
        <v>5772</v>
      </c>
      <c r="H17" s="100" t="n">
        <v>30</v>
      </c>
      <c r="I17" s="100" t="s">
        <v>5773</v>
      </c>
      <c r="J17" s="100" t="s">
        <v>5774</v>
      </c>
      <c r="K17" s="100" t="s">
        <v>5775</v>
      </c>
      <c r="L17" s="100" t="s">
        <v>5776</v>
      </c>
      <c r="M17" s="100" t="s">
        <v>5777</v>
      </c>
      <c r="N17" s="100" t="s">
        <v>9857</v>
      </c>
      <c r="O17" s="100" t="s">
        <v>9858</v>
      </c>
      <c r="P17" s="100" t="s">
        <v>9859</v>
      </c>
      <c r="Q17" s="100" t="s">
        <v>9790</v>
      </c>
      <c r="R17" s="100" t="n">
        <v>2</v>
      </c>
      <c r="S17" s="100" t="s">
        <v>9791</v>
      </c>
      <c r="T17" s="100" t="n">
        <v>2</v>
      </c>
      <c r="U17" s="100" t="s">
        <v>9790</v>
      </c>
      <c r="V17" s="100" t="s">
        <v>9791</v>
      </c>
      <c r="W17" s="100" t="s">
        <v>5779</v>
      </c>
      <c r="X17" s="100" t="s">
        <v>4634</v>
      </c>
      <c r="Y17" s="100" t="s">
        <v>5780</v>
      </c>
      <c r="Z17" s="100" t="s">
        <v>5295</v>
      </c>
      <c r="AA17" s="100" t="s">
        <v>5781</v>
      </c>
      <c r="AB17" s="100" t="s">
        <v>5782</v>
      </c>
      <c r="AC17" s="100" t="s">
        <v>59</v>
      </c>
      <c r="AD17" s="100" t="s">
        <v>59</v>
      </c>
      <c r="AE17" s="49"/>
      <c r="AF17" s="49"/>
      <c r="AG17" s="49"/>
      <c r="AH17" s="49"/>
      <c r="AI17" s="49"/>
      <c r="AJ17" s="49"/>
    </row>
    <row r="18" customFormat="false" ht="15.75" hidden="false" customHeight="true" outlineLevel="0" collapsed="false">
      <c r="A18" s="100" t="n">
        <v>21</v>
      </c>
      <c r="B18" s="100" t="s">
        <v>9802</v>
      </c>
      <c r="C18" s="100" t="s">
        <v>47</v>
      </c>
      <c r="D18" s="100" t="s">
        <v>71</v>
      </c>
      <c r="E18" s="100" t="s">
        <v>47</v>
      </c>
      <c r="F18" s="100" t="s">
        <v>49</v>
      </c>
      <c r="G18" s="100" t="s">
        <v>5784</v>
      </c>
      <c r="H18" s="100" t="n">
        <v>20</v>
      </c>
      <c r="I18" s="100" t="s">
        <v>5785</v>
      </c>
      <c r="J18" s="100" t="s">
        <v>5786</v>
      </c>
      <c r="K18" s="100" t="s">
        <v>5787</v>
      </c>
      <c r="L18" s="100" t="s">
        <v>5788</v>
      </c>
      <c r="M18" s="100" t="s">
        <v>5789</v>
      </c>
      <c r="N18" s="100" t="s">
        <v>9860</v>
      </c>
      <c r="O18" s="100" t="s">
        <v>9861</v>
      </c>
      <c r="P18" s="100" t="s">
        <v>9862</v>
      </c>
      <c r="Q18" s="100" t="n">
        <v>2</v>
      </c>
      <c r="R18" s="100" t="s">
        <v>9790</v>
      </c>
      <c r="S18" s="100" t="s">
        <v>9791</v>
      </c>
      <c r="T18" s="100" t="s">
        <v>9790</v>
      </c>
      <c r="U18" s="100" t="s">
        <v>9791</v>
      </c>
      <c r="V18" s="100" t="n">
        <v>2</v>
      </c>
      <c r="W18" s="100" t="s">
        <v>5791</v>
      </c>
      <c r="X18" s="100" t="s">
        <v>5295</v>
      </c>
      <c r="Y18" s="100" t="s">
        <v>5792</v>
      </c>
      <c r="Z18" s="100" t="s">
        <v>4634</v>
      </c>
      <c r="AA18" s="100" t="s">
        <v>9863</v>
      </c>
      <c r="AB18" s="100" t="s">
        <v>5794</v>
      </c>
      <c r="AC18" s="100" t="s">
        <v>98</v>
      </c>
      <c r="AD18" s="100" t="s">
        <v>59</v>
      </c>
      <c r="AE18" s="49"/>
      <c r="AF18" s="49"/>
      <c r="AG18" s="49"/>
      <c r="AH18" s="49"/>
      <c r="AI18" s="49"/>
      <c r="AJ18" s="49"/>
    </row>
    <row r="19" customFormat="false" ht="15.75" hidden="false" customHeight="true" outlineLevel="0" collapsed="false">
      <c r="A19" s="100" t="n">
        <v>21</v>
      </c>
      <c r="B19" s="100" t="s">
        <v>9802</v>
      </c>
      <c r="C19" s="100" t="s">
        <v>47</v>
      </c>
      <c r="D19" s="100" t="s">
        <v>49</v>
      </c>
      <c r="E19" s="100" t="s">
        <v>47</v>
      </c>
      <c r="F19" s="100" t="s">
        <v>49</v>
      </c>
      <c r="G19" s="100" t="s">
        <v>9670</v>
      </c>
      <c r="H19" s="100" t="n">
        <v>30</v>
      </c>
      <c r="I19" s="100" t="s">
        <v>5796</v>
      </c>
      <c r="J19" s="100" t="s">
        <v>9864</v>
      </c>
      <c r="K19" s="100" t="s">
        <v>3898</v>
      </c>
      <c r="L19" s="100" t="s">
        <v>5798</v>
      </c>
      <c r="M19" s="100" t="s">
        <v>5799</v>
      </c>
      <c r="N19" s="100" t="s">
        <v>9865</v>
      </c>
      <c r="O19" s="100" t="s">
        <v>9866</v>
      </c>
      <c r="P19" s="100" t="s">
        <v>9867</v>
      </c>
      <c r="Q19" s="100" t="s">
        <v>9791</v>
      </c>
      <c r="R19" s="100" t="s">
        <v>9790</v>
      </c>
      <c r="S19" s="100" t="n">
        <v>2</v>
      </c>
      <c r="T19" s="100" t="s">
        <v>9791</v>
      </c>
      <c r="U19" s="100" t="s">
        <v>9790</v>
      </c>
      <c r="V19" s="100" t="n">
        <v>2</v>
      </c>
      <c r="W19" s="100" t="s">
        <v>5801</v>
      </c>
      <c r="X19" s="100" t="s">
        <v>9792</v>
      </c>
      <c r="Y19" s="100" t="s">
        <v>9868</v>
      </c>
      <c r="Z19" s="100" t="s">
        <v>9792</v>
      </c>
      <c r="AA19" s="100" t="s">
        <v>9869</v>
      </c>
      <c r="AB19" s="100" t="s">
        <v>9678</v>
      </c>
      <c r="AC19" s="100" t="s">
        <v>59</v>
      </c>
      <c r="AD19" s="100" t="s">
        <v>59</v>
      </c>
      <c r="AE19" s="49"/>
      <c r="AF19" s="49"/>
      <c r="AG19" s="49"/>
      <c r="AH19" s="49"/>
      <c r="AI19" s="49"/>
      <c r="AJ19" s="49"/>
    </row>
    <row r="20" customFormat="false" ht="15.75" hidden="false" customHeight="true" outlineLevel="0" collapsed="false">
      <c r="A20" s="100" t="n">
        <v>23</v>
      </c>
      <c r="B20" s="100" t="s">
        <v>9802</v>
      </c>
      <c r="C20" s="100" t="s">
        <v>47</v>
      </c>
      <c r="D20" s="100" t="s">
        <v>49</v>
      </c>
      <c r="E20" s="100" t="s">
        <v>47</v>
      </c>
      <c r="F20" s="100" t="s">
        <v>49</v>
      </c>
      <c r="G20" s="100" t="s">
        <v>9870</v>
      </c>
      <c r="H20" s="100" t="n">
        <v>50</v>
      </c>
      <c r="I20" s="100" t="s">
        <v>5805</v>
      </c>
      <c r="J20" s="100" t="s">
        <v>5806</v>
      </c>
      <c r="K20" s="100" t="s">
        <v>5807</v>
      </c>
      <c r="L20" s="100" t="s">
        <v>5808</v>
      </c>
      <c r="M20" s="100" t="s">
        <v>5809</v>
      </c>
      <c r="N20" s="100" t="s">
        <v>9871</v>
      </c>
      <c r="O20" s="100" t="s">
        <v>9872</v>
      </c>
      <c r="P20" s="100" t="s">
        <v>9873</v>
      </c>
      <c r="Q20" s="100" t="s">
        <v>9791</v>
      </c>
      <c r="R20" s="100" t="n">
        <v>2</v>
      </c>
      <c r="S20" s="100" t="s">
        <v>9790</v>
      </c>
      <c r="T20" s="100" t="n">
        <v>2</v>
      </c>
      <c r="U20" s="100" t="s">
        <v>9791</v>
      </c>
      <c r="V20" s="100" t="s">
        <v>9790</v>
      </c>
      <c r="W20" s="100" t="s">
        <v>9874</v>
      </c>
      <c r="X20" s="100" t="s">
        <v>9792</v>
      </c>
      <c r="Y20" s="100" t="s">
        <v>5812</v>
      </c>
      <c r="Z20" s="100" t="s">
        <v>5295</v>
      </c>
      <c r="AA20" s="100" t="s">
        <v>5813</v>
      </c>
      <c r="AB20" s="100" t="s">
        <v>5814</v>
      </c>
      <c r="AC20" s="100" t="s">
        <v>59</v>
      </c>
      <c r="AD20" s="100" t="s">
        <v>59</v>
      </c>
      <c r="AE20" s="49"/>
      <c r="AF20" s="49"/>
      <c r="AG20" s="49"/>
      <c r="AH20" s="49"/>
      <c r="AI20" s="49"/>
      <c r="AJ20" s="49"/>
    </row>
    <row r="21" customFormat="false" ht="15.75" hidden="false" customHeight="true" outlineLevel="0" collapsed="false">
      <c r="A21" s="100" t="n">
        <v>19</v>
      </c>
      <c r="B21" s="100" t="s">
        <v>9786</v>
      </c>
      <c r="C21" s="100" t="s">
        <v>47</v>
      </c>
      <c r="D21" s="100" t="s">
        <v>159</v>
      </c>
      <c r="E21" s="100" t="s">
        <v>47</v>
      </c>
      <c r="F21" s="100" t="s">
        <v>159</v>
      </c>
      <c r="G21" s="100" t="s">
        <v>5816</v>
      </c>
      <c r="H21" s="100" t="n">
        <v>20</v>
      </c>
      <c r="I21" s="100" t="s">
        <v>5817</v>
      </c>
      <c r="J21" s="100" t="s">
        <v>5818</v>
      </c>
      <c r="K21" s="100" t="s">
        <v>5819</v>
      </c>
      <c r="L21" s="100" t="s">
        <v>5820</v>
      </c>
      <c r="M21" s="100" t="s">
        <v>5821</v>
      </c>
      <c r="N21" s="100" t="s">
        <v>9875</v>
      </c>
      <c r="O21" s="100" t="s">
        <v>9876</v>
      </c>
      <c r="P21" s="100" t="s">
        <v>9877</v>
      </c>
      <c r="Q21" s="100" t="s">
        <v>9791</v>
      </c>
      <c r="R21" s="100" t="n">
        <v>2</v>
      </c>
      <c r="S21" s="100" t="s">
        <v>9790</v>
      </c>
      <c r="T21" s="100" t="s">
        <v>9791</v>
      </c>
      <c r="U21" s="100" t="s">
        <v>9790</v>
      </c>
      <c r="V21" s="100" t="n">
        <v>2</v>
      </c>
      <c r="W21" s="100" t="s">
        <v>5823</v>
      </c>
      <c r="X21" s="100" t="s">
        <v>9792</v>
      </c>
      <c r="Y21" s="100" t="s">
        <v>5824</v>
      </c>
      <c r="Z21" s="100" t="s">
        <v>9792</v>
      </c>
      <c r="AA21" s="100" t="s">
        <v>5825</v>
      </c>
      <c r="AB21" s="100" t="s">
        <v>5826</v>
      </c>
      <c r="AC21" s="100" t="s">
        <v>59</v>
      </c>
      <c r="AD21" s="100" t="s">
        <v>59</v>
      </c>
      <c r="AE21" s="49"/>
      <c r="AF21" s="49"/>
      <c r="AG21" s="49"/>
      <c r="AH21" s="49"/>
      <c r="AI21" s="49"/>
      <c r="AJ21" s="49"/>
    </row>
    <row r="22" customFormat="false" ht="15.75" hidden="false" customHeight="true" outlineLevel="0" collapsed="false">
      <c r="A22" s="100" t="n">
        <v>18</v>
      </c>
      <c r="B22" s="100" t="s">
        <v>9786</v>
      </c>
      <c r="C22" s="100" t="s">
        <v>47</v>
      </c>
      <c r="D22" s="100" t="s">
        <v>171</v>
      </c>
      <c r="E22" s="100" t="s">
        <v>47</v>
      </c>
      <c r="F22" s="100" t="s">
        <v>171</v>
      </c>
      <c r="G22" s="100" t="s">
        <v>5828</v>
      </c>
      <c r="H22" s="100" t="n">
        <v>15</v>
      </c>
      <c r="I22" s="100" t="s">
        <v>5829</v>
      </c>
      <c r="J22" s="100" t="s">
        <v>5829</v>
      </c>
      <c r="K22" s="100" t="s">
        <v>5830</v>
      </c>
      <c r="L22" s="100" t="s">
        <v>5831</v>
      </c>
      <c r="M22" s="100" t="s">
        <v>895</v>
      </c>
      <c r="N22" s="100" t="s">
        <v>9878</v>
      </c>
      <c r="O22" s="100" t="s">
        <v>9879</v>
      </c>
      <c r="P22" s="100" t="s">
        <v>9880</v>
      </c>
      <c r="Q22" s="100" t="s">
        <v>9791</v>
      </c>
      <c r="R22" s="100" t="s">
        <v>9790</v>
      </c>
      <c r="S22" s="100" t="n">
        <v>2</v>
      </c>
      <c r="T22" s="100" t="s">
        <v>9790</v>
      </c>
      <c r="U22" s="100" t="s">
        <v>9791</v>
      </c>
      <c r="V22" s="100" t="n">
        <v>2</v>
      </c>
      <c r="W22" s="100" t="s">
        <v>5833</v>
      </c>
      <c r="X22" s="100" t="s">
        <v>5295</v>
      </c>
      <c r="Y22" s="100" t="s">
        <v>5833</v>
      </c>
      <c r="Z22" s="100" t="s">
        <v>9792</v>
      </c>
      <c r="AA22" s="100" t="s">
        <v>5834</v>
      </c>
      <c r="AB22" s="100" t="s">
        <v>9881</v>
      </c>
      <c r="AC22" s="100" t="s">
        <v>59</v>
      </c>
      <c r="AD22" s="100" t="s">
        <v>59</v>
      </c>
      <c r="AE22" s="49"/>
      <c r="AF22" s="49"/>
      <c r="AG22" s="49"/>
      <c r="AH22" s="49"/>
      <c r="AI22" s="49"/>
      <c r="AJ22" s="49"/>
    </row>
    <row r="23" customFormat="false" ht="15.75" hidden="false" customHeight="true" outlineLevel="0" collapsed="false">
      <c r="A23" s="100" t="n">
        <v>20</v>
      </c>
      <c r="B23" s="100" t="s">
        <v>9786</v>
      </c>
      <c r="C23" s="100" t="s">
        <v>437</v>
      </c>
      <c r="D23" s="49"/>
      <c r="E23" s="100" t="s">
        <v>47</v>
      </c>
      <c r="F23" s="100" t="s">
        <v>71</v>
      </c>
      <c r="G23" s="100" t="s">
        <v>5836</v>
      </c>
      <c r="H23" s="100" t="n">
        <v>35</v>
      </c>
      <c r="I23" s="100" t="s">
        <v>5837</v>
      </c>
      <c r="J23" s="100" t="s">
        <v>5838</v>
      </c>
      <c r="K23" s="100" t="s">
        <v>5839</v>
      </c>
      <c r="L23" s="100" t="s">
        <v>5840</v>
      </c>
      <c r="M23" s="100" t="s">
        <v>5841</v>
      </c>
      <c r="N23" s="100" t="s">
        <v>9882</v>
      </c>
      <c r="O23" s="100" t="s">
        <v>9883</v>
      </c>
      <c r="P23" s="100" t="s">
        <v>9884</v>
      </c>
      <c r="Q23" s="100" t="s">
        <v>9790</v>
      </c>
      <c r="R23" s="100" t="s">
        <v>9791</v>
      </c>
      <c r="S23" s="100" t="n">
        <v>2</v>
      </c>
      <c r="T23" s="100" t="s">
        <v>9790</v>
      </c>
      <c r="U23" s="100" t="s">
        <v>9791</v>
      </c>
      <c r="V23" s="100" t="n">
        <v>2</v>
      </c>
      <c r="W23" s="100" t="s">
        <v>5843</v>
      </c>
      <c r="X23" s="100" t="s">
        <v>9792</v>
      </c>
      <c r="Y23" s="100" t="s">
        <v>5844</v>
      </c>
      <c r="Z23" s="100" t="s">
        <v>9792</v>
      </c>
      <c r="AA23" s="100" t="s">
        <v>5845</v>
      </c>
      <c r="AB23" s="100" t="s">
        <v>98</v>
      </c>
      <c r="AC23" s="100" t="s">
        <v>59</v>
      </c>
      <c r="AD23" s="100" t="s">
        <v>59</v>
      </c>
      <c r="AE23" s="49"/>
      <c r="AF23" s="49"/>
      <c r="AG23" s="49"/>
      <c r="AH23" s="49"/>
      <c r="AI23" s="49"/>
      <c r="AJ23" s="49"/>
    </row>
    <row r="24" customFormat="false" ht="15.75" hidden="false" customHeight="true" outlineLevel="0" collapsed="false">
      <c r="A24" s="100" t="n">
        <v>21</v>
      </c>
      <c r="B24" s="100" t="s">
        <v>9786</v>
      </c>
      <c r="C24" s="100" t="s">
        <v>47</v>
      </c>
      <c r="D24" s="100" t="s">
        <v>71</v>
      </c>
      <c r="E24" s="100" t="s">
        <v>47</v>
      </c>
      <c r="F24" s="100" t="s">
        <v>49</v>
      </c>
      <c r="G24" s="100" t="s">
        <v>5847</v>
      </c>
      <c r="H24" s="100" t="n">
        <v>35</v>
      </c>
      <c r="I24" s="100" t="s">
        <v>5848</v>
      </c>
      <c r="J24" s="100" t="s">
        <v>9885</v>
      </c>
      <c r="K24" s="100" t="s">
        <v>5850</v>
      </c>
      <c r="L24" s="100" t="s">
        <v>5851</v>
      </c>
      <c r="M24" s="100" t="s">
        <v>9886</v>
      </c>
      <c r="N24" s="100" t="s">
        <v>9887</v>
      </c>
      <c r="O24" s="100" t="s">
        <v>9888</v>
      </c>
      <c r="P24" s="100" t="s">
        <v>9889</v>
      </c>
      <c r="Q24" s="100" t="n">
        <v>2</v>
      </c>
      <c r="R24" s="100" t="s">
        <v>9790</v>
      </c>
      <c r="S24" s="100" t="s">
        <v>9791</v>
      </c>
      <c r="T24" s="100" t="s">
        <v>9791</v>
      </c>
      <c r="U24" s="100" t="n">
        <v>2</v>
      </c>
      <c r="V24" s="100" t="s">
        <v>9790</v>
      </c>
      <c r="W24" s="100" t="s">
        <v>9890</v>
      </c>
      <c r="X24" s="100" t="s">
        <v>9792</v>
      </c>
      <c r="Y24" s="100" t="s">
        <v>5855</v>
      </c>
      <c r="Z24" s="100" t="s">
        <v>9792</v>
      </c>
      <c r="AA24" s="100" t="s">
        <v>5856</v>
      </c>
      <c r="AB24" s="100" t="s">
        <v>9891</v>
      </c>
      <c r="AC24" s="100" t="s">
        <v>98</v>
      </c>
      <c r="AD24" s="100" t="s">
        <v>59</v>
      </c>
      <c r="AE24" s="49"/>
      <c r="AF24" s="49"/>
      <c r="AG24" s="49"/>
      <c r="AH24" s="49"/>
      <c r="AI24" s="49"/>
      <c r="AJ24" s="49"/>
    </row>
    <row r="25" customFormat="false" ht="15.75" hidden="false" customHeight="true" outlineLevel="0" collapsed="false">
      <c r="A25" s="100" t="n">
        <v>60</v>
      </c>
      <c r="B25" s="100" t="s">
        <v>9786</v>
      </c>
      <c r="C25" s="100" t="s">
        <v>437</v>
      </c>
      <c r="D25" s="49"/>
      <c r="E25" s="100" t="s">
        <v>47</v>
      </c>
      <c r="F25" s="100" t="s">
        <v>46</v>
      </c>
      <c r="G25" s="100" t="s">
        <v>9892</v>
      </c>
      <c r="H25" s="100" t="n">
        <v>18</v>
      </c>
      <c r="I25" s="100" t="s">
        <v>5860</v>
      </c>
      <c r="J25" s="100" t="s">
        <v>5861</v>
      </c>
      <c r="K25" s="100" t="s">
        <v>5862</v>
      </c>
      <c r="L25" s="100" t="s">
        <v>5863</v>
      </c>
      <c r="M25" s="100" t="s">
        <v>5864</v>
      </c>
      <c r="N25" s="100" t="s">
        <v>9893</v>
      </c>
      <c r="O25" s="100" t="s">
        <v>9894</v>
      </c>
      <c r="P25" s="100" t="s">
        <v>9895</v>
      </c>
      <c r="Q25" s="100" t="s">
        <v>9791</v>
      </c>
      <c r="R25" s="100" t="s">
        <v>9790</v>
      </c>
      <c r="S25" s="100" t="n">
        <v>2</v>
      </c>
      <c r="T25" s="100" t="s">
        <v>9791</v>
      </c>
      <c r="U25" s="100" t="s">
        <v>9790</v>
      </c>
      <c r="V25" s="100" t="n">
        <v>2</v>
      </c>
      <c r="W25" s="100" t="s">
        <v>5866</v>
      </c>
      <c r="X25" s="100" t="s">
        <v>5295</v>
      </c>
      <c r="Y25" s="100" t="s">
        <v>5867</v>
      </c>
      <c r="Z25" s="100" t="s">
        <v>4634</v>
      </c>
      <c r="AA25" s="100" t="s">
        <v>5868</v>
      </c>
      <c r="AB25" s="100" t="s">
        <v>571</v>
      </c>
      <c r="AC25" s="100" t="s">
        <v>98</v>
      </c>
      <c r="AD25" s="100" t="s">
        <v>98</v>
      </c>
      <c r="AE25" s="49"/>
      <c r="AF25" s="49"/>
      <c r="AG25" s="49"/>
      <c r="AH25" s="49"/>
      <c r="AI25" s="49"/>
      <c r="AJ25" s="49"/>
    </row>
    <row r="26" customFormat="false" ht="15.75" hidden="false" customHeight="true" outlineLevel="0" collapsed="false">
      <c r="A26" s="100" t="n">
        <v>23</v>
      </c>
      <c r="B26" s="100" t="s">
        <v>9786</v>
      </c>
      <c r="C26" s="100" t="s">
        <v>47</v>
      </c>
      <c r="D26" s="100" t="s">
        <v>1363</v>
      </c>
      <c r="E26" s="100" t="s">
        <v>47</v>
      </c>
      <c r="F26" s="100" t="s">
        <v>49</v>
      </c>
      <c r="G26" s="100" t="s">
        <v>5870</v>
      </c>
      <c r="H26" s="100" t="n">
        <v>30</v>
      </c>
      <c r="I26" s="100" t="s">
        <v>5871</v>
      </c>
      <c r="J26" s="100" t="s">
        <v>5872</v>
      </c>
      <c r="K26" s="100" t="s">
        <v>98</v>
      </c>
      <c r="L26" s="100" t="s">
        <v>5873</v>
      </c>
      <c r="M26" s="100" t="s">
        <v>59</v>
      </c>
      <c r="N26" s="100" t="s">
        <v>9896</v>
      </c>
      <c r="O26" s="100" t="s">
        <v>9897</v>
      </c>
      <c r="P26" s="100" t="s">
        <v>9898</v>
      </c>
      <c r="Q26" s="100" t="s">
        <v>9791</v>
      </c>
      <c r="R26" s="100" t="n">
        <v>2</v>
      </c>
      <c r="S26" s="100" t="s">
        <v>9790</v>
      </c>
      <c r="T26" s="100" t="s">
        <v>9791</v>
      </c>
      <c r="U26" s="100" t="s">
        <v>9790</v>
      </c>
      <c r="V26" s="100" t="n">
        <v>2</v>
      </c>
      <c r="W26" s="100" t="s">
        <v>5875</v>
      </c>
      <c r="X26" s="100" t="s">
        <v>9792</v>
      </c>
      <c r="Y26" s="100" t="s">
        <v>5876</v>
      </c>
      <c r="Z26" s="100" t="s">
        <v>4634</v>
      </c>
      <c r="AA26" s="100" t="s">
        <v>5877</v>
      </c>
      <c r="AB26" s="100" t="s">
        <v>5878</v>
      </c>
      <c r="AC26" s="100" t="s">
        <v>59</v>
      </c>
      <c r="AD26" s="100" t="s">
        <v>59</v>
      </c>
      <c r="AE26" s="49"/>
      <c r="AF26" s="49"/>
      <c r="AG26" s="49"/>
      <c r="AH26" s="49"/>
      <c r="AI26" s="49"/>
      <c r="AJ26" s="49"/>
    </row>
    <row r="27" customFormat="false" ht="15.75" hidden="false" customHeight="true" outlineLevel="0" collapsed="false">
      <c r="A27" s="100" t="n">
        <v>55</v>
      </c>
      <c r="B27" s="100" t="s">
        <v>9786</v>
      </c>
      <c r="C27" s="100" t="s">
        <v>47</v>
      </c>
      <c r="D27" s="100" t="s">
        <v>159</v>
      </c>
      <c r="E27" s="100" t="s">
        <v>47</v>
      </c>
      <c r="F27" s="100" t="s">
        <v>49</v>
      </c>
      <c r="G27" s="100" t="s">
        <v>5880</v>
      </c>
      <c r="H27" s="100" t="n">
        <v>22</v>
      </c>
      <c r="I27" s="100" t="s">
        <v>2062</v>
      </c>
      <c r="J27" s="100" t="s">
        <v>9899</v>
      </c>
      <c r="K27" s="100" t="s">
        <v>9900</v>
      </c>
      <c r="L27" s="100" t="s">
        <v>5883</v>
      </c>
      <c r="M27" s="100" t="s">
        <v>5884</v>
      </c>
      <c r="N27" s="100" t="s">
        <v>9901</v>
      </c>
      <c r="O27" s="100" t="s">
        <v>9902</v>
      </c>
      <c r="P27" s="100" t="s">
        <v>9903</v>
      </c>
      <c r="Q27" s="100" t="s">
        <v>9791</v>
      </c>
      <c r="R27" s="100" t="s">
        <v>9790</v>
      </c>
      <c r="S27" s="100" t="n">
        <v>2</v>
      </c>
      <c r="T27" s="100" t="s">
        <v>9791</v>
      </c>
      <c r="U27" s="100" t="s">
        <v>9790</v>
      </c>
      <c r="V27" s="100" t="n">
        <v>2</v>
      </c>
      <c r="W27" s="100" t="s">
        <v>5886</v>
      </c>
      <c r="X27" s="100" t="s">
        <v>5295</v>
      </c>
      <c r="Y27" s="100" t="s">
        <v>5887</v>
      </c>
      <c r="Z27" s="100" t="s">
        <v>5295</v>
      </c>
      <c r="AA27" s="100" t="s">
        <v>5888</v>
      </c>
      <c r="AB27" s="100" t="s">
        <v>5889</v>
      </c>
      <c r="AC27" s="100" t="s">
        <v>59</v>
      </c>
      <c r="AD27" s="100" t="s">
        <v>59</v>
      </c>
      <c r="AE27" s="49"/>
      <c r="AF27" s="49"/>
      <c r="AG27" s="49"/>
      <c r="AH27" s="49"/>
      <c r="AI27" s="49"/>
      <c r="AJ27" s="49"/>
    </row>
    <row r="28" customFormat="false" ht="15.75" hidden="false" customHeight="true" outlineLevel="0" collapsed="false">
      <c r="A28" s="100" t="n">
        <v>21</v>
      </c>
      <c r="B28" s="100" t="s">
        <v>9802</v>
      </c>
      <c r="C28" s="100" t="s">
        <v>47</v>
      </c>
      <c r="D28" s="100" t="s">
        <v>289</v>
      </c>
      <c r="E28" s="100" t="s">
        <v>47</v>
      </c>
      <c r="F28" s="100" t="s">
        <v>49</v>
      </c>
      <c r="G28" s="100" t="s">
        <v>5891</v>
      </c>
      <c r="H28" s="100" t="n">
        <v>66</v>
      </c>
      <c r="I28" s="100" t="s">
        <v>9904</v>
      </c>
      <c r="J28" s="100" t="s">
        <v>5893</v>
      </c>
      <c r="K28" s="100" t="s">
        <v>9905</v>
      </c>
      <c r="L28" s="100" t="s">
        <v>5895</v>
      </c>
      <c r="M28" s="100" t="s">
        <v>5896</v>
      </c>
      <c r="N28" s="100" t="s">
        <v>9906</v>
      </c>
      <c r="O28" s="100" t="s">
        <v>9907</v>
      </c>
      <c r="P28" s="100" t="s">
        <v>9908</v>
      </c>
      <c r="Q28" s="100" t="n">
        <v>2</v>
      </c>
      <c r="R28" s="100" t="s">
        <v>9790</v>
      </c>
      <c r="S28" s="100" t="s">
        <v>9791</v>
      </c>
      <c r="T28" s="100" t="n">
        <v>2</v>
      </c>
      <c r="U28" s="100" t="s">
        <v>9790</v>
      </c>
      <c r="V28" s="100" t="s">
        <v>9791</v>
      </c>
      <c r="W28" s="100" t="s">
        <v>5898</v>
      </c>
      <c r="X28" s="100" t="s">
        <v>5295</v>
      </c>
      <c r="Y28" s="100" t="s">
        <v>5899</v>
      </c>
      <c r="Z28" s="100" t="s">
        <v>4634</v>
      </c>
      <c r="AA28" s="100" t="s">
        <v>5900</v>
      </c>
      <c r="AB28" s="100" t="s">
        <v>5901</v>
      </c>
      <c r="AC28" s="100" t="s">
        <v>98</v>
      </c>
      <c r="AD28" s="100" t="s">
        <v>59</v>
      </c>
      <c r="AE28" s="49"/>
      <c r="AF28" s="49"/>
      <c r="AG28" s="49"/>
      <c r="AH28" s="49"/>
      <c r="AI28" s="49"/>
      <c r="AJ28" s="49"/>
    </row>
    <row r="29" customFormat="false" ht="15.75" hidden="false" customHeight="true" outlineLevel="0" collapsed="false">
      <c r="A29" s="100" t="n">
        <v>19</v>
      </c>
      <c r="B29" s="100" t="s">
        <v>9802</v>
      </c>
      <c r="C29" s="100" t="s">
        <v>47</v>
      </c>
      <c r="D29" s="100" t="s">
        <v>71</v>
      </c>
      <c r="E29" s="100" t="s">
        <v>47</v>
      </c>
      <c r="F29" s="100" t="s">
        <v>49</v>
      </c>
      <c r="G29" s="100" t="s">
        <v>5903</v>
      </c>
      <c r="H29" s="100" t="n">
        <v>68</v>
      </c>
      <c r="I29" s="100" t="s">
        <v>5904</v>
      </c>
      <c r="J29" s="100" t="s">
        <v>5905</v>
      </c>
      <c r="K29" s="100" t="s">
        <v>5906</v>
      </c>
      <c r="L29" s="100" t="s">
        <v>5907</v>
      </c>
      <c r="M29" s="100" t="s">
        <v>5908</v>
      </c>
      <c r="N29" s="100" t="s">
        <v>9909</v>
      </c>
      <c r="O29" s="100" t="s">
        <v>9910</v>
      </c>
      <c r="P29" s="100" t="s">
        <v>9911</v>
      </c>
      <c r="Q29" s="100" t="n">
        <v>2</v>
      </c>
      <c r="R29" s="100" t="s">
        <v>9790</v>
      </c>
      <c r="S29" s="100" t="s">
        <v>9791</v>
      </c>
      <c r="T29" s="100" t="s">
        <v>9790</v>
      </c>
      <c r="U29" s="100" t="n">
        <v>2</v>
      </c>
      <c r="V29" s="100" t="s">
        <v>9791</v>
      </c>
      <c r="W29" s="100" t="s">
        <v>9912</v>
      </c>
      <c r="X29" s="100" t="s">
        <v>4634</v>
      </c>
      <c r="Y29" s="100" t="s">
        <v>5911</v>
      </c>
      <c r="Z29" s="100" t="s">
        <v>9792</v>
      </c>
      <c r="AA29" s="100" t="s">
        <v>5912</v>
      </c>
      <c r="AB29" s="100" t="s">
        <v>5913</v>
      </c>
      <c r="AC29" s="100" t="s">
        <v>59</v>
      </c>
      <c r="AD29" s="100" t="s">
        <v>59</v>
      </c>
      <c r="AE29" s="49"/>
      <c r="AF29" s="49"/>
      <c r="AG29" s="49"/>
      <c r="AH29" s="49"/>
      <c r="AI29" s="49"/>
      <c r="AJ29" s="49"/>
    </row>
    <row r="30" customFormat="false" ht="15.75" hidden="false" customHeight="true" outlineLevel="0" collapsed="false">
      <c r="A30" s="100" t="n">
        <v>19</v>
      </c>
      <c r="B30" s="100" t="s">
        <v>9786</v>
      </c>
      <c r="C30" s="100" t="s">
        <v>47</v>
      </c>
      <c r="D30" s="100" t="s">
        <v>71</v>
      </c>
      <c r="E30" s="100" t="s">
        <v>47</v>
      </c>
      <c r="F30" s="100" t="s">
        <v>49</v>
      </c>
      <c r="G30" s="100" t="s">
        <v>104</v>
      </c>
      <c r="H30" s="100" t="n">
        <v>30</v>
      </c>
      <c r="I30" s="100" t="s">
        <v>5915</v>
      </c>
      <c r="J30" s="100" t="s">
        <v>5916</v>
      </c>
      <c r="K30" s="100" t="s">
        <v>98</v>
      </c>
      <c r="L30" s="100" t="s">
        <v>5917</v>
      </c>
      <c r="M30" s="100" t="s">
        <v>5918</v>
      </c>
      <c r="N30" s="100" t="s">
        <v>9913</v>
      </c>
      <c r="O30" s="100" t="s">
        <v>9914</v>
      </c>
      <c r="P30" s="100" t="s">
        <v>9915</v>
      </c>
      <c r="Q30" s="100" t="s">
        <v>9790</v>
      </c>
      <c r="R30" s="100" t="n">
        <v>2</v>
      </c>
      <c r="S30" s="100" t="s">
        <v>9791</v>
      </c>
      <c r="T30" s="100" t="s">
        <v>9790</v>
      </c>
      <c r="U30" s="100" t="n">
        <v>2</v>
      </c>
      <c r="V30" s="100" t="s">
        <v>9791</v>
      </c>
      <c r="W30" s="100" t="s">
        <v>5920</v>
      </c>
      <c r="X30" s="100" t="s">
        <v>5295</v>
      </c>
      <c r="Y30" s="100" t="s">
        <v>5921</v>
      </c>
      <c r="Z30" s="100" t="s">
        <v>4634</v>
      </c>
      <c r="AA30" s="100" t="s">
        <v>1859</v>
      </c>
      <c r="AB30" s="100" t="s">
        <v>59</v>
      </c>
      <c r="AC30" s="100" t="s">
        <v>98</v>
      </c>
      <c r="AD30" s="100" t="s">
        <v>59</v>
      </c>
      <c r="AE30" s="49"/>
      <c r="AF30" s="49"/>
      <c r="AG30" s="49"/>
      <c r="AH30" s="49"/>
      <c r="AI30" s="49"/>
      <c r="AJ30" s="49"/>
    </row>
    <row r="31" customFormat="false" ht="15.75" hidden="false" customHeight="true" outlineLevel="0" collapsed="false">
      <c r="A31" s="100" t="n">
        <v>19</v>
      </c>
      <c r="B31" s="100" t="s">
        <v>9786</v>
      </c>
      <c r="C31" s="100" t="s">
        <v>47</v>
      </c>
      <c r="D31" s="100" t="s">
        <v>2521</v>
      </c>
      <c r="E31" s="100" t="s">
        <v>47</v>
      </c>
      <c r="F31" s="100" t="s">
        <v>49</v>
      </c>
      <c r="G31" s="100" t="s">
        <v>5923</v>
      </c>
      <c r="H31" s="100" t="n">
        <v>20</v>
      </c>
      <c r="I31" s="100" t="s">
        <v>9916</v>
      </c>
      <c r="J31" s="100" t="s">
        <v>5925</v>
      </c>
      <c r="K31" s="100" t="s">
        <v>885</v>
      </c>
      <c r="L31" s="100" t="s">
        <v>5926</v>
      </c>
      <c r="M31" s="100" t="s">
        <v>5927</v>
      </c>
      <c r="N31" s="100" t="s">
        <v>9917</v>
      </c>
      <c r="O31" s="100" t="s">
        <v>9918</v>
      </c>
      <c r="P31" s="100" t="s">
        <v>9919</v>
      </c>
      <c r="Q31" s="100" t="s">
        <v>9791</v>
      </c>
      <c r="R31" s="100" t="n">
        <v>2</v>
      </c>
      <c r="S31" s="100" t="s">
        <v>9790</v>
      </c>
      <c r="T31" s="100" t="s">
        <v>9791</v>
      </c>
      <c r="U31" s="100" t="s">
        <v>9790</v>
      </c>
      <c r="V31" s="100" t="n">
        <v>2</v>
      </c>
      <c r="W31" s="100" t="s">
        <v>5929</v>
      </c>
      <c r="X31" s="100" t="s">
        <v>9792</v>
      </c>
      <c r="Y31" s="100" t="s">
        <v>5930</v>
      </c>
      <c r="Z31" s="100" t="s">
        <v>9792</v>
      </c>
      <c r="AA31" s="100" t="s">
        <v>5931</v>
      </c>
      <c r="AB31" s="100" t="s">
        <v>5932</v>
      </c>
      <c r="AC31" s="100" t="s">
        <v>59</v>
      </c>
      <c r="AD31" s="100" t="s">
        <v>59</v>
      </c>
      <c r="AE31" s="49"/>
      <c r="AF31" s="49"/>
      <c r="AG31" s="49"/>
      <c r="AH31" s="49"/>
      <c r="AI31" s="49"/>
      <c r="AJ31" s="49"/>
    </row>
    <row r="32" customFormat="false" ht="15.75" hidden="false" customHeight="true" outlineLevel="0" collapsed="false">
      <c r="A32" s="100" t="n">
        <v>18</v>
      </c>
      <c r="B32" s="100" t="s">
        <v>9786</v>
      </c>
      <c r="C32" s="100" t="s">
        <v>5934</v>
      </c>
      <c r="D32" s="49"/>
      <c r="E32" s="100" t="s">
        <v>47</v>
      </c>
      <c r="F32" s="100" t="s">
        <v>825</v>
      </c>
      <c r="G32" s="100" t="s">
        <v>5935</v>
      </c>
      <c r="H32" s="100" t="n">
        <v>10</v>
      </c>
      <c r="I32" s="100" t="s">
        <v>9920</v>
      </c>
      <c r="J32" s="100" t="s">
        <v>9921</v>
      </c>
      <c r="K32" s="100" t="s">
        <v>5938</v>
      </c>
      <c r="L32" s="100" t="s">
        <v>5939</v>
      </c>
      <c r="M32" s="100" t="s">
        <v>5940</v>
      </c>
      <c r="N32" s="100" t="s">
        <v>9922</v>
      </c>
      <c r="O32" s="100" t="s">
        <v>9923</v>
      </c>
      <c r="P32" s="100" t="s">
        <v>9924</v>
      </c>
      <c r="Q32" s="100" t="s">
        <v>9790</v>
      </c>
      <c r="R32" s="100" t="n">
        <v>2</v>
      </c>
      <c r="S32" s="100" t="s">
        <v>9791</v>
      </c>
      <c r="T32" s="100" t="s">
        <v>9790</v>
      </c>
      <c r="U32" s="100" t="n">
        <v>2</v>
      </c>
      <c r="V32" s="100" t="s">
        <v>9791</v>
      </c>
      <c r="W32" s="100" t="s">
        <v>5942</v>
      </c>
      <c r="X32" s="100" t="s">
        <v>5295</v>
      </c>
      <c r="Y32" s="100" t="s">
        <v>9925</v>
      </c>
      <c r="Z32" s="100" t="s">
        <v>9792</v>
      </c>
      <c r="AA32" s="100" t="s">
        <v>5944</v>
      </c>
      <c r="AB32" s="100" t="s">
        <v>5945</v>
      </c>
      <c r="AC32" s="100" t="s">
        <v>59</v>
      </c>
      <c r="AD32" s="100" t="s">
        <v>59</v>
      </c>
      <c r="AE32" s="49"/>
      <c r="AF32" s="49"/>
      <c r="AG32" s="49"/>
      <c r="AH32" s="49"/>
      <c r="AI32" s="49"/>
      <c r="AJ32" s="49"/>
    </row>
    <row r="33" customFormat="false" ht="15.75" hidden="false" customHeight="true" outlineLevel="0" collapsed="false">
      <c r="A33" s="100" t="n">
        <v>20</v>
      </c>
      <c r="B33" s="100" t="s">
        <v>9802</v>
      </c>
      <c r="C33" s="100" t="s">
        <v>47</v>
      </c>
      <c r="D33" s="100" t="s">
        <v>321</v>
      </c>
      <c r="E33" s="100" t="s">
        <v>47</v>
      </c>
      <c r="F33" s="100" t="s">
        <v>49</v>
      </c>
      <c r="G33" s="100" t="s">
        <v>1055</v>
      </c>
      <c r="H33" s="100" t="n">
        <v>15</v>
      </c>
      <c r="I33" s="100" t="s">
        <v>9926</v>
      </c>
      <c r="J33" s="100" t="s">
        <v>5948</v>
      </c>
      <c r="K33" s="100" t="s">
        <v>5949</v>
      </c>
      <c r="L33" s="100" t="s">
        <v>9927</v>
      </c>
      <c r="M33" s="100" t="s">
        <v>5951</v>
      </c>
      <c r="N33" s="100" t="s">
        <v>9928</v>
      </c>
      <c r="O33" s="100" t="s">
        <v>9929</v>
      </c>
      <c r="P33" s="100" t="s">
        <v>9930</v>
      </c>
      <c r="Q33" s="100" t="s">
        <v>9790</v>
      </c>
      <c r="R33" s="100" t="n">
        <v>2</v>
      </c>
      <c r="S33" s="100" t="s">
        <v>9791</v>
      </c>
      <c r="T33" s="100" t="s">
        <v>9790</v>
      </c>
      <c r="U33" s="100" t="n">
        <v>2</v>
      </c>
      <c r="V33" s="100" t="s">
        <v>9791</v>
      </c>
      <c r="W33" s="100" t="s">
        <v>5953</v>
      </c>
      <c r="X33" s="100" t="s">
        <v>4634</v>
      </c>
      <c r="Y33" s="100" t="s">
        <v>5954</v>
      </c>
      <c r="Z33" s="100" t="s">
        <v>9792</v>
      </c>
      <c r="AA33" s="100" t="s">
        <v>5955</v>
      </c>
      <c r="AB33" s="100" t="s">
        <v>5956</v>
      </c>
      <c r="AC33" s="100" t="s">
        <v>59</v>
      </c>
      <c r="AD33" s="100" t="s">
        <v>59</v>
      </c>
      <c r="AE33" s="49"/>
      <c r="AF33" s="49"/>
      <c r="AG33" s="49"/>
      <c r="AH33" s="49"/>
      <c r="AI33" s="49"/>
      <c r="AJ33" s="49"/>
    </row>
    <row r="34" customFormat="false" ht="15.75" hidden="false" customHeight="true" outlineLevel="0" collapsed="false">
      <c r="A34" s="100" t="n">
        <v>20</v>
      </c>
      <c r="B34" s="100" t="s">
        <v>9786</v>
      </c>
      <c r="C34" s="100" t="s">
        <v>437</v>
      </c>
      <c r="D34" s="49"/>
      <c r="E34" s="100" t="s">
        <v>47</v>
      </c>
      <c r="F34" s="100" t="s">
        <v>46</v>
      </c>
      <c r="G34" s="100" t="s">
        <v>104</v>
      </c>
      <c r="H34" s="100" t="n">
        <v>25</v>
      </c>
      <c r="I34" s="100" t="s">
        <v>9931</v>
      </c>
      <c r="J34" s="100" t="s">
        <v>1366</v>
      </c>
      <c r="K34" s="100" t="s">
        <v>5959</v>
      </c>
      <c r="L34" s="100" t="s">
        <v>5960</v>
      </c>
      <c r="M34" s="100" t="s">
        <v>5961</v>
      </c>
      <c r="N34" s="100" t="s">
        <v>9932</v>
      </c>
      <c r="O34" s="100" t="s">
        <v>9933</v>
      </c>
      <c r="P34" s="100" t="s">
        <v>9934</v>
      </c>
      <c r="Q34" s="100" t="n">
        <v>2</v>
      </c>
      <c r="R34" s="100" t="s">
        <v>9791</v>
      </c>
      <c r="S34" s="100" t="s">
        <v>9790</v>
      </c>
      <c r="T34" s="100" t="s">
        <v>9791</v>
      </c>
      <c r="U34" s="100" t="n">
        <v>2</v>
      </c>
      <c r="V34" s="100" t="s">
        <v>9790</v>
      </c>
      <c r="W34" s="100" t="s">
        <v>5963</v>
      </c>
      <c r="X34" s="100" t="s">
        <v>9792</v>
      </c>
      <c r="Y34" s="100" t="s">
        <v>5964</v>
      </c>
      <c r="Z34" s="100" t="s">
        <v>5295</v>
      </c>
      <c r="AA34" s="100" t="s">
        <v>5965</v>
      </c>
      <c r="AB34" s="100" t="s">
        <v>5966</v>
      </c>
      <c r="AC34" s="100" t="s">
        <v>59</v>
      </c>
      <c r="AD34" s="100" t="s">
        <v>59</v>
      </c>
      <c r="AE34" s="49"/>
      <c r="AF34" s="49"/>
      <c r="AG34" s="49"/>
      <c r="AH34" s="49"/>
      <c r="AI34" s="49"/>
      <c r="AJ34" s="49"/>
    </row>
    <row r="35" customFormat="false" ht="15.75" hidden="false" customHeight="true" outlineLevel="0" collapsed="false">
      <c r="A35" s="100" t="n">
        <v>21</v>
      </c>
      <c r="B35" s="100" t="s">
        <v>9802</v>
      </c>
      <c r="C35" s="100" t="s">
        <v>47</v>
      </c>
      <c r="D35" s="100" t="s">
        <v>321</v>
      </c>
      <c r="E35" s="100" t="s">
        <v>47</v>
      </c>
      <c r="F35" s="100" t="s">
        <v>49</v>
      </c>
      <c r="G35" s="100" t="s">
        <v>5968</v>
      </c>
      <c r="H35" s="100" t="n">
        <v>40</v>
      </c>
      <c r="I35" s="100" t="s">
        <v>5969</v>
      </c>
      <c r="J35" s="100" t="s">
        <v>5970</v>
      </c>
      <c r="K35" s="100" t="s">
        <v>5971</v>
      </c>
      <c r="L35" s="100" t="s">
        <v>5972</v>
      </c>
      <c r="M35" s="100" t="s">
        <v>5973</v>
      </c>
      <c r="N35" s="100" t="s">
        <v>9935</v>
      </c>
      <c r="O35" s="100" t="s">
        <v>9936</v>
      </c>
      <c r="P35" s="100" t="s">
        <v>9937</v>
      </c>
      <c r="Q35" s="100" t="s">
        <v>9790</v>
      </c>
      <c r="R35" s="100" t="n">
        <v>2</v>
      </c>
      <c r="S35" s="100" t="s">
        <v>9791</v>
      </c>
      <c r="T35" s="100" t="n">
        <v>2</v>
      </c>
      <c r="U35" s="100" t="s">
        <v>9790</v>
      </c>
      <c r="V35" s="100" t="s">
        <v>9791</v>
      </c>
      <c r="W35" s="100" t="s">
        <v>5975</v>
      </c>
      <c r="X35" s="100" t="s">
        <v>5295</v>
      </c>
      <c r="Y35" s="100" t="s">
        <v>5976</v>
      </c>
      <c r="Z35" s="100" t="s">
        <v>9792</v>
      </c>
      <c r="AA35" s="100" t="s">
        <v>5977</v>
      </c>
      <c r="AB35" s="100" t="s">
        <v>5978</v>
      </c>
      <c r="AC35" s="100" t="s">
        <v>59</v>
      </c>
      <c r="AD35" s="100" t="s">
        <v>59</v>
      </c>
      <c r="AE35" s="49"/>
      <c r="AF35" s="49"/>
      <c r="AG35" s="49"/>
      <c r="AH35" s="49"/>
      <c r="AI35" s="49"/>
      <c r="AJ35" s="49"/>
    </row>
    <row r="36" customFormat="false" ht="15.75" hidden="false" customHeight="true" outlineLevel="0" collapsed="false">
      <c r="A36" s="100" t="n">
        <v>18</v>
      </c>
      <c r="B36" s="100" t="s">
        <v>9802</v>
      </c>
      <c r="C36" s="100" t="s">
        <v>5980</v>
      </c>
      <c r="D36" s="49"/>
      <c r="E36" s="100" t="s">
        <v>47</v>
      </c>
      <c r="F36" s="100" t="s">
        <v>46</v>
      </c>
      <c r="G36" s="100" t="s">
        <v>5981</v>
      </c>
      <c r="H36" s="100" t="n">
        <v>30</v>
      </c>
      <c r="I36" s="100" t="s">
        <v>5982</v>
      </c>
      <c r="J36" s="100" t="s">
        <v>5983</v>
      </c>
      <c r="K36" s="100" t="s">
        <v>5984</v>
      </c>
      <c r="L36" s="100" t="s">
        <v>5985</v>
      </c>
      <c r="M36" s="100" t="s">
        <v>9938</v>
      </c>
      <c r="N36" s="100" t="s">
        <v>9939</v>
      </c>
      <c r="O36" s="100" t="s">
        <v>9940</v>
      </c>
      <c r="P36" s="100" t="s">
        <v>9941</v>
      </c>
      <c r="Q36" s="100" t="n">
        <v>2</v>
      </c>
      <c r="R36" s="100" t="s">
        <v>9790</v>
      </c>
      <c r="S36" s="100" t="s">
        <v>9791</v>
      </c>
      <c r="T36" s="100" t="s">
        <v>9791</v>
      </c>
      <c r="U36" s="100" t="s">
        <v>9790</v>
      </c>
      <c r="V36" s="100" t="n">
        <v>2</v>
      </c>
      <c r="W36" s="100" t="s">
        <v>5988</v>
      </c>
      <c r="X36" s="100" t="s">
        <v>5295</v>
      </c>
      <c r="Y36" s="100" t="s">
        <v>9942</v>
      </c>
      <c r="Z36" s="100" t="s">
        <v>9792</v>
      </c>
      <c r="AA36" s="100" t="s">
        <v>9943</v>
      </c>
      <c r="AB36" s="100" t="s">
        <v>5991</v>
      </c>
      <c r="AC36" s="100" t="s">
        <v>59</v>
      </c>
      <c r="AD36" s="100" t="s">
        <v>59</v>
      </c>
      <c r="AE36" s="49"/>
      <c r="AF36" s="49"/>
      <c r="AG36" s="49"/>
      <c r="AH36" s="49"/>
      <c r="AI36" s="49"/>
      <c r="AJ36" s="49"/>
    </row>
    <row r="37" customFormat="false" ht="15.75" hidden="false" customHeight="true" outlineLevel="0" collapsed="false">
      <c r="A37" s="100" t="n">
        <v>24</v>
      </c>
      <c r="B37" s="100" t="s">
        <v>9802</v>
      </c>
      <c r="C37" s="100" t="s">
        <v>47</v>
      </c>
      <c r="D37" s="100" t="s">
        <v>71</v>
      </c>
      <c r="E37" s="100" t="s">
        <v>47</v>
      </c>
      <c r="F37" s="100" t="s">
        <v>61</v>
      </c>
      <c r="G37" s="100" t="s">
        <v>9670</v>
      </c>
      <c r="H37" s="100" t="n">
        <v>65</v>
      </c>
      <c r="I37" s="100" t="s">
        <v>9944</v>
      </c>
      <c r="J37" s="100" t="s">
        <v>9945</v>
      </c>
      <c r="K37" s="100" t="s">
        <v>9946</v>
      </c>
      <c r="L37" s="100" t="s">
        <v>9947</v>
      </c>
      <c r="M37" s="100" t="s">
        <v>9948</v>
      </c>
      <c r="N37" s="100" t="s">
        <v>9949</v>
      </c>
      <c r="O37" s="100" t="s">
        <v>9950</v>
      </c>
      <c r="P37" s="100" t="s">
        <v>9951</v>
      </c>
      <c r="Q37" s="100" t="s">
        <v>9790</v>
      </c>
      <c r="R37" s="100" t="n">
        <v>2</v>
      </c>
      <c r="S37" s="100" t="s">
        <v>9791</v>
      </c>
      <c r="T37" s="100" t="s">
        <v>9790</v>
      </c>
      <c r="U37" s="100" t="n">
        <v>2</v>
      </c>
      <c r="V37" s="100" t="s">
        <v>9791</v>
      </c>
      <c r="W37" s="100" t="s">
        <v>9952</v>
      </c>
      <c r="X37" s="100" t="s">
        <v>4634</v>
      </c>
      <c r="Y37" s="100" t="s">
        <v>6000</v>
      </c>
      <c r="Z37" s="100" t="s">
        <v>9792</v>
      </c>
      <c r="AA37" s="100" t="s">
        <v>9953</v>
      </c>
      <c r="AB37" s="100" t="s">
        <v>9954</v>
      </c>
      <c r="AC37" s="100" t="s">
        <v>59</v>
      </c>
      <c r="AD37" s="100" t="s">
        <v>59</v>
      </c>
      <c r="AE37" s="49"/>
      <c r="AF37" s="49"/>
      <c r="AG37" s="49"/>
      <c r="AH37" s="49"/>
      <c r="AI37" s="49"/>
      <c r="AJ37" s="49"/>
    </row>
    <row r="38" customFormat="false" ht="15.75" hidden="false" customHeight="true" outlineLevel="0" collapsed="false">
      <c r="A38" s="100" t="n">
        <v>24</v>
      </c>
      <c r="B38" s="100" t="s">
        <v>9802</v>
      </c>
      <c r="C38" s="100" t="s">
        <v>47</v>
      </c>
      <c r="D38" s="100" t="s">
        <v>171</v>
      </c>
      <c r="E38" s="100" t="s">
        <v>47</v>
      </c>
      <c r="F38" s="100" t="s">
        <v>171</v>
      </c>
      <c r="G38" s="100" t="s">
        <v>9955</v>
      </c>
      <c r="H38" s="100" t="n">
        <v>30</v>
      </c>
      <c r="I38" s="100" t="s">
        <v>9956</v>
      </c>
      <c r="J38" s="100" t="s">
        <v>9957</v>
      </c>
      <c r="K38" s="100" t="s">
        <v>885</v>
      </c>
      <c r="L38" s="100" t="s">
        <v>6006</v>
      </c>
      <c r="M38" s="100" t="s">
        <v>9958</v>
      </c>
      <c r="N38" s="100" t="s">
        <v>9959</v>
      </c>
      <c r="O38" s="100" t="s">
        <v>9960</v>
      </c>
      <c r="P38" s="100" t="s">
        <v>9961</v>
      </c>
      <c r="Q38" s="100" t="n">
        <v>2</v>
      </c>
      <c r="R38" s="100" t="s">
        <v>9791</v>
      </c>
      <c r="S38" s="100" t="s">
        <v>9790</v>
      </c>
      <c r="T38" s="100" t="n">
        <v>2</v>
      </c>
      <c r="U38" s="100" t="s">
        <v>9791</v>
      </c>
      <c r="V38" s="100" t="s">
        <v>9790</v>
      </c>
      <c r="W38" s="100" t="s">
        <v>6009</v>
      </c>
      <c r="X38" s="100" t="s">
        <v>4634</v>
      </c>
      <c r="Y38" s="100" t="s">
        <v>6010</v>
      </c>
      <c r="Z38" s="100" t="s">
        <v>4634</v>
      </c>
      <c r="AA38" s="100" t="s">
        <v>9962</v>
      </c>
      <c r="AB38" s="100" t="s">
        <v>59</v>
      </c>
      <c r="AC38" s="100" t="s">
        <v>59</v>
      </c>
      <c r="AD38" s="100" t="s">
        <v>59</v>
      </c>
      <c r="AE38" s="49"/>
      <c r="AF38" s="49"/>
      <c r="AG38" s="49"/>
      <c r="AH38" s="49"/>
      <c r="AI38" s="49"/>
      <c r="AJ38" s="49"/>
    </row>
    <row r="39" customFormat="false" ht="15.75" hidden="false" customHeight="true" outlineLevel="0" collapsed="false">
      <c r="A39" s="100" t="n">
        <v>24</v>
      </c>
      <c r="B39" s="100" t="s">
        <v>9802</v>
      </c>
      <c r="C39" s="100" t="s">
        <v>47</v>
      </c>
      <c r="D39" s="100" t="s">
        <v>159</v>
      </c>
      <c r="E39" s="100" t="s">
        <v>47</v>
      </c>
      <c r="F39" s="100" t="s">
        <v>159</v>
      </c>
      <c r="G39" s="100" t="s">
        <v>9963</v>
      </c>
      <c r="H39" s="100" t="n">
        <v>30</v>
      </c>
      <c r="I39" s="100" t="s">
        <v>9964</v>
      </c>
      <c r="J39" s="100" t="s">
        <v>6015</v>
      </c>
      <c r="K39" s="100" t="s">
        <v>6016</v>
      </c>
      <c r="L39" s="100" t="s">
        <v>6017</v>
      </c>
      <c r="M39" s="100" t="s">
        <v>6018</v>
      </c>
      <c r="N39" s="100" t="s">
        <v>9965</v>
      </c>
      <c r="O39" s="100" t="s">
        <v>9966</v>
      </c>
      <c r="P39" s="100" t="s">
        <v>9967</v>
      </c>
      <c r="Q39" s="100" t="n">
        <v>2</v>
      </c>
      <c r="R39" s="100" t="s">
        <v>9791</v>
      </c>
      <c r="S39" s="100" t="s">
        <v>9790</v>
      </c>
      <c r="T39" s="100" t="s">
        <v>9791</v>
      </c>
      <c r="U39" s="100" t="n">
        <v>2</v>
      </c>
      <c r="V39" s="100" t="s">
        <v>9790</v>
      </c>
      <c r="W39" s="100" t="s">
        <v>6020</v>
      </c>
      <c r="X39" s="100" t="s">
        <v>9792</v>
      </c>
      <c r="Y39" s="100" t="s">
        <v>6021</v>
      </c>
      <c r="Z39" s="100" t="s">
        <v>9792</v>
      </c>
      <c r="AA39" s="100" t="s">
        <v>6022</v>
      </c>
      <c r="AB39" s="100" t="s">
        <v>6023</v>
      </c>
      <c r="AC39" s="100" t="s">
        <v>59</v>
      </c>
      <c r="AD39" s="100" t="s">
        <v>59</v>
      </c>
      <c r="AE39" s="49"/>
      <c r="AF39" s="49"/>
      <c r="AG39" s="49"/>
      <c r="AH39" s="49"/>
      <c r="AI39" s="49"/>
      <c r="AJ39" s="49"/>
    </row>
    <row r="40" customFormat="false" ht="15.75" hidden="false" customHeight="true" outlineLevel="0" collapsed="false">
      <c r="A40" s="100" t="n">
        <v>23</v>
      </c>
      <c r="B40" s="100" t="s">
        <v>9802</v>
      </c>
      <c r="C40" s="100" t="s">
        <v>47</v>
      </c>
      <c r="D40" s="100" t="s">
        <v>71</v>
      </c>
      <c r="E40" s="100" t="s">
        <v>47</v>
      </c>
      <c r="F40" s="100" t="s">
        <v>49</v>
      </c>
      <c r="G40" s="100" t="s">
        <v>6025</v>
      </c>
      <c r="H40" s="100" t="n">
        <v>8</v>
      </c>
      <c r="I40" s="100" t="s">
        <v>6026</v>
      </c>
      <c r="J40" s="100" t="s">
        <v>9968</v>
      </c>
      <c r="K40" s="100" t="s">
        <v>6027</v>
      </c>
      <c r="L40" s="100" t="s">
        <v>6028</v>
      </c>
      <c r="M40" s="100" t="s">
        <v>6029</v>
      </c>
      <c r="N40" s="100" t="s">
        <v>9969</v>
      </c>
      <c r="O40" s="100" t="s">
        <v>9970</v>
      </c>
      <c r="P40" s="100" t="s">
        <v>5413</v>
      </c>
      <c r="Q40" s="100" t="s">
        <v>9790</v>
      </c>
      <c r="R40" s="100" t="n">
        <v>2</v>
      </c>
      <c r="S40" s="100" t="s">
        <v>9791</v>
      </c>
      <c r="T40" s="100" t="s">
        <v>9790</v>
      </c>
      <c r="U40" s="100" t="n">
        <v>2</v>
      </c>
      <c r="V40" s="100" t="s">
        <v>9791</v>
      </c>
      <c r="W40" s="100" t="s">
        <v>6031</v>
      </c>
      <c r="X40" s="100" t="s">
        <v>4634</v>
      </c>
      <c r="Y40" s="100" t="s">
        <v>6032</v>
      </c>
      <c r="Z40" s="100" t="s">
        <v>5295</v>
      </c>
      <c r="AA40" s="100" t="s">
        <v>9971</v>
      </c>
      <c r="AB40" s="100" t="s">
        <v>6034</v>
      </c>
      <c r="AC40" s="100" t="s">
        <v>59</v>
      </c>
      <c r="AD40" s="100" t="s">
        <v>59</v>
      </c>
      <c r="AE40" s="49"/>
      <c r="AF40" s="49"/>
      <c r="AG40" s="49"/>
      <c r="AH40" s="49"/>
      <c r="AI40" s="49"/>
      <c r="AJ40" s="49"/>
    </row>
    <row r="41" customFormat="false" ht="15.75" hidden="false" customHeight="true" outlineLevel="0" collapsed="false">
      <c r="A41" s="100" t="n">
        <v>23</v>
      </c>
      <c r="B41" s="100" t="s">
        <v>9802</v>
      </c>
      <c r="C41" s="100" t="s">
        <v>1025</v>
      </c>
      <c r="D41" s="49"/>
      <c r="E41" s="100" t="s">
        <v>47</v>
      </c>
      <c r="F41" s="100" t="s">
        <v>344</v>
      </c>
      <c r="G41" s="100" t="s">
        <v>9972</v>
      </c>
      <c r="H41" s="100" t="n">
        <v>12</v>
      </c>
      <c r="I41" s="100" t="s">
        <v>9973</v>
      </c>
      <c r="J41" s="100" t="s">
        <v>6037</v>
      </c>
      <c r="K41" s="100" t="s">
        <v>9974</v>
      </c>
      <c r="L41" s="100" t="s">
        <v>9975</v>
      </c>
      <c r="M41" s="100" t="s">
        <v>9976</v>
      </c>
      <c r="N41" s="100" t="s">
        <v>9977</v>
      </c>
      <c r="O41" s="100" t="s">
        <v>9978</v>
      </c>
      <c r="P41" s="100" t="s">
        <v>9979</v>
      </c>
      <c r="Q41" s="100" t="s">
        <v>9790</v>
      </c>
      <c r="R41" s="100" t="n">
        <v>2</v>
      </c>
      <c r="S41" s="100" t="s">
        <v>9791</v>
      </c>
      <c r="T41" s="100" t="n">
        <v>2</v>
      </c>
      <c r="U41" s="100" t="s">
        <v>9790</v>
      </c>
      <c r="V41" s="100" t="s">
        <v>9791</v>
      </c>
      <c r="W41" s="100" t="s">
        <v>9980</v>
      </c>
      <c r="X41" s="100" t="s">
        <v>4634</v>
      </c>
      <c r="Y41" s="100" t="s">
        <v>9981</v>
      </c>
      <c r="Z41" s="100" t="s">
        <v>9792</v>
      </c>
      <c r="AA41" s="100" t="s">
        <v>9982</v>
      </c>
      <c r="AB41" s="100" t="s">
        <v>8417</v>
      </c>
      <c r="AC41" s="100" t="s">
        <v>59</v>
      </c>
      <c r="AD41" s="100" t="s">
        <v>59</v>
      </c>
      <c r="AE41" s="49"/>
      <c r="AF41" s="49"/>
      <c r="AG41" s="49"/>
      <c r="AH41" s="49"/>
      <c r="AI41" s="49"/>
      <c r="AJ41" s="49"/>
    </row>
    <row r="42" customFormat="false" ht="15.75" hidden="false" customHeight="true" outlineLevel="0" collapsed="false">
      <c r="A42" s="101" t="n">
        <v>24</v>
      </c>
      <c r="B42" s="101" t="s">
        <v>9802</v>
      </c>
      <c r="C42" s="101" t="s">
        <v>47</v>
      </c>
      <c r="D42" s="101" t="s">
        <v>61</v>
      </c>
      <c r="E42" s="101" t="s">
        <v>47</v>
      </c>
      <c r="F42" s="101" t="s">
        <v>49</v>
      </c>
      <c r="G42" s="101" t="s">
        <v>9983</v>
      </c>
      <c r="H42" s="101" t="n">
        <v>50</v>
      </c>
      <c r="I42" s="101" t="s">
        <v>9984</v>
      </c>
      <c r="J42" s="101" t="s">
        <v>9985</v>
      </c>
      <c r="K42" s="101" t="s">
        <v>9986</v>
      </c>
      <c r="L42" s="100" t="s">
        <v>9987</v>
      </c>
      <c r="M42" s="101" t="s">
        <v>9988</v>
      </c>
      <c r="N42" s="101" t="s">
        <v>9989</v>
      </c>
      <c r="O42" s="101" t="s">
        <v>9990</v>
      </c>
      <c r="P42" s="101" t="s">
        <v>9991</v>
      </c>
      <c r="Q42" s="101" t="s">
        <v>9790</v>
      </c>
      <c r="R42" s="101" t="s">
        <v>9791</v>
      </c>
      <c r="S42" s="101" t="n">
        <v>2</v>
      </c>
      <c r="T42" s="101" t="s">
        <v>9790</v>
      </c>
      <c r="U42" s="101" t="s">
        <v>9791</v>
      </c>
      <c r="V42" s="101" t="n">
        <v>2</v>
      </c>
      <c r="W42" s="101" t="s">
        <v>9992</v>
      </c>
      <c r="X42" s="101" t="s">
        <v>4634</v>
      </c>
      <c r="Y42" s="101" t="s">
        <v>9993</v>
      </c>
      <c r="Z42" s="101" t="s">
        <v>9792</v>
      </c>
      <c r="AA42" s="101" t="s">
        <v>9994</v>
      </c>
      <c r="AB42" s="101" t="s">
        <v>59</v>
      </c>
      <c r="AC42" s="101" t="s">
        <v>59</v>
      </c>
      <c r="AD42" s="101" t="s">
        <v>59</v>
      </c>
      <c r="AE42" s="102"/>
      <c r="AF42" s="102"/>
      <c r="AG42" s="102"/>
      <c r="AH42" s="102"/>
      <c r="AI42" s="102"/>
      <c r="AJ42" s="102"/>
    </row>
    <row r="43" customFormat="false" ht="15.75" hidden="false" customHeight="true" outlineLevel="0" collapsed="false">
      <c r="A43" s="101"/>
      <c r="B43" s="101"/>
      <c r="C43" s="101"/>
      <c r="D43" s="101"/>
      <c r="E43" s="101"/>
      <c r="F43" s="101"/>
      <c r="G43" s="101"/>
      <c r="H43" s="101"/>
      <c r="I43" s="101"/>
      <c r="J43" s="101"/>
      <c r="K43" s="101"/>
      <c r="L43" s="100" t="s">
        <v>9995</v>
      </c>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row>
    <row r="44" customFormat="false" ht="15.75" hidden="false" customHeight="true" outlineLevel="0" collapsed="false">
      <c r="A44" s="101"/>
      <c r="B44" s="101"/>
      <c r="C44" s="101"/>
      <c r="D44" s="101"/>
      <c r="E44" s="101"/>
      <c r="F44" s="101"/>
      <c r="G44" s="101"/>
      <c r="H44" s="101"/>
      <c r="I44" s="101"/>
      <c r="J44" s="101"/>
      <c r="K44" s="101"/>
      <c r="L44" s="100" t="s">
        <v>9996</v>
      </c>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row>
    <row r="45" customFormat="false" ht="15.75" hidden="false" customHeight="true" outlineLevel="0" collapsed="false">
      <c r="A45" s="100" t="n">
        <v>21</v>
      </c>
      <c r="B45" s="100" t="s">
        <v>9802</v>
      </c>
      <c r="C45" s="100" t="s">
        <v>47</v>
      </c>
      <c r="D45" s="100" t="s">
        <v>321</v>
      </c>
      <c r="E45" s="100" t="s">
        <v>47</v>
      </c>
      <c r="F45" s="100" t="s">
        <v>49</v>
      </c>
      <c r="G45" s="100" t="s">
        <v>6057</v>
      </c>
      <c r="H45" s="100" t="n">
        <v>18</v>
      </c>
      <c r="I45" s="100" t="s">
        <v>6058</v>
      </c>
      <c r="J45" s="100" t="s">
        <v>6059</v>
      </c>
      <c r="K45" s="100" t="s">
        <v>9997</v>
      </c>
      <c r="L45" s="100" t="s">
        <v>6061</v>
      </c>
      <c r="M45" s="100" t="s">
        <v>6062</v>
      </c>
      <c r="N45" s="100" t="s">
        <v>9998</v>
      </c>
      <c r="O45" s="100" t="s">
        <v>9999</v>
      </c>
      <c r="P45" s="100" t="s">
        <v>10000</v>
      </c>
      <c r="Q45" s="100" t="s">
        <v>9791</v>
      </c>
      <c r="R45" s="100" t="s">
        <v>9790</v>
      </c>
      <c r="S45" s="100" t="n">
        <v>2</v>
      </c>
      <c r="T45" s="100" t="n">
        <v>2</v>
      </c>
      <c r="U45" s="100" t="s">
        <v>9790</v>
      </c>
      <c r="V45" s="100" t="s">
        <v>9791</v>
      </c>
      <c r="W45" s="100" t="s">
        <v>6064</v>
      </c>
      <c r="X45" s="100" t="s">
        <v>9792</v>
      </c>
      <c r="Y45" s="100" t="s">
        <v>6065</v>
      </c>
      <c r="Z45" s="100" t="s">
        <v>5295</v>
      </c>
      <c r="AA45" s="100" t="s">
        <v>10001</v>
      </c>
      <c r="AB45" s="100" t="s">
        <v>6067</v>
      </c>
      <c r="AC45" s="100" t="s">
        <v>59</v>
      </c>
      <c r="AD45" s="100" t="s">
        <v>59</v>
      </c>
      <c r="AE45" s="49"/>
      <c r="AF45" s="49"/>
      <c r="AG45" s="49"/>
      <c r="AH45" s="49"/>
      <c r="AI45" s="49"/>
      <c r="AJ45" s="49"/>
    </row>
    <row r="46" customFormat="false" ht="15.75" hidden="false" customHeight="true" outlineLevel="0" collapsed="false">
      <c r="A46" s="100" t="n">
        <v>24</v>
      </c>
      <c r="B46" s="100" t="s">
        <v>9802</v>
      </c>
      <c r="C46" s="100" t="s">
        <v>47</v>
      </c>
      <c r="D46" s="100" t="s">
        <v>71</v>
      </c>
      <c r="E46" s="100" t="s">
        <v>47</v>
      </c>
      <c r="F46" s="100" t="s">
        <v>71</v>
      </c>
      <c r="G46" s="100" t="s">
        <v>6069</v>
      </c>
      <c r="H46" s="100" t="n">
        <v>30</v>
      </c>
      <c r="I46" s="100" t="s">
        <v>6070</v>
      </c>
      <c r="J46" s="100" t="s">
        <v>6071</v>
      </c>
      <c r="K46" s="100" t="s">
        <v>6072</v>
      </c>
      <c r="L46" s="100" t="s">
        <v>6073</v>
      </c>
      <c r="M46" s="100" t="s">
        <v>6074</v>
      </c>
      <c r="N46" s="100" t="s">
        <v>10002</v>
      </c>
      <c r="O46" s="100" t="s">
        <v>10003</v>
      </c>
      <c r="P46" s="100" t="s">
        <v>10004</v>
      </c>
      <c r="Q46" s="100" t="n">
        <v>2</v>
      </c>
      <c r="R46" s="100" t="s">
        <v>9790</v>
      </c>
      <c r="S46" s="100" t="s">
        <v>9791</v>
      </c>
      <c r="T46" s="100" t="s">
        <v>9791</v>
      </c>
      <c r="U46" s="100" t="s">
        <v>9790</v>
      </c>
      <c r="V46" s="100" t="n">
        <v>2</v>
      </c>
      <c r="W46" s="100" t="s">
        <v>10005</v>
      </c>
      <c r="X46" s="100" t="s">
        <v>4634</v>
      </c>
      <c r="Y46" s="100" t="s">
        <v>10006</v>
      </c>
      <c r="Z46" s="100" t="s">
        <v>5295</v>
      </c>
      <c r="AA46" s="100" t="s">
        <v>6078</v>
      </c>
      <c r="AB46" s="100" t="s">
        <v>6079</v>
      </c>
      <c r="AC46" s="100" t="s">
        <v>59</v>
      </c>
      <c r="AD46" s="100" t="s">
        <v>59</v>
      </c>
      <c r="AE46" s="49"/>
      <c r="AF46" s="49"/>
      <c r="AG46" s="49"/>
      <c r="AH46" s="49"/>
      <c r="AI46" s="49"/>
      <c r="AJ46" s="49"/>
    </row>
    <row r="47" customFormat="false" ht="15.75" hidden="false" customHeight="true" outlineLevel="0" collapsed="false">
      <c r="A47" s="100" t="n">
        <v>24</v>
      </c>
      <c r="B47" s="100" t="s">
        <v>9802</v>
      </c>
      <c r="C47" s="100" t="s">
        <v>47</v>
      </c>
      <c r="D47" s="100" t="s">
        <v>321</v>
      </c>
      <c r="E47" s="100" t="s">
        <v>47</v>
      </c>
      <c r="F47" s="100" t="s">
        <v>5730</v>
      </c>
      <c r="G47" s="100" t="s">
        <v>6081</v>
      </c>
      <c r="H47" s="100" t="n">
        <v>25</v>
      </c>
      <c r="I47" s="100" t="s">
        <v>6082</v>
      </c>
      <c r="J47" s="100" t="s">
        <v>6083</v>
      </c>
      <c r="K47" s="100" t="s">
        <v>10007</v>
      </c>
      <c r="L47" s="100" t="s">
        <v>6085</v>
      </c>
      <c r="M47" s="100" t="s">
        <v>6086</v>
      </c>
      <c r="N47" s="100" t="s">
        <v>10008</v>
      </c>
      <c r="O47" s="100" t="s">
        <v>10009</v>
      </c>
      <c r="P47" s="100" t="s">
        <v>10010</v>
      </c>
      <c r="Q47" s="100" t="s">
        <v>9790</v>
      </c>
      <c r="R47" s="100" t="n">
        <v>2</v>
      </c>
      <c r="S47" s="100" t="s">
        <v>9791</v>
      </c>
      <c r="T47" s="100" t="n">
        <v>2</v>
      </c>
      <c r="U47" s="100" t="s">
        <v>9790</v>
      </c>
      <c r="V47" s="100" t="s">
        <v>9791</v>
      </c>
      <c r="W47" s="100" t="s">
        <v>6088</v>
      </c>
      <c r="X47" s="100" t="s">
        <v>4634</v>
      </c>
      <c r="Y47" s="100" t="s">
        <v>6089</v>
      </c>
      <c r="Z47" s="100" t="s">
        <v>9792</v>
      </c>
      <c r="AA47" s="100" t="s">
        <v>10011</v>
      </c>
      <c r="AB47" s="100" t="s">
        <v>6091</v>
      </c>
      <c r="AC47" s="100" t="s">
        <v>59</v>
      </c>
      <c r="AD47" s="100" t="s">
        <v>59</v>
      </c>
      <c r="AE47" s="49"/>
      <c r="AF47" s="49"/>
      <c r="AG47" s="49"/>
      <c r="AH47" s="49"/>
      <c r="AI47" s="49"/>
      <c r="AJ47" s="49"/>
    </row>
    <row r="48" customFormat="false" ht="15.75" hidden="false" customHeight="true" outlineLevel="0" collapsed="false">
      <c r="A48" s="100" t="n">
        <v>24</v>
      </c>
      <c r="B48" s="100" t="s">
        <v>9802</v>
      </c>
      <c r="C48" s="100" t="s">
        <v>47</v>
      </c>
      <c r="D48" s="100" t="s">
        <v>71</v>
      </c>
      <c r="E48" s="100" t="s">
        <v>47</v>
      </c>
      <c r="F48" s="100" t="s">
        <v>71</v>
      </c>
      <c r="G48" s="100" t="s">
        <v>6093</v>
      </c>
      <c r="H48" s="100" t="n">
        <v>22</v>
      </c>
      <c r="I48" s="100" t="s">
        <v>6094</v>
      </c>
      <c r="J48" s="100" t="s">
        <v>6095</v>
      </c>
      <c r="K48" s="100" t="s">
        <v>6096</v>
      </c>
      <c r="L48" s="100" t="s">
        <v>6097</v>
      </c>
      <c r="M48" s="100" t="s">
        <v>6098</v>
      </c>
      <c r="N48" s="100" t="s">
        <v>10012</v>
      </c>
      <c r="O48" s="100" t="s">
        <v>10013</v>
      </c>
      <c r="P48" s="100" t="s">
        <v>10014</v>
      </c>
      <c r="Q48" s="100" t="s">
        <v>9791</v>
      </c>
      <c r="R48" s="100" t="s">
        <v>9790</v>
      </c>
      <c r="S48" s="100" t="n">
        <v>2</v>
      </c>
      <c r="T48" s="100" t="s">
        <v>9790</v>
      </c>
      <c r="U48" s="100" t="n">
        <v>2</v>
      </c>
      <c r="V48" s="100" t="s">
        <v>9791</v>
      </c>
      <c r="W48" s="100" t="s">
        <v>6100</v>
      </c>
      <c r="X48" s="100" t="s">
        <v>9792</v>
      </c>
      <c r="Y48" s="100" t="s">
        <v>6101</v>
      </c>
      <c r="Z48" s="100" t="s">
        <v>4634</v>
      </c>
      <c r="AA48" s="100" t="s">
        <v>6102</v>
      </c>
      <c r="AB48" s="100" t="s">
        <v>6103</v>
      </c>
      <c r="AC48" s="100" t="s">
        <v>59</v>
      </c>
      <c r="AD48" s="100" t="s">
        <v>59</v>
      </c>
      <c r="AE48" s="49"/>
      <c r="AF48" s="49"/>
      <c r="AG48" s="49"/>
      <c r="AH48" s="49"/>
      <c r="AI48" s="49"/>
      <c r="AJ48" s="49"/>
    </row>
    <row r="49" customFormat="false" ht="15.75" hidden="false" customHeight="true" outlineLevel="0" collapsed="false">
      <c r="A49" s="100" t="n">
        <v>22</v>
      </c>
      <c r="B49" s="100" t="s">
        <v>9786</v>
      </c>
      <c r="C49" s="100" t="s">
        <v>47</v>
      </c>
      <c r="D49" s="100" t="s">
        <v>61</v>
      </c>
      <c r="E49" s="100" t="s">
        <v>47</v>
      </c>
      <c r="F49" s="100" t="s">
        <v>49</v>
      </c>
      <c r="G49" s="100" t="s">
        <v>6105</v>
      </c>
      <c r="H49" s="100" t="n">
        <v>33</v>
      </c>
      <c r="I49" s="100" t="s">
        <v>6106</v>
      </c>
      <c r="J49" s="100" t="s">
        <v>6107</v>
      </c>
      <c r="K49" s="100" t="s">
        <v>6108</v>
      </c>
      <c r="L49" s="100" t="s">
        <v>6109</v>
      </c>
      <c r="M49" s="100" t="s">
        <v>6110</v>
      </c>
      <c r="N49" s="100" t="s">
        <v>10015</v>
      </c>
      <c r="O49" s="100" t="s">
        <v>10016</v>
      </c>
      <c r="P49" s="100" t="s">
        <v>10017</v>
      </c>
      <c r="Q49" s="100" t="n">
        <v>2</v>
      </c>
      <c r="R49" s="100" t="s">
        <v>9790</v>
      </c>
      <c r="S49" s="100" t="s">
        <v>9791</v>
      </c>
      <c r="T49" s="100" t="n">
        <v>2</v>
      </c>
      <c r="U49" s="100" t="s">
        <v>9790</v>
      </c>
      <c r="V49" s="100" t="s">
        <v>9791</v>
      </c>
      <c r="W49" s="100" t="s">
        <v>6112</v>
      </c>
      <c r="X49" s="100" t="s">
        <v>5295</v>
      </c>
      <c r="Y49" s="100" t="s">
        <v>6113</v>
      </c>
      <c r="Z49" s="100" t="s">
        <v>5295</v>
      </c>
      <c r="AA49" s="100" t="s">
        <v>6114</v>
      </c>
      <c r="AB49" s="100" t="s">
        <v>6115</v>
      </c>
      <c r="AC49" s="100" t="s">
        <v>59</v>
      </c>
      <c r="AD49" s="100" t="s">
        <v>59</v>
      </c>
      <c r="AE49" s="49"/>
      <c r="AF49" s="49"/>
      <c r="AG49" s="49"/>
      <c r="AH49" s="49"/>
      <c r="AI49" s="49"/>
      <c r="AJ49" s="49"/>
    </row>
    <row r="50" customFormat="false" ht="15.75" hidden="false" customHeight="true" outlineLevel="0" collapsed="false">
      <c r="A50" s="100" t="n">
        <v>22</v>
      </c>
      <c r="B50" s="100" t="s">
        <v>9786</v>
      </c>
      <c r="C50" s="100" t="s">
        <v>47</v>
      </c>
      <c r="D50" s="100" t="s">
        <v>171</v>
      </c>
      <c r="E50" s="100" t="s">
        <v>47</v>
      </c>
      <c r="F50" s="100" t="s">
        <v>6117</v>
      </c>
      <c r="G50" s="49"/>
      <c r="H50" s="49"/>
      <c r="I50" s="49"/>
      <c r="J50" s="49"/>
      <c r="K50" s="49"/>
      <c r="L50" s="49"/>
      <c r="M50" s="49"/>
      <c r="N50" s="100" t="s">
        <v>10018</v>
      </c>
      <c r="O50" s="100" t="s">
        <v>10019</v>
      </c>
      <c r="P50" s="100" t="s">
        <v>10020</v>
      </c>
      <c r="Q50" s="100" t="s">
        <v>9790</v>
      </c>
      <c r="R50" s="100" t="n">
        <v>2</v>
      </c>
      <c r="S50" s="100" t="s">
        <v>9791</v>
      </c>
      <c r="T50" s="100" t="s">
        <v>9790</v>
      </c>
      <c r="U50" s="100" t="n">
        <v>2</v>
      </c>
      <c r="V50" s="100" t="s">
        <v>9791</v>
      </c>
      <c r="W50" s="100" t="s">
        <v>6120</v>
      </c>
      <c r="X50" s="100" t="s">
        <v>4634</v>
      </c>
      <c r="Y50" s="100" t="s">
        <v>6121</v>
      </c>
      <c r="Z50" s="100" t="s">
        <v>5295</v>
      </c>
      <c r="AA50" s="100" t="s">
        <v>6122</v>
      </c>
      <c r="AB50" s="100" t="s">
        <v>6123</v>
      </c>
      <c r="AC50" s="100" t="s">
        <v>59</v>
      </c>
      <c r="AD50" s="100" t="s">
        <v>59</v>
      </c>
      <c r="AE50" s="49"/>
      <c r="AF50" s="49"/>
      <c r="AG50" s="49"/>
      <c r="AH50" s="49"/>
      <c r="AI50" s="49"/>
      <c r="AJ50" s="49"/>
    </row>
    <row r="51" customFormat="false" ht="15.75" hidden="false" customHeight="true" outlineLevel="0" collapsed="false">
      <c r="A51" s="100" t="n">
        <v>21</v>
      </c>
      <c r="B51" s="100" t="s">
        <v>9786</v>
      </c>
      <c r="C51" s="100" t="s">
        <v>47</v>
      </c>
      <c r="D51" s="100" t="s">
        <v>171</v>
      </c>
      <c r="E51" s="100" t="s">
        <v>47</v>
      </c>
      <c r="F51" s="100" t="s">
        <v>49</v>
      </c>
      <c r="G51" s="49"/>
      <c r="H51" s="49"/>
      <c r="I51" s="49"/>
      <c r="J51" s="49"/>
      <c r="K51" s="49"/>
      <c r="L51" s="49"/>
      <c r="M51" s="49"/>
      <c r="N51" s="100" t="s">
        <v>10021</v>
      </c>
      <c r="O51" s="100" t="s">
        <v>10022</v>
      </c>
      <c r="P51" s="100" t="s">
        <v>10023</v>
      </c>
      <c r="Q51" s="100" t="s">
        <v>9790</v>
      </c>
      <c r="R51" s="100" t="n">
        <v>2</v>
      </c>
      <c r="S51" s="100" t="s">
        <v>9791</v>
      </c>
      <c r="T51" s="100" t="s">
        <v>9790</v>
      </c>
      <c r="U51" s="100" t="n">
        <v>2</v>
      </c>
      <c r="V51" s="100" t="s">
        <v>9791</v>
      </c>
      <c r="W51" s="100" t="s">
        <v>6126</v>
      </c>
      <c r="X51" s="100" t="s">
        <v>4634</v>
      </c>
      <c r="Y51" s="100" t="s">
        <v>10024</v>
      </c>
      <c r="Z51" s="100" t="s">
        <v>5295</v>
      </c>
      <c r="AA51" s="100" t="s">
        <v>6128</v>
      </c>
      <c r="AB51" s="100" t="s">
        <v>6129</v>
      </c>
      <c r="AC51" s="100" t="s">
        <v>59</v>
      </c>
      <c r="AD51" s="100" t="s">
        <v>59</v>
      </c>
      <c r="AE51" s="49"/>
      <c r="AF51" s="49"/>
      <c r="AG51" s="49"/>
      <c r="AH51" s="49"/>
      <c r="AI51" s="49"/>
      <c r="AJ51" s="49"/>
    </row>
    <row r="52" customFormat="false" ht="15.75" hidden="false" customHeight="true" outlineLevel="0" collapsed="false">
      <c r="A52" s="100" t="n">
        <v>46</v>
      </c>
      <c r="B52" s="100" t="s">
        <v>9802</v>
      </c>
      <c r="C52" s="100" t="s">
        <v>5980</v>
      </c>
      <c r="D52" s="49"/>
      <c r="E52" s="100" t="s">
        <v>5980</v>
      </c>
      <c r="F52" s="49"/>
      <c r="G52" s="100" t="s">
        <v>6131</v>
      </c>
      <c r="H52" s="100" t="n">
        <v>25</v>
      </c>
      <c r="I52" s="100" t="s">
        <v>10025</v>
      </c>
      <c r="J52" s="100" t="s">
        <v>6133</v>
      </c>
      <c r="K52" s="100" t="s">
        <v>6134</v>
      </c>
      <c r="L52" s="100" t="s">
        <v>6135</v>
      </c>
      <c r="M52" s="100" t="s">
        <v>59</v>
      </c>
      <c r="N52" s="100" t="s">
        <v>10026</v>
      </c>
      <c r="O52" s="100" t="s">
        <v>10027</v>
      </c>
      <c r="P52" s="100" t="s">
        <v>10028</v>
      </c>
      <c r="Q52" s="100" t="s">
        <v>9791</v>
      </c>
      <c r="R52" s="100" t="n">
        <v>2</v>
      </c>
      <c r="S52" s="100" t="s">
        <v>9790</v>
      </c>
      <c r="T52" s="100" t="s">
        <v>9791</v>
      </c>
      <c r="U52" s="100" t="n">
        <v>2</v>
      </c>
      <c r="V52" s="100" t="s">
        <v>9790</v>
      </c>
      <c r="W52" s="100" t="s">
        <v>6137</v>
      </c>
      <c r="X52" s="100" t="s">
        <v>9792</v>
      </c>
      <c r="Y52" s="100" t="s">
        <v>6137</v>
      </c>
      <c r="Z52" s="100" t="s">
        <v>9792</v>
      </c>
      <c r="AA52" s="100" t="s">
        <v>6138</v>
      </c>
      <c r="AB52" s="100" t="s">
        <v>6139</v>
      </c>
      <c r="AC52" s="100" t="s">
        <v>59</v>
      </c>
      <c r="AD52" s="100" t="s">
        <v>59</v>
      </c>
      <c r="AE52" s="49"/>
      <c r="AF52" s="49"/>
      <c r="AG52" s="49"/>
      <c r="AH52" s="49"/>
      <c r="AI52" s="49"/>
      <c r="AJ52" s="49"/>
    </row>
    <row r="53" customFormat="false" ht="15.75" hidden="false" customHeight="true" outlineLevel="0" collapsed="false">
      <c r="A53" s="100" t="n">
        <v>22</v>
      </c>
      <c r="B53" s="100" t="s">
        <v>9802</v>
      </c>
      <c r="C53" s="100" t="s">
        <v>47</v>
      </c>
      <c r="D53" s="100" t="s">
        <v>114</v>
      </c>
      <c r="E53" s="100" t="s">
        <v>47</v>
      </c>
      <c r="F53" s="100" t="s">
        <v>92</v>
      </c>
      <c r="G53" s="49"/>
      <c r="H53" s="49"/>
      <c r="I53" s="49"/>
      <c r="J53" s="49"/>
      <c r="K53" s="49"/>
      <c r="L53" s="49"/>
      <c r="M53" s="49"/>
      <c r="N53" s="100" t="s">
        <v>10029</v>
      </c>
      <c r="O53" s="100" t="s">
        <v>10030</v>
      </c>
      <c r="P53" s="100" t="s">
        <v>10031</v>
      </c>
      <c r="Q53" s="100" t="n">
        <v>2</v>
      </c>
      <c r="R53" s="100" t="s">
        <v>9790</v>
      </c>
      <c r="S53" s="100" t="s">
        <v>9791</v>
      </c>
      <c r="T53" s="100" t="n">
        <v>2</v>
      </c>
      <c r="U53" s="100" t="s">
        <v>9790</v>
      </c>
      <c r="V53" s="100" t="s">
        <v>9791</v>
      </c>
      <c r="W53" s="100" t="s">
        <v>6142</v>
      </c>
      <c r="X53" s="100" t="s">
        <v>4634</v>
      </c>
      <c r="Y53" s="100" t="s">
        <v>6143</v>
      </c>
      <c r="Z53" s="100" t="s">
        <v>9792</v>
      </c>
      <c r="AA53" s="100" t="s">
        <v>10032</v>
      </c>
      <c r="AB53" s="100" t="s">
        <v>9678</v>
      </c>
      <c r="AC53" s="100" t="s">
        <v>59</v>
      </c>
      <c r="AD53" s="100" t="s">
        <v>59</v>
      </c>
      <c r="AE53" s="49"/>
      <c r="AF53" s="49"/>
      <c r="AG53" s="49"/>
      <c r="AH53" s="49"/>
      <c r="AI53" s="49"/>
      <c r="AJ53" s="49"/>
    </row>
    <row r="54" customFormat="false" ht="15.75" hidden="false" customHeight="true" outlineLevel="0" collapsed="false">
      <c r="A54" s="100" t="n">
        <v>43</v>
      </c>
      <c r="B54" s="100" t="s">
        <v>9802</v>
      </c>
      <c r="C54" s="100" t="s">
        <v>47</v>
      </c>
      <c r="D54" s="100" t="s">
        <v>71</v>
      </c>
      <c r="E54" s="100" t="s">
        <v>47</v>
      </c>
      <c r="F54" s="100" t="s">
        <v>49</v>
      </c>
      <c r="G54" s="49"/>
      <c r="H54" s="49"/>
      <c r="I54" s="49"/>
      <c r="J54" s="49"/>
      <c r="K54" s="49"/>
      <c r="L54" s="49"/>
      <c r="M54" s="49"/>
      <c r="N54" s="100" t="s">
        <v>10033</v>
      </c>
      <c r="O54" s="100" t="s">
        <v>10034</v>
      </c>
      <c r="P54" s="100" t="s">
        <v>10035</v>
      </c>
      <c r="Q54" s="100" t="n">
        <v>2</v>
      </c>
      <c r="R54" s="100" t="s">
        <v>9790</v>
      </c>
      <c r="S54" s="100" t="s">
        <v>9791</v>
      </c>
      <c r="T54" s="100" t="n">
        <v>2</v>
      </c>
      <c r="U54" s="100" t="s">
        <v>9790</v>
      </c>
      <c r="V54" s="100" t="s">
        <v>9791</v>
      </c>
      <c r="W54" s="100" t="s">
        <v>6147</v>
      </c>
      <c r="X54" s="100" t="s">
        <v>5295</v>
      </c>
      <c r="Y54" s="100" t="s">
        <v>6148</v>
      </c>
      <c r="Z54" s="100" t="s">
        <v>9792</v>
      </c>
      <c r="AA54" s="100" t="s">
        <v>6149</v>
      </c>
      <c r="AB54" s="100" t="s">
        <v>6150</v>
      </c>
      <c r="AC54" s="100" t="s">
        <v>59</v>
      </c>
      <c r="AD54" s="100" t="s">
        <v>59</v>
      </c>
      <c r="AE54" s="49"/>
      <c r="AF54" s="49"/>
      <c r="AG54" s="49"/>
      <c r="AH54" s="49"/>
      <c r="AI54" s="49"/>
      <c r="AJ54" s="49"/>
    </row>
    <row r="55" customFormat="false" ht="15.75" hidden="false" customHeight="true" outlineLevel="0" collapsed="false">
      <c r="A55" s="100" t="n">
        <v>56</v>
      </c>
      <c r="B55" s="100" t="s">
        <v>9802</v>
      </c>
      <c r="C55" s="100" t="s">
        <v>437</v>
      </c>
      <c r="D55" s="49"/>
      <c r="E55" s="100" t="s">
        <v>47</v>
      </c>
      <c r="F55" s="100" t="s">
        <v>49</v>
      </c>
      <c r="G55" s="100" t="s">
        <v>10036</v>
      </c>
      <c r="H55" s="100" t="n">
        <v>30</v>
      </c>
      <c r="I55" s="100" t="s">
        <v>10037</v>
      </c>
      <c r="J55" s="100" t="s">
        <v>10038</v>
      </c>
      <c r="K55" s="100" t="s">
        <v>10039</v>
      </c>
      <c r="L55" s="100" t="s">
        <v>10040</v>
      </c>
      <c r="M55" s="100" t="s">
        <v>10041</v>
      </c>
      <c r="N55" s="100" t="s">
        <v>10042</v>
      </c>
      <c r="O55" s="100" t="s">
        <v>10043</v>
      </c>
      <c r="P55" s="100" t="s">
        <v>10044</v>
      </c>
      <c r="Q55" s="100" t="s">
        <v>9790</v>
      </c>
      <c r="R55" s="100" t="n">
        <v>2</v>
      </c>
      <c r="S55" s="100" t="s">
        <v>9791</v>
      </c>
      <c r="T55" s="100" t="s">
        <v>9790</v>
      </c>
      <c r="U55" s="100" t="n">
        <v>2</v>
      </c>
      <c r="V55" s="100" t="s">
        <v>9791</v>
      </c>
      <c r="W55" s="100" t="s">
        <v>10045</v>
      </c>
      <c r="X55" s="100" t="s">
        <v>5295</v>
      </c>
      <c r="Y55" s="100" t="s">
        <v>10046</v>
      </c>
      <c r="Z55" s="100" t="s">
        <v>9792</v>
      </c>
      <c r="AA55" s="100" t="s">
        <v>10047</v>
      </c>
      <c r="AB55" s="100" t="s">
        <v>59</v>
      </c>
      <c r="AC55" s="100" t="s">
        <v>59</v>
      </c>
      <c r="AD55" s="100" t="s">
        <v>59</v>
      </c>
      <c r="AE55" s="49"/>
      <c r="AF55" s="49"/>
      <c r="AG55" s="49"/>
      <c r="AH55" s="49"/>
      <c r="AI55" s="49"/>
      <c r="AJ55" s="49"/>
    </row>
    <row r="56" customFormat="false" ht="15.75" hidden="false" customHeight="true" outlineLevel="0" collapsed="false">
      <c r="A56" s="100" t="n">
        <v>20</v>
      </c>
      <c r="B56" s="100" t="s">
        <v>9786</v>
      </c>
      <c r="C56" s="100" t="s">
        <v>437</v>
      </c>
      <c r="D56" s="49"/>
      <c r="E56" s="100" t="s">
        <v>2651</v>
      </c>
      <c r="F56" s="49"/>
      <c r="G56" s="100" t="s">
        <v>6163</v>
      </c>
      <c r="H56" s="100" t="n">
        <v>30</v>
      </c>
      <c r="I56" s="100" t="s">
        <v>6164</v>
      </c>
      <c r="J56" s="100" t="s">
        <v>6165</v>
      </c>
      <c r="K56" s="100" t="s">
        <v>6166</v>
      </c>
      <c r="L56" s="100" t="s">
        <v>10048</v>
      </c>
      <c r="M56" s="100" t="s">
        <v>6168</v>
      </c>
      <c r="N56" s="100" t="s">
        <v>10049</v>
      </c>
      <c r="O56" s="100" t="s">
        <v>10050</v>
      </c>
      <c r="P56" s="100" t="s">
        <v>10051</v>
      </c>
      <c r="Q56" s="100" t="s">
        <v>9790</v>
      </c>
      <c r="R56" s="100" t="n">
        <v>2</v>
      </c>
      <c r="S56" s="100" t="s">
        <v>9791</v>
      </c>
      <c r="T56" s="100" t="n">
        <v>2</v>
      </c>
      <c r="U56" s="100" t="s">
        <v>9790</v>
      </c>
      <c r="V56" s="100" t="s">
        <v>9791</v>
      </c>
      <c r="W56" s="100" t="s">
        <v>10052</v>
      </c>
      <c r="X56" s="100" t="s">
        <v>9792</v>
      </c>
      <c r="Y56" s="100" t="s">
        <v>10053</v>
      </c>
      <c r="Z56" s="100" t="s">
        <v>9792</v>
      </c>
      <c r="AA56" s="100" t="s">
        <v>10054</v>
      </c>
      <c r="AB56" s="100" t="s">
        <v>442</v>
      </c>
      <c r="AC56" s="100" t="s">
        <v>59</v>
      </c>
      <c r="AD56" s="100" t="s">
        <v>59</v>
      </c>
      <c r="AE56" s="49"/>
      <c r="AF56" s="49"/>
      <c r="AG56" s="49"/>
      <c r="AH56" s="49"/>
      <c r="AI56" s="49"/>
      <c r="AJ56" s="49"/>
    </row>
    <row r="57" customFormat="false" ht="15.75" hidden="false" customHeight="true" outlineLevel="0" collapsed="false">
      <c r="A57" s="101" t="n">
        <v>21</v>
      </c>
      <c r="B57" s="101" t="s">
        <v>9786</v>
      </c>
      <c r="C57" s="101" t="s">
        <v>47</v>
      </c>
      <c r="D57" s="101" t="s">
        <v>1399</v>
      </c>
      <c r="E57" s="101" t="s">
        <v>47</v>
      </c>
      <c r="F57" s="101" t="s">
        <v>49</v>
      </c>
      <c r="G57" s="101" t="s">
        <v>6174</v>
      </c>
      <c r="H57" s="101" t="n">
        <v>25</v>
      </c>
      <c r="I57" s="101" t="s">
        <v>6175</v>
      </c>
      <c r="J57" s="101" t="s">
        <v>10055</v>
      </c>
      <c r="K57" s="101" t="s">
        <v>6177</v>
      </c>
      <c r="L57" s="100" t="s">
        <v>10056</v>
      </c>
      <c r="M57" s="101" t="s">
        <v>6179</v>
      </c>
      <c r="N57" s="101" t="s">
        <v>10057</v>
      </c>
      <c r="O57" s="101" t="s">
        <v>10058</v>
      </c>
      <c r="P57" s="101" t="s">
        <v>10059</v>
      </c>
      <c r="Q57" s="101" t="s">
        <v>9791</v>
      </c>
      <c r="R57" s="101" t="n">
        <v>2</v>
      </c>
      <c r="S57" s="101" t="s">
        <v>9790</v>
      </c>
      <c r="T57" s="101" t="n">
        <v>2</v>
      </c>
      <c r="U57" s="101" t="s">
        <v>9791</v>
      </c>
      <c r="V57" s="101" t="s">
        <v>9790</v>
      </c>
      <c r="W57" s="101" t="s">
        <v>6181</v>
      </c>
      <c r="X57" s="101" t="s">
        <v>9792</v>
      </c>
      <c r="Y57" s="101" t="s">
        <v>6182</v>
      </c>
      <c r="Z57" s="101" t="s">
        <v>9792</v>
      </c>
      <c r="AA57" s="101" t="s">
        <v>10060</v>
      </c>
      <c r="AB57" s="101" t="s">
        <v>10061</v>
      </c>
      <c r="AC57" s="101" t="s">
        <v>59</v>
      </c>
      <c r="AD57" s="101" t="s">
        <v>59</v>
      </c>
      <c r="AE57" s="102"/>
      <c r="AF57" s="102"/>
      <c r="AG57" s="102"/>
      <c r="AH57" s="102"/>
      <c r="AI57" s="102"/>
      <c r="AJ57" s="102"/>
    </row>
    <row r="58" customFormat="false" ht="15.75" hidden="false" customHeight="true" outlineLevel="0" collapsed="false">
      <c r="A58" s="101"/>
      <c r="B58" s="101"/>
      <c r="C58" s="101"/>
      <c r="D58" s="101"/>
      <c r="E58" s="101"/>
      <c r="F58" s="101"/>
      <c r="G58" s="101"/>
      <c r="H58" s="101"/>
      <c r="I58" s="101"/>
      <c r="J58" s="101"/>
      <c r="K58" s="101"/>
      <c r="L58" s="100" t="s">
        <v>10062</v>
      </c>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row>
    <row r="59" customFormat="false" ht="15.75" hidden="false" customHeight="true" outlineLevel="0" collapsed="false">
      <c r="A59" s="101"/>
      <c r="B59" s="101"/>
      <c r="C59" s="101"/>
      <c r="D59" s="101"/>
      <c r="E59" s="101"/>
      <c r="F59" s="101"/>
      <c r="G59" s="101"/>
      <c r="H59" s="101"/>
      <c r="I59" s="101"/>
      <c r="J59" s="101"/>
      <c r="K59" s="101"/>
      <c r="L59" s="100" t="s">
        <v>10063</v>
      </c>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row>
    <row r="60" customFormat="false" ht="15.75" hidden="false" customHeight="true" outlineLevel="0" collapsed="false">
      <c r="A60" s="100" t="n">
        <v>24</v>
      </c>
      <c r="B60" s="100" t="s">
        <v>9786</v>
      </c>
      <c r="C60" s="100" t="s">
        <v>47</v>
      </c>
      <c r="D60" s="100" t="s">
        <v>6186</v>
      </c>
      <c r="E60" s="100" t="s">
        <v>47</v>
      </c>
      <c r="F60" s="100" t="s">
        <v>344</v>
      </c>
      <c r="G60" s="100" t="s">
        <v>6188</v>
      </c>
      <c r="H60" s="100" t="n">
        <v>20</v>
      </c>
      <c r="I60" s="100" t="s">
        <v>6189</v>
      </c>
      <c r="J60" s="100" t="s">
        <v>10064</v>
      </c>
      <c r="K60" s="100" t="s">
        <v>10065</v>
      </c>
      <c r="L60" s="100" t="s">
        <v>6192</v>
      </c>
      <c r="M60" s="100" t="s">
        <v>6193</v>
      </c>
      <c r="N60" s="100" t="s">
        <v>10066</v>
      </c>
      <c r="O60" s="100" t="s">
        <v>10067</v>
      </c>
      <c r="P60" s="100" t="s">
        <v>10068</v>
      </c>
      <c r="Q60" s="100" t="s">
        <v>9790</v>
      </c>
      <c r="R60" s="100" t="s">
        <v>9791</v>
      </c>
      <c r="S60" s="100" t="n">
        <v>2</v>
      </c>
      <c r="T60" s="100" t="s">
        <v>9790</v>
      </c>
      <c r="U60" s="100" t="n">
        <v>2</v>
      </c>
      <c r="V60" s="100" t="s">
        <v>9791</v>
      </c>
      <c r="W60" s="100" t="s">
        <v>10069</v>
      </c>
      <c r="X60" s="100" t="s">
        <v>9792</v>
      </c>
      <c r="Y60" s="100" t="s">
        <v>6196</v>
      </c>
      <c r="Z60" s="100" t="s">
        <v>9792</v>
      </c>
      <c r="AA60" s="100" t="s">
        <v>6197</v>
      </c>
      <c r="AB60" s="100" t="s">
        <v>59</v>
      </c>
      <c r="AC60" s="100" t="s">
        <v>98</v>
      </c>
      <c r="AD60" s="100" t="s">
        <v>59</v>
      </c>
      <c r="AE60" s="49"/>
      <c r="AF60" s="49"/>
      <c r="AG60" s="49"/>
      <c r="AH60" s="49"/>
      <c r="AI60" s="49"/>
      <c r="AJ60" s="49"/>
    </row>
    <row r="61" customFormat="false" ht="15.75" hidden="false" customHeight="true" outlineLevel="0" collapsed="false">
      <c r="A61" s="100" t="n">
        <v>65</v>
      </c>
      <c r="B61" s="100" t="s">
        <v>9802</v>
      </c>
      <c r="C61" s="100" t="s">
        <v>5980</v>
      </c>
      <c r="D61" s="49"/>
      <c r="E61" s="100" t="s">
        <v>47</v>
      </c>
      <c r="F61" s="100" t="s">
        <v>289</v>
      </c>
      <c r="G61" s="100" t="s">
        <v>6199</v>
      </c>
      <c r="H61" s="100" t="n">
        <v>20</v>
      </c>
      <c r="I61" s="100" t="s">
        <v>6200</v>
      </c>
      <c r="J61" s="100" t="s">
        <v>6201</v>
      </c>
      <c r="K61" s="100" t="s">
        <v>6202</v>
      </c>
      <c r="L61" s="100" t="s">
        <v>6203</v>
      </c>
      <c r="M61" s="100" t="s">
        <v>6204</v>
      </c>
      <c r="N61" s="100" t="s">
        <v>10070</v>
      </c>
      <c r="O61" s="100" t="s">
        <v>10071</v>
      </c>
      <c r="P61" s="100" t="s">
        <v>10072</v>
      </c>
      <c r="Q61" s="100" t="s">
        <v>9790</v>
      </c>
      <c r="R61" s="100" t="n">
        <v>2</v>
      </c>
      <c r="S61" s="100" t="s">
        <v>9791</v>
      </c>
      <c r="T61" s="100" t="s">
        <v>9791</v>
      </c>
      <c r="U61" s="100" t="n">
        <v>2</v>
      </c>
      <c r="V61" s="100" t="s">
        <v>9790</v>
      </c>
      <c r="W61" s="100" t="s">
        <v>6206</v>
      </c>
      <c r="X61" s="100" t="s">
        <v>4634</v>
      </c>
      <c r="Y61" s="100" t="s">
        <v>6207</v>
      </c>
      <c r="Z61" s="100" t="s">
        <v>4634</v>
      </c>
      <c r="AA61" s="100" t="s">
        <v>6208</v>
      </c>
      <c r="AB61" s="100" t="s">
        <v>6209</v>
      </c>
      <c r="AC61" s="100" t="s">
        <v>59</v>
      </c>
      <c r="AD61" s="100" t="s">
        <v>59</v>
      </c>
      <c r="AE61" s="49"/>
      <c r="AF61" s="49"/>
      <c r="AG61" s="49"/>
      <c r="AH61" s="49"/>
      <c r="AI61" s="49"/>
      <c r="AJ61" s="49"/>
    </row>
    <row r="62" customFormat="false" ht="15.75" hidden="false" customHeight="true" outlineLevel="0" collapsed="false">
      <c r="A62" s="100" t="n">
        <v>58</v>
      </c>
      <c r="B62" s="100" t="s">
        <v>9802</v>
      </c>
      <c r="C62" s="100" t="s">
        <v>437</v>
      </c>
      <c r="D62" s="49"/>
      <c r="E62" s="100" t="s">
        <v>47</v>
      </c>
      <c r="F62" s="100" t="s">
        <v>71</v>
      </c>
      <c r="G62" s="100" t="s">
        <v>10073</v>
      </c>
      <c r="H62" s="100" t="n">
        <v>50</v>
      </c>
      <c r="I62" s="100" t="s">
        <v>10074</v>
      </c>
      <c r="J62" s="100" t="s">
        <v>10075</v>
      </c>
      <c r="K62" s="100" t="s">
        <v>98</v>
      </c>
      <c r="L62" s="100" t="s">
        <v>10076</v>
      </c>
      <c r="M62" s="100" t="s">
        <v>10077</v>
      </c>
      <c r="N62" s="100" t="s">
        <v>10078</v>
      </c>
      <c r="O62" s="100" t="s">
        <v>10079</v>
      </c>
      <c r="P62" s="100" t="s">
        <v>10080</v>
      </c>
      <c r="Q62" s="100" t="s">
        <v>9791</v>
      </c>
      <c r="R62" s="100" t="n">
        <v>2</v>
      </c>
      <c r="S62" s="100" t="s">
        <v>9790</v>
      </c>
      <c r="T62" s="100" t="s">
        <v>9791</v>
      </c>
      <c r="U62" s="100" t="s">
        <v>9790</v>
      </c>
      <c r="V62" s="100" t="n">
        <v>2</v>
      </c>
      <c r="W62" s="100" t="s">
        <v>10081</v>
      </c>
      <c r="X62" s="100" t="s">
        <v>9792</v>
      </c>
      <c r="Y62" s="100" t="s">
        <v>10082</v>
      </c>
      <c r="Z62" s="100" t="s">
        <v>4634</v>
      </c>
      <c r="AA62" s="100" t="s">
        <v>10083</v>
      </c>
      <c r="AB62" s="100" t="s">
        <v>10084</v>
      </c>
      <c r="AC62" s="100" t="s">
        <v>59</v>
      </c>
      <c r="AD62" s="100" t="s">
        <v>59</v>
      </c>
      <c r="AE62" s="49"/>
      <c r="AF62" s="49"/>
      <c r="AG62" s="49"/>
      <c r="AH62" s="49"/>
      <c r="AI62" s="49"/>
      <c r="AJ62" s="49"/>
    </row>
    <row r="63" customFormat="false" ht="15.75" hidden="false" customHeight="true" outlineLevel="0" collapsed="false">
      <c r="A63" s="100" t="n">
        <v>73</v>
      </c>
      <c r="B63" s="100" t="s">
        <v>9786</v>
      </c>
      <c r="C63" s="100" t="s">
        <v>5980</v>
      </c>
      <c r="D63" s="49"/>
      <c r="E63" s="100" t="s">
        <v>47</v>
      </c>
      <c r="F63" s="100" t="s">
        <v>289</v>
      </c>
      <c r="G63" s="100" t="s">
        <v>6222</v>
      </c>
      <c r="H63" s="100" t="n">
        <v>30</v>
      </c>
      <c r="I63" s="100" t="s">
        <v>6223</v>
      </c>
      <c r="J63" s="100" t="s">
        <v>6224</v>
      </c>
      <c r="K63" s="100" t="s">
        <v>6225</v>
      </c>
      <c r="L63" s="100" t="s">
        <v>6226</v>
      </c>
      <c r="M63" s="100" t="s">
        <v>6227</v>
      </c>
      <c r="N63" s="100" t="s">
        <v>10085</v>
      </c>
      <c r="O63" s="100" t="s">
        <v>10086</v>
      </c>
      <c r="P63" s="100" t="s">
        <v>10087</v>
      </c>
      <c r="Q63" s="100" t="s">
        <v>9790</v>
      </c>
      <c r="R63" s="100" t="n">
        <v>2</v>
      </c>
      <c r="S63" s="100" t="s">
        <v>9791</v>
      </c>
      <c r="T63" s="100" t="s">
        <v>9791</v>
      </c>
      <c r="U63" s="100" t="n">
        <v>2</v>
      </c>
      <c r="V63" s="100" t="s">
        <v>9790</v>
      </c>
      <c r="W63" s="100" t="s">
        <v>6229</v>
      </c>
      <c r="X63" s="100" t="s">
        <v>4634</v>
      </c>
      <c r="Y63" s="100" t="s">
        <v>6230</v>
      </c>
      <c r="Z63" s="100" t="s">
        <v>4634</v>
      </c>
      <c r="AA63" s="100" t="s">
        <v>6231</v>
      </c>
      <c r="AB63" s="100" t="s">
        <v>6232</v>
      </c>
      <c r="AC63" s="100" t="s">
        <v>59</v>
      </c>
      <c r="AD63" s="100" t="s">
        <v>59</v>
      </c>
      <c r="AE63" s="49"/>
      <c r="AF63" s="49"/>
      <c r="AG63" s="49"/>
      <c r="AH63" s="49"/>
      <c r="AI63" s="49"/>
      <c r="AJ63" s="49"/>
    </row>
    <row r="64" customFormat="false" ht="15.75" hidden="false" customHeight="true" outlineLevel="0" collapsed="false">
      <c r="A64" s="100" t="n">
        <v>60</v>
      </c>
      <c r="B64" s="100" t="s">
        <v>9786</v>
      </c>
      <c r="C64" s="100" t="s">
        <v>47</v>
      </c>
      <c r="D64" s="100" t="s">
        <v>71</v>
      </c>
      <c r="E64" s="100" t="s">
        <v>47</v>
      </c>
      <c r="F64" s="100" t="s">
        <v>71</v>
      </c>
      <c r="G64" s="100" t="s">
        <v>10088</v>
      </c>
      <c r="H64" s="100" t="n">
        <v>20</v>
      </c>
      <c r="I64" s="100" t="s">
        <v>6235</v>
      </c>
      <c r="J64" s="100" t="s">
        <v>10089</v>
      </c>
      <c r="K64" s="100" t="s">
        <v>10090</v>
      </c>
      <c r="L64" s="100" t="s">
        <v>10091</v>
      </c>
      <c r="M64" s="100" t="s">
        <v>10092</v>
      </c>
      <c r="N64" s="100" t="s">
        <v>10093</v>
      </c>
      <c r="O64" s="100" t="s">
        <v>10094</v>
      </c>
      <c r="P64" s="100" t="s">
        <v>10095</v>
      </c>
      <c r="Q64" s="100" t="s">
        <v>9790</v>
      </c>
      <c r="R64" s="100" t="n">
        <v>2</v>
      </c>
      <c r="S64" s="100" t="s">
        <v>9791</v>
      </c>
      <c r="T64" s="100" t="s">
        <v>9790</v>
      </c>
      <c r="U64" s="100" t="n">
        <v>2</v>
      </c>
      <c r="V64" s="100" t="s">
        <v>9791</v>
      </c>
      <c r="W64" s="100" t="s">
        <v>10096</v>
      </c>
      <c r="X64" s="100" t="s">
        <v>4634</v>
      </c>
      <c r="Y64" s="100" t="s">
        <v>6242</v>
      </c>
      <c r="Z64" s="100" t="s">
        <v>4634</v>
      </c>
      <c r="AA64" s="100" t="s">
        <v>10097</v>
      </c>
      <c r="AB64" s="100" t="s">
        <v>10098</v>
      </c>
      <c r="AC64" s="100" t="s">
        <v>98</v>
      </c>
      <c r="AD64" s="100" t="s">
        <v>59</v>
      </c>
      <c r="AE64" s="49"/>
      <c r="AF64" s="49"/>
      <c r="AG64" s="49"/>
      <c r="AH64" s="49"/>
      <c r="AI64" s="49"/>
      <c r="AJ64" s="49"/>
    </row>
    <row r="65" customFormat="false" ht="15.75" hidden="false" customHeight="true" outlineLevel="0" collapsed="false">
      <c r="A65" s="100" t="n">
        <v>22</v>
      </c>
      <c r="B65" s="100" t="s">
        <v>9786</v>
      </c>
      <c r="C65" s="100" t="s">
        <v>47</v>
      </c>
      <c r="D65" s="100" t="s">
        <v>71</v>
      </c>
      <c r="E65" s="100" t="s">
        <v>47</v>
      </c>
      <c r="F65" s="100" t="s">
        <v>71</v>
      </c>
      <c r="G65" s="100" t="s">
        <v>6246</v>
      </c>
      <c r="H65" s="100" t="n">
        <v>20</v>
      </c>
      <c r="I65" s="100" t="s">
        <v>1897</v>
      </c>
      <c r="J65" s="100" t="s">
        <v>10099</v>
      </c>
      <c r="K65" s="100" t="s">
        <v>10100</v>
      </c>
      <c r="L65" s="100" t="s">
        <v>6249</v>
      </c>
      <c r="M65" s="100" t="s">
        <v>10101</v>
      </c>
      <c r="N65" s="100" t="s">
        <v>10102</v>
      </c>
      <c r="O65" s="100" t="s">
        <v>102</v>
      </c>
      <c r="P65" s="100" t="s">
        <v>10103</v>
      </c>
      <c r="Q65" s="100" t="s">
        <v>9790</v>
      </c>
      <c r="R65" s="100" t="n">
        <v>2</v>
      </c>
      <c r="S65" s="100" t="s">
        <v>9791</v>
      </c>
      <c r="T65" s="100" t="s">
        <v>9790</v>
      </c>
      <c r="U65" s="100" t="n">
        <v>2</v>
      </c>
      <c r="V65" s="100" t="s">
        <v>9791</v>
      </c>
      <c r="W65" s="100" t="s">
        <v>10104</v>
      </c>
      <c r="X65" s="100" t="s">
        <v>4634</v>
      </c>
      <c r="Y65" s="100" t="s">
        <v>6253</v>
      </c>
      <c r="Z65" s="100" t="s">
        <v>4634</v>
      </c>
      <c r="AA65" s="100" t="s">
        <v>6254</v>
      </c>
      <c r="AB65" s="100" t="s">
        <v>6255</v>
      </c>
      <c r="AC65" s="100" t="s">
        <v>98</v>
      </c>
      <c r="AD65" s="100" t="s">
        <v>59</v>
      </c>
      <c r="AE65" s="49"/>
      <c r="AF65" s="49"/>
      <c r="AG65" s="49"/>
      <c r="AH65" s="49"/>
      <c r="AI65" s="49"/>
      <c r="AJ65" s="49"/>
    </row>
    <row r="66" customFormat="false" ht="15.75" hidden="false" customHeight="true" outlineLevel="0" collapsed="false">
      <c r="A66" s="100" t="n">
        <v>22</v>
      </c>
      <c r="B66" s="100" t="s">
        <v>9802</v>
      </c>
      <c r="C66" s="100" t="s">
        <v>47</v>
      </c>
      <c r="D66" s="100" t="s">
        <v>71</v>
      </c>
      <c r="E66" s="100" t="s">
        <v>47</v>
      </c>
      <c r="F66" s="100" t="s">
        <v>71</v>
      </c>
      <c r="G66" s="100" t="s">
        <v>10105</v>
      </c>
      <c r="H66" s="100" t="n">
        <v>35</v>
      </c>
      <c r="I66" s="100" t="s">
        <v>10106</v>
      </c>
      <c r="J66" s="100" t="s">
        <v>10107</v>
      </c>
      <c r="K66" s="100" t="s">
        <v>10108</v>
      </c>
      <c r="L66" s="100" t="s">
        <v>10109</v>
      </c>
      <c r="M66" s="100" t="s">
        <v>10110</v>
      </c>
      <c r="N66" s="100" t="s">
        <v>10111</v>
      </c>
      <c r="O66" s="100" t="s">
        <v>10112</v>
      </c>
      <c r="P66" s="100" t="s">
        <v>10113</v>
      </c>
      <c r="Q66" s="100" t="s">
        <v>9790</v>
      </c>
      <c r="R66" s="100" t="n">
        <v>2</v>
      </c>
      <c r="S66" s="100" t="s">
        <v>9791</v>
      </c>
      <c r="T66" s="100" t="s">
        <v>9791</v>
      </c>
      <c r="U66" s="100" t="n">
        <v>2</v>
      </c>
      <c r="V66" s="100" t="s">
        <v>9790</v>
      </c>
      <c r="W66" s="100" t="s">
        <v>6263</v>
      </c>
      <c r="X66" s="100" t="s">
        <v>4634</v>
      </c>
      <c r="Y66" s="100" t="s">
        <v>10114</v>
      </c>
      <c r="Z66" s="100" t="s">
        <v>9792</v>
      </c>
      <c r="AA66" s="100" t="s">
        <v>10115</v>
      </c>
      <c r="AB66" s="100" t="s">
        <v>10116</v>
      </c>
      <c r="AC66" s="100" t="s">
        <v>59</v>
      </c>
      <c r="AD66" s="100" t="s">
        <v>59</v>
      </c>
      <c r="AE66" s="49"/>
      <c r="AF66" s="49"/>
      <c r="AG66" s="49"/>
      <c r="AH66" s="49"/>
      <c r="AI66" s="49"/>
      <c r="AJ66" s="49"/>
    </row>
    <row r="67" customFormat="false" ht="15.75" hidden="false" customHeight="true" outlineLevel="0" collapsed="false">
      <c r="A67" s="100" t="n">
        <v>24</v>
      </c>
      <c r="B67" s="100" t="s">
        <v>9802</v>
      </c>
      <c r="C67" s="100" t="s">
        <v>47</v>
      </c>
      <c r="D67" s="100" t="s">
        <v>71</v>
      </c>
      <c r="E67" s="100" t="s">
        <v>47</v>
      </c>
      <c r="F67" s="100" t="s">
        <v>49</v>
      </c>
      <c r="G67" s="100" t="s">
        <v>6268</v>
      </c>
      <c r="H67" s="100" t="n">
        <v>50</v>
      </c>
      <c r="I67" s="100" t="s">
        <v>6269</v>
      </c>
      <c r="J67" s="100" t="s">
        <v>6270</v>
      </c>
      <c r="K67" s="100" t="s">
        <v>6271</v>
      </c>
      <c r="L67" s="100" t="s">
        <v>6272</v>
      </c>
      <c r="M67" s="100" t="s">
        <v>6273</v>
      </c>
      <c r="N67" s="100" t="s">
        <v>10117</v>
      </c>
      <c r="O67" s="100" t="s">
        <v>10118</v>
      </c>
      <c r="P67" s="100" t="s">
        <v>10119</v>
      </c>
      <c r="Q67" s="100" t="s">
        <v>9790</v>
      </c>
      <c r="R67" s="100" t="n">
        <v>2</v>
      </c>
      <c r="S67" s="100" t="s">
        <v>9791</v>
      </c>
      <c r="T67" s="100" t="s">
        <v>9791</v>
      </c>
      <c r="U67" s="100" t="s">
        <v>9790</v>
      </c>
      <c r="V67" s="100" t="n">
        <v>2</v>
      </c>
      <c r="W67" s="100" t="s">
        <v>10120</v>
      </c>
      <c r="X67" s="100" t="s">
        <v>4634</v>
      </c>
      <c r="Y67" s="100" t="s">
        <v>10121</v>
      </c>
      <c r="Z67" s="100" t="s">
        <v>9792</v>
      </c>
      <c r="AA67" s="100" t="s">
        <v>6277</v>
      </c>
      <c r="AB67" s="100" t="s">
        <v>9666</v>
      </c>
      <c r="AC67" s="100" t="s">
        <v>59</v>
      </c>
      <c r="AD67" s="100" t="s">
        <v>59</v>
      </c>
      <c r="AE67" s="49"/>
      <c r="AF67" s="49"/>
      <c r="AG67" s="49"/>
      <c r="AH67" s="49"/>
      <c r="AI67" s="49"/>
      <c r="AJ67" s="49"/>
    </row>
    <row r="68" customFormat="false" ht="15.75" hidden="false" customHeight="true" outlineLevel="0" collapsed="false">
      <c r="A68" s="100" t="n">
        <v>22</v>
      </c>
      <c r="B68" s="100" t="s">
        <v>9802</v>
      </c>
      <c r="C68" s="100" t="s">
        <v>47</v>
      </c>
      <c r="D68" s="100" t="s">
        <v>114</v>
      </c>
      <c r="E68" s="100" t="s">
        <v>47</v>
      </c>
      <c r="F68" s="100" t="s">
        <v>114</v>
      </c>
      <c r="G68" s="100" t="s">
        <v>10122</v>
      </c>
      <c r="H68" s="100" t="n">
        <v>20</v>
      </c>
      <c r="I68" s="100" t="s">
        <v>6280</v>
      </c>
      <c r="J68" s="100" t="s">
        <v>6281</v>
      </c>
      <c r="K68" s="100" t="s">
        <v>10123</v>
      </c>
      <c r="L68" s="100" t="s">
        <v>10124</v>
      </c>
      <c r="M68" s="100" t="s">
        <v>10125</v>
      </c>
      <c r="N68" s="100" t="s">
        <v>10126</v>
      </c>
      <c r="O68" s="100" t="s">
        <v>10127</v>
      </c>
      <c r="P68" s="100" t="s">
        <v>10128</v>
      </c>
      <c r="Q68" s="100" t="s">
        <v>9791</v>
      </c>
      <c r="R68" s="100" t="s">
        <v>9790</v>
      </c>
      <c r="S68" s="100" t="n">
        <v>2</v>
      </c>
      <c r="T68" s="100" t="n">
        <v>2</v>
      </c>
      <c r="U68" s="100" t="s">
        <v>9790</v>
      </c>
      <c r="V68" s="100" t="s">
        <v>9791</v>
      </c>
      <c r="W68" s="100" t="s">
        <v>10129</v>
      </c>
      <c r="X68" s="100" t="s">
        <v>4634</v>
      </c>
      <c r="Y68" s="100" t="s">
        <v>10130</v>
      </c>
      <c r="Z68" s="100" t="s">
        <v>5295</v>
      </c>
      <c r="AA68" s="100" t="s">
        <v>10131</v>
      </c>
      <c r="AB68" s="100" t="s">
        <v>10132</v>
      </c>
      <c r="AC68" s="100" t="s">
        <v>59</v>
      </c>
      <c r="AD68" s="100" t="s">
        <v>59</v>
      </c>
      <c r="AE68" s="49"/>
      <c r="AF68" s="49"/>
      <c r="AG68" s="49"/>
      <c r="AH68" s="49"/>
      <c r="AI68" s="49"/>
      <c r="AJ68" s="49"/>
    </row>
    <row r="69" customFormat="false" ht="15.75" hidden="false" customHeight="true" outlineLevel="0" collapsed="false">
      <c r="A69" s="100" t="n">
        <v>21</v>
      </c>
      <c r="B69" s="100" t="s">
        <v>9802</v>
      </c>
      <c r="C69" s="100" t="s">
        <v>47</v>
      </c>
      <c r="D69" s="100" t="s">
        <v>4867</v>
      </c>
      <c r="E69" s="100" t="s">
        <v>47</v>
      </c>
      <c r="F69" s="100" t="s">
        <v>49</v>
      </c>
      <c r="G69" s="100" t="s">
        <v>10133</v>
      </c>
      <c r="H69" s="100" t="n">
        <v>30</v>
      </c>
      <c r="I69" s="100" t="s">
        <v>6291</v>
      </c>
      <c r="J69" s="100" t="s">
        <v>6292</v>
      </c>
      <c r="K69" s="100" t="s">
        <v>98</v>
      </c>
      <c r="L69" s="100" t="s">
        <v>10134</v>
      </c>
      <c r="M69" s="100" t="s">
        <v>6294</v>
      </c>
      <c r="N69" s="100" t="s">
        <v>10135</v>
      </c>
      <c r="O69" s="100" t="s">
        <v>10136</v>
      </c>
      <c r="P69" s="100" t="s">
        <v>10137</v>
      </c>
      <c r="Q69" s="100" t="s">
        <v>9790</v>
      </c>
      <c r="R69" s="100" t="n">
        <v>2</v>
      </c>
      <c r="S69" s="100" t="s">
        <v>9791</v>
      </c>
      <c r="T69" s="100" t="s">
        <v>9790</v>
      </c>
      <c r="U69" s="100" t="n">
        <v>2</v>
      </c>
      <c r="V69" s="100" t="s">
        <v>9791</v>
      </c>
      <c r="W69" s="100" t="s">
        <v>6296</v>
      </c>
      <c r="X69" s="100" t="s">
        <v>5295</v>
      </c>
      <c r="Y69" s="100" t="s">
        <v>10138</v>
      </c>
      <c r="Z69" s="100" t="s">
        <v>9792</v>
      </c>
      <c r="AA69" s="100" t="s">
        <v>10139</v>
      </c>
      <c r="AB69" s="100" t="s">
        <v>10140</v>
      </c>
      <c r="AC69" s="100" t="s">
        <v>98</v>
      </c>
      <c r="AD69" s="100" t="s">
        <v>59</v>
      </c>
      <c r="AE69" s="49"/>
      <c r="AF69" s="49"/>
      <c r="AG69" s="49"/>
      <c r="AH69" s="49"/>
      <c r="AI69" s="49"/>
      <c r="AJ69" s="49"/>
    </row>
    <row r="70" customFormat="false" ht="15.75" hidden="false" customHeight="true" outlineLevel="0" collapsed="false">
      <c r="A70" s="100" t="n">
        <v>21</v>
      </c>
      <c r="B70" s="100" t="s">
        <v>9786</v>
      </c>
      <c r="C70" s="100" t="s">
        <v>47</v>
      </c>
      <c r="D70" s="100" t="s">
        <v>71</v>
      </c>
      <c r="E70" s="100" t="s">
        <v>47</v>
      </c>
      <c r="F70" s="100" t="s">
        <v>71</v>
      </c>
      <c r="G70" s="100" t="s">
        <v>6301</v>
      </c>
      <c r="H70" s="100" t="n">
        <v>20</v>
      </c>
      <c r="I70" s="100" t="s">
        <v>6302</v>
      </c>
      <c r="J70" s="100" t="s">
        <v>6303</v>
      </c>
      <c r="K70" s="100" t="s">
        <v>6304</v>
      </c>
      <c r="L70" s="100" t="s">
        <v>6305</v>
      </c>
      <c r="M70" s="100" t="s">
        <v>6306</v>
      </c>
      <c r="N70" s="100" t="s">
        <v>10141</v>
      </c>
      <c r="O70" s="100" t="s">
        <v>10142</v>
      </c>
      <c r="P70" s="100" t="s">
        <v>10143</v>
      </c>
      <c r="Q70" s="100" t="s">
        <v>9791</v>
      </c>
      <c r="R70" s="100" t="s">
        <v>9790</v>
      </c>
      <c r="S70" s="100" t="n">
        <v>2</v>
      </c>
      <c r="T70" s="100" t="n">
        <v>2</v>
      </c>
      <c r="U70" s="100" t="s">
        <v>9790</v>
      </c>
      <c r="V70" s="100" t="s">
        <v>9791</v>
      </c>
      <c r="W70" s="100" t="s">
        <v>10144</v>
      </c>
      <c r="X70" s="100" t="s">
        <v>9792</v>
      </c>
      <c r="Y70" s="100" t="s">
        <v>6309</v>
      </c>
      <c r="Z70" s="100" t="s">
        <v>4634</v>
      </c>
      <c r="AA70" s="100" t="s">
        <v>6310</v>
      </c>
      <c r="AB70" s="100" t="s">
        <v>6311</v>
      </c>
      <c r="AC70" s="100" t="s">
        <v>59</v>
      </c>
      <c r="AD70" s="100" t="s">
        <v>59</v>
      </c>
      <c r="AE70" s="49"/>
      <c r="AF70" s="49"/>
      <c r="AG70" s="49"/>
      <c r="AH70" s="49"/>
      <c r="AI70" s="49"/>
      <c r="AJ70" s="49"/>
    </row>
    <row r="71" customFormat="false" ht="15.75" hidden="false" customHeight="true" outlineLevel="0" collapsed="false">
      <c r="A71" s="100" t="n">
        <v>20</v>
      </c>
      <c r="B71" s="100" t="s">
        <v>9802</v>
      </c>
      <c r="C71" s="100" t="s">
        <v>47</v>
      </c>
      <c r="D71" s="100" t="s">
        <v>159</v>
      </c>
      <c r="E71" s="100" t="s">
        <v>47</v>
      </c>
      <c r="F71" s="100" t="s">
        <v>49</v>
      </c>
      <c r="G71" s="100" t="s">
        <v>6313</v>
      </c>
      <c r="H71" s="100" t="n">
        <v>35</v>
      </c>
      <c r="I71" s="100" t="s">
        <v>6314</v>
      </c>
      <c r="J71" s="100" t="s">
        <v>6315</v>
      </c>
      <c r="K71" s="100" t="s">
        <v>6316</v>
      </c>
      <c r="L71" s="100" t="s">
        <v>6317</v>
      </c>
      <c r="M71" s="100" t="s">
        <v>6318</v>
      </c>
      <c r="N71" s="100" t="s">
        <v>10145</v>
      </c>
      <c r="O71" s="100" t="s">
        <v>10146</v>
      </c>
      <c r="P71" s="100" t="s">
        <v>10147</v>
      </c>
      <c r="Q71" s="100" t="s">
        <v>9791</v>
      </c>
      <c r="R71" s="100" t="s">
        <v>9790</v>
      </c>
      <c r="S71" s="100" t="n">
        <v>2</v>
      </c>
      <c r="T71" s="100" t="n">
        <v>2</v>
      </c>
      <c r="U71" s="100" t="s">
        <v>9790</v>
      </c>
      <c r="V71" s="100" t="s">
        <v>9791</v>
      </c>
      <c r="W71" s="100" t="s">
        <v>6320</v>
      </c>
      <c r="X71" s="100" t="s">
        <v>9792</v>
      </c>
      <c r="Y71" s="100" t="s">
        <v>6321</v>
      </c>
      <c r="Z71" s="100" t="s">
        <v>5295</v>
      </c>
      <c r="AA71" s="100" t="s">
        <v>6322</v>
      </c>
      <c r="AB71" s="100" t="s">
        <v>6323</v>
      </c>
      <c r="AC71" s="100" t="s">
        <v>59</v>
      </c>
      <c r="AD71" s="100" t="s">
        <v>59</v>
      </c>
      <c r="AE71" s="49"/>
      <c r="AF71" s="49"/>
      <c r="AG71" s="49"/>
      <c r="AH71" s="49"/>
      <c r="AI71" s="49"/>
      <c r="AJ71" s="49"/>
    </row>
    <row r="72" customFormat="false" ht="15.75" hidden="false" customHeight="true" outlineLevel="0" collapsed="false">
      <c r="A72" s="100" t="n">
        <v>28</v>
      </c>
      <c r="B72" s="100" t="s">
        <v>9802</v>
      </c>
      <c r="C72" s="100" t="s">
        <v>47</v>
      </c>
      <c r="D72" s="100" t="s">
        <v>71</v>
      </c>
      <c r="E72" s="100" t="s">
        <v>47</v>
      </c>
      <c r="F72" s="100" t="s">
        <v>2521</v>
      </c>
      <c r="G72" s="100" t="s">
        <v>10148</v>
      </c>
      <c r="H72" s="100" t="n">
        <v>25</v>
      </c>
      <c r="I72" s="100" t="s">
        <v>10149</v>
      </c>
      <c r="J72" s="100" t="s">
        <v>10150</v>
      </c>
      <c r="K72" s="100" t="s">
        <v>59</v>
      </c>
      <c r="L72" s="100" t="s">
        <v>10151</v>
      </c>
      <c r="M72" s="100" t="s">
        <v>6329</v>
      </c>
      <c r="N72" s="100" t="s">
        <v>10152</v>
      </c>
      <c r="O72" s="100" t="s">
        <v>10153</v>
      </c>
      <c r="P72" s="100" t="s">
        <v>10154</v>
      </c>
      <c r="Q72" s="100" t="s">
        <v>9791</v>
      </c>
      <c r="R72" s="100" t="s">
        <v>9790</v>
      </c>
      <c r="S72" s="100" t="n">
        <v>2</v>
      </c>
      <c r="T72" s="100" t="s">
        <v>9791</v>
      </c>
      <c r="U72" s="100" t="s">
        <v>9790</v>
      </c>
      <c r="V72" s="100" t="n">
        <v>2</v>
      </c>
      <c r="W72" s="100" t="s">
        <v>10155</v>
      </c>
      <c r="X72" s="100" t="s">
        <v>5295</v>
      </c>
      <c r="Y72" s="100" t="s">
        <v>10156</v>
      </c>
      <c r="Z72" s="100" t="s">
        <v>5295</v>
      </c>
      <c r="AA72" s="100" t="s">
        <v>10157</v>
      </c>
      <c r="AB72" s="100" t="s">
        <v>442</v>
      </c>
      <c r="AC72" s="100" t="s">
        <v>59</v>
      </c>
      <c r="AD72" s="100" t="s">
        <v>59</v>
      </c>
      <c r="AE72" s="49"/>
      <c r="AF72" s="49"/>
      <c r="AG72" s="49"/>
      <c r="AH72" s="49"/>
      <c r="AI72" s="49"/>
      <c r="AJ72" s="49"/>
    </row>
    <row r="73" customFormat="false" ht="15.75" hidden="false" customHeight="true" outlineLevel="0" collapsed="false">
      <c r="A73" s="100" t="n">
        <v>47</v>
      </c>
      <c r="B73" s="100" t="s">
        <v>9786</v>
      </c>
      <c r="C73" s="100" t="s">
        <v>47</v>
      </c>
      <c r="D73" s="100" t="s">
        <v>344</v>
      </c>
      <c r="E73" s="100" t="s">
        <v>47</v>
      </c>
      <c r="F73" s="100" t="s">
        <v>171</v>
      </c>
      <c r="G73" s="100" t="s">
        <v>6335</v>
      </c>
      <c r="H73" s="100" t="n">
        <v>20</v>
      </c>
      <c r="I73" s="100" t="s">
        <v>10158</v>
      </c>
      <c r="J73" s="100" t="s">
        <v>10159</v>
      </c>
      <c r="K73" s="100" t="s">
        <v>9974</v>
      </c>
      <c r="L73" s="100" t="s">
        <v>10160</v>
      </c>
      <c r="M73" s="100" t="s">
        <v>6339</v>
      </c>
      <c r="N73" s="100" t="s">
        <v>10161</v>
      </c>
      <c r="O73" s="100" t="s">
        <v>10162</v>
      </c>
      <c r="P73" s="100" t="s">
        <v>10163</v>
      </c>
      <c r="Q73" s="100" t="s">
        <v>9791</v>
      </c>
      <c r="R73" s="100" t="n">
        <v>2</v>
      </c>
      <c r="S73" s="100" t="s">
        <v>9790</v>
      </c>
      <c r="T73" s="100" t="s">
        <v>9791</v>
      </c>
      <c r="U73" s="100" t="s">
        <v>9790</v>
      </c>
      <c r="V73" s="100" t="n">
        <v>2</v>
      </c>
      <c r="W73" s="100" t="s">
        <v>10164</v>
      </c>
      <c r="X73" s="100" t="s">
        <v>9792</v>
      </c>
      <c r="Y73" s="100" t="s">
        <v>10165</v>
      </c>
      <c r="Z73" s="100" t="s">
        <v>9792</v>
      </c>
      <c r="AA73" s="100" t="s">
        <v>10166</v>
      </c>
      <c r="AB73" s="100" t="s">
        <v>10167</v>
      </c>
      <c r="AC73" s="100" t="s">
        <v>59</v>
      </c>
      <c r="AD73" s="100" t="s">
        <v>59</v>
      </c>
      <c r="AE73" s="49"/>
      <c r="AF73" s="49"/>
      <c r="AG73" s="49"/>
      <c r="AH73" s="49"/>
      <c r="AI73" s="49"/>
      <c r="AJ73" s="49"/>
    </row>
    <row r="74" customFormat="false" ht="15.75" hidden="false" customHeight="true" outlineLevel="0" collapsed="false">
      <c r="A74" s="100" t="n">
        <v>68</v>
      </c>
      <c r="B74" s="100" t="s">
        <v>9802</v>
      </c>
      <c r="C74" s="100" t="s">
        <v>47</v>
      </c>
      <c r="D74" s="100" t="s">
        <v>159</v>
      </c>
      <c r="E74" s="100" t="s">
        <v>47</v>
      </c>
      <c r="F74" s="100" t="s">
        <v>46</v>
      </c>
      <c r="G74" s="100" t="s">
        <v>10168</v>
      </c>
      <c r="H74" s="100" t="n">
        <v>30</v>
      </c>
      <c r="I74" s="100" t="s">
        <v>10169</v>
      </c>
      <c r="J74" s="100" t="s">
        <v>10170</v>
      </c>
      <c r="K74" s="100" t="s">
        <v>10171</v>
      </c>
      <c r="L74" s="100" t="s">
        <v>10172</v>
      </c>
      <c r="M74" s="100" t="s">
        <v>10173</v>
      </c>
      <c r="N74" s="100" t="s">
        <v>10174</v>
      </c>
      <c r="O74" s="100" t="s">
        <v>10175</v>
      </c>
      <c r="P74" s="100" t="s">
        <v>10176</v>
      </c>
      <c r="Q74" s="100" t="s">
        <v>9791</v>
      </c>
      <c r="R74" s="100" t="s">
        <v>9790</v>
      </c>
      <c r="S74" s="100" t="n">
        <v>2</v>
      </c>
      <c r="T74" s="100" t="s">
        <v>9791</v>
      </c>
      <c r="U74" s="100" t="s">
        <v>9790</v>
      </c>
      <c r="V74" s="100" t="n">
        <v>2</v>
      </c>
      <c r="W74" s="100" t="s">
        <v>10177</v>
      </c>
      <c r="X74" s="100" t="s">
        <v>4634</v>
      </c>
      <c r="Y74" s="100" t="s">
        <v>10178</v>
      </c>
      <c r="Z74" s="100" t="s">
        <v>4634</v>
      </c>
      <c r="AA74" s="100" t="s">
        <v>6354</v>
      </c>
      <c r="AB74" s="100" t="s">
        <v>6355</v>
      </c>
      <c r="AC74" s="100" t="s">
        <v>59</v>
      </c>
      <c r="AD74" s="100" t="s">
        <v>59</v>
      </c>
      <c r="AE74" s="49"/>
      <c r="AF74" s="49"/>
      <c r="AG74" s="49"/>
      <c r="AH74" s="49"/>
      <c r="AI74" s="49"/>
      <c r="AJ74" s="49"/>
    </row>
    <row r="75" customFormat="false" ht="15.75" hidden="false" customHeight="true" outlineLevel="0" collapsed="false">
      <c r="A75" s="103" t="n">
        <v>22</v>
      </c>
      <c r="B75" s="103" t="s">
        <v>9802</v>
      </c>
      <c r="C75" s="103" t="s">
        <v>47</v>
      </c>
      <c r="D75" s="103" t="s">
        <v>71</v>
      </c>
      <c r="E75" s="103" t="s">
        <v>47</v>
      </c>
      <c r="F75" s="103" t="s">
        <v>159</v>
      </c>
      <c r="G75" s="103" t="s">
        <v>10179</v>
      </c>
      <c r="H75" s="103" t="n">
        <v>50</v>
      </c>
      <c r="I75" s="103" t="s">
        <v>6358</v>
      </c>
      <c r="J75" s="103" t="s">
        <v>10180</v>
      </c>
      <c r="K75" s="103" t="s">
        <v>10181</v>
      </c>
      <c r="L75" s="103" t="s">
        <v>6361</v>
      </c>
      <c r="M75" s="103" t="s">
        <v>6362</v>
      </c>
      <c r="N75" s="103" t="s">
        <v>10182</v>
      </c>
      <c r="O75" s="103" t="s">
        <v>10183</v>
      </c>
      <c r="P75" s="103" t="s">
        <v>10184</v>
      </c>
      <c r="Q75" s="103" t="s">
        <v>9791</v>
      </c>
      <c r="R75" s="103" t="s">
        <v>9790</v>
      </c>
      <c r="S75" s="103" t="n">
        <v>2</v>
      </c>
      <c r="T75" s="103" t="n">
        <v>2</v>
      </c>
      <c r="U75" s="103" t="s">
        <v>9791</v>
      </c>
      <c r="V75" s="103" t="s">
        <v>9790</v>
      </c>
      <c r="W75" s="103" t="s">
        <v>6364</v>
      </c>
      <c r="X75" s="103" t="s">
        <v>5295</v>
      </c>
      <c r="Y75" s="103" t="s">
        <v>10185</v>
      </c>
      <c r="Z75" s="103" t="s">
        <v>9792</v>
      </c>
      <c r="AA75" s="103" t="s">
        <v>6366</v>
      </c>
      <c r="AB75" s="103" t="s">
        <v>6367</v>
      </c>
      <c r="AC75" s="103" t="s">
        <v>59</v>
      </c>
      <c r="AD75" s="103" t="s">
        <v>59</v>
      </c>
      <c r="AE75" s="49"/>
      <c r="AF75" s="49"/>
      <c r="AG75" s="49"/>
      <c r="AH75" s="49"/>
      <c r="AI75" s="49"/>
      <c r="AJ75" s="49"/>
    </row>
    <row r="76" customFormat="false" ht="15.75" hidden="false" customHeight="true" outlineLevel="0" collapsed="false">
      <c r="A76" s="103" t="n">
        <v>20</v>
      </c>
      <c r="B76" s="103" t="s">
        <v>9802</v>
      </c>
      <c r="C76" s="103" t="s">
        <v>47</v>
      </c>
      <c r="D76" s="103" t="s">
        <v>159</v>
      </c>
      <c r="E76" s="103" t="s">
        <v>47</v>
      </c>
      <c r="F76" s="103" t="s">
        <v>49</v>
      </c>
      <c r="G76" s="103" t="s">
        <v>6369</v>
      </c>
      <c r="H76" s="103" t="n">
        <v>25</v>
      </c>
      <c r="I76" s="103" t="s">
        <v>6370</v>
      </c>
      <c r="J76" s="103" t="s">
        <v>6371</v>
      </c>
      <c r="K76" s="103" t="s">
        <v>6372</v>
      </c>
      <c r="L76" s="103" t="s">
        <v>6373</v>
      </c>
      <c r="M76" s="103" t="s">
        <v>5120</v>
      </c>
      <c r="N76" s="103" t="s">
        <v>10186</v>
      </c>
      <c r="O76" s="103" t="s">
        <v>10187</v>
      </c>
      <c r="P76" s="103" t="s">
        <v>10188</v>
      </c>
      <c r="Q76" s="103" t="s">
        <v>9791</v>
      </c>
      <c r="R76" s="103" t="s">
        <v>9790</v>
      </c>
      <c r="S76" s="103" t="n">
        <v>2</v>
      </c>
      <c r="T76" s="103" t="s">
        <v>9791</v>
      </c>
      <c r="U76" s="103" t="s">
        <v>9790</v>
      </c>
      <c r="V76" s="103" t="n">
        <v>2</v>
      </c>
      <c r="W76" s="103" t="s">
        <v>10189</v>
      </c>
      <c r="X76" s="103" t="s">
        <v>5295</v>
      </c>
      <c r="Y76" s="103" t="s">
        <v>6376</v>
      </c>
      <c r="Z76" s="103" t="s">
        <v>4634</v>
      </c>
      <c r="AA76" s="103" t="s">
        <v>6377</v>
      </c>
      <c r="AB76" s="103" t="s">
        <v>6378</v>
      </c>
      <c r="AC76" s="103" t="s">
        <v>59</v>
      </c>
      <c r="AD76" s="103" t="s">
        <v>59</v>
      </c>
      <c r="AE76" s="49"/>
      <c r="AF76" s="49"/>
      <c r="AG76" s="49"/>
      <c r="AH76" s="49"/>
      <c r="AI76" s="49"/>
      <c r="AJ76" s="49"/>
    </row>
    <row r="77" customFormat="false" ht="15.75" hidden="false" customHeight="true" outlineLevel="0" collapsed="false">
      <c r="A77" s="100" t="n">
        <v>21</v>
      </c>
      <c r="B77" s="100" t="s">
        <v>45</v>
      </c>
      <c r="C77" s="100" t="s">
        <v>47</v>
      </c>
      <c r="D77" s="100" t="s">
        <v>71</v>
      </c>
      <c r="E77" s="100" t="s">
        <v>47</v>
      </c>
      <c r="F77" s="100" t="s">
        <v>49</v>
      </c>
      <c r="G77" s="100" t="s">
        <v>6380</v>
      </c>
      <c r="H77" s="100" t="n">
        <v>35</v>
      </c>
      <c r="I77" s="100" t="s">
        <v>6381</v>
      </c>
      <c r="J77" s="100" t="s">
        <v>6382</v>
      </c>
      <c r="K77" s="100" t="s">
        <v>6383</v>
      </c>
      <c r="L77" s="100" t="s">
        <v>6384</v>
      </c>
      <c r="M77" s="100" t="s">
        <v>6385</v>
      </c>
      <c r="N77" s="100" t="s">
        <v>10190</v>
      </c>
      <c r="O77" s="100" t="s">
        <v>10191</v>
      </c>
      <c r="P77" s="100" t="s">
        <v>10192</v>
      </c>
      <c r="Q77" s="104" t="n">
        <v>3</v>
      </c>
      <c r="R77" s="104" t="n">
        <v>1</v>
      </c>
      <c r="S77" s="104" t="n">
        <v>2</v>
      </c>
      <c r="T77" s="104" t="n">
        <v>3</v>
      </c>
      <c r="U77" s="104" t="n">
        <v>1</v>
      </c>
      <c r="V77" s="104" t="n">
        <v>2</v>
      </c>
      <c r="W77" s="100" t="s">
        <v>6387</v>
      </c>
      <c r="X77" s="100" t="s">
        <v>5295</v>
      </c>
      <c r="Y77" s="100" t="s">
        <v>6388</v>
      </c>
      <c r="Z77" s="100" t="s">
        <v>10193</v>
      </c>
      <c r="AA77" s="100" t="s">
        <v>6389</v>
      </c>
      <c r="AB77" s="100" t="s">
        <v>59</v>
      </c>
      <c r="AC77" s="100" t="s">
        <v>59</v>
      </c>
      <c r="AD77" s="100" t="s">
        <v>59</v>
      </c>
      <c r="AE77" s="49"/>
      <c r="AF77" s="49"/>
      <c r="AG77" s="49"/>
      <c r="AH77" s="49"/>
      <c r="AI77" s="49"/>
      <c r="AJ77" s="49"/>
    </row>
    <row r="78" customFormat="false" ht="15.75" hidden="false" customHeight="true" outlineLevel="0" collapsed="false">
      <c r="A78" s="100" t="n">
        <v>22</v>
      </c>
      <c r="B78" s="100" t="s">
        <v>83</v>
      </c>
      <c r="C78" s="100" t="s">
        <v>47</v>
      </c>
      <c r="D78" s="100" t="s">
        <v>321</v>
      </c>
      <c r="E78" s="100" t="s">
        <v>47</v>
      </c>
      <c r="F78" s="100" t="s">
        <v>321</v>
      </c>
      <c r="G78" s="100" t="s">
        <v>2037</v>
      </c>
      <c r="H78" s="100" t="n">
        <v>30</v>
      </c>
      <c r="I78" s="100" t="s">
        <v>6391</v>
      </c>
      <c r="J78" s="100" t="s">
        <v>6392</v>
      </c>
      <c r="K78" s="100" t="s">
        <v>98</v>
      </c>
      <c r="L78" s="100" t="s">
        <v>6393</v>
      </c>
      <c r="M78" s="100" t="s">
        <v>6394</v>
      </c>
      <c r="N78" s="100" t="s">
        <v>10194</v>
      </c>
      <c r="O78" s="100" t="s">
        <v>10194</v>
      </c>
      <c r="P78" s="100" t="s">
        <v>10194</v>
      </c>
      <c r="Q78" s="104" t="n">
        <v>2</v>
      </c>
      <c r="R78" s="104" t="n">
        <v>1</v>
      </c>
      <c r="S78" s="104" t="n">
        <v>3</v>
      </c>
      <c r="T78" s="104" t="n">
        <v>2</v>
      </c>
      <c r="U78" s="104" t="n">
        <v>3</v>
      </c>
      <c r="V78" s="104" t="n">
        <v>1</v>
      </c>
      <c r="W78" s="100" t="s">
        <v>6396</v>
      </c>
      <c r="X78" s="100" t="s">
        <v>5295</v>
      </c>
      <c r="Y78" s="100" t="s">
        <v>6397</v>
      </c>
      <c r="Z78" s="100" t="s">
        <v>10193</v>
      </c>
      <c r="AA78" s="100" t="s">
        <v>6398</v>
      </c>
      <c r="AB78" s="100" t="s">
        <v>6398</v>
      </c>
      <c r="AC78" s="100" t="s">
        <v>98</v>
      </c>
      <c r="AD78" s="100" t="s">
        <v>98</v>
      </c>
      <c r="AE78" s="49"/>
      <c r="AF78" s="49"/>
      <c r="AG78" s="49"/>
      <c r="AH78" s="49"/>
      <c r="AI78" s="49"/>
      <c r="AJ78" s="49"/>
    </row>
    <row r="79" customFormat="false" ht="15.75" hidden="false" customHeight="true" outlineLevel="0" collapsed="false">
      <c r="A79" s="100" t="n">
        <v>21</v>
      </c>
      <c r="B79" s="100" t="s">
        <v>45</v>
      </c>
      <c r="C79" s="100" t="s">
        <v>47</v>
      </c>
      <c r="D79" s="100" t="s">
        <v>171</v>
      </c>
      <c r="E79" s="100" t="s">
        <v>47</v>
      </c>
      <c r="F79" s="100" t="s">
        <v>49</v>
      </c>
      <c r="G79" s="100" t="s">
        <v>6400</v>
      </c>
      <c r="H79" s="100" t="n">
        <v>30</v>
      </c>
      <c r="I79" s="100" t="s">
        <v>6401</v>
      </c>
      <c r="J79" s="100" t="s">
        <v>6402</v>
      </c>
      <c r="K79" s="100" t="s">
        <v>6403</v>
      </c>
      <c r="L79" s="100" t="s">
        <v>6404</v>
      </c>
      <c r="M79" s="100" t="s">
        <v>6405</v>
      </c>
      <c r="N79" s="100" t="s">
        <v>10195</v>
      </c>
      <c r="O79" s="100" t="s">
        <v>10196</v>
      </c>
      <c r="P79" s="100" t="s">
        <v>10197</v>
      </c>
      <c r="Q79" s="104" t="n">
        <v>3</v>
      </c>
      <c r="R79" s="104" t="n">
        <v>2</v>
      </c>
      <c r="S79" s="104" t="n">
        <v>1</v>
      </c>
      <c r="T79" s="104" t="n">
        <v>2</v>
      </c>
      <c r="U79" s="104" t="n">
        <v>3</v>
      </c>
      <c r="V79" s="104" t="n">
        <v>1</v>
      </c>
      <c r="W79" s="100" t="s">
        <v>6407</v>
      </c>
      <c r="X79" s="100" t="s">
        <v>10193</v>
      </c>
      <c r="Y79" s="100" t="s">
        <v>6408</v>
      </c>
      <c r="Z79" s="100" t="s">
        <v>4634</v>
      </c>
      <c r="AA79" s="100" t="s">
        <v>6409</v>
      </c>
      <c r="AB79" s="100" t="s">
        <v>6410</v>
      </c>
      <c r="AC79" s="100" t="s">
        <v>59</v>
      </c>
      <c r="AD79" s="100" t="s">
        <v>59</v>
      </c>
      <c r="AE79" s="49"/>
      <c r="AF79" s="49"/>
      <c r="AG79" s="49"/>
      <c r="AH79" s="49"/>
      <c r="AI79" s="49"/>
      <c r="AJ79" s="49"/>
    </row>
    <row r="80" customFormat="false" ht="15.75" hidden="false" customHeight="true" outlineLevel="0" collapsed="false">
      <c r="A80" s="100" t="n">
        <v>21</v>
      </c>
      <c r="B80" s="100" t="s">
        <v>45</v>
      </c>
      <c r="C80" s="100" t="s">
        <v>47</v>
      </c>
      <c r="D80" s="100" t="s">
        <v>71</v>
      </c>
      <c r="E80" s="100" t="s">
        <v>47</v>
      </c>
      <c r="F80" s="100" t="s">
        <v>49</v>
      </c>
      <c r="G80" s="100" t="s">
        <v>6412</v>
      </c>
      <c r="H80" s="100" t="n">
        <v>28</v>
      </c>
      <c r="I80" s="100" t="s">
        <v>6413</v>
      </c>
      <c r="J80" s="100" t="s">
        <v>6414</v>
      </c>
      <c r="K80" s="100" t="s">
        <v>6415</v>
      </c>
      <c r="L80" s="100" t="s">
        <v>6416</v>
      </c>
      <c r="M80" s="100" t="s">
        <v>59</v>
      </c>
      <c r="N80" s="100" t="s">
        <v>10198</v>
      </c>
      <c r="O80" s="100" t="s">
        <v>10198</v>
      </c>
      <c r="P80" s="100" t="s">
        <v>10198</v>
      </c>
      <c r="Q80" s="104" t="n">
        <v>1</v>
      </c>
      <c r="R80" s="104" t="n">
        <v>2</v>
      </c>
      <c r="S80" s="104" t="n">
        <v>3</v>
      </c>
      <c r="T80" s="104" t="n">
        <v>2</v>
      </c>
      <c r="U80" s="104" t="n">
        <v>1</v>
      </c>
      <c r="V80" s="104" t="n">
        <v>3</v>
      </c>
      <c r="W80" s="100" t="s">
        <v>6418</v>
      </c>
      <c r="X80" s="100" t="s">
        <v>4634</v>
      </c>
      <c r="Y80" s="100" t="s">
        <v>6419</v>
      </c>
      <c r="Z80" s="100" t="s">
        <v>10193</v>
      </c>
      <c r="AA80" s="100" t="s">
        <v>6420</v>
      </c>
      <c r="AB80" s="100" t="s">
        <v>59</v>
      </c>
      <c r="AC80" s="100" t="s">
        <v>59</v>
      </c>
      <c r="AD80" s="100" t="s">
        <v>59</v>
      </c>
      <c r="AE80" s="49"/>
      <c r="AF80" s="49"/>
      <c r="AG80" s="49"/>
      <c r="AH80" s="49"/>
      <c r="AI80" s="49"/>
      <c r="AJ80" s="49"/>
    </row>
    <row r="81" customFormat="false" ht="15.75" hidden="false" customHeight="true" outlineLevel="0" collapsed="false">
      <c r="A81" s="100" t="n">
        <v>25</v>
      </c>
      <c r="B81" s="100" t="s">
        <v>45</v>
      </c>
      <c r="C81" s="100" t="s">
        <v>47</v>
      </c>
      <c r="D81" s="100" t="s">
        <v>171</v>
      </c>
      <c r="E81" s="100" t="s">
        <v>47</v>
      </c>
      <c r="F81" s="100" t="s">
        <v>49</v>
      </c>
      <c r="G81" s="100" t="s">
        <v>6422</v>
      </c>
      <c r="H81" s="100" t="n">
        <v>45</v>
      </c>
      <c r="I81" s="100" t="s">
        <v>6423</v>
      </c>
      <c r="J81" s="100" t="s">
        <v>6424</v>
      </c>
      <c r="K81" s="100" t="s">
        <v>6425</v>
      </c>
      <c r="L81" s="100" t="s">
        <v>6426</v>
      </c>
      <c r="M81" s="100" t="s">
        <v>6427</v>
      </c>
      <c r="N81" s="100" t="s">
        <v>10199</v>
      </c>
      <c r="O81" s="100" t="s">
        <v>10199</v>
      </c>
      <c r="P81" s="100" t="s">
        <v>10199</v>
      </c>
      <c r="Q81" s="104" t="n">
        <v>1</v>
      </c>
      <c r="R81" s="104" t="n">
        <v>2</v>
      </c>
      <c r="S81" s="104" t="n">
        <v>3</v>
      </c>
      <c r="T81" s="104" t="n">
        <v>2</v>
      </c>
      <c r="U81" s="104" t="n">
        <v>1</v>
      </c>
      <c r="V81" s="104" t="n">
        <v>3</v>
      </c>
      <c r="W81" s="100" t="s">
        <v>6429</v>
      </c>
      <c r="X81" s="100" t="s">
        <v>4634</v>
      </c>
      <c r="Y81" s="100" t="s">
        <v>6430</v>
      </c>
      <c r="Z81" s="100" t="s">
        <v>10193</v>
      </c>
      <c r="AA81" s="100" t="s">
        <v>6431</v>
      </c>
      <c r="AB81" s="100" t="s">
        <v>6432</v>
      </c>
      <c r="AC81" s="100" t="s">
        <v>59</v>
      </c>
      <c r="AD81" s="100" t="s">
        <v>59</v>
      </c>
      <c r="AE81" s="49"/>
      <c r="AF81" s="49"/>
      <c r="AG81" s="49"/>
      <c r="AH81" s="49"/>
      <c r="AI81" s="49"/>
      <c r="AJ81" s="49"/>
    </row>
    <row r="82" customFormat="false" ht="15.75" hidden="false" customHeight="true" outlineLevel="0" collapsed="false">
      <c r="A82" s="100" t="n">
        <v>22</v>
      </c>
      <c r="B82" s="100" t="s">
        <v>83</v>
      </c>
      <c r="C82" s="100" t="s">
        <v>47</v>
      </c>
      <c r="D82" s="100" t="s">
        <v>171</v>
      </c>
      <c r="E82" s="100" t="s">
        <v>47</v>
      </c>
      <c r="F82" s="100" t="s">
        <v>49</v>
      </c>
      <c r="G82" s="100" t="s">
        <v>6434</v>
      </c>
      <c r="H82" s="100" t="n">
        <v>25</v>
      </c>
      <c r="I82" s="100" t="s">
        <v>6435</v>
      </c>
      <c r="J82" s="100" t="s">
        <v>6436</v>
      </c>
      <c r="K82" s="100" t="s">
        <v>59</v>
      </c>
      <c r="L82" s="100" t="s">
        <v>6437</v>
      </c>
      <c r="M82" s="100" t="s">
        <v>6438</v>
      </c>
      <c r="N82" s="100" t="s">
        <v>10200</v>
      </c>
      <c r="O82" s="100" t="s">
        <v>10200</v>
      </c>
      <c r="P82" s="100" t="s">
        <v>10200</v>
      </c>
      <c r="Q82" s="104" t="n">
        <v>3</v>
      </c>
      <c r="R82" s="104" t="n">
        <v>2</v>
      </c>
      <c r="S82" s="104" t="n">
        <v>1</v>
      </c>
      <c r="T82" s="104" t="n">
        <v>1</v>
      </c>
      <c r="U82" s="104" t="n">
        <v>2</v>
      </c>
      <c r="V82" s="104" t="n">
        <v>3</v>
      </c>
      <c r="W82" s="100" t="s">
        <v>6440</v>
      </c>
      <c r="X82" s="100" t="s">
        <v>10193</v>
      </c>
      <c r="Y82" s="100" t="s">
        <v>6441</v>
      </c>
      <c r="Z82" s="100" t="s">
        <v>10193</v>
      </c>
      <c r="AA82" s="100" t="s">
        <v>6442</v>
      </c>
      <c r="AB82" s="100" t="s">
        <v>1322</v>
      </c>
      <c r="AC82" s="100" t="s">
        <v>59</v>
      </c>
      <c r="AD82" s="100" t="s">
        <v>59</v>
      </c>
      <c r="AE82" s="49"/>
      <c r="AF82" s="49"/>
      <c r="AG82" s="49"/>
      <c r="AH82" s="49"/>
      <c r="AI82" s="49"/>
      <c r="AJ82" s="49"/>
    </row>
    <row r="83" customFormat="false" ht="15.75" hidden="false" customHeight="true" outlineLevel="0" collapsed="false">
      <c r="A83" s="100" t="n">
        <v>21</v>
      </c>
      <c r="B83" s="100" t="s">
        <v>45</v>
      </c>
      <c r="C83" s="100" t="s">
        <v>47</v>
      </c>
      <c r="D83" s="100" t="s">
        <v>71</v>
      </c>
      <c r="E83" s="100" t="s">
        <v>47</v>
      </c>
      <c r="F83" s="100" t="s">
        <v>49</v>
      </c>
      <c r="G83" s="100" t="s">
        <v>6444</v>
      </c>
      <c r="H83" s="100" t="n">
        <v>30</v>
      </c>
      <c r="I83" s="100" t="s">
        <v>6445</v>
      </c>
      <c r="J83" s="100" t="s">
        <v>6446</v>
      </c>
      <c r="K83" s="100" t="s">
        <v>6447</v>
      </c>
      <c r="L83" s="100" t="s">
        <v>6448</v>
      </c>
      <c r="M83" s="100" t="s">
        <v>6449</v>
      </c>
      <c r="N83" s="100" t="s">
        <v>10201</v>
      </c>
      <c r="O83" s="100" t="s">
        <v>10201</v>
      </c>
      <c r="P83" s="100" t="s">
        <v>10201</v>
      </c>
      <c r="Q83" s="104" t="n">
        <v>1</v>
      </c>
      <c r="R83" s="104" t="n">
        <v>3</v>
      </c>
      <c r="S83" s="104" t="n">
        <v>2</v>
      </c>
      <c r="T83" s="104" t="n">
        <v>1</v>
      </c>
      <c r="U83" s="104" t="n">
        <v>2</v>
      </c>
      <c r="V83" s="104" t="n">
        <v>3</v>
      </c>
      <c r="W83" s="100" t="s">
        <v>6451</v>
      </c>
      <c r="X83" s="100" t="s">
        <v>4634</v>
      </c>
      <c r="Y83" s="100" t="s">
        <v>6452</v>
      </c>
      <c r="Z83" s="100" t="s">
        <v>10193</v>
      </c>
      <c r="AA83" s="100" t="s">
        <v>6453</v>
      </c>
      <c r="AB83" s="100" t="s">
        <v>6454</v>
      </c>
      <c r="AC83" s="100" t="s">
        <v>59</v>
      </c>
      <c r="AD83" s="100" t="s">
        <v>59</v>
      </c>
      <c r="AE83" s="49"/>
      <c r="AF83" s="49"/>
      <c r="AG83" s="49"/>
      <c r="AH83" s="49"/>
      <c r="AI83" s="49"/>
      <c r="AJ83" s="49"/>
    </row>
    <row r="84" customFormat="false" ht="15.75" hidden="false" customHeight="true" outlineLevel="0" collapsed="false">
      <c r="A84" s="100" t="n">
        <v>22</v>
      </c>
      <c r="B84" s="100" t="s">
        <v>45</v>
      </c>
      <c r="C84" s="100" t="s">
        <v>47</v>
      </c>
      <c r="D84" s="100" t="s">
        <v>71</v>
      </c>
      <c r="E84" s="100" t="s">
        <v>47</v>
      </c>
      <c r="F84" s="100" t="s">
        <v>49</v>
      </c>
      <c r="G84" s="100" t="s">
        <v>6456</v>
      </c>
      <c r="H84" s="100" t="n">
        <v>40</v>
      </c>
      <c r="I84" s="100" t="s">
        <v>547</v>
      </c>
      <c r="J84" s="100" t="s">
        <v>6457</v>
      </c>
      <c r="K84" s="100" t="s">
        <v>6458</v>
      </c>
      <c r="L84" s="100" t="s">
        <v>6459</v>
      </c>
      <c r="M84" s="100" t="s">
        <v>6460</v>
      </c>
      <c r="N84" s="100" t="s">
        <v>10202</v>
      </c>
      <c r="O84" s="100" t="s">
        <v>10202</v>
      </c>
      <c r="P84" s="100" t="s">
        <v>10202</v>
      </c>
      <c r="Q84" s="104" t="n">
        <v>2</v>
      </c>
      <c r="R84" s="104" t="n">
        <v>1</v>
      </c>
      <c r="S84" s="104" t="n">
        <v>3</v>
      </c>
      <c r="T84" s="104" t="n">
        <v>2</v>
      </c>
      <c r="U84" s="104" t="n">
        <v>1</v>
      </c>
      <c r="V84" s="104" t="n">
        <v>3</v>
      </c>
      <c r="W84" s="100" t="s">
        <v>6462</v>
      </c>
      <c r="X84" s="100" t="s">
        <v>4634</v>
      </c>
      <c r="Y84" s="100" t="s">
        <v>6463</v>
      </c>
      <c r="Z84" s="100" t="s">
        <v>10193</v>
      </c>
      <c r="AA84" s="100" t="s">
        <v>6464</v>
      </c>
      <c r="AB84" s="100" t="s">
        <v>59</v>
      </c>
      <c r="AC84" s="100" t="s">
        <v>59</v>
      </c>
      <c r="AD84" s="100" t="s">
        <v>59</v>
      </c>
      <c r="AE84" s="49"/>
      <c r="AF84" s="49"/>
      <c r="AG84" s="49"/>
      <c r="AH84" s="49"/>
      <c r="AI84" s="49"/>
      <c r="AJ84" s="49"/>
    </row>
    <row r="85" customFormat="false" ht="15.75" hidden="false" customHeight="true" outlineLevel="0" collapsed="false">
      <c r="A85" s="100" t="n">
        <v>19</v>
      </c>
      <c r="B85" s="100" t="s">
        <v>45</v>
      </c>
      <c r="C85" s="100" t="s">
        <v>47</v>
      </c>
      <c r="D85" s="100" t="s">
        <v>71</v>
      </c>
      <c r="E85" s="100" t="s">
        <v>47</v>
      </c>
      <c r="F85" s="100" t="s">
        <v>71</v>
      </c>
      <c r="G85" s="100" t="s">
        <v>6466</v>
      </c>
      <c r="H85" s="100" t="n">
        <v>15</v>
      </c>
      <c r="I85" s="100" t="s">
        <v>6467</v>
      </c>
      <c r="J85" s="100" t="s">
        <v>6468</v>
      </c>
      <c r="K85" s="100" t="s">
        <v>442</v>
      </c>
      <c r="L85" s="100" t="s">
        <v>6469</v>
      </c>
      <c r="M85" s="100" t="s">
        <v>6470</v>
      </c>
      <c r="N85" s="100" t="s">
        <v>10203</v>
      </c>
      <c r="O85" s="100" t="s">
        <v>10203</v>
      </c>
      <c r="P85" s="100" t="s">
        <v>10203</v>
      </c>
      <c r="Q85" s="104" t="n">
        <v>1</v>
      </c>
      <c r="R85" s="104" t="n">
        <v>2</v>
      </c>
      <c r="S85" s="104" t="n">
        <v>3</v>
      </c>
      <c r="T85" s="104" t="n">
        <v>1</v>
      </c>
      <c r="U85" s="104" t="n">
        <v>3</v>
      </c>
      <c r="V85" s="104" t="n">
        <v>2</v>
      </c>
      <c r="W85" s="100" t="s">
        <v>6472</v>
      </c>
      <c r="X85" s="100" t="s">
        <v>4634</v>
      </c>
      <c r="Y85" s="100" t="s">
        <v>6473</v>
      </c>
      <c r="Z85" s="100" t="s">
        <v>10193</v>
      </c>
      <c r="AA85" s="100" t="s">
        <v>6474</v>
      </c>
      <c r="AB85" s="100" t="s">
        <v>6475</v>
      </c>
      <c r="AC85" s="100" t="s">
        <v>59</v>
      </c>
      <c r="AD85" s="100" t="s">
        <v>59</v>
      </c>
      <c r="AE85" s="49"/>
      <c r="AF85" s="49"/>
      <c r="AG85" s="49"/>
      <c r="AH85" s="49"/>
      <c r="AI85" s="49"/>
      <c r="AJ85" s="49"/>
    </row>
    <row r="86" customFormat="false" ht="15.75" hidden="false" customHeight="true" outlineLevel="0" collapsed="false">
      <c r="A86" s="100" t="n">
        <v>21</v>
      </c>
      <c r="B86" s="100" t="s">
        <v>45</v>
      </c>
      <c r="C86" s="100" t="s">
        <v>5980</v>
      </c>
      <c r="D86" s="49"/>
      <c r="E86" s="100" t="s">
        <v>47</v>
      </c>
      <c r="F86" s="100" t="s">
        <v>289</v>
      </c>
      <c r="G86" s="100" t="s">
        <v>6477</v>
      </c>
      <c r="H86" s="100" t="n">
        <v>35</v>
      </c>
      <c r="I86" s="100" t="s">
        <v>6478</v>
      </c>
      <c r="J86" s="100" t="s">
        <v>6479</v>
      </c>
      <c r="K86" s="100" t="s">
        <v>6480</v>
      </c>
      <c r="L86" s="100" t="s">
        <v>6481</v>
      </c>
      <c r="M86" s="100" t="s">
        <v>6482</v>
      </c>
      <c r="N86" s="100" t="s">
        <v>10204</v>
      </c>
      <c r="O86" s="100" t="s">
        <v>10205</v>
      </c>
      <c r="P86" s="100" t="s">
        <v>10206</v>
      </c>
      <c r="Q86" s="104" t="n">
        <v>2</v>
      </c>
      <c r="R86" s="104" t="n">
        <v>1</v>
      </c>
      <c r="S86" s="104" t="n">
        <v>3</v>
      </c>
      <c r="T86" s="104" t="n">
        <v>2</v>
      </c>
      <c r="U86" s="104" t="n">
        <v>1</v>
      </c>
      <c r="V86" s="104" t="n">
        <v>3</v>
      </c>
      <c r="W86" s="100" t="s">
        <v>6484</v>
      </c>
      <c r="X86" s="100" t="s">
        <v>4634</v>
      </c>
      <c r="Y86" s="100" t="s">
        <v>6485</v>
      </c>
      <c r="Z86" s="100" t="s">
        <v>10193</v>
      </c>
      <c r="AA86" s="100" t="s">
        <v>6486</v>
      </c>
      <c r="AB86" s="100" t="s">
        <v>6487</v>
      </c>
      <c r="AC86" s="100" t="s">
        <v>59</v>
      </c>
      <c r="AD86" s="100" t="s">
        <v>59</v>
      </c>
      <c r="AE86" s="49"/>
      <c r="AF86" s="49"/>
      <c r="AG86" s="49"/>
      <c r="AH86" s="49"/>
      <c r="AI86" s="49"/>
      <c r="AJ86" s="49"/>
    </row>
    <row r="87" customFormat="false" ht="15.75" hidden="false" customHeight="true" outlineLevel="0" collapsed="false">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row>
    <row r="88" customFormat="false" ht="15.75" hidden="false" customHeight="true" outlineLevel="0" collapsed="false">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row>
    <row r="89" customFormat="false" ht="15.75" hidden="false" customHeight="true" outlineLevel="0" collapsed="false">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row>
    <row r="90" customFormat="false" ht="15.75" hidden="false" customHeight="true" outlineLevel="0" collapsed="false">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row>
    <row r="91" customFormat="false" ht="15.75" hidden="false" customHeight="true" outlineLevel="0" collapsed="false">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row>
    <row r="92" customFormat="false" ht="15.75" hidden="false" customHeight="true" outlineLevel="0" collapsed="false">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row>
    <row r="93" customFormat="false" ht="15.75" hidden="false" customHeight="true" outlineLevel="0" collapsed="false">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row>
    <row r="94" customFormat="false" ht="15.75" hidden="false" customHeight="true" outlineLevel="0" collapsed="false">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row>
    <row r="95" customFormat="false" ht="15.75" hidden="false" customHeight="true" outlineLevel="0" collapsed="false">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row>
    <row r="96" customFormat="false" ht="15.75" hidden="false" customHeight="true" outlineLevel="0" collapsed="false">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row>
    <row r="97" customFormat="false" ht="15.75" hidden="false" customHeight="true" outlineLevel="0" collapsed="false">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row>
    <row r="98" customFormat="false" ht="15.75" hidden="false" customHeight="true" outlineLevel="0" collapsed="false">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row>
    <row r="99" customFormat="false" ht="15.75" hidden="false" customHeight="true" outlineLevel="0" collapsed="false">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row>
    <row r="100" customFormat="false" ht="15.75" hidden="false" customHeight="true" outlineLevel="0" collapsed="false">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row>
    <row r="101" customFormat="false" ht="15.75" hidden="false" customHeight="true" outlineLevel="0" collapsed="false">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row>
    <row r="102" customFormat="false" ht="15.75" hidden="false" customHeight="true" outlineLevel="0" collapsed="false">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row>
    <row r="103" customFormat="false" ht="15.75" hidden="false" customHeight="true" outlineLevel="0" collapsed="false">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row>
    <row r="104" customFormat="false" ht="15.75" hidden="false" customHeight="true" outlineLevel="0" collapsed="false">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row>
    <row r="105" customFormat="false" ht="15.75" hidden="false" customHeight="true" outlineLevel="0" collapsed="false">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row>
    <row r="106" customFormat="false" ht="15.75" hidden="false" customHeight="true" outlineLevel="0" collapsed="false">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row>
    <row r="107" customFormat="false" ht="15.75" hidden="false" customHeight="true" outlineLevel="0" collapsed="false">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row>
    <row r="108" customFormat="false" ht="15.75" hidden="false" customHeight="true" outlineLevel="0" collapsed="false">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row>
    <row r="109" customFormat="false" ht="15.75" hidden="false" customHeight="true" outlineLevel="0" collapsed="false">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row>
    <row r="110" customFormat="false" ht="15.75" hidden="false" customHeight="true" outlineLevel="0" collapsed="false">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row>
    <row r="111" customFormat="false" ht="15.75" hidden="false" customHeight="true" outlineLevel="0" collapsed="false">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row>
    <row r="112" customFormat="false" ht="15.75" hidden="false" customHeight="true" outlineLevel="0" collapsed="false">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row>
    <row r="113" customFormat="false" ht="15.75" hidden="false" customHeight="true" outlineLevel="0" collapsed="false">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row>
    <row r="114" customFormat="false" ht="15.75" hidden="false" customHeight="true" outlineLevel="0" collapsed="false">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row>
    <row r="115" customFormat="false" ht="15.75" hidden="false" customHeight="true" outlineLevel="0" collapsed="false">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row>
    <row r="116" customFormat="false" ht="15.75" hidden="false" customHeight="true" outlineLevel="0" collapsed="false">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row>
    <row r="117" customFormat="false" ht="15.75" hidden="false" customHeight="true" outlineLevel="0" collapsed="false">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row>
    <row r="118" customFormat="false" ht="15.75" hidden="false" customHeight="true" outlineLevel="0" collapsed="false">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row>
    <row r="119" customFormat="false" ht="15.75" hidden="false" customHeight="true" outlineLevel="0" collapsed="false">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row>
    <row r="120" customFormat="false" ht="15.75" hidden="false" customHeight="true" outlineLevel="0" collapsed="false">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row>
    <row r="121" customFormat="false" ht="15.75" hidden="false" customHeight="true" outlineLevel="0" collapsed="false">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row>
    <row r="122" customFormat="false" ht="15.75" hidden="false" customHeight="true" outlineLevel="0" collapsed="false">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row>
    <row r="123" customFormat="false" ht="15.75" hidden="false" customHeight="true" outlineLevel="0" collapsed="false">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row>
    <row r="124" customFormat="false" ht="15.75" hidden="false" customHeight="true" outlineLevel="0" collapsed="false">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row>
    <row r="125" customFormat="false" ht="15.75" hidden="false" customHeight="true" outlineLevel="0" collapsed="false">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row>
    <row r="126" customFormat="false" ht="15.75" hidden="false" customHeight="true" outlineLevel="0" collapsed="false">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row>
    <row r="127" customFormat="false" ht="15.75" hidden="false" customHeight="true" outlineLevel="0" collapsed="false">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row>
    <row r="128" customFormat="false" ht="15.75" hidden="false" customHeight="true" outlineLevel="0" collapsed="false">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row>
    <row r="129" customFormat="false" ht="15.75" hidden="false" customHeight="true" outlineLevel="0" collapsed="false">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row>
    <row r="130" customFormat="false" ht="15.75" hidden="false" customHeight="true" outlineLevel="0" collapsed="false">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row>
    <row r="131" customFormat="false" ht="15.75" hidden="false" customHeight="true" outlineLevel="0" collapsed="false">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row>
    <row r="132" customFormat="false" ht="15.75" hidden="false" customHeight="true" outlineLevel="0" collapsed="false">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row>
    <row r="133" customFormat="false" ht="15.75" hidden="false" customHeight="true" outlineLevel="0" collapsed="false">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row>
    <row r="134" customFormat="false" ht="15.75" hidden="false" customHeight="true" outlineLevel="0" collapsed="false">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row>
    <row r="135" customFormat="false" ht="15.75" hidden="false" customHeight="true" outlineLevel="0" collapsed="false">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row>
    <row r="136" customFormat="false" ht="15.75" hidden="false" customHeight="true" outlineLevel="0" collapsed="false">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row>
    <row r="137" customFormat="false" ht="15.75" hidden="false" customHeight="true" outlineLevel="0" collapsed="false">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row>
    <row r="138" customFormat="false" ht="15.75" hidden="false" customHeight="true" outlineLevel="0" collapsed="false">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customFormat="false" ht="15.75" hidden="false" customHeight="true" outlineLevel="0" collapsed="false">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customFormat="false" ht="15.75" hidden="false" customHeight="true" outlineLevel="0" collapsed="false">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customFormat="false" ht="15.75" hidden="false" customHeight="true" outlineLevel="0" collapsed="false">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row>
    <row r="142" customFormat="false" ht="15.75" hidden="false" customHeight="true" outlineLevel="0" collapsed="false">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row>
    <row r="143" customFormat="false" ht="15.75" hidden="false" customHeight="true" outlineLevel="0" collapsed="false">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customFormat="false" ht="15.75" hidden="false" customHeight="true" outlineLevel="0" collapsed="false">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customFormat="false" ht="15.75" hidden="false" customHeight="true" outlineLevel="0" collapsed="false">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customFormat="false" ht="15.75" hidden="false" customHeight="true" outlineLevel="0" collapsed="false">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row>
    <row r="147" customFormat="false" ht="15.75" hidden="false" customHeight="true" outlineLevel="0" collapsed="false">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row>
    <row r="148" customFormat="false" ht="15.75" hidden="false" customHeight="true" outlineLevel="0" collapsed="false">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customFormat="false" ht="15.75" hidden="false" customHeight="true" outlineLevel="0" collapsed="false">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customFormat="false" ht="15.75" hidden="false" customHeight="true" outlineLevel="0" collapsed="false">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customFormat="false" ht="15.75" hidden="false" customHeight="true" outlineLevel="0" collapsed="false">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customFormat="false" ht="15.75" hidden="false" customHeight="true" outlineLevel="0" collapsed="false">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customFormat="false" ht="15.75" hidden="false" customHeight="true" outlineLevel="0" collapsed="false">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customFormat="false" ht="15.75" hidden="false" customHeight="true" outlineLevel="0" collapsed="false">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customFormat="false" ht="15.75" hidden="false" customHeight="true" outlineLevel="0" collapsed="false">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customFormat="false" ht="15.75" hidden="false" customHeight="true" outlineLevel="0" collapsed="false">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customFormat="false" ht="15.75" hidden="false" customHeight="true" outlineLevel="0" collapsed="false">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customFormat="false" ht="15.75" hidden="false" customHeight="true" outlineLevel="0" collapsed="false">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customFormat="false" ht="15.75" hidden="false" customHeight="true" outlineLevel="0" collapsed="false">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row>
    <row r="160" customFormat="false" ht="15.75" hidden="false" customHeight="true" outlineLevel="0" collapsed="false">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row>
    <row r="161" customFormat="false" ht="15.75" hidden="false" customHeight="true" outlineLevel="0" collapsed="false">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row>
    <row r="162" customFormat="false" ht="15.75" hidden="false" customHeight="true" outlineLevel="0" collapsed="false">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row>
    <row r="163" customFormat="false" ht="15.75" hidden="false" customHeight="true" outlineLevel="0" collapsed="false">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row>
    <row r="164" customFormat="false" ht="15.75" hidden="false" customHeight="true" outlineLevel="0" collapsed="false">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row>
    <row r="165" customFormat="false" ht="15.75" hidden="false" customHeight="true" outlineLevel="0" collapsed="false">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row>
    <row r="166" customFormat="false" ht="15.75" hidden="false" customHeight="true" outlineLevel="0" collapsed="false">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row>
    <row r="167" customFormat="false" ht="15.75" hidden="false" customHeight="true" outlineLevel="0" collapsed="false">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row>
    <row r="168" customFormat="false" ht="15.75" hidden="false" customHeight="true" outlineLevel="0" collapsed="false">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row>
    <row r="169" customFormat="false" ht="15.75" hidden="false" customHeight="true" outlineLevel="0" collapsed="false">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row>
    <row r="170" customFormat="false" ht="15.75" hidden="false" customHeight="true" outlineLevel="0" collapsed="false">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row>
    <row r="171" customFormat="false" ht="15.75" hidden="false" customHeight="true" outlineLevel="0" collapsed="false">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row>
    <row r="172" customFormat="false" ht="15.75" hidden="false" customHeight="true" outlineLevel="0" collapsed="false">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row>
    <row r="173" customFormat="false" ht="15.75" hidden="false" customHeight="true" outlineLevel="0" collapsed="false">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row>
    <row r="174" customFormat="false" ht="15.75" hidden="false" customHeight="true" outlineLevel="0" collapsed="false">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row>
    <row r="175" customFormat="false" ht="15.75" hidden="false" customHeight="true" outlineLevel="0" collapsed="false">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row>
    <row r="176" customFormat="false" ht="15.75" hidden="false" customHeight="true" outlineLevel="0" collapsed="false">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row>
  </sheetData>
  <mergeCells count="140">
    <mergeCell ref="A6:A8"/>
    <mergeCell ref="B6:B8"/>
    <mergeCell ref="C6:C8"/>
    <mergeCell ref="D6:D8"/>
    <mergeCell ref="E6:E8"/>
    <mergeCell ref="F6:F8"/>
    <mergeCell ref="G6:G8"/>
    <mergeCell ref="H6:H8"/>
    <mergeCell ref="I6:I8"/>
    <mergeCell ref="J6:J8"/>
    <mergeCell ref="K6:K8"/>
    <mergeCell ref="M6:M8"/>
    <mergeCell ref="N6:N8"/>
    <mergeCell ref="O6:O8"/>
    <mergeCell ref="P6:P8"/>
    <mergeCell ref="Q6:Q8"/>
    <mergeCell ref="R6:R8"/>
    <mergeCell ref="S6:S8"/>
    <mergeCell ref="T6:T8"/>
    <mergeCell ref="U6:U8"/>
    <mergeCell ref="V6:V8"/>
    <mergeCell ref="W6:W8"/>
    <mergeCell ref="X6:X8"/>
    <mergeCell ref="Y6:Y8"/>
    <mergeCell ref="Z6:Z8"/>
    <mergeCell ref="AA6:AA8"/>
    <mergeCell ref="AB6:AB8"/>
    <mergeCell ref="AC6:AC8"/>
    <mergeCell ref="AD6:AD8"/>
    <mergeCell ref="AE6:AE8"/>
    <mergeCell ref="AF6:AF8"/>
    <mergeCell ref="AG6:AG8"/>
    <mergeCell ref="AH6:AH8"/>
    <mergeCell ref="AI6:AI8"/>
    <mergeCell ref="AJ6:AJ8"/>
    <mergeCell ref="A14:A16"/>
    <mergeCell ref="B14:B16"/>
    <mergeCell ref="C14:C16"/>
    <mergeCell ref="D14:D16"/>
    <mergeCell ref="E14:E16"/>
    <mergeCell ref="F14:F16"/>
    <mergeCell ref="G14:G16"/>
    <mergeCell ref="H14:H16"/>
    <mergeCell ref="I14:I16"/>
    <mergeCell ref="J14:J16"/>
    <mergeCell ref="K14:K16"/>
    <mergeCell ref="M14:M16"/>
    <mergeCell ref="N14:N16"/>
    <mergeCell ref="O14:O16"/>
    <mergeCell ref="P14:P16"/>
    <mergeCell ref="Q14:Q16"/>
    <mergeCell ref="R14:R16"/>
    <mergeCell ref="S14:S16"/>
    <mergeCell ref="T14:T16"/>
    <mergeCell ref="U14:U16"/>
    <mergeCell ref="V14:V16"/>
    <mergeCell ref="W14:W16"/>
    <mergeCell ref="X14:X16"/>
    <mergeCell ref="Y14:Y16"/>
    <mergeCell ref="Z14:Z16"/>
    <mergeCell ref="AA14:AA16"/>
    <mergeCell ref="AB14:AB16"/>
    <mergeCell ref="AC14:AC16"/>
    <mergeCell ref="AD14:AD16"/>
    <mergeCell ref="AE14:AE16"/>
    <mergeCell ref="AF14:AF16"/>
    <mergeCell ref="AG14:AG16"/>
    <mergeCell ref="AH14:AH16"/>
    <mergeCell ref="AI14:AI16"/>
    <mergeCell ref="AJ14:AJ16"/>
    <mergeCell ref="A42:A44"/>
    <mergeCell ref="B42:B44"/>
    <mergeCell ref="C42:C44"/>
    <mergeCell ref="D42:D44"/>
    <mergeCell ref="E42:E44"/>
    <mergeCell ref="F42:F44"/>
    <mergeCell ref="G42:G44"/>
    <mergeCell ref="H42:H44"/>
    <mergeCell ref="I42:I44"/>
    <mergeCell ref="J42:J44"/>
    <mergeCell ref="K42:K44"/>
    <mergeCell ref="M42:M44"/>
    <mergeCell ref="N42:N44"/>
    <mergeCell ref="O42:O44"/>
    <mergeCell ref="P42:P44"/>
    <mergeCell ref="Q42:Q44"/>
    <mergeCell ref="R42:R44"/>
    <mergeCell ref="S42:S44"/>
    <mergeCell ref="T42:T44"/>
    <mergeCell ref="U42:U44"/>
    <mergeCell ref="V42:V44"/>
    <mergeCell ref="W42:W44"/>
    <mergeCell ref="X42:X44"/>
    <mergeCell ref="Y42:Y44"/>
    <mergeCell ref="Z42:Z44"/>
    <mergeCell ref="AA42:AA44"/>
    <mergeCell ref="AB42:AB44"/>
    <mergeCell ref="AC42:AC44"/>
    <mergeCell ref="AD42:AD44"/>
    <mergeCell ref="AE42:AE44"/>
    <mergeCell ref="AF42:AF44"/>
    <mergeCell ref="AG42:AG44"/>
    <mergeCell ref="AH42:AH44"/>
    <mergeCell ref="AI42:AI44"/>
    <mergeCell ref="AJ42:AJ44"/>
    <mergeCell ref="A57:A59"/>
    <mergeCell ref="B57:B59"/>
    <mergeCell ref="C57:C59"/>
    <mergeCell ref="D57:D59"/>
    <mergeCell ref="E57:E59"/>
    <mergeCell ref="F57:F59"/>
    <mergeCell ref="G57:G59"/>
    <mergeCell ref="H57:H59"/>
    <mergeCell ref="I57:I59"/>
    <mergeCell ref="J57:J59"/>
    <mergeCell ref="K57:K59"/>
    <mergeCell ref="M57:M59"/>
    <mergeCell ref="N57:N59"/>
    <mergeCell ref="O57:O59"/>
    <mergeCell ref="P57:P59"/>
    <mergeCell ref="Q57:Q59"/>
    <mergeCell ref="R57:R59"/>
    <mergeCell ref="S57:S59"/>
    <mergeCell ref="T57:T59"/>
    <mergeCell ref="U57:U59"/>
    <mergeCell ref="V57:V59"/>
    <mergeCell ref="W57:W59"/>
    <mergeCell ref="X57:X59"/>
    <mergeCell ref="Y57:Y59"/>
    <mergeCell ref="Z57:Z59"/>
    <mergeCell ref="AA57:AA59"/>
    <mergeCell ref="AB57:AB59"/>
    <mergeCell ref="AC57:AC59"/>
    <mergeCell ref="AD57:AD59"/>
    <mergeCell ref="AE57:AE59"/>
    <mergeCell ref="AF57:AF59"/>
    <mergeCell ref="AG57:AG59"/>
    <mergeCell ref="AH57:AH59"/>
    <mergeCell ref="AI57:AI59"/>
    <mergeCell ref="AJ57:AJ5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2026-10-08T16:28:16Z</dcterms:created>
  <dc:creator>Microsoft Office User</dc:creator>
  <dc:description/>
  <dc:language>en-US</dc:language>
  <cp:lastModifiedBy>Microsoft Office User</cp:lastModifiedBy>
  <dcterms:modified xsi:type="dcterms:W3CDTF">2026-10-20T22:53:33Z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